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2026" sheetId="1" r:id="rId4"/>
    <sheet state="visible" name="Listas" sheetId="2" r:id="rId5"/>
    <sheet state="hidden" name="CAMINHOS DE ENVIO VIZ" sheetId="3" r:id="rId6"/>
    <sheet state="hidden" name="GLOBOPLAY" sheetId="4" r:id="rId7"/>
    <sheet state="hidden" name="CONTROLE 2020" sheetId="5" r:id="rId8"/>
    <sheet state="hidden" name="PREVENTIVAS" sheetId="6" r:id="rId9"/>
    <sheet state="hidden" name="CONTROLE 2021" sheetId="7" r:id="rId10"/>
    <sheet state="hidden" name="Pesquisador" sheetId="8" r:id="rId11"/>
    <sheet state="visible" name="Programação 2026" sheetId="9" r:id="rId12"/>
  </sheets>
  <definedNames>
    <definedName hidden="1" localSheetId="0" name="_xlnm._FilterDatabase">'CONTROLE 2026'!$A$2:$U$2339</definedName>
    <definedName hidden="1" localSheetId="3" name="_xlnm._FilterDatabase">GLOBOPLAY!$A$2:$CN$459</definedName>
    <definedName hidden="1" localSheetId="4" name="_xlnm._FilterDatabase">'CONTROLE 2020'!$A$2:$CN$955</definedName>
    <definedName hidden="1" localSheetId="6" name="_xlnm._FilterDatabase">'CONTROLE 2021'!$A$2:$CN$2268</definedName>
    <definedName hidden="1" localSheetId="8" name="_xlnm._FilterDatabase">'Programação 2026'!$A$1:$K$50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73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Até aqui vale a segunda conferência na gravação do Disco. 
Reply:
    @Savio Teixeira @Ana Borges Clara @Matheus Vinhal @Marco Ribeiro @Juliana Duarte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Tv Globo:
Caso o jornal tenha problemas, quem falou com CTRS para reingestar o conteúdo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Tv Globo:
Caso o jornal tenha problemas, quem falou com CTRS para reingestar o conteúdo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Tv Globo:
Caso o jornal tenha problemas, quem falou com CTRS para reingestar o conteúdo</t>
      </text>
    </comment>
    <comment authorId="0" ref="X37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 tratamento demorou muito porque o Logger travou, não rodava mais o vídeo e eu não conseguia decupar</t>
      </text>
    </comment>
    <comment authorId="0" ref="X386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 tratamento demorou muito porque o Logger travou, não rodava mais o vídeo e eu não conseguia decupar</t>
      </text>
    </comment>
    <comment authorId="0" ref="X48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LOGGER travou por 2 horas no dia 18/03</t>
      </text>
    </comment>
    <comment authorId="0" ref="X481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logger começou a travar, isso fez o tratamento ficar mais demorado
</t>
      </text>
    </comment>
    <comment authorId="0" ref="X484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logger começou a travar, isso fez o tratamento ficar mais demorado</t>
      </text>
    </comment>
  </commentList>
</comments>
</file>

<file path=xl/sharedStrings.xml><?xml version="1.0" encoding="utf-8"?>
<sst xmlns="http://schemas.openxmlformats.org/spreadsheetml/2006/main" count="38372" uniqueCount="6669">
  <si>
    <t>PRODUTO</t>
  </si>
  <si>
    <t>TRANSFERÊNCIA</t>
  </si>
  <si>
    <t>ARQUIVAMENTO</t>
  </si>
  <si>
    <t>APAGAMENTO</t>
  </si>
  <si>
    <t>Data de Exibição</t>
  </si>
  <si>
    <t>Data de Seleção</t>
  </si>
  <si>
    <t>Área de Produção</t>
  </si>
  <si>
    <t>Responsável</t>
  </si>
  <si>
    <t>Produto</t>
  </si>
  <si>
    <t>Duração do Produto</t>
  </si>
  <si>
    <t>Tipo</t>
  </si>
  <si>
    <t>Título no Avid</t>
  </si>
  <si>
    <t>Caminho</t>
  </si>
  <si>
    <t>Data e Hora envio Avid</t>
  </si>
  <si>
    <t>ID Temporário</t>
  </si>
  <si>
    <t>Data de Tratamento</t>
  </si>
  <si>
    <t>Duração do Tratamento</t>
  </si>
  <si>
    <t>Pesquisador</t>
  </si>
  <si>
    <t>Nível de Descrição</t>
  </si>
  <si>
    <t>Arquivista</t>
  </si>
  <si>
    <t>ID Definitivo</t>
  </si>
  <si>
    <t>Data do Arquivamento</t>
  </si>
  <si>
    <t>Site</t>
  </si>
  <si>
    <t>Pesquisador Apagamento</t>
  </si>
  <si>
    <t>Data de Apagamento</t>
  </si>
  <si>
    <t>Jornalismo</t>
  </si>
  <si>
    <t>BDMG</t>
  </si>
  <si>
    <t>Não exibido</t>
  </si>
  <si>
    <t>-</t>
  </si>
  <si>
    <t>MG</t>
  </si>
  <si>
    <t>BDBR MG</t>
  </si>
  <si>
    <t>Ana Clara</t>
  </si>
  <si>
    <t>MG TV 1</t>
  </si>
  <si>
    <t>Editado</t>
  </si>
  <si>
    <t>Matheus Vinhal</t>
  </si>
  <si>
    <t>Completa</t>
  </si>
  <si>
    <t>Emily Souza</t>
  </si>
  <si>
    <t>G0502765</t>
  </si>
  <si>
    <t>MG2 - BOLETIM</t>
  </si>
  <si>
    <t>Agmar</t>
  </si>
  <si>
    <t>MG TV 2</t>
  </si>
  <si>
    <t>G0502792</t>
  </si>
  <si>
    <t>Esporte</t>
  </si>
  <si>
    <t xml:space="preserve">GE MG </t>
  </si>
  <si>
    <t>Show da Virada</t>
  </si>
  <si>
    <t>SHOW_DA_VIRADA_2025</t>
  </si>
  <si>
    <t>PAM-BH</t>
  </si>
  <si>
    <t xml:space="preserve">	SHOWDAVIRADA2025MXF-4VCY7DO</t>
  </si>
  <si>
    <t>G0511046</t>
  </si>
  <si>
    <t>Larissa</t>
  </si>
  <si>
    <t>G0502744</t>
  </si>
  <si>
    <t>BDBR0201</t>
  </si>
  <si>
    <t>BDBR0201MXF-4VCYARG</t>
  </si>
  <si>
    <t>Carlos Bernini</t>
  </si>
  <si>
    <t>G0510613</t>
  </si>
  <si>
    <t>G0502766</t>
  </si>
  <si>
    <t>G0502793</t>
  </si>
  <si>
    <t>Juliana</t>
  </si>
  <si>
    <t>G0502767</t>
  </si>
  <si>
    <t>Savio</t>
  </si>
  <si>
    <t>G0502794</t>
  </si>
  <si>
    <t>TERRA DE MINAS - LIMPO</t>
  </si>
  <si>
    <t>TERRA DE MINAS - SUJO</t>
  </si>
  <si>
    <t xml:space="preserve">ROLÊ NAS GERAIS  </t>
  </si>
  <si>
    <t>EE-MG</t>
  </si>
  <si>
    <t>Programação</t>
  </si>
  <si>
    <t>TÔ INDO</t>
  </si>
  <si>
    <t>TOINDO_0401</t>
  </si>
  <si>
    <t>TOINDO0401MXF-4VCYPVO</t>
  </si>
  <si>
    <t>Letícia</t>
  </si>
  <si>
    <t>G0510593</t>
  </si>
  <si>
    <t>G0502745</t>
  </si>
  <si>
    <t>BDBR05012026</t>
  </si>
  <si>
    <t>BDBR05012026MXF-4VCYQPI</t>
  </si>
  <si>
    <t>G0510614</t>
  </si>
  <si>
    <t>G0502768</t>
  </si>
  <si>
    <t>G0502795</t>
  </si>
  <si>
    <t>G0502746</t>
  </si>
  <si>
    <t>G0510615</t>
  </si>
  <si>
    <t>G0502769</t>
  </si>
  <si>
    <t>G0502796</t>
  </si>
  <si>
    <t>G0502747</t>
  </si>
  <si>
    <t>G0510616</t>
  </si>
  <si>
    <t>G0502770</t>
  </si>
  <si>
    <t>MG2-07012026</t>
  </si>
  <si>
    <t>G0502797DUPLICATE-4VCZ9J2</t>
  </si>
  <si>
    <t>G0502797</t>
  </si>
  <si>
    <t>JORNALISMO</t>
  </si>
  <si>
    <t>Bruto</t>
  </si>
  <si>
    <t>BRUTO MG - REVEILLON BH 2025 - VIRADA DA LIBERDADE  31012025</t>
  </si>
  <si>
    <t>BRUTOMGREVEILLONBH2-4VCZICV</t>
  </si>
  <si>
    <t>G0502748</t>
  </si>
  <si>
    <t>G0510617</t>
  </si>
  <si>
    <t>G0502771</t>
  </si>
  <si>
    <t>G0502798</t>
  </si>
  <si>
    <t>G0502749</t>
  </si>
  <si>
    <t>G0510618</t>
  </si>
  <si>
    <t>G0502772</t>
  </si>
  <si>
    <t>G0502799</t>
  </si>
  <si>
    <t>G0502773</t>
  </si>
  <si>
    <t>G0502800</t>
  </si>
  <si>
    <t>Luis Henrique</t>
  </si>
  <si>
    <t>Reprise</t>
  </si>
  <si>
    <t xml:space="preserve">Obs: Reprise </t>
  </si>
  <si>
    <t>G0502750</t>
  </si>
  <si>
    <t>G0510619</t>
  </si>
  <si>
    <t>G0502774</t>
  </si>
  <si>
    <t>G0502801</t>
  </si>
  <si>
    <t>BRUTO MG - RIBEIRAO ARRUDAS EM BH - 09012026</t>
  </si>
  <si>
    <t xml:space="preserve">	BRUTOMGRIBEIRAOARRU-O66CNWZ</t>
  </si>
  <si>
    <t>BRUTO MG - LEITO DE UTI NEONATAL - 08012026</t>
  </si>
  <si>
    <t>BRUTOMGLEITOUTINEON-320EAZI</t>
  </si>
  <si>
    <t>BRUTO MG - LABORATÓRIO DE BENEFICIAMENTO DE TERRAS RARAS</t>
  </si>
  <si>
    <t>ACERVOMGLABTERRASRA-NJZ03UB</t>
  </si>
  <si>
    <t>BRUTO MG - GERACAO DE ENERGIA FOTOVOLTAICA - 07012026</t>
  </si>
  <si>
    <t>ACERVOMGGERACAOENER-RFIAZGD</t>
  </si>
  <si>
    <t>G0502751</t>
  </si>
  <si>
    <t>G0510620</t>
  </si>
  <si>
    <t>G0502775</t>
  </si>
  <si>
    <t>G0502802</t>
  </si>
  <si>
    <t>G0502752</t>
  </si>
  <si>
    <t>G0510621</t>
  </si>
  <si>
    <t>G0502776</t>
  </si>
  <si>
    <t>G0502803</t>
  </si>
  <si>
    <t>G0502753</t>
  </si>
  <si>
    <t>G0510622</t>
  </si>
  <si>
    <t>G0502777</t>
  </si>
  <si>
    <t>G0502804</t>
  </si>
  <si>
    <t>G0502754</t>
  </si>
  <si>
    <t>G0510623</t>
  </si>
  <si>
    <t>G0502778</t>
  </si>
  <si>
    <t>G0502805</t>
  </si>
  <si>
    <t>G0502779</t>
  </si>
  <si>
    <t>G0502806</t>
  </si>
  <si>
    <t>G0502755</t>
  </si>
  <si>
    <t>G0510624</t>
  </si>
  <si>
    <t>G0502780</t>
  </si>
  <si>
    <t>G0502807</t>
  </si>
  <si>
    <t>G0502756</t>
  </si>
  <si>
    <t>G0510625</t>
  </si>
  <si>
    <t>G0502781</t>
  </si>
  <si>
    <t>G0502808</t>
  </si>
  <si>
    <t>G0502757</t>
  </si>
  <si>
    <t>G0510626</t>
  </si>
  <si>
    <t>G0502782</t>
  </si>
  <si>
    <t>G0502809</t>
  </si>
  <si>
    <t>G0502758</t>
  </si>
  <si>
    <t>G0510627</t>
  </si>
  <si>
    <t>G0502783</t>
  </si>
  <si>
    <t>G0502810</t>
  </si>
  <si>
    <t>BRUTO MG - NOVA VACINA DA DENGUE DO  BUTABTAM 14012026</t>
  </si>
  <si>
    <t>BRUTOVACINABUTABTAM-1F5CSY7</t>
  </si>
  <si>
    <t>BRUTO MG- MONTADORA DE VEÍCULO FIAT EM BETIM 14012026</t>
  </si>
  <si>
    <t>BRUTOMONTADORAFIATM-2MD0TAW</t>
  </si>
  <si>
    <t>Bruto Mg - Academia de Polícia Civil de MG - 11012026</t>
  </si>
  <si>
    <t>BRUTOACADEPOLMXF-YU12QNM</t>
  </si>
  <si>
    <t>BRUTO MG - HOSPITAL E PRONTO SOCORRO JOÃO XXIII - 10012026</t>
  </si>
  <si>
    <t>BRUTOHOSPITALJOAOXX-NB9YZE7</t>
  </si>
  <si>
    <t>Bruto Mg - Serviço de Hotelaria em Belo Horizonte 22012026</t>
  </si>
  <si>
    <t>BRUTOMGSERVIÇODEHOT-INXTJ90</t>
  </si>
  <si>
    <t>G0502759</t>
  </si>
  <si>
    <t>G0510628</t>
  </si>
  <si>
    <t>G0502784</t>
  </si>
  <si>
    <t>G0502811</t>
  </si>
  <si>
    <t>G0502785</t>
  </si>
  <si>
    <t>G0502812</t>
  </si>
  <si>
    <t>G0502760</t>
  </si>
  <si>
    <t>G0510629</t>
  </si>
  <si>
    <t>G0502786_Dup_1769500720705</t>
  </si>
  <si>
    <t>G0502786</t>
  </si>
  <si>
    <t>G0502813</t>
  </si>
  <si>
    <t>BRUTO MG - ÁREA DE RISCO GEOLOGICO - 23012026</t>
  </si>
  <si>
    <t xml:space="preserve">	BRUTO_MG_AREA_RISCO_V_23012026</t>
  </si>
  <si>
    <t>G0502761</t>
  </si>
  <si>
    <t>G0510630</t>
  </si>
  <si>
    <t>G0502787</t>
  </si>
  <si>
    <t>G0502814</t>
  </si>
  <si>
    <t>G0502762_VALENDO</t>
  </si>
  <si>
    <t>PAM-HN</t>
  </si>
  <si>
    <t>G0502762VALENDOMXF-XOAUMRB</t>
  </si>
  <si>
    <t>G0502762</t>
  </si>
  <si>
    <t>G0510631</t>
  </si>
  <si>
    <t>G0502788</t>
  </si>
  <si>
    <t>G0502815</t>
  </si>
  <si>
    <t xml:space="preserve">	
BRUTO MG - GERAIS DA CIDADE DE MATOZINHO 26012026</t>
  </si>
  <si>
    <t>BRUTOMGCIDADEMATOZI-IUMUJ8N</t>
  </si>
  <si>
    <t>BRUTO MG - PRODUÇÃO DE CANABIDIOL - 27012026</t>
  </si>
  <si>
    <t>BRUTOMGCANABIDIOL27-P7JVSUP</t>
  </si>
  <si>
    <t>G0502763</t>
  </si>
  <si>
    <t>G0510632</t>
  </si>
  <si>
    <t>G0502789</t>
  </si>
  <si>
    <t>G0502816</t>
  </si>
  <si>
    <t>G0502764</t>
  </si>
  <si>
    <t>G0510633_duplicate</t>
  </si>
  <si>
    <t>PAM BH</t>
  </si>
  <si>
    <t>30/0126 11:52</t>
  </si>
  <si>
    <t>G0510633</t>
  </si>
  <si>
    <t>G0502790</t>
  </si>
  <si>
    <t>G0502817</t>
  </si>
  <si>
    <t>BRUTO MG - MAKE OFF PREPARA CARNAVAL 29012025</t>
  </si>
  <si>
    <t>BRUTOMGMAKEOFFVARNA-U45NETE</t>
  </si>
  <si>
    <t xml:space="preserve">	G0502791DUP17698815-L72K761</t>
  </si>
  <si>
    <t>G0502791</t>
  </si>
  <si>
    <t>G0502818</t>
  </si>
  <si>
    <t>G0515012</t>
  </si>
  <si>
    <t>G0515032</t>
  </si>
  <si>
    <t>G0515056</t>
  </si>
  <si>
    <t>G0515242</t>
  </si>
  <si>
    <t>GE_0202_2026</t>
  </si>
  <si>
    <t xml:space="preserve">	G0515013DUP17701418-J7ICME9</t>
  </si>
  <si>
    <t>G0515013</t>
  </si>
  <si>
    <t>G0515033</t>
  </si>
  <si>
    <t>G0515057</t>
  </si>
  <si>
    <t>G0515243</t>
  </si>
  <si>
    <t>G0515014DUP17702255-QY2DINT</t>
  </si>
  <si>
    <t>G0515014</t>
  </si>
  <si>
    <t>G0515034</t>
  </si>
  <si>
    <t>G0515058</t>
  </si>
  <si>
    <t>G0515244</t>
  </si>
  <si>
    <t>G0515015_Dup_1770313613619</t>
  </si>
  <si>
    <t xml:space="preserve">PAM-HN </t>
  </si>
  <si>
    <t>G0515015DUP17703136-S9BR6T4</t>
  </si>
  <si>
    <t>G0515015</t>
  </si>
  <si>
    <t>G0515035</t>
  </si>
  <si>
    <t>G0515059</t>
  </si>
  <si>
    <t>G0515245</t>
  </si>
  <si>
    <t>G0515016</t>
  </si>
  <si>
    <t>bdbr-mg06022026</t>
  </si>
  <si>
    <t>BDBRMG06022026MXF-MAMVXAF</t>
  </si>
  <si>
    <t>G0515036</t>
  </si>
  <si>
    <t>G0515060</t>
  </si>
  <si>
    <t>G0515256</t>
  </si>
  <si>
    <t>G0515061</t>
  </si>
  <si>
    <t>G0515257</t>
  </si>
  <si>
    <t>Fábrica de Blocos</t>
  </si>
  <si>
    <t xml:space="preserve">	
Programa Fábrica de Blocos de Carnaval 07022026</t>
  </si>
  <si>
    <t>FABRICABLOCOS070220-624WNT0</t>
  </si>
  <si>
    <t>G0516348</t>
  </si>
  <si>
    <t>G0515017</t>
  </si>
  <si>
    <t>G0515037</t>
  </si>
  <si>
    <t>MG1</t>
  </si>
  <si>
    <t>G0515062</t>
  </si>
  <si>
    <t>G0515258</t>
  </si>
  <si>
    <t>G0515018</t>
  </si>
  <si>
    <t>G0515038</t>
  </si>
  <si>
    <t>G0515063</t>
  </si>
  <si>
    <t>G0515259</t>
  </si>
  <si>
    <t>G0515019_Dup_1770832727281</t>
  </si>
  <si>
    <t>G0515019</t>
  </si>
  <si>
    <t>G0515039</t>
  </si>
  <si>
    <t>G0515064</t>
  </si>
  <si>
    <t>G0515260</t>
  </si>
  <si>
    <t>BRUTO MG - LABORATÓRIO DE PESQUISA DA UFMG - 11022025</t>
  </si>
  <si>
    <t>BRUTOMGLABORATORIOP-V8GQEFE</t>
  </si>
  <si>
    <t>Bruto MG - Pré-Carnaval bloco Como te Lhama - 09022026</t>
  </si>
  <si>
    <t>BRUTOMGBLOCOCOMOTEL-6H553ZH</t>
  </si>
  <si>
    <t>Bruto Mg - Bloco do Hungria - 06022026</t>
  </si>
  <si>
    <t>BRUTOMGBLOCOHUNGRIA-VWOYVXM</t>
  </si>
  <si>
    <t>Bruro Mg - Bloco Fera Nenem BH - 07022026</t>
  </si>
  <si>
    <t>BRUROMGBLOCOFERANEN-IG5YK4X</t>
  </si>
  <si>
    <t xml:space="preserve">	
BRUTO MG - BANDA MOLE 07022026</t>
  </si>
  <si>
    <t>G0515020</t>
  </si>
  <si>
    <t>G0515040</t>
  </si>
  <si>
    <t>G0515065</t>
  </si>
  <si>
    <t xml:space="preserve"> </t>
  </si>
  <si>
    <t>G0515261</t>
  </si>
  <si>
    <t>G0515021_Dup_1771004848964</t>
  </si>
  <si>
    <t>G0515021DUP17710048-5WIMQFU</t>
  </si>
  <si>
    <t>G0515021</t>
  </si>
  <si>
    <t>G0515041</t>
  </si>
  <si>
    <t>G0515066DUP17710724-PPD0LOX</t>
  </si>
  <si>
    <t xml:space="preserve">	G0515066DUP17710724-PPD0LOX</t>
  </si>
  <si>
    <t>G0515066</t>
  </si>
  <si>
    <t>G0515262</t>
  </si>
  <si>
    <t>CARNAVAL - MG</t>
  </si>
  <si>
    <t>CARNAVALDEMINAS_14022026_MANHA</t>
  </si>
  <si>
    <t xml:space="preserve">	CARNAVALDEMINAS1402-8MF6BT6</t>
  </si>
  <si>
    <t>G0519903</t>
  </si>
  <si>
    <t>G0515067</t>
  </si>
  <si>
    <t>CARNAVALDEMINAS_14022026_TARDE</t>
  </si>
  <si>
    <t>CARNAVALDEMINAS1402-02WAN07</t>
  </si>
  <si>
    <t>G0519904</t>
  </si>
  <si>
    <t>G0515263</t>
  </si>
  <si>
    <t>CARNAVALDEMINAS_15022026_MANHA</t>
  </si>
  <si>
    <t>CARNAVALDEMINAS1502-B4X7ZK7</t>
  </si>
  <si>
    <t>G0519905</t>
  </si>
  <si>
    <t>CARNAVALDEMINAS_15022026_TARDE</t>
  </si>
  <si>
    <t>CARNAVALDEMINAS1502-CQ2FLJQ</t>
  </si>
  <si>
    <t>G0519906</t>
  </si>
  <si>
    <t>G0515022</t>
  </si>
  <si>
    <t>G0515042</t>
  </si>
  <si>
    <t xml:space="preserve">	G0515068DUP17712733-1KKLRDW</t>
  </si>
  <si>
    <t>G0515068</t>
  </si>
  <si>
    <t>G0515264</t>
  </si>
  <si>
    <t>CARNAVALDEMINAS_16022026</t>
  </si>
  <si>
    <t>CARNAVALDEMINAS1602-15EPCXG</t>
  </si>
  <si>
    <t>G0519984</t>
  </si>
  <si>
    <t>BRUTO MG - BLOCO CHARANGUEIRA NO CARNAVAL DE BH - 12022026</t>
  </si>
  <si>
    <t>BRUTOMGBLOCOCHARANG-SANU22H</t>
  </si>
  <si>
    <t>Bloco Mg - bloco Circuladô "fé na Festa" - 08022026</t>
  </si>
  <si>
    <t>BLOCOMGCIRCULADOLEV-R71T2GT</t>
  </si>
  <si>
    <t>BRUTO MG - BLOCO DA AMANDONA - 08022026</t>
  </si>
  <si>
    <t>BRUTOMGBLOCODAAMAND-J6UFA85</t>
  </si>
  <si>
    <t>BRUTO MG - CHAMA O SINDICO - 11022026</t>
  </si>
  <si>
    <t>BRUTOMGCHAMAOSINDIC-82Y60VQ</t>
  </si>
  <si>
    <t xml:space="preserve">	G0515069DUP17713518-S7PECWK</t>
  </si>
  <si>
    <t>G0515265</t>
  </si>
  <si>
    <t>CARNAVALDEMINAS_17022026</t>
  </si>
  <si>
    <t>CARNAVALDEMINAS1702-SIAZFA4</t>
  </si>
  <si>
    <t>G0519985</t>
  </si>
  <si>
    <t>BRUTO MG - CÂMARA MUNICIPAL DE BETIM - 11022026</t>
  </si>
  <si>
    <t>BRUTOMGCAMARABETIM1-Y5XBCPS</t>
  </si>
  <si>
    <t>BRUTO MG - BLOCO DA LIMPEZA - 12022026</t>
  </si>
  <si>
    <t>BRUTOBLOCODALIMPEZA-T1PSEKY</t>
  </si>
  <si>
    <t>BRUTO MG -BLOCO WS ELETRICO - 13022026</t>
  </si>
  <si>
    <t>BRUTOMGBLOCOWSELETR-4WRC5UP</t>
  </si>
  <si>
    <t>G0515024</t>
  </si>
  <si>
    <t>G0515044</t>
  </si>
  <si>
    <t>G0515070</t>
  </si>
  <si>
    <t>G0515266</t>
  </si>
  <si>
    <t>G0515025</t>
  </si>
  <si>
    <t>G0515045</t>
  </si>
  <si>
    <t>G0515071</t>
  </si>
  <si>
    <t>G0515267</t>
  </si>
  <si>
    <t>BRUTO MG - BLOCO ENTAO BRILHA - 04022026</t>
  </si>
  <si>
    <t>BRUTOMGENTAOBRILHA1-3FE962K</t>
  </si>
  <si>
    <t>BRUTO MG - BLOCO LAVO TÁ NOVO - 14022026</t>
  </si>
  <si>
    <t>BRUTOMGLAVOTANOVO14-SBKUSI5</t>
  </si>
  <si>
    <t>BRUTO MG - BLOCO TRUCK DO DESEJO - 14022026</t>
  </si>
  <si>
    <t>BRUTOMGTRUCKDESEJO1-M819W0D</t>
  </si>
  <si>
    <t>BRUTO MG - BLOCO CLAYTON E ROMARIO - 14022026</t>
  </si>
  <si>
    <t>BRUTOMGBLOCOCLEITON-H11LFXI</t>
  </si>
  <si>
    <t>BRUTO MG - BLOCO DO FARAÓ - 14022026</t>
  </si>
  <si>
    <t>BRUTOMGBLOCOFARAO14-ZOF9BNB</t>
  </si>
  <si>
    <t>BRUTO MG - TCHANZINHO ZONA NORTE - 14022026</t>
  </si>
  <si>
    <t>BRUTOMGTCHANZINHOZO-AXQK3H4</t>
  </si>
  <si>
    <t>BRUTO MG - BLOCO UAI CÊ SAMBA -14022026</t>
  </si>
  <si>
    <t>BRUTOMGUAICESAMBA14-2HFWISM</t>
  </si>
  <si>
    <t>BRUTO MG - BLOCO DA CALIXTO - 14022026</t>
  </si>
  <si>
    <t>BRUTOMGBLOCOCALIXTO-KMXWW5G</t>
  </si>
  <si>
    <t>BDMG_2002</t>
  </si>
  <si>
    <t>BDMG2002MXF-QFIVAXP</t>
  </si>
  <si>
    <t>G0515026</t>
  </si>
  <si>
    <t>G0515046</t>
  </si>
  <si>
    <t>G0515072_Dup_1771637736747</t>
  </si>
  <si>
    <t>G0515072DUP17716377-ZTIU2Q0</t>
  </si>
  <si>
    <t>G0515072</t>
  </si>
  <si>
    <t>G0515268</t>
  </si>
  <si>
    <t>G0515073</t>
  </si>
  <si>
    <t>G0515269</t>
  </si>
  <si>
    <t>TERRADEMINAS21022026_LIMPO</t>
  </si>
  <si>
    <t xml:space="preserve">	TERRADEMINAS2102202-SGMGXEC</t>
  </si>
  <si>
    <t>G0521006</t>
  </si>
  <si>
    <t>TERRADEMINAS21022026_SUJO</t>
  </si>
  <si>
    <t>TERRADEMINAS2102202-ZWJKI3F</t>
  </si>
  <si>
    <t>Light</t>
  </si>
  <si>
    <t>G0521007</t>
  </si>
  <si>
    <t>VT</t>
  </si>
  <si>
    <t>TERRA DE MINAS 25 ANOS - VT TUDO AQUI - LIMPO - 21022026</t>
  </si>
  <si>
    <t xml:space="preserve">	TERRA25TUDOAQUILIMP-KCGWDS7</t>
  </si>
  <si>
    <t>TERRA DE MINAS 25 ANOS OFICIOS TRADICIONAIS - LIMPO-21022026</t>
  </si>
  <si>
    <t>TERRA25OFICIOSTRADI-RY2035C</t>
  </si>
  <si>
    <t>TERRA DE MINAS 25 ANOS VT MINAS E MAIS - LIMPO - 21022026</t>
  </si>
  <si>
    <t>TERRA25MINASEMAISLI-BAEX5X4</t>
  </si>
  <si>
    <t>TERRA DE MINAS 25 ANOS MERCADO NA MADRUGADA - LIMPO 21022026</t>
  </si>
  <si>
    <t>TERRA25MERCADOMADRU-GMNRGZ3</t>
  </si>
  <si>
    <t>TERRA DE MINAS 25 ANOS MARATONA COMIDA BEBIDA LIMPO-21022026</t>
  </si>
  <si>
    <t xml:space="preserve">	TERRA25MARATONACOMI-E61XWSF</t>
  </si>
  <si>
    <t>TERRA DE MINAS 25 ANOS É SERIO QUE TEM ISSO-LIMPO - 21022026</t>
  </si>
  <si>
    <t>TERRADEMINAS25ANOSÉ-FVECQOP</t>
  </si>
  <si>
    <t>TERRA DE MINAS 25 ANOS TRILHAS DO TERRA LIMPO - 21022026</t>
  </si>
  <si>
    <t xml:space="preserve">	TERRA25ANOSTRILHASL-UGRNXBX</t>
  </si>
  <si>
    <t>ROLENASGERAIS_21022026</t>
  </si>
  <si>
    <t>ROLENASGERAIS210220-FKA77DI</t>
  </si>
  <si>
    <t>G0522449</t>
  </si>
  <si>
    <t>G0515027_Dup_1771863611844</t>
  </si>
  <si>
    <t>G0515027DUP17718636-QTRC1VH</t>
  </si>
  <si>
    <t>G0515027</t>
  </si>
  <si>
    <t>G0515047</t>
  </si>
  <si>
    <t>G0515074</t>
  </si>
  <si>
    <t>G0515270</t>
  </si>
  <si>
    <t>BRUTO MG - BLOCO DE CARNAVAL ANGOLA JANGA -15022026</t>
  </si>
  <si>
    <t>BRUTIOMGANGOLAJANGA-V5FIB2D</t>
  </si>
  <si>
    <t>BRUTO MG - BLOCO DE CARNAVAL BAIANAS OZADAS - 16022026</t>
  </si>
  <si>
    <t>BRUTOMGBAIANAOZADAS-QLG8ZL2</t>
  </si>
  <si>
    <t>BRUTO MG - BLOCO DE CARNAVAL BEIÇO DO WANDO - 15022026</t>
  </si>
  <si>
    <t>RUTOMGBLOCOBEICOWA-7F9XN8X</t>
  </si>
  <si>
    <t>BRUTO MG - BLOCO DE CARNAVAL MARINADA - 15022026</t>
  </si>
  <si>
    <t>BRUTOMGMARINADA1502-0X9S6CQ</t>
  </si>
  <si>
    <t>BRUTO MG - ÔNIBUS DO TRANSPORTE PÚBLICO DE BH - 15022026</t>
  </si>
  <si>
    <t>BRUTOMGONIBUSBH1502-I5A22M7</t>
  </si>
  <si>
    <t>BRUTO MG - BLOCO DE CARNAVAL ZIGUIRIGUIDUM - 16022026</t>
  </si>
  <si>
    <t>BRUTOMGZIGUIRIGUIDU-EVPS4HY</t>
  </si>
  <si>
    <t>BRUTO MG - ARQUIVO ASPECTO CIDADE DE INDIANOPOLIS - 23022026</t>
  </si>
  <si>
    <t>BRUTOMGCIDADEINDIAN-KWCA70S</t>
  </si>
  <si>
    <t>BRUTO MG - BLOCO DE CARNAVAL ME DEIXA - 16022026</t>
  </si>
  <si>
    <t>BRUTOMGBLOCOMEDEIXA-KLE6SF0</t>
  </si>
  <si>
    <t>BRUTO MG - BLOCO CARNAVAL COM LUÍSA SONZA - 16022026</t>
  </si>
  <si>
    <t>BRUTOMGBLOCOLUISASO-UCF4VP8</t>
  </si>
  <si>
    <t>BRUTO MG - BLOCO DE CARNAVAL DO NATTAN - 16022026</t>
  </si>
  <si>
    <t xml:space="preserve">	BRUTOMGBLOCOCARNAVA-5C6953D</t>
  </si>
  <si>
    <t>BRUTO MG - BLOCO DE CARNAVAL COM O CANTOR XAMÃ - 16022026.</t>
  </si>
  <si>
    <t>BRUTOMGBLOCOXAMA160-LIFE1VW</t>
  </si>
  <si>
    <t>BRUTO MG - BLOCO DE CARNAVAL HAVAYANAS USADAS - 16022026</t>
  </si>
  <si>
    <t xml:space="preserve">	BRUTOMGHAVAYANASUSA-SEPSXOX</t>
  </si>
  <si>
    <t>BRUTO MG - BLOCO DE CARNAVAL LAVÔ TÁ NOVO - 17022026</t>
  </si>
  <si>
    <t xml:space="preserve">	BRUTOMGBLOCOLAVOTAN-X2B42P8</t>
  </si>
  <si>
    <t>BRUTO MG - BLOCO DE CARNAVAL TRUCK DO DESEJO - 17022026</t>
  </si>
  <si>
    <t xml:space="preserve">	BRUTOMGTRUCKDESEJO1-C8D1EMP</t>
  </si>
  <si>
    <t>BRUTO MG - BLOCO DE CARNAVAL PISA NA FULÔ - 17022026</t>
  </si>
  <si>
    <t xml:space="preserve">	BRUTOMGPISANAFULO17-L4LEZHQ</t>
  </si>
  <si>
    <t>G0515028</t>
  </si>
  <si>
    <t>G0515048</t>
  </si>
  <si>
    <t>G0515075</t>
  </si>
  <si>
    <t>G0515271</t>
  </si>
  <si>
    <t>GEMG_24022026</t>
  </si>
  <si>
    <t>GEMG24022026MXF-CZQ5WQ2</t>
  </si>
  <si>
    <t>BRUTO MG - BRUTO BLOCO JUVENTUDE BRONZEADA - 17022026</t>
  </si>
  <si>
    <t>BRUTOMGJUVENTUDEBRO-VFZWY7T</t>
  </si>
  <si>
    <t>BRUTO MG - BLOCO FUNK YOU - 17022026</t>
  </si>
  <si>
    <t>BRUTOMGBLOCOFUNKYOU-6DM82II</t>
  </si>
  <si>
    <t>BRUTO MG - BLOCO DE CARNAVAL BAIANEIROS - 17022026</t>
  </si>
  <si>
    <t xml:space="preserve">	BRUTOMGBLOCOBAIANEI-LL20QJW</t>
  </si>
  <si>
    <t>BRUTO_MG_GAMECAM BLOCO ENTAO BRILHA_14022026</t>
  </si>
  <si>
    <t>BRUTOMGENTAOBRILHA1-PZ0K4QT</t>
  </si>
  <si>
    <t>BRUTO MG - GAMECAM BLOCO BEIÇO DO WANDO - 15022026</t>
  </si>
  <si>
    <t>BRUTOMGBEICOWANDO15-11JI3P7</t>
  </si>
  <si>
    <t>BRUTO MG - GERAIS DO DISTRITO DE  MORRO VERMELHO - 18022026</t>
  </si>
  <si>
    <t>BRUTOMORROVERMELHO1-7GFXZ4O</t>
  </si>
  <si>
    <t>agmar</t>
  </si>
  <si>
    <t>BRUTO MG - BLOCO DE CARNAVAL LUA DE CRIXTAL - 18022026</t>
  </si>
  <si>
    <t xml:space="preserve">	BRUTOMGBLOCOLUADECR-IKRR8BH</t>
  </si>
  <si>
    <t>BRUTO MG - BLOCO  DE CARNAVAL PEDRO SAMPAIO - 21022026</t>
  </si>
  <si>
    <t xml:space="preserve">	BRUTOMGBLOCOPEDROSA-UUZR1BB</t>
  </si>
  <si>
    <t>BRUTO MG - BLOCO DE CARNAVAL COISAS DE RITA - 20022026</t>
  </si>
  <si>
    <t>BRUTOMGCOISASDERITA-G6I27QJ</t>
  </si>
  <si>
    <t>BRUTO MG - BANDA EVA NO BLOCO DE CARNAVAL DE BH - 22022026</t>
  </si>
  <si>
    <t>BRUTOMGBANDAEVANOBL-DEUWUEB</t>
  </si>
  <si>
    <t>BOM DIA MINAS</t>
  </si>
  <si>
    <t>G0515029</t>
  </si>
  <si>
    <t>G0515049</t>
  </si>
  <si>
    <t>G0515076</t>
  </si>
  <si>
    <t>G0515272</t>
  </si>
  <si>
    <t>GEMG_25022026</t>
  </si>
  <si>
    <t>GEMG25022026MXF-KAO00JK</t>
  </si>
  <si>
    <t>G0515030DUP17721236-6QSODI8</t>
  </si>
  <si>
    <t>G0515030</t>
  </si>
  <si>
    <t>G0515050</t>
  </si>
  <si>
    <t>G0515077</t>
  </si>
  <si>
    <t>G0515273</t>
  </si>
  <si>
    <t>G0515031</t>
  </si>
  <si>
    <t>G0515051</t>
  </si>
  <si>
    <t>G0515078</t>
  </si>
  <si>
    <t>G0515274</t>
  </si>
  <si>
    <t>G0515079</t>
  </si>
  <si>
    <t>G0515275</t>
  </si>
  <si>
    <t>GEMG_28022026</t>
  </si>
  <si>
    <t>GEMG28022026MXF-4V216A1</t>
  </si>
  <si>
    <t>TMI_LIMPO_28022026</t>
  </si>
  <si>
    <t>TMILIMPO28022026MXF-EM8CE5S</t>
  </si>
  <si>
    <t>G0524667</t>
  </si>
  <si>
    <t>TMI_SUJO_28022026</t>
  </si>
  <si>
    <t>TMISUJO28022026MXF-0WHA4PO</t>
  </si>
  <si>
    <t>G0524668</t>
  </si>
  <si>
    <t>ROLENASGERAIS_28022026</t>
  </si>
  <si>
    <t>ROLENASGERAIS280220-ZBDRS7K</t>
  </si>
  <si>
    <t>G0524669</t>
  </si>
  <si>
    <t>TRAMAS</t>
  </si>
  <si>
    <t>TRAMAS_2802</t>
  </si>
  <si>
    <t>PAMPBH</t>
  </si>
  <si>
    <t>TRAMAS2802MXF-SQY4OK7</t>
  </si>
  <si>
    <t>G0524670</t>
  </si>
  <si>
    <t>G0518801_Dup_1772488565846</t>
  </si>
  <si>
    <t>G0518801DUP17724885-4J82LA4</t>
  </si>
  <si>
    <t>G0518801</t>
  </si>
  <si>
    <t>G0518821</t>
  </si>
  <si>
    <t>G0518851</t>
  </si>
  <si>
    <t>G0518875</t>
  </si>
  <si>
    <t>BDMG_03032026</t>
  </si>
  <si>
    <t xml:space="preserve">	BDMG03032025MXF-E47LXYF</t>
  </si>
  <si>
    <t>G0518802</t>
  </si>
  <si>
    <t>G0518822</t>
  </si>
  <si>
    <t xml:space="preserve">	G0518852DUP17725725-C936UMU</t>
  </si>
  <si>
    <t>G0518852</t>
  </si>
  <si>
    <t>G0518876</t>
  </si>
  <si>
    <t>G0518803_temp</t>
  </si>
  <si>
    <t>G0518803TEMPMXF-SLS7HYC</t>
  </si>
  <si>
    <t>G0518803</t>
  </si>
  <si>
    <t>G0518853</t>
  </si>
  <si>
    <t>G0518877_Dup_1772670658261</t>
  </si>
  <si>
    <t>G0518877DUP17726706-NJI0XPG</t>
  </si>
  <si>
    <t>G0518877</t>
  </si>
  <si>
    <t>G0518804</t>
  </si>
  <si>
    <t xml:space="preserve">	G0518824TEMPMXF-499L2Z3</t>
  </si>
  <si>
    <t>G0518824</t>
  </si>
  <si>
    <t>G0518854</t>
  </si>
  <si>
    <t>G0518878</t>
  </si>
  <si>
    <t>GEMG_05032026</t>
  </si>
  <si>
    <t>GEMG05032026MXF-1QX02B6</t>
  </si>
  <si>
    <t xml:space="preserve">	
BRUTO MG - DRONE TRAGEDIA DAS CHUVAS EM JUIZ DE FORA - 2026</t>
  </si>
  <si>
    <t xml:space="preserve">	BRUTOMGDRONETRAGEDI-PQWDSQD</t>
  </si>
  <si>
    <t>BRUTO MG - TRAGEDIA DAS CHUVAS EM JUIZ DE FORA - 2026</t>
  </si>
  <si>
    <t xml:space="preserve">	BRUTOMGGERAISTRAGED-KC8UB4B</t>
  </si>
  <si>
    <t>BRUTO MG - AÉREA POR DRONE DO AGLOMERADO SERRA - 02032026</t>
  </si>
  <si>
    <t xml:space="preserve">	BRUTOMGAÉREAPORDRON-5GWD4AT</t>
  </si>
  <si>
    <t>BRUTO MG - INDÚSTRIA MOVELEIRA DA CIDADE DE UBÁ - 27022026</t>
  </si>
  <si>
    <t xml:space="preserve">	BRUTOMGINDMOVELEIRA-3F7JVEJ</t>
  </si>
  <si>
    <t>G0518805</t>
  </si>
  <si>
    <t>G0518825</t>
  </si>
  <si>
    <t>G0518855</t>
  </si>
  <si>
    <t>G0518879</t>
  </si>
  <si>
    <t>G0518856</t>
  </si>
  <si>
    <t>G0518880</t>
  </si>
  <si>
    <t xml:space="preserve">	TERRADEMINASLIMPO07-NU9VU1T</t>
  </si>
  <si>
    <t>G0525292</t>
  </si>
  <si>
    <t>TERRADEMINASSUJO070-9FY3463</t>
  </si>
  <si>
    <t>G0525293</t>
  </si>
  <si>
    <t>ROLENASGERAIS_07032026</t>
  </si>
  <si>
    <t>ROLENASGERAIS070320-H26WU5N</t>
  </si>
  <si>
    <t>G0525294</t>
  </si>
  <si>
    <t>NOME DE MULHER</t>
  </si>
  <si>
    <t>NOMEDEMULHER_07032026</t>
  </si>
  <si>
    <t>NOMEDEMULHER0703202-35BW7GC</t>
  </si>
  <si>
    <t>G0525162</t>
  </si>
  <si>
    <t>EEMG_08032026</t>
  </si>
  <si>
    <t>EEMG08032026MXF-7UXIBXO</t>
  </si>
  <si>
    <t>Victor Xavier</t>
  </si>
  <si>
    <t>G0518806</t>
  </si>
  <si>
    <t>G0518826</t>
  </si>
  <si>
    <t>G0518857</t>
  </si>
  <si>
    <t>G0518881</t>
  </si>
  <si>
    <t>GEMG_09032026</t>
  </si>
  <si>
    <t>G0518807_Dup_1773166034500</t>
  </si>
  <si>
    <t>PAM- HN</t>
  </si>
  <si>
    <t>10/30/2026 15:07</t>
  </si>
  <si>
    <t xml:space="preserve">	G0518807_temp</t>
  </si>
  <si>
    <t>G0518807</t>
  </si>
  <si>
    <t>G0518827</t>
  </si>
  <si>
    <t>G0518858_Dup_1773178595142</t>
  </si>
  <si>
    <t xml:space="preserve">	G0518858DUP17731785-IMU124J</t>
  </si>
  <si>
    <t>G0518858</t>
  </si>
  <si>
    <t>G0518882</t>
  </si>
  <si>
    <t>GEMG_10032026</t>
  </si>
  <si>
    <t>GEMG10032026MXF-SRXVGX1</t>
  </si>
  <si>
    <t>G0518808</t>
  </si>
  <si>
    <t>G0518859</t>
  </si>
  <si>
    <t>G0518883</t>
  </si>
  <si>
    <t>G0518809_Dup_1773332642890</t>
  </si>
  <si>
    <t>G0518809</t>
  </si>
  <si>
    <t>G0518829</t>
  </si>
  <si>
    <t>G0518860</t>
  </si>
  <si>
    <t>G0518884</t>
  </si>
  <si>
    <t>G0518810_Dup_1773423878518</t>
  </si>
  <si>
    <t>G0518810</t>
  </si>
  <si>
    <t>G0518830</t>
  </si>
  <si>
    <t>G0518861</t>
  </si>
  <si>
    <t>G0518885</t>
  </si>
  <si>
    <t>G0518862</t>
  </si>
  <si>
    <t>G0518886</t>
  </si>
  <si>
    <t>GLOBOESPORTEMG_14032026</t>
  </si>
  <si>
    <t>GLOBOESPORTEMG14032-ZY49W2P</t>
  </si>
  <si>
    <t>TMI_LIMPO_14032026</t>
  </si>
  <si>
    <t>G0525985</t>
  </si>
  <si>
    <t>TMI_SUJO_14032026</t>
  </si>
  <si>
    <t>G0525986</t>
  </si>
  <si>
    <t>ROLENASGERAIS_14032026</t>
  </si>
  <si>
    <t>ROLENASGERAIS140320-HOR0VH8</t>
  </si>
  <si>
    <t>G0525987</t>
  </si>
  <si>
    <t>É O BICHO</t>
  </si>
  <si>
    <t>E_O_BICHO_1403</t>
  </si>
  <si>
    <t xml:space="preserve">	EOBICHO1403MXF-WD06VUJ</t>
  </si>
  <si>
    <t>G0525984</t>
  </si>
  <si>
    <t>G0518811</t>
  </si>
  <si>
    <t>G0518831</t>
  </si>
  <si>
    <t>G0518863</t>
  </si>
  <si>
    <t>G0518887</t>
  </si>
  <si>
    <t>G0518812</t>
  </si>
  <si>
    <t>G0518832</t>
  </si>
  <si>
    <t>G0518864</t>
  </si>
  <si>
    <t>G0518888</t>
  </si>
  <si>
    <t>GEMG_17032026</t>
  </si>
  <si>
    <t>GEMG17032026MXF-B3LTERN</t>
  </si>
  <si>
    <t>Bruto Mg - Promotoria de  Atendimento a Mulher - 13032026</t>
  </si>
  <si>
    <t xml:space="preserve">	BRUTOMGPROMOTORIADE-EXFJFZJ</t>
  </si>
  <si>
    <t>G0518813_Dup_1773856495840</t>
  </si>
  <si>
    <t>G0518813</t>
  </si>
  <si>
    <t>G0518833</t>
  </si>
  <si>
    <t>G0518865</t>
  </si>
  <si>
    <t>G0518889</t>
  </si>
  <si>
    <t>G0518814</t>
  </si>
  <si>
    <t>G0518834</t>
  </si>
  <si>
    <t>G0518866</t>
  </si>
  <si>
    <t>MG2_19032026</t>
  </si>
  <si>
    <t>MG219032026MXF-6GCPPOI</t>
  </si>
  <si>
    <t>G0518890</t>
  </si>
  <si>
    <t>G0518815</t>
  </si>
  <si>
    <t>G0518845</t>
  </si>
  <si>
    <t>G0518867</t>
  </si>
  <si>
    <t>G0518891</t>
  </si>
  <si>
    <t>Bruto Mg - Drone da Cidade de Tiradentes - 16032026</t>
  </si>
  <si>
    <t xml:space="preserve">PAM-BH </t>
  </si>
  <si>
    <t xml:space="preserve">	BRUTOMGDRONEDACIDAD-B5HJO2P</t>
  </si>
  <si>
    <t>Bruto Mg - Patinetes Elétricas em Bhte - 18032026</t>
  </si>
  <si>
    <t>BRUTOMGPATINETEBHMX-ANLPZ7C</t>
  </si>
  <si>
    <t>Bruto Mg - Aérea por Drone de BHte - 18032026</t>
  </si>
  <si>
    <t xml:space="preserve">	BRUTOMGDRONEBH2MXF-N6TKJYS</t>
  </si>
  <si>
    <t>Bruto Mg - Gerais da cidade de Belo Horizonte -18032026</t>
  </si>
  <si>
    <t>BRUTOMGGERAISDEBHMX-IIM1X15</t>
  </si>
  <si>
    <t>Bruto Mg - Drone Instituto Inhotim - 18032026</t>
  </si>
  <si>
    <t>BRUTOMGDRONEINHOTIM-RVT7I0C</t>
  </si>
  <si>
    <t>Bruto Mg - Présepio do Pipiripau - 18032026</t>
  </si>
  <si>
    <t>BRUTOMGPRESEPIOPIPI-21HH5C3</t>
  </si>
  <si>
    <t>G0518868</t>
  </si>
  <si>
    <t>jornalismo</t>
  </si>
  <si>
    <t>G0518892</t>
  </si>
  <si>
    <t>TERRADEMINASLIMPO21032026</t>
  </si>
  <si>
    <t>TERRADEMINASLIMPO21-KWSQ67C</t>
  </si>
  <si>
    <t>G0526681</t>
  </si>
  <si>
    <t>TERRADEMINASSUJO21032026</t>
  </si>
  <si>
    <t>TERRADEMINASSUJO210-JKH1OM8</t>
  </si>
  <si>
    <t>G0526682</t>
  </si>
  <si>
    <t>ROLENASGERAIS_21032026</t>
  </si>
  <si>
    <t>ROLENASGERAIS210320-KFOATVM</t>
  </si>
  <si>
    <t>G0526683</t>
  </si>
  <si>
    <t>EOBICHO21032026</t>
  </si>
  <si>
    <t>EOBICHO21032026MXF-W5NMTOU</t>
  </si>
  <si>
    <t>G0526609</t>
  </si>
  <si>
    <t>TOINDO22032026</t>
  </si>
  <si>
    <t xml:space="preserve">	TOINDO22032026TEMPM-PMQCSIB</t>
  </si>
  <si>
    <t>G0526610</t>
  </si>
  <si>
    <t>G0518816</t>
  </si>
  <si>
    <t>G0518846</t>
  </si>
  <si>
    <t>G0518869</t>
  </si>
  <si>
    <t>BOLETIM_23032026</t>
  </si>
  <si>
    <t>BOLETIM23032026MXF-CXSJ4Z9</t>
  </si>
  <si>
    <t>G0518893</t>
  </si>
  <si>
    <t>Bruto Mg - Receita Federal e declaração IR - 19032026</t>
  </si>
  <si>
    <t>BRUTOMGIRRECEITA190-JY6NVJT</t>
  </si>
  <si>
    <t>Bruto Mg - Igreja Lagoinha do Belvedere - 19032026</t>
  </si>
  <si>
    <t>BRUTOMGIGREJALAGOIN-C3XP5I6</t>
  </si>
  <si>
    <t>G0518817</t>
  </si>
  <si>
    <t>G0518847</t>
  </si>
  <si>
    <t>G0518870</t>
  </si>
  <si>
    <t>G0518894</t>
  </si>
  <si>
    <t>BDMG_25032026</t>
  </si>
  <si>
    <t xml:space="preserve">	BDMG25032026MXF-9V9TMWB</t>
  </si>
  <si>
    <t>G0518818</t>
  </si>
  <si>
    <t>G0518871</t>
  </si>
  <si>
    <t>11972466_duplicate</t>
  </si>
  <si>
    <t xml:space="preserve">	11972466DUPLICATEMX-OZDXX06</t>
  </si>
  <si>
    <t>G0518895</t>
  </si>
  <si>
    <t xml:space="preserve">	G0518819DUP17745462-QXHY7R3</t>
  </si>
  <si>
    <t>G0518819</t>
  </si>
  <si>
    <t>G0518849</t>
  </si>
  <si>
    <t>G0518872</t>
  </si>
  <si>
    <t>BOLETIM_26032026</t>
  </si>
  <si>
    <t>BOLETIM26032026MXF-YAC2K0M</t>
  </si>
  <si>
    <t>G0518896</t>
  </si>
  <si>
    <t>G0518820</t>
  </si>
  <si>
    <t xml:space="preserve">	G0518850TEMPMXF-06UIOMO</t>
  </si>
  <si>
    <t>G0518850</t>
  </si>
  <si>
    <t>G0518873</t>
  </si>
  <si>
    <t>11972468_Dup_1774711206948.mxf</t>
  </si>
  <si>
    <t>11972468DUP17747112-ABVA9UE</t>
  </si>
  <si>
    <t>G0518897</t>
  </si>
  <si>
    <t>G0518874</t>
  </si>
  <si>
    <t>G0518898</t>
  </si>
  <si>
    <t>TM_2803_LIMPO</t>
  </si>
  <si>
    <t>TM2803LIMPOMXF-8PRJKNQ</t>
  </si>
  <si>
    <t>G0530929</t>
  </si>
  <si>
    <t>TM_2803_SUJO</t>
  </si>
  <si>
    <t xml:space="preserve">	TM2803SUJOMXF-OZMXWSP</t>
  </si>
  <si>
    <t>G0530930</t>
  </si>
  <si>
    <t>ROLENASGERAIS28032026</t>
  </si>
  <si>
    <t>ROLENASGERAIS280320-YINX9DV</t>
  </si>
  <si>
    <t>G0530931</t>
  </si>
  <si>
    <t xml:space="preserve">	EOBICHO28032026MXF-2590UQQ</t>
  </si>
  <si>
    <t>G0530932</t>
  </si>
  <si>
    <t>TOINDO_29032026</t>
  </si>
  <si>
    <t xml:space="preserve">	TOINDO29032026MXF-7IYBR18</t>
  </si>
  <si>
    <t>G0531351</t>
  </si>
  <si>
    <t>G0525362_Dup_1774893042716</t>
  </si>
  <si>
    <t>G0525362DUP17748930-5NVXNI7</t>
  </si>
  <si>
    <t>G0525362</t>
  </si>
  <si>
    <t>G0525387CERTOMXF-COXL8G5</t>
  </si>
  <si>
    <t>G0525387</t>
  </si>
  <si>
    <t>G0525533</t>
  </si>
  <si>
    <t>G0526498</t>
  </si>
  <si>
    <t>Bruto Mg - Raios durante chuvas em Belo Horizonte - 25032026</t>
  </si>
  <si>
    <t>BRUTOMGRAIOSCHUVA23-CTAF9VV</t>
  </si>
  <si>
    <t>Bruto Mg - Museu da Imagem e do Som - 25032026</t>
  </si>
  <si>
    <t>BRUTOMGMUSEUIMAGEMS-4K03WWL</t>
  </si>
  <si>
    <t>Bruto Mg - Drone Cidade Sabara - 25032026</t>
  </si>
  <si>
    <t>BRUTOMGCIDADESABARA-TQUD8VB</t>
  </si>
  <si>
    <t>G0525363_Dup_1774973568481</t>
  </si>
  <si>
    <t>G0525363</t>
  </si>
  <si>
    <t>G0525388</t>
  </si>
  <si>
    <t>G0525534</t>
  </si>
  <si>
    <t>G0526499_Dup_1775061633362</t>
  </si>
  <si>
    <t>G0526499</t>
  </si>
  <si>
    <t>Bruto Mg - Transito de veículos em Belo Horizonte - 29032026</t>
  </si>
  <si>
    <t>BRUTOMGTRANSITOBH30-JL00VU0</t>
  </si>
  <si>
    <t>BDMG_01042026</t>
  </si>
  <si>
    <t>G0525364</t>
  </si>
  <si>
    <t>BDBR_01042026</t>
  </si>
  <si>
    <t>BDBR01042026MXF-SZXLQSV</t>
  </si>
  <si>
    <t>G0525389</t>
  </si>
  <si>
    <t>MG101042026</t>
  </si>
  <si>
    <t>G0525535</t>
  </si>
  <si>
    <t>BOLETIM_01042026</t>
  </si>
  <si>
    <t>BOLETIM01042026MXF-2LDE8PI</t>
  </si>
  <si>
    <t>G0526500</t>
  </si>
  <si>
    <t>G0525365</t>
  </si>
  <si>
    <t>G0525390_Dup_1775173078570</t>
  </si>
  <si>
    <t>G0525390</t>
  </si>
  <si>
    <t>G0525536</t>
  </si>
  <si>
    <t>G0526501</t>
  </si>
  <si>
    <t>GEMG0204</t>
  </si>
  <si>
    <t>GEMG0204MXF-5M9BDJ8</t>
  </si>
  <si>
    <t>G0525366</t>
  </si>
  <si>
    <t>G0525391</t>
  </si>
  <si>
    <t>G0525537</t>
  </si>
  <si>
    <t>G0526502</t>
  </si>
  <si>
    <t>G0525538</t>
  </si>
  <si>
    <t>G0526503</t>
  </si>
  <si>
    <t>TMI_LIMPO_0404</t>
  </si>
  <si>
    <t>G0532280</t>
  </si>
  <si>
    <t xml:space="preserve">	TERRADEMINASSUJO040-5CMGGVQ</t>
  </si>
  <si>
    <t>G0532281</t>
  </si>
  <si>
    <t>ROLENASGERAIS_04042026</t>
  </si>
  <si>
    <t>ROLENASGERAIS040420-DPRIECY</t>
  </si>
  <si>
    <t>G0534735</t>
  </si>
  <si>
    <t xml:space="preserve">	EOBICHO04042026MXF-3X43JLO</t>
  </si>
  <si>
    <t>G0532282</t>
  </si>
  <si>
    <t>Bruto MG - Procissão da Semana Santa em Sabará - 04042026</t>
  </si>
  <si>
    <t>BRUTOMGPROCISSAOSAB-0NDNMB0</t>
  </si>
  <si>
    <t>Bruto MG - Sexta-feira Santa em Ouro Preto - 04042026</t>
  </si>
  <si>
    <t>BRUTOMGSEXTAOUROPRE-6IJGTHK</t>
  </si>
  <si>
    <t>Bruto MG - Encenação de  Amaury Lorenzo na sexta-feira da Paixão em Congonhas - 04042026</t>
  </si>
  <si>
    <t>BRUTOMGSEXTACONGONH-CFPBCYL</t>
  </si>
  <si>
    <t>EEMG_05042026</t>
  </si>
  <si>
    <t>EEMG05042026MXF-GVFXCTX</t>
  </si>
  <si>
    <t>TOINDO05042026MXF-O7IS9RA</t>
  </si>
  <si>
    <t>G0532283</t>
  </si>
  <si>
    <t>G0525367</t>
  </si>
  <si>
    <t>G0525392</t>
  </si>
  <si>
    <t>G0525539</t>
  </si>
  <si>
    <t>G0526504</t>
  </si>
  <si>
    <t xml:space="preserve">		G0525368TEMPMXF-SX9KPX4</t>
  </si>
  <si>
    <t>G0525368</t>
  </si>
  <si>
    <t>G0525393</t>
  </si>
  <si>
    <t>G0525540</t>
  </si>
  <si>
    <t>G0526505_CERTO</t>
  </si>
  <si>
    <t>G0526505CERTO-7WQ3XH3</t>
  </si>
  <si>
    <t>G0526505</t>
  </si>
  <si>
    <t>G0525369_Dup_1775668766001</t>
  </si>
  <si>
    <t>G0525369DUP17756687-SD7H53C</t>
  </si>
  <si>
    <t>G0525369</t>
  </si>
  <si>
    <t>G0525394</t>
  </si>
  <si>
    <t>G0525541</t>
  </si>
  <si>
    <t>G0526506</t>
  </si>
  <si>
    <t>G0525370</t>
  </si>
  <si>
    <t>G0525395</t>
  </si>
  <si>
    <t>G0525542</t>
  </si>
  <si>
    <t>G0526507</t>
  </si>
  <si>
    <t>G0525371_Dup_1775837594518</t>
  </si>
  <si>
    <t>G0525371</t>
  </si>
  <si>
    <t>G0525396</t>
  </si>
  <si>
    <t>G0525543</t>
  </si>
  <si>
    <t>G0526508</t>
  </si>
  <si>
    <t>G0525544</t>
  </si>
  <si>
    <t>G0526509</t>
  </si>
  <si>
    <t>CASA NOSSA</t>
  </si>
  <si>
    <t>CASANOSSA11042026MX-MPWYQFZ</t>
  </si>
  <si>
    <t>G0535515</t>
  </si>
  <si>
    <t>TOINDO12042026_temp.mxf</t>
  </si>
  <si>
    <t>TOINDO12042026TEMPM-MC5ILLC</t>
  </si>
  <si>
    <t>G0535282</t>
  </si>
  <si>
    <t>G0525372</t>
  </si>
  <si>
    <t>G0525397</t>
  </si>
  <si>
    <t>G0525545</t>
  </si>
  <si>
    <t>G0526510</t>
  </si>
  <si>
    <t>G0525373</t>
  </si>
  <si>
    <t>G0525398</t>
  </si>
  <si>
    <t>G0525546</t>
  </si>
  <si>
    <t>G0526511</t>
  </si>
  <si>
    <t>G0525374</t>
  </si>
  <si>
    <t>G0525399</t>
  </si>
  <si>
    <t>G0525547</t>
  </si>
  <si>
    <t>G0526512</t>
  </si>
  <si>
    <t>Bruto Mg - Movimento Rodoviária de BH - 05042026</t>
  </si>
  <si>
    <t>BRUTOMGRODOVIARIA05-CUU1SM4</t>
  </si>
  <si>
    <t>G0525375</t>
  </si>
  <si>
    <t>G0525400</t>
  </si>
  <si>
    <t>G0525548</t>
  </si>
  <si>
    <t>G0526513</t>
  </si>
  <si>
    <t>G0525376</t>
  </si>
  <si>
    <t>G0525401</t>
  </si>
  <si>
    <t>G0525549</t>
  </si>
  <si>
    <t xml:space="preserve">	12006766CONV1MXF-CYTY0CQ</t>
  </si>
  <si>
    <t xml:space="preserve">	G0526514DUP17765351-VPYBZSR</t>
  </si>
  <si>
    <t>G0526514</t>
  </si>
  <si>
    <t>Bruto Mg - Gerais da Cidade de Esmeralda - 13042026</t>
  </si>
  <si>
    <t>BRUTOMGCIDADEESMERA-9WY61X8</t>
  </si>
  <si>
    <t>Bruto Mg - Gerais da Br-381 em MG - 16042026</t>
  </si>
  <si>
    <t>BRUTOMGGERAISDABR38-XZQQSPE</t>
  </si>
  <si>
    <t>G0525550</t>
  </si>
  <si>
    <t>G0526515</t>
  </si>
  <si>
    <t>TMI_LIMPO_18042026</t>
  </si>
  <si>
    <t>TMILIMPO18042026MXF-DPICOA7</t>
  </si>
  <si>
    <t>G0535838</t>
  </si>
  <si>
    <t>TMI_SUJO_18042026</t>
  </si>
  <si>
    <t>TMISUJO18042026MXF-ESN3MAZ</t>
  </si>
  <si>
    <t>G0535839</t>
  </si>
  <si>
    <t>ROLENASGERAIS_18042026</t>
  </si>
  <si>
    <t>ROLENASGERAIS180420-3G2DSQ1</t>
  </si>
  <si>
    <t>G0535840</t>
  </si>
  <si>
    <t xml:space="preserve">	CASANOSSA17042026MX-E6EFQW5</t>
  </si>
  <si>
    <t>G0535741</t>
  </si>
  <si>
    <t>TOINDO_19042026</t>
  </si>
  <si>
    <t>G0535742</t>
  </si>
  <si>
    <t>G0525377TEMPMXF-60IZWD6</t>
  </si>
  <si>
    <t>G0525377</t>
  </si>
  <si>
    <t>G0525402_agoravai</t>
  </si>
  <si>
    <t>G0525402AGORAVAIMXF-W1BQQ0Y</t>
  </si>
  <si>
    <t xml:space="preserve">G0525402 </t>
  </si>
  <si>
    <t xml:space="preserve">	G0525551DUP17767147-TW73M6U</t>
  </si>
  <si>
    <t>G0525551</t>
  </si>
  <si>
    <t>G0526516_Dup_1776730163331</t>
  </si>
  <si>
    <t>G0526516DUP17767301-RAJ95J2</t>
  </si>
  <si>
    <t>G0526516</t>
  </si>
  <si>
    <t>G0525378</t>
  </si>
  <si>
    <t>G0525403</t>
  </si>
  <si>
    <t>G0525552</t>
  </si>
  <si>
    <t>G0526517_Dup_1776817746259</t>
  </si>
  <si>
    <t>G0526517DUP17768177-SXPO9SS</t>
  </si>
  <si>
    <t>G0526517</t>
  </si>
  <si>
    <t>G0525379</t>
  </si>
  <si>
    <t>G0525404</t>
  </si>
  <si>
    <t>G0525553</t>
  </si>
  <si>
    <t>G0526518_duplicate</t>
  </si>
  <si>
    <t xml:space="preserve">	G0526518DUPLICATEMX-MHUM2WZ</t>
  </si>
  <si>
    <t>G0526518</t>
  </si>
  <si>
    <t>G0525380</t>
  </si>
  <si>
    <t>G0525405</t>
  </si>
  <si>
    <t>G0525554</t>
  </si>
  <si>
    <t>G0526519</t>
  </si>
  <si>
    <t xml:space="preserve">  </t>
  </si>
  <si>
    <t>G0525406</t>
  </si>
  <si>
    <t>G0525555</t>
  </si>
  <si>
    <t>G0526520</t>
  </si>
  <si>
    <t>G0525556</t>
  </si>
  <si>
    <t>G0526521</t>
  </si>
  <si>
    <t>TMI_LIMPO_2504</t>
  </si>
  <si>
    <t>TMILIMPO2504MXF-ANDQXAT</t>
  </si>
  <si>
    <t>G0537955</t>
  </si>
  <si>
    <t>TMI_SUJO_2504</t>
  </si>
  <si>
    <t>TMISUJO2504MXF-U0R3T24</t>
  </si>
  <si>
    <t>G0537956</t>
  </si>
  <si>
    <t>ROLENASGERAIS_2504</t>
  </si>
  <si>
    <t>ROLENASGERAIS2504MX-TEBRI0A</t>
  </si>
  <si>
    <t>G0537957</t>
  </si>
  <si>
    <t>CASANOSSA25042026</t>
  </si>
  <si>
    <t>CASANOSSA25042026MX-D60XZ9M</t>
  </si>
  <si>
    <t>G0539549</t>
  </si>
  <si>
    <t xml:space="preserve">	TOINDO26042026MXF-HFBIQJS</t>
  </si>
  <si>
    <t>G0539447</t>
  </si>
  <si>
    <t>G0525382</t>
  </si>
  <si>
    <t>G0525557</t>
  </si>
  <si>
    <t>G0526522</t>
  </si>
  <si>
    <t>G0525383</t>
  </si>
  <si>
    <t>G0525408</t>
  </si>
  <si>
    <t>G0525558</t>
  </si>
  <si>
    <t>G0526523</t>
  </si>
  <si>
    <t>G0525384</t>
  </si>
  <si>
    <t>G0525409</t>
  </si>
  <si>
    <t>G0525559</t>
  </si>
  <si>
    <t>G0526524</t>
  </si>
  <si>
    <t>G0525385_Dup_1777566487218</t>
  </si>
  <si>
    <t>G0525385</t>
  </si>
  <si>
    <t>G0525410</t>
  </si>
  <si>
    <t>G0525560</t>
  </si>
  <si>
    <t>G0526525_Dup_1777594072862</t>
  </si>
  <si>
    <t>G0526525DUP17775940-QF95K36</t>
  </si>
  <si>
    <t>G0526525</t>
  </si>
  <si>
    <t>G0525386</t>
  </si>
  <si>
    <t>G0525411</t>
  </si>
  <si>
    <t>G0525561</t>
  </si>
  <si>
    <t>G0526526</t>
  </si>
  <si>
    <t>G0525562</t>
  </si>
  <si>
    <t>G0526527</t>
  </si>
  <si>
    <t xml:space="preserve">	TERRADEMINASLIMPO02-I1PMRBA</t>
  </si>
  <si>
    <t>G0539221</t>
  </si>
  <si>
    <t>TERRADEMINASSUJO020-WH4GW89</t>
  </si>
  <si>
    <t>G0539222</t>
  </si>
  <si>
    <t>ROLE_02052026</t>
  </si>
  <si>
    <t xml:space="preserve">	ROLE02052026MXF-90ZS38M</t>
  </si>
  <si>
    <t>G0539220</t>
  </si>
  <si>
    <t>CASANOSSA02052026</t>
  </si>
  <si>
    <t>CASANOSSA02052026MX-QT2YH5B</t>
  </si>
  <si>
    <t>G0539219</t>
  </si>
  <si>
    <t>TOINDO03052026MXF-7VDMW6X</t>
  </si>
  <si>
    <t>G0539448</t>
  </si>
  <si>
    <t>G0531025_Dup_1777915584089</t>
  </si>
  <si>
    <t>G0531025DUP17779155-GOIAOQ9</t>
  </si>
  <si>
    <t>G0531025</t>
  </si>
  <si>
    <t>G0531045</t>
  </si>
  <si>
    <t>G0531065</t>
  </si>
  <si>
    <t>04/05/20026 18:16</t>
  </si>
  <si>
    <t xml:space="preserve">	BOLETIMMG2EXTRAMXF-932CTVE</t>
  </si>
  <si>
    <t>G0531089</t>
  </si>
  <si>
    <t>G0531026</t>
  </si>
  <si>
    <t>G0531046</t>
  </si>
  <si>
    <t>G0531066</t>
  </si>
  <si>
    <t>G0531090</t>
  </si>
  <si>
    <t>Bruto Bh - bastidores do Acervo  de BH - 10042026</t>
  </si>
  <si>
    <t xml:space="preserve">	ACERVOBHACERVO2026M-2Z09WX0</t>
  </si>
  <si>
    <t>G0531027</t>
  </si>
  <si>
    <t xml:space="preserve">	G0531047VALENDOMXF-0IETY8J</t>
  </si>
  <si>
    <t>G0531047</t>
  </si>
  <si>
    <t>G0531067</t>
  </si>
  <si>
    <t>12021336_valendo</t>
  </si>
  <si>
    <t>12021336VALENDOMXF-GVCBXUK</t>
  </si>
  <si>
    <t>G0531091</t>
  </si>
  <si>
    <t>Bruto Mg - Pedestres e uso de celular no centro de BH</t>
  </si>
  <si>
    <t>ACERVOMGPEDESTRESBH-8G9QJLB</t>
  </si>
  <si>
    <t>G0531028</t>
  </si>
  <si>
    <t xml:space="preserve">	G0531048VALENDOMXF-0FV8KHM</t>
  </si>
  <si>
    <t>G0531048</t>
  </si>
  <si>
    <t>G0531068</t>
  </si>
  <si>
    <t xml:space="preserve">Jornalismo </t>
  </si>
  <si>
    <t>G0531092</t>
  </si>
  <si>
    <t>Bruto Mg - Drone da Cidade de Ouro Preto - 15042026</t>
  </si>
  <si>
    <t xml:space="preserve">	BRUTOMGDRONEOUROPRE-ODTT9DH</t>
  </si>
  <si>
    <t>Bruto Mg - Botijão de Gás em Depósito - 16042026</t>
  </si>
  <si>
    <t xml:space="preserve">	BRUTOMGBOTIJAOGASMX-JLSP9Q9</t>
  </si>
  <si>
    <t>Bruto Mg - Biometria Eleitora -  27042026</t>
  </si>
  <si>
    <t>BRUTOMGBIOMETRIAELE-DD61ZXN</t>
  </si>
  <si>
    <t>Bruto Mg - Bebedouro em Praças de BH - 27042026</t>
  </si>
  <si>
    <t>BRUTOMGBEBEDOUROBH2-SO8A8KD</t>
  </si>
  <si>
    <t>G0531029_Dup_1778254915409</t>
  </si>
  <si>
    <t xml:space="preserve">	G0531029DUP17782549-5D6UJH1</t>
  </si>
  <si>
    <t>G0531029</t>
  </si>
  <si>
    <t>G0531049_Dup_1778329560986</t>
  </si>
  <si>
    <t xml:space="preserve">	G0531049DUP17783295-MIFSSZN</t>
  </si>
  <si>
    <t>G0531049</t>
  </si>
  <si>
    <t>G0531069_Dup_1778263920288</t>
  </si>
  <si>
    <t>G0531069DUP17782639-0YIQ8DI</t>
  </si>
  <si>
    <t>G0531069</t>
  </si>
  <si>
    <t>G0531093</t>
  </si>
  <si>
    <t>G0531070</t>
  </si>
  <si>
    <t>G0531094</t>
  </si>
  <si>
    <t>TM_0905</t>
  </si>
  <si>
    <t xml:space="preserve">	TM0905MXF-Q4X4E7M</t>
  </si>
  <si>
    <t>G0540203</t>
  </si>
  <si>
    <t>TM_0905_SUJO</t>
  </si>
  <si>
    <t xml:space="preserve">	TM0905SUJOMXF-LPALCIZ</t>
  </si>
  <si>
    <t>G0540204</t>
  </si>
  <si>
    <t>Casa_Nossa_0905</t>
  </si>
  <si>
    <t xml:space="preserve">	CASANOSSA0905MXF-OQIV9A8</t>
  </si>
  <si>
    <t>G0540206</t>
  </si>
  <si>
    <t>ROLENASGERAIS_09052026</t>
  </si>
  <si>
    <t>ROLENASGERAIS090520-IEORZX4</t>
  </si>
  <si>
    <t>G0540205</t>
  </si>
  <si>
    <t>To_Indo_1005</t>
  </si>
  <si>
    <t xml:space="preserve">	TOINDO1005MXF-17DDOEB</t>
  </si>
  <si>
    <t>G0540207</t>
  </si>
  <si>
    <t>G0531030</t>
  </si>
  <si>
    <t>G0531050</t>
  </si>
  <si>
    <t>G0531071</t>
  </si>
  <si>
    <t>G0531095</t>
  </si>
  <si>
    <t>Bruto Mg - Apresentação do Grupo Corpo - 04052026</t>
  </si>
  <si>
    <t>BRUTOMGGRUPOCORPOMX-6TYTKUZ</t>
  </si>
  <si>
    <t>Bruto Mg - Moto Faixa em fase de teste em BH - 05052026</t>
  </si>
  <si>
    <t>BRUTOMGMOTOFAIXAMXF-RW97UW0</t>
  </si>
  <si>
    <t>Bruto Mg - Vacinação contra a Gripe - 02052026</t>
  </si>
  <si>
    <t xml:space="preserve">	BRUTOMGVACINAGRIPER-924DMVZ</t>
  </si>
  <si>
    <t>Bruto Mg - Drone da Favela Moro do Papagaio - 05052026</t>
  </si>
  <si>
    <t xml:space="preserve">	BRUTOMGDRONEDAFAVEL-UXIDMDA</t>
  </si>
  <si>
    <t>G0531031</t>
  </si>
  <si>
    <t>G0531051</t>
  </si>
  <si>
    <t>G0531072</t>
  </si>
  <si>
    <t>G0531096</t>
  </si>
  <si>
    <t>PAM-NH</t>
  </si>
  <si>
    <t>G0531032_Dup_1778690001108</t>
  </si>
  <si>
    <t>G0531032</t>
  </si>
  <si>
    <t>G0531052</t>
  </si>
  <si>
    <t>G0531073</t>
  </si>
  <si>
    <t>G0531097</t>
  </si>
  <si>
    <t>G0531033</t>
  </si>
  <si>
    <t>G0531053</t>
  </si>
  <si>
    <t>G0531074</t>
  </si>
  <si>
    <t>G0531098</t>
  </si>
  <si>
    <t>G0531034_Dup_1778867324471</t>
  </si>
  <si>
    <t>G0531034</t>
  </si>
  <si>
    <t>G0531054</t>
  </si>
  <si>
    <t>G0531075</t>
  </si>
  <si>
    <t>G0531099</t>
  </si>
  <si>
    <t>Jornalissmo</t>
  </si>
  <si>
    <t>G0531076</t>
  </si>
  <si>
    <t>G0531100</t>
  </si>
  <si>
    <t xml:space="preserve">	TERRADEMINASLIMPO16-NOKJXHT</t>
  </si>
  <si>
    <t>G0540897</t>
  </si>
  <si>
    <t xml:space="preserve">	TERRADEMINASSUJO160-ZV9IY47</t>
  </si>
  <si>
    <t>G0540898</t>
  </si>
  <si>
    <t>ROLE_16052025</t>
  </si>
  <si>
    <t>ROLE16052025MXF-SWQVT7R</t>
  </si>
  <si>
    <t>G0540899</t>
  </si>
  <si>
    <t>LINHAS DA FÉ</t>
  </si>
  <si>
    <t xml:space="preserve">	LINHASDAFE16052026M-GQU52QK</t>
  </si>
  <si>
    <t>G0540944</t>
  </si>
  <si>
    <t>BLOCO LOCAL DO EE ACABOU A PARTIR DESTA DATA</t>
  </si>
  <si>
    <t>TOINDO17052026MXF-J2P7V1M</t>
  </si>
  <si>
    <t>G0540902</t>
  </si>
  <si>
    <t>G0531035</t>
  </si>
  <si>
    <t>G0531055</t>
  </si>
  <si>
    <t>G0531077_Dup_1779137190992</t>
  </si>
  <si>
    <t>G0531077DUP17791371-R6OMSLS</t>
  </si>
  <si>
    <t>G0531077</t>
  </si>
  <si>
    <t>G0531101</t>
  </si>
  <si>
    <t>Bruto Mg - Drone Ouro Preto I - 15042026</t>
  </si>
  <si>
    <t xml:space="preserve">	BRUTOMGDRONEOUROPRE-QELQBQF</t>
  </si>
  <si>
    <t>Bruto Mg -Sonda Meteorologica confundida por disco voador - 20041982</t>
  </si>
  <si>
    <t xml:space="preserve">	SONDAMETEOROLOGICAM-YR340FY</t>
  </si>
  <si>
    <t>G0531036</t>
  </si>
  <si>
    <t>G0531056</t>
  </si>
  <si>
    <t>G0531078</t>
  </si>
  <si>
    <t>G0531102</t>
  </si>
  <si>
    <t>G0531037</t>
  </si>
  <si>
    <t>G0531057</t>
  </si>
  <si>
    <t>G0531079</t>
  </si>
  <si>
    <t>G0531103</t>
  </si>
  <si>
    <t>Bruto Mg - Fachada da Sede da Polícia Federal em BH-19052026</t>
  </si>
  <si>
    <t xml:space="preserve">	BRUTOMGSEDEPFVMXF-SWS8T9M</t>
  </si>
  <si>
    <t>Bruto Mg - Riobeirão Arrudas - 14052026</t>
  </si>
  <si>
    <t xml:space="preserve">	BRUTOMGRIOBEIRAOARR-UC21YM0</t>
  </si>
  <si>
    <t>Bruto Mg-Polo de Beneficiamento de Terra Rara em Lagoa Santa</t>
  </si>
  <si>
    <t xml:space="preserve">	BRUTOMGTERRASRARASM-6X9HTSG</t>
  </si>
  <si>
    <t>G0531038</t>
  </si>
  <si>
    <t>G0531058</t>
  </si>
  <si>
    <t>G0531080</t>
  </si>
  <si>
    <t xml:space="preserve">	G0531104DUP17794073-M6SCUVW</t>
  </si>
  <si>
    <t>G0531104</t>
  </si>
  <si>
    <t>G0531039</t>
  </si>
  <si>
    <t>G0531059</t>
  </si>
  <si>
    <t>G0531081</t>
  </si>
  <si>
    <t>G0531105</t>
  </si>
  <si>
    <t>G0531082</t>
  </si>
  <si>
    <t>G0531106</t>
  </si>
  <si>
    <t>O VOO DE SANTOS DUMONT</t>
  </si>
  <si>
    <t>VOO DE SANTOS DUMONT - 23052026</t>
  </si>
  <si>
    <t xml:space="preserve">	VOODESANTOSDUMONT23-IQ4AL1Q</t>
  </si>
  <si>
    <t>G0541933</t>
  </si>
  <si>
    <t>TOINDO2405MXF-49V15UY</t>
  </si>
  <si>
    <t>G0542337</t>
  </si>
  <si>
    <t>G0531040</t>
  </si>
  <si>
    <t>G0531060</t>
  </si>
  <si>
    <t>G0531083</t>
  </si>
  <si>
    <t>G0531107</t>
  </si>
  <si>
    <t xml:space="preserve">		G0531041DUP17798176-O6ZQYZE</t>
  </si>
  <si>
    <t>G0531041</t>
  </si>
  <si>
    <t>G0531061</t>
  </si>
  <si>
    <t>G0531084</t>
  </si>
  <si>
    <t xml:space="preserve">	G0531108DUP17798408-91C8HNX</t>
  </si>
  <si>
    <t>G0531108</t>
  </si>
  <si>
    <t>G0531042</t>
  </si>
  <si>
    <t>G0531062</t>
  </si>
  <si>
    <t>G0531085</t>
  </si>
  <si>
    <t>G0531109</t>
  </si>
  <si>
    <t>G0531043</t>
  </si>
  <si>
    <t>G0531063</t>
  </si>
  <si>
    <t>G0531086</t>
  </si>
  <si>
    <t>G0531110</t>
  </si>
  <si>
    <t>G0531044</t>
  </si>
  <si>
    <t>G0531064</t>
  </si>
  <si>
    <t xml:space="preserve">	G0531087DUP17801491-A5BLUX3</t>
  </si>
  <si>
    <t>G0531087</t>
  </si>
  <si>
    <t>G0531111</t>
  </si>
  <si>
    <t>G0531088</t>
  </si>
  <si>
    <t>G0531112</t>
  </si>
  <si>
    <t>ROLE30062026CELAM</t>
  </si>
  <si>
    <t xml:space="preserve">	ROLE30062026CELAMMX-AR9C0V6</t>
  </si>
  <si>
    <t>G0542898</t>
  </si>
  <si>
    <t>TO_INDO_3105</t>
  </si>
  <si>
    <t>G0542899</t>
  </si>
  <si>
    <t>G0539626</t>
  </si>
  <si>
    <t>G0539646</t>
  </si>
  <si>
    <t>G0540208</t>
  </si>
  <si>
    <t>G0542093</t>
  </si>
  <si>
    <t>G0539627</t>
  </si>
  <si>
    <t>G0539647</t>
  </si>
  <si>
    <t>G0540209</t>
  </si>
  <si>
    <t>G0542094</t>
  </si>
  <si>
    <t>G0539628</t>
  </si>
  <si>
    <t>G0539648</t>
  </si>
  <si>
    <t>G0540210</t>
  </si>
  <si>
    <t>G0542095</t>
  </si>
  <si>
    <t>Bruto Mg - Vagas de carro rervado para pessoas PCD -28052026</t>
  </si>
  <si>
    <t>BRUTOMGESTACIONAMEN-BD0R0RI</t>
  </si>
  <si>
    <t>Bruto Mg - Alusivo a Abuso Infantil - 28052026</t>
  </si>
  <si>
    <t xml:space="preserve">	BRUTOMGABUSOINFANTI-2YM577X</t>
  </si>
  <si>
    <t>G0539629</t>
  </si>
  <si>
    <t>G0539649</t>
  </si>
  <si>
    <t>G0540211</t>
  </si>
  <si>
    <t>G0542096</t>
  </si>
  <si>
    <t>G0539630</t>
  </si>
  <si>
    <t>G0539650</t>
  </si>
  <si>
    <t>G0540212</t>
  </si>
  <si>
    <t>G0542097</t>
  </si>
  <si>
    <t>G0540213</t>
  </si>
  <si>
    <t>G0542098_duplicate</t>
  </si>
  <si>
    <t xml:space="preserve">	G0542098DUPLICATEMX-QWY1HWM</t>
  </si>
  <si>
    <t>G0542098</t>
  </si>
  <si>
    <t xml:space="preserve">	TMLIMPO0606MXF-4UJSUKC</t>
  </si>
  <si>
    <t>G0544052</t>
  </si>
  <si>
    <t xml:space="preserve">	TMSUJO0606MXF-6279LRK</t>
  </si>
  <si>
    <t>G0544053</t>
  </si>
  <si>
    <t>ROLE_06062026</t>
  </si>
  <si>
    <t>ROLE06062026MXF-58VBQNV</t>
  </si>
  <si>
    <t>G0543732</t>
  </si>
  <si>
    <t>GEOGRAFIA DO AFETO</t>
  </si>
  <si>
    <t>GEOGRAFIA_AFETO_0606</t>
  </si>
  <si>
    <t xml:space="preserve">	GEOGRAFIA_AFETO_0606</t>
  </si>
  <si>
    <t>G0543437</t>
  </si>
  <si>
    <t>TOINDO_0706</t>
  </si>
  <si>
    <t xml:space="preserve">	TOINDO_0706_TEMP</t>
  </si>
  <si>
    <t>G0543435</t>
  </si>
  <si>
    <t>G0539631</t>
  </si>
  <si>
    <t>G0539651</t>
  </si>
  <si>
    <t>G0540214</t>
  </si>
  <si>
    <t>G0542099</t>
  </si>
  <si>
    <t>G0539632</t>
  </si>
  <si>
    <t>G0539652</t>
  </si>
  <si>
    <t>G0540215</t>
  </si>
  <si>
    <t>G0542100</t>
  </si>
  <si>
    <t>Bruto Mg Rio das Velhas - 28052026</t>
  </si>
  <si>
    <t>BRUTOMGRIODASVELHAS-XQSSNT5</t>
  </si>
  <si>
    <t>Bruto Mg - Vista por Drone de Belo Horizonte - 27052026</t>
  </si>
  <si>
    <t>BRUTOMGVISTAPORDRON-YJXKXQ2</t>
  </si>
  <si>
    <t>Bruto Mg - Aeroporto internacional de Confins - 25052026</t>
  </si>
  <si>
    <t>BRUTOMGAEROPORTOINT-7G26H8A</t>
  </si>
  <si>
    <t>G0539633</t>
  </si>
  <si>
    <t>G0539653</t>
  </si>
  <si>
    <t>G0540216</t>
  </si>
  <si>
    <t>G0542101</t>
  </si>
  <si>
    <t>G0539634</t>
  </si>
  <si>
    <t>G0539654</t>
  </si>
  <si>
    <t>G0540217</t>
  </si>
  <si>
    <t>G0542102</t>
  </si>
  <si>
    <t>G0539635</t>
  </si>
  <si>
    <t>G0539655</t>
  </si>
  <si>
    <t>G0540218</t>
  </si>
  <si>
    <t>G0542103</t>
  </si>
  <si>
    <t>G0540219</t>
  </si>
  <si>
    <t>G0544054</t>
  </si>
  <si>
    <t xml:space="preserve">	G0544055TEMPMXF-GTVXMG9</t>
  </si>
  <si>
    <t>G0544055</t>
  </si>
  <si>
    <t xml:space="preserve">	ROLE1306MXF-HO2AR5C</t>
  </si>
  <si>
    <t>G0544056</t>
  </si>
  <si>
    <t>G0539636</t>
  </si>
  <si>
    <t>G0539656</t>
  </si>
  <si>
    <t>G0540220</t>
  </si>
  <si>
    <t>G0543458</t>
  </si>
  <si>
    <t>Bruto Mg - Enfeite para copa do mundo na tv globo - 12062025</t>
  </si>
  <si>
    <t>BRUTOMGENFEITEPARAC-NGFTYJH</t>
  </si>
  <si>
    <t>Bruto Mg - Enfeite da copa em rua do bairro Sumare -11062026</t>
  </si>
  <si>
    <t>BRUTOMGENFEITEDACOP-KW93D40</t>
  </si>
  <si>
    <t>Bruto Mg -  Pintura Bandeira  rua Dinamarca Sabará -10062026</t>
  </si>
  <si>
    <t>BRUTOMGBANDEIRASABA-NS9SAXA</t>
  </si>
  <si>
    <t>Bruto Mg - Drone da cidade de Sabará  - 11062026</t>
  </si>
  <si>
    <t>BRUTOMGDRONEDACIDAD-HD9T5VV</t>
  </si>
  <si>
    <t>G0539637</t>
  </si>
  <si>
    <t>G0539657</t>
  </si>
  <si>
    <t>G0540221</t>
  </si>
  <si>
    <t>G0543459</t>
  </si>
  <si>
    <t>G0539638</t>
  </si>
  <si>
    <t xml:space="preserve">	G0539658TEMPMXF-C3XC2LQ</t>
  </si>
  <si>
    <t>G0539658</t>
  </si>
  <si>
    <t>G0540222</t>
  </si>
  <si>
    <t>G0543460</t>
  </si>
  <si>
    <t>G0539639</t>
  </si>
  <si>
    <t>G0539659</t>
  </si>
  <si>
    <t>G0540223</t>
  </si>
  <si>
    <t>G0543461</t>
  </si>
  <si>
    <t>G0539640</t>
  </si>
  <si>
    <t>G0539660</t>
  </si>
  <si>
    <t>G0540224</t>
  </si>
  <si>
    <t>G0543462</t>
  </si>
  <si>
    <t>G0540225</t>
  </si>
  <si>
    <t>G0543463</t>
  </si>
  <si>
    <t>G0539641</t>
  </si>
  <si>
    <t>G0539661</t>
  </si>
  <si>
    <t>G0540226</t>
  </si>
  <si>
    <t>G0544666</t>
  </si>
  <si>
    <t xml:space="preserve">		G0539642DUP17822346-MZTIC7J</t>
  </si>
  <si>
    <t>G0539642</t>
  </si>
  <si>
    <t>G0539662</t>
  </si>
  <si>
    <t>G0540227</t>
  </si>
  <si>
    <t>G0544667</t>
  </si>
  <si>
    <t>G0539643</t>
  </si>
  <si>
    <t>G0539663</t>
  </si>
  <si>
    <t>G0540228</t>
  </si>
  <si>
    <t>G0539644</t>
  </si>
  <si>
    <t>G0539664</t>
  </si>
  <si>
    <t>G0540229</t>
  </si>
  <si>
    <t xml:space="preserve">	G0539645DUP17824875-TNPV15A</t>
  </si>
  <si>
    <t>G0539645</t>
  </si>
  <si>
    <t>G0539665</t>
  </si>
  <si>
    <t>G0540230</t>
  </si>
  <si>
    <t>G0544669</t>
  </si>
  <si>
    <t>G0540231</t>
  </si>
  <si>
    <t xml:space="preserve">	TERRADEMINASLIMPO27062026</t>
  </si>
  <si>
    <t>G0546997</t>
  </si>
  <si>
    <t xml:space="preserve">	TMSUJO27062026MXF-41V9LDY</t>
  </si>
  <si>
    <t>G0546998</t>
  </si>
  <si>
    <t>Role_27062026</t>
  </si>
  <si>
    <t>ROLE27062026MXF-OPT458E</t>
  </si>
  <si>
    <t>G0546999</t>
  </si>
  <si>
    <t>BIT E BROA</t>
  </si>
  <si>
    <t>BITBROA2706</t>
  </si>
  <si>
    <t>BITBROA2706MXF-FB4GLOU</t>
  </si>
  <si>
    <t>G0547063</t>
  </si>
  <si>
    <t>G0544671</t>
  </si>
  <si>
    <t>G0544090</t>
  </si>
  <si>
    <t>G0544115</t>
  </si>
  <si>
    <t>Bruto Mg - Drone Gerais Belo Horizonte - 25062026</t>
  </si>
  <si>
    <t>BRUTOMGDRONEGERAISB-95D075D</t>
  </si>
  <si>
    <t>Bruto Mg - Festival Festa Da Luz BH 2026 - 26062026</t>
  </si>
  <si>
    <t>BRUTOMGFESTIVALFEST-USBDHFD</t>
  </si>
  <si>
    <t>G0544672</t>
  </si>
  <si>
    <t>G0544091</t>
  </si>
  <si>
    <t>G0544116</t>
  </si>
  <si>
    <t>G0546816</t>
  </si>
  <si>
    <t>G0544673</t>
  </si>
  <si>
    <t>G0544092</t>
  </si>
  <si>
    <t>G0544117</t>
  </si>
  <si>
    <t>Bruto Mg - Comida Típica Junina - 30062026</t>
  </si>
  <si>
    <t xml:space="preserve">	BRUTOMGCOMIDATIPICA-QE10SKD</t>
  </si>
  <si>
    <t>Bruto Mg - Codisbugo e Guimaraes Rosa - 26062026</t>
  </si>
  <si>
    <t>BRUTOMGCODISBUGOEGU-FHXJBZW</t>
  </si>
  <si>
    <t>03/0/2026</t>
  </si>
  <si>
    <t>G0544674</t>
  </si>
  <si>
    <t>G0544093</t>
  </si>
  <si>
    <t>G0544118</t>
  </si>
  <si>
    <t>G0546818</t>
  </si>
  <si>
    <t>G0544675</t>
  </si>
  <si>
    <t>G0544094</t>
  </si>
  <si>
    <t>G0544119</t>
  </si>
  <si>
    <t>Bruto Mg - Fantástico - Disco Voador na cidade de Baependi</t>
  </si>
  <si>
    <t>BRUTOFANTDISCOVOADO-7S3OCQT</t>
  </si>
  <si>
    <t>G0544120</t>
  </si>
  <si>
    <t>MG2_0407</t>
  </si>
  <si>
    <t xml:space="preserve">	MG20407-I2U11G5</t>
  </si>
  <si>
    <t>G0546820</t>
  </si>
  <si>
    <t>G0544676</t>
  </si>
  <si>
    <t>G0544095</t>
  </si>
  <si>
    <t>G0544121</t>
  </si>
  <si>
    <t>MG2_06072026</t>
  </si>
  <si>
    <t>G0548000</t>
  </si>
  <si>
    <t>G0544677</t>
  </si>
  <si>
    <t>G0544096</t>
  </si>
  <si>
    <t>G0544122</t>
  </si>
  <si>
    <t>G0544678</t>
  </si>
  <si>
    <t>G0544097</t>
  </si>
  <si>
    <t>G0544123</t>
  </si>
  <si>
    <t>MG2_0807</t>
  </si>
  <si>
    <t>MG20807MXF-T4JAO8E</t>
  </si>
  <si>
    <t>G0548772</t>
  </si>
  <si>
    <t>G0544679</t>
  </si>
  <si>
    <t>G0544098</t>
  </si>
  <si>
    <t>G0544124</t>
  </si>
  <si>
    <t>MG2_0907</t>
  </si>
  <si>
    <t>MG20907MXF-UNAX63C</t>
  </si>
  <si>
    <t>G0548949</t>
  </si>
  <si>
    <t>G0544680</t>
  </si>
  <si>
    <t>BOM DIA BRASIL - MG</t>
  </si>
  <si>
    <t>G0544099</t>
  </si>
  <si>
    <t>G0544125</t>
  </si>
  <si>
    <t>MG2_10072026</t>
  </si>
  <si>
    <t xml:space="preserve">	MG210072026MXF-F3IDJGV</t>
  </si>
  <si>
    <t>G0549168</t>
  </si>
  <si>
    <t>G0544126</t>
  </si>
  <si>
    <t>G0549169</t>
  </si>
  <si>
    <t xml:space="preserve">	TERRADEMINASLIMPO11-0M4L90P</t>
  </si>
  <si>
    <t>G0549255</t>
  </si>
  <si>
    <t>TERRADEMINASSUJO110-OPTW879</t>
  </si>
  <si>
    <t>G0549256</t>
  </si>
  <si>
    <t>ROLE_1107</t>
  </si>
  <si>
    <t>ROLE1107MXF-5TSJ2KK</t>
  </si>
  <si>
    <t>G0549257</t>
  </si>
  <si>
    <t xml:space="preserve">	BITEBROA11072026MXF-7CODUQ4</t>
  </si>
  <si>
    <t>G0549258</t>
  </si>
  <si>
    <t>G0544681</t>
  </si>
  <si>
    <t>G0544100</t>
  </si>
  <si>
    <t>G0544127</t>
  </si>
  <si>
    <t>G0549194</t>
  </si>
  <si>
    <t xml:space="preserve">	G0544682DUP17840488-KJU0166</t>
  </si>
  <si>
    <t>G0544682</t>
  </si>
  <si>
    <t>G0544101</t>
  </si>
  <si>
    <t>G0544128</t>
  </si>
  <si>
    <t>G0549195_Dup_1784077283481</t>
  </si>
  <si>
    <t>G0549195DUP17840772-GO96782</t>
  </si>
  <si>
    <t>G0549195</t>
  </si>
  <si>
    <t>G0544683</t>
  </si>
  <si>
    <t>G0544102</t>
  </si>
  <si>
    <t>G0544129</t>
  </si>
  <si>
    <t>G0549196</t>
  </si>
  <si>
    <t>Bruto Mg - Drone Edifício Acaiaca - 08072026</t>
  </si>
  <si>
    <t>BRUTOMGDRONEEDIFICI-HPWT5WM</t>
  </si>
  <si>
    <t>Bruto Mg  - Bruto Bit Broa Receita de Broa - 25062026</t>
  </si>
  <si>
    <t>BRUTOMGBITBROARECEI-ZH5FPTN</t>
  </si>
  <si>
    <t>Bruto Mg - Florada de Ipê Rosa - 10072026</t>
  </si>
  <si>
    <t xml:space="preserve">	BRUTOMGIPE10072026M-J2TBFP9</t>
  </si>
  <si>
    <t>Bruto MG - Gerais do Café Nice em Belo Horizonte - 08072026</t>
  </si>
  <si>
    <t>BRUTOMGDRONECAFENIC-CCCGOVJ</t>
  </si>
  <si>
    <t>Bruto Mg - Drone da Cidade de Sao Gotardo Mg - 26062026</t>
  </si>
  <si>
    <t xml:space="preserve">	BRUTOMGDRONESAOGOTA-MBSYK9R</t>
  </si>
  <si>
    <t>Bruto Mg - Drone da cidade de Cataguase Mg - 27062026</t>
  </si>
  <si>
    <t>BRUTOMGDRONECATAGUA-T2ZVFSR</t>
  </si>
  <si>
    <t>G0544684</t>
  </si>
  <si>
    <t>G0544103</t>
  </si>
  <si>
    <t>G0544130</t>
  </si>
  <si>
    <t>G0549197</t>
  </si>
  <si>
    <t>G0544685</t>
  </si>
  <si>
    <t>G0544104</t>
  </si>
  <si>
    <t>G0544131</t>
  </si>
  <si>
    <t>G0549198</t>
  </si>
  <si>
    <t>G0544132</t>
  </si>
  <si>
    <t>G0549199</t>
  </si>
  <si>
    <t>TM_LIMPO_1807</t>
  </si>
  <si>
    <t>TMLIMPO1807MXF-2Y4PUBK</t>
  </si>
  <si>
    <t>G0549938</t>
  </si>
  <si>
    <t xml:space="preserve">TM_SUJO_1807 </t>
  </si>
  <si>
    <t>TMSUJO1807MXF-6NDLAIU</t>
  </si>
  <si>
    <t>G0549939</t>
  </si>
  <si>
    <t>ROLE_1807</t>
  </si>
  <si>
    <t>ROLE1807MXF-HFN384L</t>
  </si>
  <si>
    <t>G0549940</t>
  </si>
  <si>
    <t>BIT_BROA_1807 / BIT_BROA_1807_valendo  enviado o as 11:30</t>
  </si>
  <si>
    <t xml:space="preserve">	BITBROA1807VALENDOM-LY35MDC</t>
  </si>
  <si>
    <t>G0549941</t>
  </si>
  <si>
    <t>G0544686</t>
  </si>
  <si>
    <t>G0544105DUP17845535-KQDFM01</t>
  </si>
  <si>
    <t>G0544105</t>
  </si>
  <si>
    <t>G0544133</t>
  </si>
  <si>
    <t>MG2BOLETIM20072026</t>
  </si>
  <si>
    <t>MG2BOLETIM20072026M-25DHRTO</t>
  </si>
  <si>
    <t>G0549271</t>
  </si>
  <si>
    <t>G0544687</t>
  </si>
  <si>
    <t>G0544106</t>
  </si>
  <si>
    <t>G0544134</t>
  </si>
  <si>
    <t>G0549272</t>
  </si>
  <si>
    <t>G0544688</t>
  </si>
  <si>
    <t>G0544107</t>
  </si>
  <si>
    <t>G0544135</t>
  </si>
  <si>
    <t>G0549273</t>
  </si>
  <si>
    <t>G0544689</t>
  </si>
  <si>
    <t>completa</t>
  </si>
  <si>
    <t>G0544108</t>
  </si>
  <si>
    <t>G0544136</t>
  </si>
  <si>
    <t>G0549274</t>
  </si>
  <si>
    <t>Bruto Mg - Gerais do Zoológico de Belo Horizonte - 23072026</t>
  </si>
  <si>
    <t>BRUTOMGZOOLOGICOBHM-BU6FMEX</t>
  </si>
  <si>
    <t>Bruto Mg  - Parada LGBT Em Belo Horizonte  -  18072026</t>
  </si>
  <si>
    <t>BRUTOMGPARADALGBTMX-0AGD91B</t>
  </si>
  <si>
    <t>Bruto Mg - Ônibus do transporte Público de BH - 23072026</t>
  </si>
  <si>
    <t>BRUTOMGONIBUSBHMXF-I1R1R0N</t>
  </si>
  <si>
    <t>G0544690</t>
  </si>
  <si>
    <t>G0544109</t>
  </si>
  <si>
    <t>G0544137</t>
  </si>
  <si>
    <t>G0549275</t>
  </si>
  <si>
    <t xml:space="preserve">jornalismo </t>
  </si>
  <si>
    <t>G0544138</t>
  </si>
  <si>
    <t>G0549276</t>
  </si>
  <si>
    <t>INVASÃO ARRAIAL</t>
  </si>
  <si>
    <t>G0544691</t>
  </si>
  <si>
    <t>G0544110</t>
  </si>
  <si>
    <t>G0544139</t>
  </si>
  <si>
    <t>G0549277</t>
  </si>
  <si>
    <t>G0544692</t>
  </si>
  <si>
    <t>G0544111</t>
  </si>
  <si>
    <t>G0544140</t>
  </si>
  <si>
    <t>G0549278</t>
  </si>
  <si>
    <t>G0544693</t>
  </si>
  <si>
    <t>G0544112</t>
  </si>
  <si>
    <t>G0544141</t>
  </si>
  <si>
    <t>G0549279</t>
  </si>
  <si>
    <t>G0544694</t>
  </si>
  <si>
    <t>G0544113</t>
  </si>
  <si>
    <t>G0544142</t>
  </si>
  <si>
    <t>G0549280</t>
  </si>
  <si>
    <t>G0544695</t>
  </si>
  <si>
    <t>G0544114</t>
  </si>
  <si>
    <t>G0544143</t>
  </si>
  <si>
    <t>G0549281</t>
  </si>
  <si>
    <t>G0544144</t>
  </si>
  <si>
    <t>G0549282</t>
  </si>
  <si>
    <t>CONCURSO DE QUADRILHAS</t>
  </si>
  <si>
    <t>PAI POR INTEIRO</t>
  </si>
  <si>
    <t>x</t>
  </si>
  <si>
    <t>X</t>
  </si>
  <si>
    <t>Programa/ Jornal</t>
  </si>
  <si>
    <t xml:space="preserve">Nível de descrição </t>
  </si>
  <si>
    <t>Área</t>
  </si>
  <si>
    <t>ARRAIAL DE BH</t>
  </si>
  <si>
    <t>Básica</t>
  </si>
  <si>
    <t>Premium</t>
  </si>
  <si>
    <t>Globoplay</t>
  </si>
  <si>
    <t>CÊ VIU</t>
  </si>
  <si>
    <t>Entretenimento</t>
  </si>
  <si>
    <t>Não encontrado</t>
  </si>
  <si>
    <t>CIDADE DAS MARAVILHAS</t>
  </si>
  <si>
    <t>COISAS DAQUI</t>
  </si>
  <si>
    <t>COMIDA DE VÓ</t>
  </si>
  <si>
    <t>COBERTURA ESPECIAL</t>
  </si>
  <si>
    <t>ESPORTE ESPETACULAR - MG</t>
  </si>
  <si>
    <t>CINTURA FINA</t>
  </si>
  <si>
    <t>ANARRIÊ</t>
  </si>
  <si>
    <t>ELEIÇÃO</t>
  </si>
  <si>
    <t>ESPECIAL ORIGINÁRIOS</t>
  </si>
  <si>
    <t>FANTÁSTICO</t>
  </si>
  <si>
    <t>FLASH</t>
  </si>
  <si>
    <t>GLOBO ESPORTE - MG</t>
  </si>
  <si>
    <t>CIDADAO MINEIRO</t>
  </si>
  <si>
    <t>O MELHOR DA RESENHA</t>
  </si>
  <si>
    <t xml:space="preserve">JORNAL DA GLOBO </t>
  </si>
  <si>
    <t>FOTOGRAFIA NA PAREDE</t>
  </si>
  <si>
    <t>NO RITMO DA CIDADE</t>
  </si>
  <si>
    <t>ESPECIAL ORE COMIGO</t>
  </si>
  <si>
    <t>JORNAL HOJE</t>
  </si>
  <si>
    <t xml:space="preserve">JORNAL NACIONAL </t>
  </si>
  <si>
    <t>PRATA DA CASA</t>
  </si>
  <si>
    <t>MARATONA ARRAIAL</t>
  </si>
  <si>
    <t>MERCEARIAS DE BEAGÁ</t>
  </si>
  <si>
    <t>MG2</t>
  </si>
  <si>
    <t>NÃO EXIBIDO</t>
  </si>
  <si>
    <t>NOSSOS BLOCOS</t>
  </si>
  <si>
    <t>PROGRAMAÇÃO</t>
  </si>
  <si>
    <t>REAGE, PAMPULHA</t>
  </si>
  <si>
    <t>ROLÊ NAS GERAIS </t>
  </si>
  <si>
    <t xml:space="preserve">VIVER PRA VALER </t>
  </si>
  <si>
    <t>RITMO DA CIDADE</t>
  </si>
  <si>
    <t>MOVIMENTO JUNINO</t>
  </si>
  <si>
    <t>IMERSAO ARRAIAL</t>
  </si>
  <si>
    <t>CIDADÃO MINEIRO</t>
  </si>
  <si>
    <t>ENTRE IDAS E VINDAS</t>
  </si>
  <si>
    <t>Fotogafia na parede</t>
  </si>
  <si>
    <t xml:space="preserve">ENVIO JORNAIS </t>
  </si>
  <si>
    <t>JORNAL</t>
  </si>
  <si>
    <t>HORÁRIO DE CORTE</t>
  </si>
  <si>
    <t>BDSP</t>
  </si>
  <si>
    <t>APÓS 10:30</t>
  </si>
  <si>
    <t>BDBR SP</t>
  </si>
  <si>
    <t xml:space="preserve">SP1 </t>
  </si>
  <si>
    <t>APÓS 13:30</t>
  </si>
  <si>
    <t>SP2</t>
  </si>
  <si>
    <t>APÓS 20:30</t>
  </si>
  <si>
    <t>ANTENA</t>
  </si>
  <si>
    <t>SEGUNDA APÓS EXIBIÇÃO</t>
  </si>
  <si>
    <t>CAMINHO DE ENVIO PRINCIPAL</t>
  </si>
  <si>
    <t xml:space="preserve">ARRASTE A SHOTLIST PARA </t>
  </si>
  <si>
    <t>CAMINHO (STAND BY) CASO DÊ ERRO NO ENVIO</t>
  </si>
  <si>
    <t xml:space="preserve">Inserir a Palavra _TEMP após o número do ID e mandar para o caminho </t>
  </si>
  <si>
    <t>Export to VIZRT ACERVO JOR</t>
  </si>
  <si>
    <t>* Caso após o segundo envio dê erro, acionar Dani ou Anderson</t>
  </si>
  <si>
    <t>EXEMPLO DE RETRANCA PARA REENVIO</t>
  </si>
  <si>
    <t>G0079462_TEMP</t>
  </si>
  <si>
    <t>Caso não encontrar o BDBR SP CTL 14 no PAM, buscar no : SRVSPPAPAMBVIE &gt; Incoming Media &gt; INGESTADOS &gt; POOL &gt; ESPORTE&gt; VIZ-SP</t>
  </si>
  <si>
    <t>ou no MAM do esporte: http://mamesporte.corp.tvglobo.com.br/studio/</t>
  </si>
  <si>
    <t xml:space="preserve">  retranca: BDBR SP CTL14</t>
  </si>
  <si>
    <t>TRANSFERENCIA/OCORRENCIA ACERVO JB</t>
  </si>
  <si>
    <t>ARQUIVISTA ÍON</t>
  </si>
  <si>
    <t>APAGAMENTO AVID</t>
  </si>
  <si>
    <t>DATA DE EXIBIÇÃO</t>
  </si>
  <si>
    <t>RESPONSAVEL</t>
  </si>
  <si>
    <t>PRODUTO (BR.)</t>
  </si>
  <si>
    <t>CTRS</t>
  </si>
  <si>
    <t>CORTAR NO MAM</t>
  </si>
  <si>
    <t>CAMINHO</t>
  </si>
  <si>
    <t>DURAÇÃO AVID</t>
  </si>
  <si>
    <t>DATA E HORA DE ENVIO AVID</t>
  </si>
  <si>
    <t>STATUS</t>
  </si>
  <si>
    <t>DATA E HORA CRIAÇÃO NO VIZ</t>
  </si>
  <si>
    <t>TEMPO DA TRANSFERÊNCIA</t>
  </si>
  <si>
    <t>ID TEMPORÁRIO 1</t>
  </si>
  <si>
    <t>DATA E HORA REENVIO AVID SP</t>
  </si>
  <si>
    <t>RETRANCA</t>
  </si>
  <si>
    <t>CAMINHO REENVIO</t>
  </si>
  <si>
    <t>STATUS REENVIO</t>
  </si>
  <si>
    <t>DATA E HORA RECRIAÇÃO NO VIZ</t>
  </si>
  <si>
    <t>TEMPO DA TRANSFERÊNCIA 2</t>
  </si>
  <si>
    <t>ID TEMPORÁRIO 2</t>
  </si>
  <si>
    <t>BLOQUEIO</t>
  </si>
  <si>
    <t>PESQUISADOR</t>
  </si>
  <si>
    <t>DATA</t>
  </si>
  <si>
    <t>DURAÇÃO DO TRATAMENTO</t>
  </si>
  <si>
    <t>METADADO</t>
  </si>
  <si>
    <t>ARQUIVISTA</t>
  </si>
  <si>
    <t>ID DEFINITIVO</t>
  </si>
  <si>
    <t>ARQUIVADO</t>
  </si>
  <si>
    <t>Daniela</t>
  </si>
  <si>
    <t>DOC EM NOME DE DEUS (SUJO)</t>
  </si>
  <si>
    <t>GLOBOPLAY</t>
  </si>
  <si>
    <t xml:space="preserve">		EM NOME DE DEUS VERSAO GLOBOPLAY  EP1.01</t>
  </si>
  <si>
    <t>EMNOMEDEDEUSVERSAOG-IVSA1WB</t>
  </si>
  <si>
    <t>Valcir</t>
  </si>
  <si>
    <t>EM NOME DE DEUS VERSAO GLOBOPLAY  EP2.01</t>
  </si>
  <si>
    <t>EMNOMEDEDEUSVERSAOG-IVSA1UT</t>
  </si>
  <si>
    <t>EM NOME DE DEUS VERSAO GLOBOPLAY  EP3.01</t>
  </si>
  <si>
    <t>EMNOMEDEDEUSVERSAOG-IVSA1W6</t>
  </si>
  <si>
    <t>EM NOME DE DEUS VERSAO GLOBOPLAY  EP4.01</t>
  </si>
  <si>
    <t>EMNOMEDEDEUSVERSAOG-IVSA1X9</t>
  </si>
  <si>
    <t>EM NOME DE DEUS VERSAO GLOBOPLAY  EP5.01</t>
  </si>
  <si>
    <t>EMNOMEDEDEUSVERSAOG-IVSA1WC</t>
  </si>
  <si>
    <t>EM NOME DE DEUS VERSAO GLOBOPLAY  EP6.01</t>
  </si>
  <si>
    <t>EMNOMEDEDEUSVERSAOG-IVSA1XA</t>
  </si>
  <si>
    <t>DOC MARIELLE</t>
  </si>
  <si>
    <t>DOCUMENTARIO MARIELLE EP1</t>
  </si>
  <si>
    <t>DOCUMENTARIOMARIELL-IVSA93G</t>
  </si>
  <si>
    <t>DOCUMENTARIO MARIELLE EP2</t>
  </si>
  <si>
    <t>DOCUMENTARIOMARIELL-IVSA8V5</t>
  </si>
  <si>
    <t>DOCUMENTARIO MARIELLE EP3</t>
  </si>
  <si>
    <t>DOCUMENTARIOMARIELL-IVSA964</t>
  </si>
  <si>
    <t>DOCUMENTARIO MARIELLE EP4</t>
  </si>
  <si>
    <t>DOCUMENTARIOMARIELL-IVSA93D</t>
  </si>
  <si>
    <t>DOCUMENTARIO MARIELLE EP5</t>
  </si>
  <si>
    <t>DOCUMENTARIOMARIELL-IVSA8VD</t>
  </si>
  <si>
    <t>DOCUMENTARIO MARIELLE EP6</t>
  </si>
  <si>
    <t>DOCUMENTARIOMARIELL-IVSA8XS</t>
  </si>
  <si>
    <t>DOC CERCADOS</t>
  </si>
  <si>
    <t>DOCUMENTARIO CERCADOS MASTER SUJO2</t>
  </si>
  <si>
    <t>DOCUMENTARIOCERCADO-IVSA99N</t>
  </si>
  <si>
    <t>DOCUMENTARIO CERCADOS MASTER LIMPO</t>
  </si>
  <si>
    <t>DOCUMENTARIOCERCADO-IVSA9A5</t>
  </si>
  <si>
    <t>DOC EM NOME DE DEUS (LIMPO)</t>
  </si>
  <si>
    <t>EM NOME DE DEUS VERSAO GLOBOPLAY  EP1.01</t>
  </si>
  <si>
    <t>JDDEP01MASTEREMNOME-JCBOIO5</t>
  </si>
  <si>
    <t>JDDEP02MASTEREMNOME-JCBOIKF</t>
  </si>
  <si>
    <t>JDDEP03MASTEREMNOME-JCBOHXE</t>
  </si>
  <si>
    <t>JDDEP04MASTEREMNOME-JCBOHXG</t>
  </si>
  <si>
    <t>JDDEP05MASTEREMNOME-JCBOHX9</t>
  </si>
  <si>
    <t>JDDEP06MASTEREMNOME-JCBOIOA</t>
  </si>
  <si>
    <t>GLOBOPLAY / DOCV</t>
  </si>
  <si>
    <t>BRUTO</t>
  </si>
  <si>
    <t>BRUTO CORONAVAC GPLAY 14062021.mxf</t>
  </si>
  <si>
    <t>BRUTOCORONAVACGPLAY-S2JVO0I</t>
  </si>
  <si>
    <t>BRUTO BSA PONTE JK GPLAY 14062021.mxf</t>
  </si>
  <si>
    <t>BRUTOBSAPONTEJKGPLA-S2JVO0H</t>
  </si>
  <si>
    <t>BRUTO ANVISA GPLAY 14062021.mxf</t>
  </si>
  <si>
    <t>BRUTOANVISAGPLAY140-S2JVO0G</t>
  </si>
  <si>
    <t>BRUTO BRASILIA GPLAY 14062021.mxf</t>
  </si>
  <si>
    <t>BRUTOBRASILIAGPLAY1-S2JVO0L</t>
  </si>
  <si>
    <t>BRUTO CHEGA CORONAVAC GRU GPLAY 18062021</t>
  </si>
  <si>
    <t>BRUTOCHEGACORONAVAC-S2JVSUL</t>
  </si>
  <si>
    <t>BRUTO AEREA RIO DE JANEIRO GPLAY 18062021</t>
  </si>
  <si>
    <t>BRUTOAEREARIODEJANE-S2JVSUJ</t>
  </si>
  <si>
    <t>BRUTO BUTANVAC GPLAY 18062021</t>
  </si>
  <si>
    <t>BRUTOBUTANVACGPLAY1-S2JVSUI</t>
  </si>
  <si>
    <t>BRUTO EMBAIXADA RUSSIA GPLAY 18062021</t>
  </si>
  <si>
    <t>BRUTOEMBAIXADARUSSI-S2JVSTT</t>
  </si>
  <si>
    <t>BRUTO AEREA UNIAO QUIMICA GPLAY 18062021</t>
  </si>
  <si>
    <t>BRUTOAEREAUNIAOQUIM-S2JVSTU</t>
  </si>
  <si>
    <t>BRUTO AEREA SP GPLAY 18062021</t>
  </si>
  <si>
    <t>BRUTOAEREASPGPLAY18-S2JVSUG</t>
  </si>
  <si>
    <t>BRUTO LABORATORIO USP GPLAY 18062021</t>
  </si>
  <si>
    <t>BRUTOLABORATORIOUSP-S2JVSUH</t>
  </si>
  <si>
    <t>BRUTO UNIAO QUIMICA INTERNAS GPLAY 19062021</t>
  </si>
  <si>
    <t>BRUTOUNIAOQUIMICAIN-SJ39EEX</t>
  </si>
  <si>
    <t>BRUTO RUSSIA GPLAY 19062021</t>
  </si>
  <si>
    <t>BRUTORUSSIAGPLAY190-SJ39EEZ</t>
  </si>
  <si>
    <t>Victor</t>
  </si>
  <si>
    <t>BRUTO AEROPORTO MANAUS GPLAY 28062021</t>
  </si>
  <si>
    <t>BRUTOAEROPORTOMANAU-W7EALTZ</t>
  </si>
  <si>
    <t>BRUTO FIOCRUZ GPLAY 28062021</t>
  </si>
  <si>
    <t>BRUTOFIOCRUZGPLAY28-W7EA04H</t>
  </si>
  <si>
    <t>BRUTO VACINACAO SP GPLAY 29062021</t>
  </si>
  <si>
    <t>BRUTOVACINACAOSPGPL-W7EA8WV</t>
  </si>
  <si>
    <t>BRUTO BIBLIOTECA BUTANTAN GPLAY 29062021</t>
  </si>
  <si>
    <t>BRUTOBIBLIOTECABUTA-W7EAM87</t>
  </si>
  <si>
    <t>BRUTO MIN SAUDE GPLAY 29062021</t>
  </si>
  <si>
    <t>BRUTOMINSAUDEGPLAY2-W7EABHA</t>
  </si>
  <si>
    <t>BRUTO IBIARA PB GPLAY 29062021</t>
  </si>
  <si>
    <t>BRUTOIBIARAPBGPLAY2-W7EA8WS</t>
  </si>
  <si>
    <t>BRUTO INDIA 2 GPLAY 30062021</t>
  </si>
  <si>
    <t>BRUTOINDIA2GPLAY300-W7EAMEF</t>
  </si>
  <si>
    <t>BRUTO DRONE SP GPLAY 01072021</t>
  </si>
  <si>
    <t>BRUTODRONESPGPLAY01-W7EA8EN</t>
  </si>
  <si>
    <t>BRUTO BUTANTAN VACINAS GPLAY 02072021</t>
  </si>
  <si>
    <t>BRUTOBUTANTANVACINA-W7E9ZNJ</t>
  </si>
  <si>
    <t>BRUTO PROTESTO FORA DORIA GPLAY 02072021</t>
  </si>
  <si>
    <t>BRUTOPROTESTOFORADO-W7EA8FB</t>
  </si>
  <si>
    <t>BRUTO SINOVAC FABRICA GPLAY 05072021</t>
  </si>
  <si>
    <t>BRUTOSINOVACFABRICA-W7EA8FE</t>
  </si>
  <si>
    <t>BRUTO INSTITUTO SERUM INDIA 06072021</t>
  </si>
  <si>
    <t>BRUTOINSTITUTOSERUM-W7EAM9M</t>
  </si>
  <si>
    <t>BRUTO UNIVERSIDADE OXFORD GPLAY 08072021</t>
  </si>
  <si>
    <t>BRUTOUNIVERSIDADEOX-W7EAM8O</t>
  </si>
  <si>
    <t>DOCUMENTÁRIO CORRIDA DAS VACINAS</t>
  </si>
  <si>
    <t>DOCV_EP1_ANTI PIRATARIA</t>
  </si>
  <si>
    <t>DOCVEP1ANTIPIRATARI-W7EAG39</t>
  </si>
  <si>
    <t>DOCV_EP1_BASE_LIMPA</t>
  </si>
  <si>
    <t>DOCVEP1BASELIMPAMXF-W7EAG2Z</t>
  </si>
  <si>
    <t>DOCV_EP1_BASE_SUJA</t>
  </si>
  <si>
    <t>DOCVEP1BASESUJAMXF-W7EAMJQ</t>
  </si>
  <si>
    <t>DOCV_EP2_ANTI PIRATARIA</t>
  </si>
  <si>
    <t>DOCVEP2ANTIPIRATARI-W7EAG3N</t>
  </si>
  <si>
    <t>DOCV_EP2_BASE_LIMPA</t>
  </si>
  <si>
    <t>DOCVEP2BASELIMPAMXF-W7EAG1K</t>
  </si>
  <si>
    <t>DOCV_EP2_BASE_SUJA</t>
  </si>
  <si>
    <t>DOCVEP2BASESUJAMXF-W7EAMJR</t>
  </si>
  <si>
    <t>DOCV_EP3_ANTI PIRATARIA</t>
  </si>
  <si>
    <t>DOCVEP3ANTIPIRATARI-W7EAFXV</t>
  </si>
  <si>
    <t>DOCV_EP3_BASE_LIMPA</t>
  </si>
  <si>
    <t>DOCVEP3BASELIMPAMXF-W7EAG3M</t>
  </si>
  <si>
    <t>DOCV_EP3_BASE_SUJA</t>
  </si>
  <si>
    <t>DOCVEP3BASESUJAMXF-W7EAG1L</t>
  </si>
  <si>
    <t>DOCV_EP4_ANTI PIRATARIA</t>
  </si>
  <si>
    <t>DOCVEP4ANTIPIRATARI-W7EAMJS</t>
  </si>
  <si>
    <t>DOCV_EP4_BASE_LIMPA</t>
  </si>
  <si>
    <t>DOCVEP4BASELIMPAMXF-W7EAG1H</t>
  </si>
  <si>
    <t>DOCV_EP4_BASE_SUJA</t>
  </si>
  <si>
    <t>DOCVEP4BASESUJAMXF-W7EAFVI</t>
  </si>
  <si>
    <t>DOCV_EP5_ANTI PIRATARIA</t>
  </si>
  <si>
    <t>DOCVEP5ANTIPIRATARI-W7EAFVH</t>
  </si>
  <si>
    <t>DOCV_EP5_BASE_LIMPA</t>
  </si>
  <si>
    <t>DOCVEP5BASELIMPAMXF-W7EAFWT</t>
  </si>
  <si>
    <t>DOCV_EP5_BASE_SUJA</t>
  </si>
  <si>
    <t>DOCVEP5BASESUJAMXFM-W7EAG3P</t>
  </si>
  <si>
    <t>DOCV_EP06_ANTI PIRATARIA</t>
  </si>
  <si>
    <t>DOCVEP06EXTRACUT08D-W7EACEW</t>
  </si>
  <si>
    <t>DOCV_EP06_BASE_LIMPA</t>
  </si>
  <si>
    <t>DOCVEP06EXTRACUT08D-W7EACGD</t>
  </si>
  <si>
    <t>DOCV_EP06_BASE_SUJA</t>
  </si>
  <si>
    <t>DOCVEP06EXTRACUT08D-W7EACGC</t>
  </si>
  <si>
    <t>BRUTO BHARAT BIOTECH 09072021</t>
  </si>
  <si>
    <t>BRUTOBHARATBIOTECH0-W7EAM8P</t>
  </si>
  <si>
    <t>BRUTO CRATO CE GPLAY 09072021</t>
  </si>
  <si>
    <t>BRUTOCRATOCEGPLAY09-W7EAM8L</t>
  </si>
  <si>
    <t>BRUTO FABRICA SERINGAS MNS GPLAY 09072021</t>
  </si>
  <si>
    <t>BRUTOFABRICASERINGA-W7EAM8W</t>
  </si>
  <si>
    <t>BRUTO DRONE NOTURNA MANAUS GPLAY 09072021</t>
  </si>
  <si>
    <t>BRUTODRONENOTURNAMA-W7EAM8K</t>
  </si>
  <si>
    <t>DOCV PREVENT</t>
  </si>
  <si>
    <t xml:space="preserve">BRUTO DOCV FACHADAS PREVENT SENIOR 15122021 </t>
  </si>
  <si>
    <t>ACERVODOCPREVENTFAC-9P7ECDN</t>
  </si>
  <si>
    <t>BRUTO DOCV AEREAS SP 15122021</t>
  </si>
  <si>
    <t>ACERVODOCPREVENTAER-9P7ECDK</t>
  </si>
  <si>
    <t xml:space="preserve">BRUTO DOCV AEREA CAMARA MUNICIPAL 15122021 </t>
  </si>
  <si>
    <t>ACERVODOCPREVENTAER-9P7ECDH</t>
  </si>
  <si>
    <t xml:space="preserve">BRUTO DOCV CLOROQUINA KIT COVID-19 15122021 </t>
  </si>
  <si>
    <t>ACERVODOCPREVENTCLO-9P7ECDG</t>
  </si>
  <si>
    <t xml:space="preserve">BRUTO DOCV FACHADA PREVENT SENIOR ALAGOAS 15122021 </t>
  </si>
  <si>
    <t>ACERVODOCPREVENTFAC-9P7ECC9</t>
  </si>
  <si>
    <t>BRUTO DOCV AEREA JOAO PESSOA 15122021</t>
  </si>
  <si>
    <t>ACERVODOCPREVENTAER-9P7ECC8</t>
  </si>
  <si>
    <t>ACERVO DOCV PREVENT SENIOR SUJO</t>
  </si>
  <si>
    <t>ACERVODOCPREVENTSEN-A5QS7C7</t>
  </si>
  <si>
    <t>ACERVO DOCV PREVENT SENIOR LIMPO</t>
  </si>
  <si>
    <t>ACERVODOCPREVENTSEN-A5QS7BH</t>
  </si>
  <si>
    <t>Doc Marisa Monte</t>
  </si>
  <si>
    <t>Documentário Marisa Monte – Portas e Janelas SUJO</t>
  </si>
  <si>
    <t>FILEZILA</t>
  </si>
  <si>
    <t>ESPECIALMARISACUT32-A5QSS9X</t>
  </si>
  <si>
    <t>Documentário Marisa Monte – Portas e Janelas LIMPO</t>
  </si>
  <si>
    <t>ESPECIALMARISACUT32-A5QSS9M</t>
  </si>
  <si>
    <t>Doc Erasmo 80</t>
  </si>
  <si>
    <t>Documentário Erasmo Carlos - Erasmo 80 - SUJO</t>
  </si>
  <si>
    <t>EDITDOCERASMOCARLOS-A5QSSF6</t>
  </si>
  <si>
    <t>Documentário Erasmo Carlos - Erasmo 80 - LIMPO</t>
  </si>
  <si>
    <t>EDITDOCERASMOCARLOS-A5QSSF5</t>
  </si>
  <si>
    <t>DOCV MERCADO PARALELO</t>
  </si>
  <si>
    <t>CORRIDA VACINAS MERCADO PARALELO 30092021 EP1 LIMPO</t>
  </si>
  <si>
    <t>ACERVODOCCORRIDAVAC-4ORX2F7</t>
  </si>
  <si>
    <t>CORRIDA VACINAS MERCADO PARALELO 30092021 EP1 SUJO</t>
  </si>
  <si>
    <t>CORRIDAVACINASMERCA-55BASK4</t>
  </si>
  <si>
    <t>CORRIDA VACINAS MERCADO PARALELO 30092021 EP2 LIMPO</t>
  </si>
  <si>
    <t>DOCCORRUPCAOEP02NAO-4ORX92O</t>
  </si>
  <si>
    <t>CORRIDA VACINAS MERCADO PARALELO 30092021 EP2 SUJO</t>
  </si>
  <si>
    <t>MASTERDOCCORRUPCAOE-4ORX92K</t>
  </si>
  <si>
    <t>BRUTO BRASILIA 30092021</t>
  </si>
  <si>
    <t>BRUTOBRASILIA300920-55BASHD</t>
  </si>
  <si>
    <t>BRUTO DEPUTADO LUIS MIRANDA TREINO BOXE 11012022</t>
  </si>
  <si>
    <t>ACERVODOCCORRUPCAOM-4ORX92D</t>
  </si>
  <si>
    <t>BRUTO CARNEIROS AL 11012022</t>
  </si>
  <si>
    <t>ACERVODOCCORRUPCAOD-4ORX92Q</t>
  </si>
  <si>
    <t>Jeane</t>
  </si>
  <si>
    <t>SP1</t>
  </si>
  <si>
    <t>SPTV1_05112020</t>
  </si>
  <si>
    <t>Izabelle</t>
  </si>
  <si>
    <t>SPTV1</t>
  </si>
  <si>
    <t>SPTV1_01102020</t>
  </si>
  <si>
    <t>ok</t>
  </si>
  <si>
    <t>H109102020MXF-0082MAZ</t>
  </si>
  <si>
    <t>OK</t>
  </si>
  <si>
    <t>Murillo</t>
  </si>
  <si>
    <t xml:space="preserve">G0012328 </t>
  </si>
  <si>
    <t>JN</t>
  </si>
  <si>
    <t>BRUTO JNAC FORTALEZA 18102018</t>
  </si>
  <si>
    <t>BRUTOJNACFORTALEZA1-4N3I9NU</t>
  </si>
  <si>
    <t xml:space="preserve">BRUTO JNAC MEDIDAS DE SEGURANCA SUPERMERCADO </t>
  </si>
  <si>
    <t>Export to VIZRT ACERVO JOR </t>
  </si>
  <si>
    <t>BRUTOJNACMEDIDASDES-A42EIC2</t>
  </si>
  <si>
    <t>BRUTO JNAC SERIE E-COMMERCE 26072020</t>
  </si>
  <si>
    <t>BRUTOJNACSERIEECOMM-A42EICZ</t>
  </si>
  <si>
    <t>BRUTO JNAC DELIVERY 27072020</t>
  </si>
  <si>
    <t>BRUTOJNACDELIVERY27-A42EICK</t>
  </si>
  <si>
    <t>BRUTO JNAC FACHADA SEBRAE SP 27072020</t>
  </si>
  <si>
    <t>BRUTOJNACFACHADASEB-A42EICL</t>
  </si>
  <si>
    <t>BRUTO JNAC MAR DE PREDIOS 30072020</t>
  </si>
  <si>
    <t>BRUTOJNACMARDEPREDI-A42EIC3</t>
  </si>
  <si>
    <t>BRUTO JNAC TRANSITO MARGINAL TIETE 30072020</t>
  </si>
  <si>
    <t>BRUTOJNACTRANSITOMA-A42EICM</t>
  </si>
  <si>
    <t>BRUTO JNAC GALPAO MAGAZINE LUIZA 31072020</t>
  </si>
  <si>
    <t>BRUTOJNACGALPAODIST-A42EID1</t>
  </si>
  <si>
    <t>BRUTO JNAC PEDESTRES E PESSOAS NO CELULAR 31072020</t>
  </si>
  <si>
    <t>BRUTOJNACPEDESTRESE-A42EIC4</t>
  </si>
  <si>
    <t>BRUTO JNAC COMUNIDADE HELIOPOLIS 31072020</t>
  </si>
  <si>
    <t>BRUTOJNACCOMUNIDADE-A42EID0</t>
  </si>
  <si>
    <t xml:space="preserve">Ana </t>
  </si>
  <si>
    <t>não está sendo encontrada</t>
  </si>
  <si>
    <t>BRUTO BDSP ASPECTOS DA CIDADE DE CARAPICUIBA</t>
  </si>
  <si>
    <t>BRUTOBDSPASPECTOSDA-0GRG9LR</t>
  </si>
  <si>
    <t>Ana</t>
  </si>
  <si>
    <t>BRUTO BDSP ASPECTOS DA CIDADE DE GUARULHOS</t>
  </si>
  <si>
    <t>BRUTOBDSPASPECTOSDA-0GRG9UR</t>
  </si>
  <si>
    <t>BRUTO TESTAGEM ESCOLAS 01102020</t>
  </si>
  <si>
    <t>BRUTOTESTAGEMESCOLA-0XAUG2K</t>
  </si>
  <si>
    <t>BRUTO BDSP ASPECTOS DA CIDADE DE COTIA</t>
  </si>
  <si>
    <t>ACERVOBDSPASPECTOSD-0GRG9NG</t>
  </si>
  <si>
    <t>BRUTO SP1 PEDESTRES SAO BERNARDO DO CAMPO</t>
  </si>
  <si>
    <t>BRUTOSP1PEDESTRESSA-0GRGBAW</t>
  </si>
  <si>
    <t>Bom dia Brasil SP 07102020</t>
  </si>
  <si>
    <t>BOMDIABRASILSP07102-0082MB5</t>
  </si>
  <si>
    <t>Anderson</t>
  </si>
  <si>
    <t>G0018675</t>
  </si>
  <si>
    <t>Bom Dia SP 07102020V2</t>
  </si>
  <si>
    <t>BOMDIASP07102020V2M-0082KHI</t>
  </si>
  <si>
    <t>G0011998</t>
  </si>
  <si>
    <t>Andre</t>
  </si>
  <si>
    <t>ACERVO BRUTO JN PEDESTRES EM SAO PAULO</t>
  </si>
  <si>
    <t>NÃO ENCONTRADO</t>
  </si>
  <si>
    <t>ACERVOBRUTOJNPEDEST-0082HY7</t>
  </si>
  <si>
    <t>verificar tempo</t>
  </si>
  <si>
    <t>SPTV1_07102020</t>
  </si>
  <si>
    <t>TRATANDO</t>
  </si>
  <si>
    <t>SPTV107102020MXF-0082INW</t>
  </si>
  <si>
    <t>Fabinho</t>
  </si>
  <si>
    <t>G0012594</t>
  </si>
  <si>
    <t>SPTV2</t>
  </si>
  <si>
    <t>SPTV2 07102020</t>
  </si>
  <si>
    <t>SPTV207102020MXF-0082JEW</t>
  </si>
  <si>
    <t>G0012966</t>
  </si>
  <si>
    <t>no media</t>
  </si>
  <si>
    <t>BDBR_SP_08102020</t>
  </si>
  <si>
    <t>ENVIADO</t>
  </si>
  <si>
    <t>BOMDIABRASILSP08102-0082MB0</t>
  </si>
  <si>
    <t>G0018676</t>
  </si>
  <si>
    <t>Bom Dia SP 08102020</t>
  </si>
  <si>
    <t>Foi direto para o definitivo</t>
  </si>
  <si>
    <t>G0011999</t>
  </si>
  <si>
    <t>ACERVO BRUTO BDSP ASPECTOS DA CIDADE DE FRANCISCO MORATO</t>
  </si>
  <si>
    <t>ACERVOBRUTOBDSPASPE-0082KAS</t>
  </si>
  <si>
    <t>SPTV1_08102020</t>
  </si>
  <si>
    <t>SPTV108102020MXF-0082L23</t>
  </si>
  <si>
    <t>G0012119</t>
  </si>
  <si>
    <t>SPTV2 08102020</t>
  </si>
  <si>
    <t>SPTV208102020MXF-0082LON</t>
  </si>
  <si>
    <t>G0012967</t>
  </si>
  <si>
    <t>BDBR SP 09102020</t>
  </si>
  <si>
    <t>BDBRSP09102020MXF-0082MI0</t>
  </si>
  <si>
    <t>G0018677</t>
  </si>
  <si>
    <t>G0012116</t>
  </si>
  <si>
    <t>Claudio</t>
  </si>
  <si>
    <t>13 e 14/10/2020</t>
  </si>
  <si>
    <t>BRUTO BDSP ASPECTOS DA CIDADE DE MAIRIPORA</t>
  </si>
  <si>
    <t>BRUTOBDSPASPECTOSDA-0082MCP</t>
  </si>
  <si>
    <t>BRUTO BDSP ASPECTOS DA CIDADE DE SANTO ANDRÉ</t>
  </si>
  <si>
    <t>BRUTOBDSPASPECTOSDA-0082MM4</t>
  </si>
  <si>
    <t>BRUTO  PAGAMENTO CARTAO DE CREDITO 09102020</t>
  </si>
  <si>
    <t>BRUTOPAGAMENTOCARTA-0GRGJBN</t>
  </si>
  <si>
    <t>Faltando proxy</t>
  </si>
  <si>
    <t>SPTV1_09102020V4</t>
  </si>
  <si>
    <t>SPTV109102020V4MXF-0GRGFB7</t>
  </si>
  <si>
    <t>Amanda</t>
  </si>
  <si>
    <t>19 e 20/10/2020</t>
  </si>
  <si>
    <t xml:space="preserve">G0012117  </t>
  </si>
  <si>
    <t>SPTV2_09102020V4</t>
  </si>
  <si>
    <t>SPTV209102020V4MXF-0GRGFAJ</t>
  </si>
  <si>
    <t>G0012118</t>
  </si>
  <si>
    <t>SPTV1_10102020V2</t>
  </si>
  <si>
    <t>SPTV110102020V2MXF-0GRGFBG</t>
  </si>
  <si>
    <t>20 e 21/10/2020</t>
  </si>
  <si>
    <t>G0012968</t>
  </si>
  <si>
    <t>SPTV2_10102020</t>
  </si>
  <si>
    <t>SPTV210102020V2MXF-0GRG89D</t>
  </si>
  <si>
    <t>G0012969</t>
  </si>
  <si>
    <t>Antena</t>
  </si>
  <si>
    <t>ANTENA_PAULISTA_11102020</t>
  </si>
  <si>
    <t>ANTENAPAULISTA11102-0GRGIYT</t>
  </si>
  <si>
    <t>G0015146</t>
  </si>
  <si>
    <t>BDBR_SP_12102020_OK</t>
  </si>
  <si>
    <t>BDBRSP12102020OKMXF-0XAUCWP</t>
  </si>
  <si>
    <t>G0018678</t>
  </si>
  <si>
    <t xml:space="preserve">BDSP_12102020 </t>
  </si>
  <si>
    <t>BDSP12102020MXF-0GRG898</t>
  </si>
  <si>
    <t>G0012970</t>
  </si>
  <si>
    <t>SPTV1_12102020</t>
  </si>
  <si>
    <t>SPTV112102020MXF-0GRG8L2</t>
  </si>
  <si>
    <t xml:space="preserve">G0012972 </t>
  </si>
  <si>
    <t>SPTV2_12102020V2</t>
  </si>
  <si>
    <t>SPTV212102020V2MXF-0GRG8O0</t>
  </si>
  <si>
    <t>G0012971</t>
  </si>
  <si>
    <t>BDBR_SP_13102020</t>
  </si>
  <si>
    <t>13/10/2020 13:30</t>
  </si>
  <si>
    <t>BDBRSP13102020MXF-0GRG9UX</t>
  </si>
  <si>
    <t>G0018679</t>
  </si>
  <si>
    <t>BDSP_13102020</t>
  </si>
  <si>
    <t>BDSP13102020MXF-0GRG9XG</t>
  </si>
  <si>
    <t>BDSP_13102020_REENVIO</t>
  </si>
  <si>
    <t>REENVIADO</t>
  </si>
  <si>
    <t>BDSP13102020REENVIO-5258D3O</t>
  </si>
  <si>
    <t>G0013810</t>
  </si>
  <si>
    <t>BRUTO REABERTURA MAM 13102020</t>
  </si>
  <si>
    <t>BRUTOREABERTURAMAM1-0GRGJDL</t>
  </si>
  <si>
    <t>Alícia</t>
  </si>
  <si>
    <t>SPTV1_13102020</t>
  </si>
  <si>
    <t>SPTV113102020MXF-0GRGA15</t>
  </si>
  <si>
    <t>G0012973</t>
  </si>
  <si>
    <t>SPTV2_13102020V2</t>
  </si>
  <si>
    <t>SPTV213102020V2MXF-0GRGALQ</t>
  </si>
  <si>
    <t>G0012974</t>
  </si>
  <si>
    <t>VT SP1</t>
  </si>
  <si>
    <t>MATERIA_LIMPA_SP1_13102020_V3</t>
  </si>
  <si>
    <t>MATERIALIMPASP11310-0GRGE3U</t>
  </si>
  <si>
    <t>BDBR_SP_14102020</t>
  </si>
  <si>
    <t>BDBRSP14102020V2MXF-0GRGC92</t>
  </si>
  <si>
    <t>G0018680</t>
  </si>
  <si>
    <t>BDSP_14102020</t>
  </si>
  <si>
    <t>BDSP14102020DISCO1M-0GRGFMG</t>
  </si>
  <si>
    <t>19, 20 e 21/10/2020</t>
  </si>
  <si>
    <t>G0013811</t>
  </si>
  <si>
    <t>BRUTO - REABERTURA PINACOTECA - 14102020_TEMP</t>
  </si>
  <si>
    <t>BRUTOREABERTURAPINA-0XAUGT7</t>
  </si>
  <si>
    <t>BRUTO - REABERTURA PINACOTECA - 14102020_TEMP2</t>
  </si>
  <si>
    <t>REENVIADO 3X</t>
  </si>
  <si>
    <t>proxy</t>
  </si>
  <si>
    <t>SPTV1_14102020_TEMP</t>
  </si>
  <si>
    <t>EXport to VIZRT ACERVO JOR</t>
  </si>
  <si>
    <t>Foi para o definitivo direto</t>
  </si>
  <si>
    <t>G0012975</t>
  </si>
  <si>
    <t>SPTV2_14102020</t>
  </si>
  <si>
    <t>SPTV214102020MXF-0GRGCK0</t>
  </si>
  <si>
    <t>G0013628</t>
  </si>
  <si>
    <t>MATERIAS DO SP1 - SP - VT PROFISSAO ABANDONO  - 14102020</t>
  </si>
  <si>
    <t>MATERIASDOSP1SAOPAU-0XAU58O</t>
  </si>
  <si>
    <t>BDBR_SP_15102020</t>
  </si>
  <si>
    <t>BDBRSP15102020MXF-0GRGDCR</t>
  </si>
  <si>
    <t>G0018681</t>
  </si>
  <si>
    <t>BDSP_15102020</t>
  </si>
  <si>
    <t xml:space="preserve">Export to VIZRT ACERVO JOR </t>
  </si>
  <si>
    <t>BDSP15102020DISCO1M-0GRGDHE</t>
  </si>
  <si>
    <t>G0013812</t>
  </si>
  <si>
    <t>BRUTO SP1 METRO RETOMA</t>
  </si>
  <si>
    <t>BRUTOSP1METRORETOMA-0GRGD90</t>
  </si>
  <si>
    <t>BRUTO SP2 ENSINO SUPERIOR</t>
  </si>
  <si>
    <t>BRUTOSP2ENSINOSUPER-0GRGDA3</t>
  </si>
  <si>
    <t>SPTV1_15102020</t>
  </si>
  <si>
    <t>SPTV115102020MXF-0GRGDUO</t>
  </si>
  <si>
    <t>22 e 23/10/2020</t>
  </si>
  <si>
    <t>G0013814</t>
  </si>
  <si>
    <t>SPTV2_15102020</t>
  </si>
  <si>
    <t>SPTV215102020MXF-0GRGECW</t>
  </si>
  <si>
    <t>21 e 22/10/2020</t>
  </si>
  <si>
    <t>G0013815</t>
  </si>
  <si>
    <t>BDBR_SP_16102020</t>
  </si>
  <si>
    <t>BDBRSP16102020MXF-0GRGF0F</t>
  </si>
  <si>
    <t>G0018682</t>
  </si>
  <si>
    <t>BDSP_16102020V2</t>
  </si>
  <si>
    <t>BDSP16102020MXF-0GRGFYY</t>
  </si>
  <si>
    <t>22 e 23 /10/2020</t>
  </si>
  <si>
    <t>G0013813</t>
  </si>
  <si>
    <t>BRUTO ASPECTOS DA CIDADE DE TABOAO DA SERRA 05102020</t>
  </si>
  <si>
    <t>BRUTOASPECTOSDACIDA-0GRGEV5</t>
  </si>
  <si>
    <t>BRUTO BALANCO AULAS 14102020</t>
  </si>
  <si>
    <t>BRUTOBALANCOAULAS14-0GRGEV9</t>
  </si>
  <si>
    <t>BRUTO BRINCAR SAUDADE 12102020</t>
  </si>
  <si>
    <t>BRUTOBRINCARSAUDADE-0GRGEVD</t>
  </si>
  <si>
    <t>SPTV1_16102020</t>
  </si>
  <si>
    <t>SPTV116102020MXF-0GRGFX9</t>
  </si>
  <si>
    <t>G0015295</t>
  </si>
  <si>
    <t>SPTV2_16102020</t>
  </si>
  <si>
    <t>SPTV216102020MXF-0GRGGAF</t>
  </si>
  <si>
    <t>G0015311</t>
  </si>
  <si>
    <t>SPTV1_17102020_TEMP</t>
  </si>
  <si>
    <t>André</t>
  </si>
  <si>
    <t>G0015360</t>
  </si>
  <si>
    <t>SPTV2_17102020V2</t>
  </si>
  <si>
    <t>SPTV217102020V2MXF-0XAU30S</t>
  </si>
  <si>
    <t>G0015361</t>
  </si>
  <si>
    <t>ANTENA_PAULISTA_18102020</t>
  </si>
  <si>
    <t>ANTENAPAULISTA18102-0GRGIYO</t>
  </si>
  <si>
    <t>G0015362</t>
  </si>
  <si>
    <t>BDBR_SP_19102020_TEMP</t>
  </si>
  <si>
    <t>BDBRSP19102020TEMPM-0XAUBXB</t>
  </si>
  <si>
    <t>BDBR SP 19102020 AVIDGTW</t>
  </si>
  <si>
    <t>BDBRSP19102020AVIDG-0XAUID2</t>
  </si>
  <si>
    <t>G0018683</t>
  </si>
  <si>
    <t>BDSP_19102020V2</t>
  </si>
  <si>
    <t>BDSP19102020V2MXF-0XAU1PX</t>
  </si>
  <si>
    <t>G0015365</t>
  </si>
  <si>
    <t>SPTV1_19102020</t>
  </si>
  <si>
    <t>SPTV119102020MXF-0GRGJC5</t>
  </si>
  <si>
    <t>G0015364</t>
  </si>
  <si>
    <t>SPTV2_19102020</t>
  </si>
  <si>
    <t>SPTV219102020MXF-0GRGJS8</t>
  </si>
  <si>
    <t>G0015363</t>
  </si>
  <si>
    <t>BDBR_SP_20102020</t>
  </si>
  <si>
    <t>BDBRSP20102020MXF-0XAU39P</t>
  </si>
  <si>
    <t>G0018684</t>
  </si>
  <si>
    <t>BDSP_20102020</t>
  </si>
  <si>
    <t>BDSP20102020MXF-0XAU351</t>
  </si>
  <si>
    <t>G0015366</t>
  </si>
  <si>
    <t>BRUTO ASPECTOS SANTANA DO PARNAIBA</t>
  </si>
  <si>
    <t>BRUTOASPECTOSSANTAN-0XAU1IU</t>
  </si>
  <si>
    <t>BRUTO ASPECTOS SUZANO</t>
  </si>
  <si>
    <t>BRUTOASPECTOSSUZANO-0XAU1N4</t>
  </si>
  <si>
    <t>BRUTO - IMOVEIS RESIDENCIAIS - 20102020</t>
  </si>
  <si>
    <t>BRUTOIMOVEISRESIDEN-0XAU6SY</t>
  </si>
  <si>
    <t>SPTV1_20102020</t>
  </si>
  <si>
    <t>SPTV120102020MXF-0XAU1X1</t>
  </si>
  <si>
    <t>G0015370</t>
  </si>
  <si>
    <t>SPTV2_20102020</t>
  </si>
  <si>
    <t>SPTV220102020MXF-0XAU2C2</t>
  </si>
  <si>
    <t xml:space="preserve">G0015374 </t>
  </si>
  <si>
    <t>BDBR_SP_21102020</t>
  </si>
  <si>
    <t>BDBRSP21102020MXF-0XAU36P</t>
  </si>
  <si>
    <t>G0018685</t>
  </si>
  <si>
    <t>BDSP_21102020</t>
  </si>
  <si>
    <t>BDSP21102020MXF-0XAU4XO</t>
  </si>
  <si>
    <t xml:space="preserve">G0015367 </t>
  </si>
  <si>
    <t>BRUTO - ASPECTOS DIADEMA - 21102020</t>
  </si>
  <si>
    <t>BRUTOASPECTOSDIADEM-0XAU2YS</t>
  </si>
  <si>
    <t>BRUTO - OFICINA MECANICA - 21102020_TEMP</t>
  </si>
  <si>
    <t>BRUTOOFICINAMECANIC-0XAU7J8</t>
  </si>
  <si>
    <t>SPTV1_21102020</t>
  </si>
  <si>
    <t>SPTV121102020MXF-0XAU3OB</t>
  </si>
  <si>
    <t>G0015371</t>
  </si>
  <si>
    <t>SPTV2_21102020</t>
  </si>
  <si>
    <t>SPTV221102020MXF-0XAU44C</t>
  </si>
  <si>
    <t>G0015375</t>
  </si>
  <si>
    <t>BDBR_SP_22102020_TEMP</t>
  </si>
  <si>
    <t>BDBRSP22102020TEMPM-0XAUBW5</t>
  </si>
  <si>
    <t>BDBR_SP_22102020_TEMP2</t>
  </si>
  <si>
    <t>REENVIADO 2X</t>
  </si>
  <si>
    <t>BDBRSP22102020TEMP2-0XAUGSW</t>
  </si>
  <si>
    <t>G0018686</t>
  </si>
  <si>
    <t>BDSP_22102020</t>
  </si>
  <si>
    <t>BDSP22102020MXF-0XAU4XQ</t>
  </si>
  <si>
    <t>G0015368</t>
  </si>
  <si>
    <t>BRUTO - ASPECTOS DE SAO PAULO - 22102020</t>
  </si>
  <si>
    <t>BRUTOASPECTOSDESOPA-0XAU4VS</t>
  </si>
  <si>
    <t>SPTV1_22102020</t>
  </si>
  <si>
    <t>SPTV122102020MXF-0XAU584</t>
  </si>
  <si>
    <t>G0015372</t>
  </si>
  <si>
    <t>MATERIAS_SP1_ SP _VT_PROFISSAO_RESTAURANTE _22102020</t>
  </si>
  <si>
    <t>MATERIASSP1SPVTPROF-0XAU5AE</t>
  </si>
  <si>
    <t>SPTV2_22102020</t>
  </si>
  <si>
    <t>SPTV222102020MXF-0XAU61C</t>
  </si>
  <si>
    <t>G0015376</t>
  </si>
  <si>
    <t>BDBR_SP_23102020</t>
  </si>
  <si>
    <t>BDBRSP23102020MXF-0XAU8TS</t>
  </si>
  <si>
    <t>G0018687</t>
  </si>
  <si>
    <t>BDSP_23102020_TEMP</t>
  </si>
  <si>
    <t>03 e 04/11/2020</t>
  </si>
  <si>
    <t xml:space="preserve">G0015369 </t>
  </si>
  <si>
    <t>BRUTO IDOSOS DE MASCARA 23102020</t>
  </si>
  <si>
    <t>BRUTOIDOSOSDEMSCARA-0XAUFS6</t>
  </si>
  <si>
    <t>BRUTO ESPACO ESCOLA 23102020</t>
  </si>
  <si>
    <t>BRUTOESPACOESCOLA23-0XAUI68</t>
  </si>
  <si>
    <t>SPTV1_23102020</t>
  </si>
  <si>
    <t>SPTV123102020MXF-0XAU78W</t>
  </si>
  <si>
    <t>G0015373</t>
  </si>
  <si>
    <t>MATERIAS_SP1_SP_VT_PROFISSAO_EVASAOESCOLAR1_23102020</t>
  </si>
  <si>
    <t>MATERIASSP1SPVTPROF-0XAU789</t>
  </si>
  <si>
    <t>MATERIAS_SP1_SP_VT_PROFISSAO_EVASAOESCOLAR2_23102020</t>
  </si>
  <si>
    <t>MATERIASSP1SPPROFIS-0XAU7EP</t>
  </si>
  <si>
    <t>SPTV2_23102020</t>
  </si>
  <si>
    <t>SPTV223102020MXF-0XAU841</t>
  </si>
  <si>
    <t>G0015377</t>
  </si>
  <si>
    <t>SPTV1_24102020</t>
  </si>
  <si>
    <t>SPTV124102020MXF-0XAU8U4</t>
  </si>
  <si>
    <t>G0016288</t>
  </si>
  <si>
    <t>SPTV2_24102020</t>
  </si>
  <si>
    <t>SPTV224102020MXF-0XAU95U</t>
  </si>
  <si>
    <t>G0015378</t>
  </si>
  <si>
    <t>ANTENA_PAULISTA_25102020</t>
  </si>
  <si>
    <t>ANTENAPAULISTA25102-0XAUBAA</t>
  </si>
  <si>
    <t>G0016587</t>
  </si>
  <si>
    <t>BDBR_SP_26102020</t>
  </si>
  <si>
    <t>BDBRSP26102020MXF-0XAUAZO</t>
  </si>
  <si>
    <t>G0018688</t>
  </si>
  <si>
    <t>BDSP_26102020</t>
  </si>
  <si>
    <t>BDSP26102020MXF-0XAUAYF</t>
  </si>
  <si>
    <t>04 e 05/11/2020</t>
  </si>
  <si>
    <t>G0016588</t>
  </si>
  <si>
    <t>BRUTO ENTREVISTA MAURICIO DE SOUSA 26102020</t>
  </si>
  <si>
    <t>BRUTOENTREVISTAMAUR-0XAUFVY</t>
  </si>
  <si>
    <t>BRUTO DAU UTI INCOR 26102020</t>
  </si>
  <si>
    <t>BRUTODAUUTIINCOR261-0XAUFVS</t>
  </si>
  <si>
    <t>BRUTO ROUBO MORUMBI 26102020</t>
  </si>
  <si>
    <t>BRUTOROUBOMORUMBI26-0XAUFVX</t>
  </si>
  <si>
    <t>BRUTO AUMENTO REMEDIOS 26102020</t>
  </si>
  <si>
    <t>BRUTOAUMENTOREMEDIO-0XAUG4Q</t>
  </si>
  <si>
    <t>SPTV1_26102020</t>
  </si>
  <si>
    <t>SPTV126102020MXF-0XAUBGR</t>
  </si>
  <si>
    <t>G0016649</t>
  </si>
  <si>
    <t>SPTV2_26102020</t>
  </si>
  <si>
    <t>SPTV226102020MXF-0XAUCPW</t>
  </si>
  <si>
    <t>G0016650</t>
  </si>
  <si>
    <t>BDBR_SP_27102020</t>
  </si>
  <si>
    <t>BDBRSP27102020MXF-0XAUDNE</t>
  </si>
  <si>
    <t>G0018689</t>
  </si>
  <si>
    <t>BDSP_27102020</t>
  </si>
  <si>
    <t>BDSP27102020MXF-0XAUDN3</t>
  </si>
  <si>
    <t>05 e 06/11/2020</t>
  </si>
  <si>
    <t>G0016651</t>
  </si>
  <si>
    <t>SPTV1_27102020</t>
  </si>
  <si>
    <t>SPTV127102020MXF-0XAUDVW</t>
  </si>
  <si>
    <t>SPTV1_27102020_TEMP</t>
  </si>
  <si>
    <t>SPTV127102020TEMPMX-0XAUGUV</t>
  </si>
  <si>
    <t>Jeferson</t>
  </si>
  <si>
    <t>G0016652</t>
  </si>
  <si>
    <t>SPTV2_27102020</t>
  </si>
  <si>
    <t>SPTV227102020MXF-0XAUEYZ</t>
  </si>
  <si>
    <t>G0016653</t>
  </si>
  <si>
    <t>BRUTO SAO JUDAS 28102020</t>
  </si>
  <si>
    <t>BRUTOSAOJUDAS281020-0XAUIAJ</t>
  </si>
  <si>
    <t>BDBR_SP_28102020</t>
  </si>
  <si>
    <t>BDBRSP28102020MXF-0XAUG44</t>
  </si>
  <si>
    <t>G0018690</t>
  </si>
  <si>
    <t>BDSP_28102020</t>
  </si>
  <si>
    <t>BDSP28102020MXF-0XAUFS2</t>
  </si>
  <si>
    <t>G0016654</t>
  </si>
  <si>
    <t>SPTV1_28102020</t>
  </si>
  <si>
    <t>SPTV128102020MXF-0XAUG5Z</t>
  </si>
  <si>
    <t>G0016655</t>
  </si>
  <si>
    <t>SPTV2_28102020</t>
  </si>
  <si>
    <t>SPTV228102020MXF-0XAUGSZ</t>
  </si>
  <si>
    <t>SPTV2_28102020_TEMP</t>
  </si>
  <si>
    <t>SPTV228102020TEMPMX-0XAUIXN</t>
  </si>
  <si>
    <t>G0016656</t>
  </si>
  <si>
    <t>BRUTO JNAC - ZONA CEREALISTA - 28102020</t>
  </si>
  <si>
    <t>BRUTOJNACZONACEREAL-4LLUKE1</t>
  </si>
  <si>
    <t>BDBR_SP_29102020</t>
  </si>
  <si>
    <t>BDBRSP29102020MXF-0XAUHWI</t>
  </si>
  <si>
    <t>G0018691</t>
  </si>
  <si>
    <t>BDSP_29102020</t>
  </si>
  <si>
    <t>BDSP29102020MXF-0XAUHW8</t>
  </si>
  <si>
    <t>G0016484</t>
  </si>
  <si>
    <t>SPTV1_29102020</t>
  </si>
  <si>
    <t>SPTV129102020MXF-0XAUI80</t>
  </si>
  <si>
    <t>G0016820</t>
  </si>
  <si>
    <t>VT_SP1_DIVERSIDADE_MULHERES_29102020</t>
  </si>
  <si>
    <t>VTSP1DIVERSIDADEMUL-5258PT6</t>
  </si>
  <si>
    <t>SPTV2_29102020</t>
  </si>
  <si>
    <t>SPTV229102020MXF-0XAUIWM</t>
  </si>
  <si>
    <t>G0016821</t>
  </si>
  <si>
    <t>BRUTO MUDANCA RADAR 30102020</t>
  </si>
  <si>
    <t>BRUTOMUDANCARADAR28-1DU80T9</t>
  </si>
  <si>
    <t>BDBR_SP_30102020</t>
  </si>
  <si>
    <t>BDBRSP30102020MXF-1DU80Z5</t>
  </si>
  <si>
    <t>G0018692</t>
  </si>
  <si>
    <t>BDSP_30102020</t>
  </si>
  <si>
    <t>BDSP30102020MXF-1DU80VU</t>
  </si>
  <si>
    <t>G0016822</t>
  </si>
  <si>
    <t>SPTV1_30102020</t>
  </si>
  <si>
    <t>SPTV130102020MXF-1DU811F</t>
  </si>
  <si>
    <t>G0016823</t>
  </si>
  <si>
    <t>VT_SP1_NEGROS_30/10/2020</t>
  </si>
  <si>
    <t>VTSP1NEGROS30102020-5258PT7</t>
  </si>
  <si>
    <t>SPTV2_30102020</t>
  </si>
  <si>
    <t>SPTV230102020MXF-1DU81SQ</t>
  </si>
  <si>
    <t>G0016826</t>
  </si>
  <si>
    <t>JH</t>
  </si>
  <si>
    <t>BRUTO JH CLINICA DE VACINACAO 31102020</t>
  </si>
  <si>
    <t>Export to VIZRT ACERVO</t>
  </si>
  <si>
    <t>BRUTOJHCLINICADEVAC-4LLUNM2</t>
  </si>
  <si>
    <t>BRUTOJHCLINICADEVAC-4LLUNN2</t>
  </si>
  <si>
    <t>SPTV1_31102020</t>
  </si>
  <si>
    <t>SPTV131102020MXF-1DU8365</t>
  </si>
  <si>
    <t>12/11/2020 - 13/11/2020</t>
  </si>
  <si>
    <t>G0017608</t>
  </si>
  <si>
    <t>VT_SP1_LGBTO_31102020</t>
  </si>
  <si>
    <t>EXPort to VIZRT ACERVO JOR</t>
  </si>
  <si>
    <t>VTSP1LGBTO31102020M-5258PT8</t>
  </si>
  <si>
    <t>SPTV2_31102020</t>
  </si>
  <si>
    <t>SPTV231102020MXF-1DU83KV</t>
  </si>
  <si>
    <t>G0017609</t>
  </si>
  <si>
    <t>BRUTO JH - DECORACAO DE NATAL - 31102020</t>
  </si>
  <si>
    <t>BRUTOJHDECORACAODEN-4LLUHHG</t>
  </si>
  <si>
    <t>ANTENA_PAULISTA_01112020</t>
  </si>
  <si>
    <t>ANTENAPAULISTA01112-4LLUH59</t>
  </si>
  <si>
    <t>G0017610</t>
  </si>
  <si>
    <t>BDSP_02112020</t>
  </si>
  <si>
    <t>BDSP02112020MXF-4LLUGCN</t>
  </si>
  <si>
    <t>G0017611</t>
  </si>
  <si>
    <t>BDBR_SP_02112020</t>
  </si>
  <si>
    <t>BDBRSP02112020MXF-4LLUGB6</t>
  </si>
  <si>
    <t>G0018693</t>
  </si>
  <si>
    <t>SPTV1_02112020</t>
  </si>
  <si>
    <t>SPTV102112020MXF-4LLUGF3</t>
  </si>
  <si>
    <t>G0017612</t>
  </si>
  <si>
    <t>SPTV2_02112020</t>
  </si>
  <si>
    <t>SPTV202112020MXF-4LLUH09</t>
  </si>
  <si>
    <t>G0017613</t>
  </si>
  <si>
    <t>BRUTO JN - MARCHA PARA JESUS - 02112020</t>
  </si>
  <si>
    <t>BRUTOJNMARCHAPARAJE-4LLUHHH</t>
  </si>
  <si>
    <t>BRUTO SP1 CEMITERIO FINADOS 02112020</t>
  </si>
  <si>
    <t>BRUTOSP1CEMITERIOFI-4LLUHQ7</t>
  </si>
  <si>
    <t>SPTV1_03112020</t>
  </si>
  <si>
    <t>SPTV103112020MXF-4LLUIAL</t>
  </si>
  <si>
    <t>G0017614</t>
  </si>
  <si>
    <t>BDBR_SP_03112020</t>
  </si>
  <si>
    <t>BDBRSP03112020MXF-4LLUIP1</t>
  </si>
  <si>
    <t xml:space="preserve">Amanda </t>
  </si>
  <si>
    <t>G0018694</t>
  </si>
  <si>
    <t>SPTV2_03112020</t>
  </si>
  <si>
    <t>SPTV203112020MXF-4LLUJ3F</t>
  </si>
  <si>
    <t>G0017615</t>
  </si>
  <si>
    <t>BDSP_03112020</t>
  </si>
  <si>
    <t>BDSP03112020MXF-4LLUIIC</t>
  </si>
  <si>
    <t>BDSP_03112020_TEMP</t>
  </si>
  <si>
    <t>BDSP03112020TEMPMXF-4LLUK98</t>
  </si>
  <si>
    <t>G0017616</t>
  </si>
  <si>
    <t>BRUTO SP1 VOLTA AULAS 03112020</t>
  </si>
  <si>
    <t>BRUTOSP1VOLTAAULAS0-4LLUM8H</t>
  </si>
  <si>
    <t>BRUTO VOLTA AULAS ENSINO MEDIO 03112020</t>
  </si>
  <si>
    <t>BRUTOVOLTAAULASENSI-4LLULV2</t>
  </si>
  <si>
    <t>BDSP_04112020</t>
  </si>
  <si>
    <t>BDSP04112020-4LLUKH9</t>
  </si>
  <si>
    <t>G0017617</t>
  </si>
  <si>
    <t>SPTV1_04112020</t>
  </si>
  <si>
    <t>SPTV104112020-4LLUKHQ</t>
  </si>
  <si>
    <t>SPTV1_04112020_TEMP</t>
  </si>
  <si>
    <t>SPTV104112020AVIDGA-4LLUMNO</t>
  </si>
  <si>
    <t>G0017618</t>
  </si>
  <si>
    <t>BDBR_SP_04112020</t>
  </si>
  <si>
    <t>BDBRSP04112020MXF-4LLUKM2</t>
  </si>
  <si>
    <t>G0018695</t>
  </si>
  <si>
    <t>SPTV2_04112020</t>
  </si>
  <si>
    <t>SPTV204112020MXF-4LLUKXF</t>
  </si>
  <si>
    <t>G0017619</t>
  </si>
  <si>
    <t>BRUTO SP1 LIMPA NOME 04112020</t>
  </si>
  <si>
    <t>BRUTOSP1LIMPANOME04-4LLULVL</t>
  </si>
  <si>
    <t>BDSP_05112020</t>
  </si>
  <si>
    <t xml:space="preserve">Export to VIZRT ACERVO </t>
  </si>
  <si>
    <t>BDSP05112020-4LLULQM</t>
  </si>
  <si>
    <t>G0018007</t>
  </si>
  <si>
    <t>VT BDSP</t>
  </si>
  <si>
    <t>VT BDSP PREP MECANICO 05112020</t>
  </si>
  <si>
    <t>VTBDSPPREPMECANICO0-5IOM8U3</t>
  </si>
  <si>
    <t>SPTV105112020-4LLUM94</t>
  </si>
  <si>
    <t>G0018008</t>
  </si>
  <si>
    <t>BDBR_SP_05112020</t>
  </si>
  <si>
    <t>BDBRSP05112020MXF-4LLUMD9</t>
  </si>
  <si>
    <t>G0018696</t>
  </si>
  <si>
    <t>SPTV2_05112020</t>
  </si>
  <si>
    <t>SPTV205112020-4LLUN4O</t>
  </si>
  <si>
    <t>G0018009</t>
  </si>
  <si>
    <t>BRUTO JNAC CENTRO DE DISTRIBUICAO MAGAZINE LUIZA 05112020</t>
  </si>
  <si>
    <t>BRUTOJNACCENTRODEDI-4LLUNK2</t>
  </si>
  <si>
    <t>BRUTO SP1 INSTITUTO PROA 05112020</t>
  </si>
  <si>
    <t>BRUTOSP1INSTITUTOPR-4LLUNNJ</t>
  </si>
  <si>
    <t>BRUTO BDBR FASHION WEEK 05112020</t>
  </si>
  <si>
    <t>BRUTOBDBRFASHIONWEE-4LLUNOY</t>
  </si>
  <si>
    <t>BRUTO BDBR FASHION WEEK 05112020_TEMP2</t>
  </si>
  <si>
    <t>BRUTOBDBRFASHIONWEE-4LLUNSQ</t>
  </si>
  <si>
    <t>BRUTO PROTESTO FEMINISTA 05112020</t>
  </si>
  <si>
    <t>FOI ARQUIVADO DIRETO NO ID DEFINITIVO</t>
  </si>
  <si>
    <t>FANT</t>
  </si>
  <si>
    <t>BRUTO FANT CLAUDIA RAIA 05112020</t>
  </si>
  <si>
    <t>BRUTOFANTCLAUDIARAI-5258F1B</t>
  </si>
  <si>
    <t>BRUTO FANT GAMER NOBRU 05112020</t>
  </si>
  <si>
    <t>BRUTOFANTGAMERNOBRU-5258F4G</t>
  </si>
  <si>
    <t>BRUTO FANT GAMER NOBRU 05112020_REENVIO</t>
  </si>
  <si>
    <t>BRUTOFANTGAMERNOBRU-5258GCD</t>
  </si>
  <si>
    <t>BDSP-06112020</t>
  </si>
  <si>
    <t>G0018796</t>
  </si>
  <si>
    <t>BDBR_SP_06112020</t>
  </si>
  <si>
    <t>BDBRSP06112020-4LLUOB3</t>
  </si>
  <si>
    <t>G0018697</t>
  </si>
  <si>
    <t>SPTV1_06112020</t>
  </si>
  <si>
    <t>00:41:02:21</t>
  </si>
  <si>
    <t>SPTV106112020MXF-4LLUOVX</t>
  </si>
  <si>
    <t>G0018791</t>
  </si>
  <si>
    <t>SPTV2_06112020</t>
  </si>
  <si>
    <t>SPTV206112020-4LLUOSW</t>
  </si>
  <si>
    <t>SPTV2_06112020_TEMP</t>
  </si>
  <si>
    <t>SPTV209112020-5258B09</t>
  </si>
  <si>
    <t>G0018792</t>
  </si>
  <si>
    <t>SPTV1_07112020</t>
  </si>
  <si>
    <t>SPTV107112020MXF-4LLUQ9A</t>
  </si>
  <si>
    <t>G0018793</t>
  </si>
  <si>
    <t>SPTV2_07112020</t>
  </si>
  <si>
    <t>SPTV207112020-4LLUQ6L</t>
  </si>
  <si>
    <t>G0018794</t>
  </si>
  <si>
    <t>ANTENA_PAULISTA_08112020</t>
  </si>
  <si>
    <t>ANTENAPAULISTA08112-4LLUSZN</t>
  </si>
  <si>
    <t>G0018795</t>
  </si>
  <si>
    <t>BDSP_09112020</t>
  </si>
  <si>
    <t>NÃO LOCALIZADO NO VIZ</t>
  </si>
  <si>
    <t>BDSP_09112020_REENVO3X</t>
  </si>
  <si>
    <t>BDSP09112020REENVO3-5258D44</t>
  </si>
  <si>
    <t>G0018797</t>
  </si>
  <si>
    <t>BDBR_SP_09112020</t>
  </si>
  <si>
    <t>BDBRSP09112020MXF-4LLUSZ9</t>
  </si>
  <si>
    <t>BDBR_SP_09112020_REENVIO3X</t>
  </si>
  <si>
    <t>BDBRSP09112020REENV-5258CXR</t>
  </si>
  <si>
    <t>G0018798</t>
  </si>
  <si>
    <t>SPTV1_09112020</t>
  </si>
  <si>
    <t>SPTV109112020-4LLUSZL</t>
  </si>
  <si>
    <t>SPTV109112020GTWMXF-5IOMCYS</t>
  </si>
  <si>
    <t>G0018799</t>
  </si>
  <si>
    <t>SPTV2_09112020</t>
  </si>
  <si>
    <t>G0018800</t>
  </si>
  <si>
    <t>BRUTO SP1 HOME OFFICE 09112020</t>
  </si>
  <si>
    <t>BRUTOSP1HOMEOFFICE0-5258BTV</t>
  </si>
  <si>
    <t>BDSP_10112020</t>
  </si>
  <si>
    <t>BDSP10112020-5258BTM</t>
  </si>
  <si>
    <t>G0018698</t>
  </si>
  <si>
    <t>BDBR_SP_10112020</t>
  </si>
  <si>
    <t>BDBRSP10112020-5258BTJ</t>
  </si>
  <si>
    <t>G0018801</t>
  </si>
  <si>
    <t>SPTV1_10112020</t>
  </si>
  <si>
    <t>SPTV110112020-5258BJZ</t>
  </si>
  <si>
    <t>G0018802</t>
  </si>
  <si>
    <t>SPTV2_10112020</t>
  </si>
  <si>
    <t>SPTV210112020-5258CVU</t>
  </si>
  <si>
    <t>G0019070</t>
  </si>
  <si>
    <t>BRUTO SP2 CAMARA MUNICIPAL 10112020</t>
  </si>
  <si>
    <t>BRUTOSP2CAMARAMUNIC-5258DHT</t>
  </si>
  <si>
    <t>BDSP_11112020</t>
  </si>
  <si>
    <t>BDSP11112020-5258EFN</t>
  </si>
  <si>
    <t>BDSP_11112020_REENVIO</t>
  </si>
  <si>
    <t>BDSP11112020AVIDGTW-5258GD0</t>
  </si>
  <si>
    <t>G0019574</t>
  </si>
  <si>
    <t>BDBR_SP_11112020</t>
  </si>
  <si>
    <t>BDBRSP11112020-5258DCK</t>
  </si>
  <si>
    <t>G0019575</t>
  </si>
  <si>
    <t>SPTV1_11112020</t>
  </si>
  <si>
    <t>SPTV111112020-5258DCL</t>
  </si>
  <si>
    <t>G0019587</t>
  </si>
  <si>
    <t>SPTV2_11112020</t>
  </si>
  <si>
    <t>SPTV211112020-5258F0I</t>
  </si>
  <si>
    <t>G0019591</t>
  </si>
  <si>
    <t>BRUTO SP1 RELOGIO CALENDARIO 11112020</t>
  </si>
  <si>
    <t>BRUTOSP1RELOGIOCALE-5IOMM2F</t>
  </si>
  <si>
    <t>BDSP_12112020</t>
  </si>
  <si>
    <t>SPTV212112020-5258GBA</t>
  </si>
  <si>
    <t>G0019611</t>
  </si>
  <si>
    <t>VT BDSP PREP PORTEIRO 12112020</t>
  </si>
  <si>
    <t>VTBDSPPREPPORTEIRO1-5IOM8V9</t>
  </si>
  <si>
    <t>BDBR_SP_12112020</t>
  </si>
  <si>
    <t>BDBRSP12112020-5258F0L</t>
  </si>
  <si>
    <t>G0019612</t>
  </si>
  <si>
    <t>SPTV1_12112020</t>
  </si>
  <si>
    <t>SPTV112112020-5258GBC</t>
  </si>
  <si>
    <t>G0019715</t>
  </si>
  <si>
    <t>SPTV2_12112020</t>
  </si>
  <si>
    <t xml:space="preserve">G0019613 </t>
  </si>
  <si>
    <t>BDSP_13112020</t>
  </si>
  <si>
    <t>BDSP13112020-5258GUW</t>
  </si>
  <si>
    <t>G0020216</t>
  </si>
  <si>
    <t>BDBR_SP_13112020</t>
  </si>
  <si>
    <t>BDBRSP13112020-5258GD5</t>
  </si>
  <si>
    <t>G0020214</t>
  </si>
  <si>
    <t>SPTV1_13112020</t>
  </si>
  <si>
    <t>SPTV13112020-5258GUX</t>
  </si>
  <si>
    <t>G0020217</t>
  </si>
  <si>
    <t>SPTV2_13112020</t>
  </si>
  <si>
    <t>SPTV213112020-5258L6R</t>
  </si>
  <si>
    <t>G0020313</t>
  </si>
  <si>
    <t>SPTV1_14112020</t>
  </si>
  <si>
    <t>SPTV14112020-5258KE3</t>
  </si>
  <si>
    <t>G0020215</t>
  </si>
  <si>
    <t>SPTV2_14112020</t>
  </si>
  <si>
    <t>SPTV214112020-5258M6S</t>
  </si>
  <si>
    <t>SPTV2_14112020_WTF</t>
  </si>
  <si>
    <t>SPTV214112020WTFMXF-5258O8Z</t>
  </si>
  <si>
    <t>G0020314</t>
  </si>
  <si>
    <t>ELEIÇÕES</t>
  </si>
  <si>
    <t>ACERVO_ELEIÇOES_SP_15112020</t>
  </si>
  <si>
    <t>Export to VIZRT ACERVO (RJ)</t>
  </si>
  <si>
    <t>ACERVOELEIOESSP1511-5258M5E</t>
  </si>
  <si>
    <t>ANTENA_ELEIÇOES_15112020</t>
  </si>
  <si>
    <t>ANTENAELEIOES151120-5258MA4</t>
  </si>
  <si>
    <t>ANTENA_ELEIÇOES_15112020_TEMP</t>
  </si>
  <si>
    <t>ANTENAELEIOES151120-5258O5D</t>
  </si>
  <si>
    <t>G0020291</t>
  </si>
  <si>
    <t>BRUTO BDSP ELEICAO SP 15112020</t>
  </si>
  <si>
    <t>BRUTOBDSPELEICAOSP1-5258M5F</t>
  </si>
  <si>
    <t>BRUTO BDSP ELEICAO OSASCO 15112020</t>
  </si>
  <si>
    <t>BRUTOBDSPELEICAOOSA-5258M5L</t>
  </si>
  <si>
    <t>BRUTO BDSP ELEICAO SANTO ANDRE 15112020</t>
  </si>
  <si>
    <t>BRUTOBDSPELEICAOSAN-5258M5K</t>
  </si>
  <si>
    <t>BRUTO BDSP ELEICAO GUARULHOS 15112020</t>
  </si>
  <si>
    <t>BRUTOBDSPELEICAOGUA-5258M80</t>
  </si>
  <si>
    <t>BRUTO BDSP ELEICAO SAO BERNARDO 15112020</t>
  </si>
  <si>
    <t>BRUTOBDSPELEICAOSAO-5258M8F</t>
  </si>
  <si>
    <t>BDSP-16112020</t>
  </si>
  <si>
    <t>BDSP16112020-5258KVD</t>
  </si>
  <si>
    <t>G0020320</t>
  </si>
  <si>
    <t>BDBR_SP_16112020</t>
  </si>
  <si>
    <t>BDBRSP16112020-5258M6P</t>
  </si>
  <si>
    <t>BDBRSP16112020MXF-5258M7C</t>
  </si>
  <si>
    <t>G0020325</t>
  </si>
  <si>
    <t>SPTV1_16112020</t>
  </si>
  <si>
    <t>SPTV116112020-5258M9Y</t>
  </si>
  <si>
    <t>SPTV1_16112020_WTF</t>
  </si>
  <si>
    <t>SPTV116112020WTFMXF-5258OAG</t>
  </si>
  <si>
    <t>G0020326</t>
  </si>
  <si>
    <t>SPTV2_16112020</t>
  </si>
  <si>
    <t>SPTV216112020-5258MJJ</t>
  </si>
  <si>
    <t>SPTV2_16112020_WTF</t>
  </si>
  <si>
    <t>SPTV216112020WTFMXF-5258O91</t>
  </si>
  <si>
    <t>G0020315</t>
  </si>
  <si>
    <t>BDSP_17112020</t>
  </si>
  <si>
    <t>BDSP17112020-5258M5I</t>
  </si>
  <si>
    <t>G0020663</t>
  </si>
  <si>
    <t>BDBR_SP_17112020</t>
  </si>
  <si>
    <t>BDBRSP17112020-5258M4G</t>
  </si>
  <si>
    <t>BDBRSP17112020MXF-5258MF4</t>
  </si>
  <si>
    <t>G0020665</t>
  </si>
  <si>
    <t>SPTV1_17112020</t>
  </si>
  <si>
    <t xml:space="preserve">Export to VIZRT ACERVOJOR </t>
  </si>
  <si>
    <t>NÃO CHEGOU AO VIZ</t>
  </si>
  <si>
    <t>SPTV1_17112020_GTW</t>
  </si>
  <si>
    <t>SPTV117112020GTW-5258PZG</t>
  </si>
  <si>
    <t>G0020666</t>
  </si>
  <si>
    <t>MATERIA_SP1_SP_VT_PROFISSÃO_ACERVOSP1PREP FOME1_17112020</t>
  </si>
  <si>
    <t>MATERIASP1SPVTPROFI-5258MND</t>
  </si>
  <si>
    <t>SPTV2_17112020</t>
  </si>
  <si>
    <t>SPTV217112020-5258NCZ</t>
  </si>
  <si>
    <t>SPTV2_17112020_WTF</t>
  </si>
  <si>
    <t>SPTV217112020WTFMXF-5258O9F</t>
  </si>
  <si>
    <t>G0020668</t>
  </si>
  <si>
    <t>JNAC</t>
  </si>
  <si>
    <t>BRUTO JNAC BUTANTAN VACINAS 17112020</t>
  </si>
  <si>
    <t>BRUTOJNACBUTANTANVA-5IOM8TW</t>
  </si>
  <si>
    <t>BRUTOJNACBUTANTANVA-5IOM8UQ</t>
  </si>
  <si>
    <t>BRUTO JH FABRICA SINOVAC 18112020</t>
  </si>
  <si>
    <t>BRUTOJHFABRICASINOV-5258Q9G</t>
  </si>
  <si>
    <t>BDSP_18112020</t>
  </si>
  <si>
    <t>BDSP18112020-5258O62</t>
  </si>
  <si>
    <t>G0020664</t>
  </si>
  <si>
    <t>BDBR_SP_18112020</t>
  </si>
  <si>
    <t>BDBRSP18112020MXF-5258O44</t>
  </si>
  <si>
    <t>G0020808</t>
  </si>
  <si>
    <t>SPTV1_18112020</t>
  </si>
  <si>
    <t>FOI ENVIADO PARA O CAMINHO ERRADO</t>
  </si>
  <si>
    <t>SPTV118112020-5258Q1R</t>
  </si>
  <si>
    <t>G0020667</t>
  </si>
  <si>
    <t>VT_SP1_ACERVOSP1PREPFOME2_18112020</t>
  </si>
  <si>
    <t>VTSP1ACERVOSP1PREPF-5258OIS</t>
  </si>
  <si>
    <t>SPTV2_18112020</t>
  </si>
  <si>
    <t>SPTV218112020-5258P80</t>
  </si>
  <si>
    <t>G0020669</t>
  </si>
  <si>
    <t>BDSP_19112020</t>
  </si>
  <si>
    <t>BDSP19112020-5IOM8UP</t>
  </si>
  <si>
    <t>G0020836</t>
  </si>
  <si>
    <t>BDBR_SP_19112020</t>
  </si>
  <si>
    <t xml:space="preserve">19/11/2020 10:06
</t>
  </si>
  <si>
    <t>BDBRSP19112020-5258PZF</t>
  </si>
  <si>
    <t xml:space="preserve">BDBRSP19112020MXF-5258Q3I
</t>
  </si>
  <si>
    <t>G0020838</t>
  </si>
  <si>
    <t>SPTV1_19112020</t>
  </si>
  <si>
    <t>SPTV119112020-5IOM8UB</t>
  </si>
  <si>
    <t>G0020840</t>
  </si>
  <si>
    <t>SPTV2_19112020</t>
  </si>
  <si>
    <t>SPTV219112020-5258R3O</t>
  </si>
  <si>
    <t>SPTV219112020FEEDFE-5IOM90B</t>
  </si>
  <si>
    <t>G0021630</t>
  </si>
  <si>
    <t>BRUTO SP1 DECORAÇAO NATAL 19112020</t>
  </si>
  <si>
    <t>BRUTOSP1DECORAAONAT-5IOMDBX</t>
  </si>
  <si>
    <t>BDSP_20112020</t>
  </si>
  <si>
    <t>BDSP20112020-5IOM91X</t>
  </si>
  <si>
    <t>G0020837</t>
  </si>
  <si>
    <t>BDBR_SP_20112020</t>
  </si>
  <si>
    <t xml:space="preserve">BDBRSP20112020-5IOM8UV
</t>
  </si>
  <si>
    <t>BDBR_SP_20112020_WTF</t>
  </si>
  <si>
    <t>BDBRSP20112020WTF2M-5IOMD75</t>
  </si>
  <si>
    <t>G0020839</t>
  </si>
  <si>
    <t>SPTV1_20112020</t>
  </si>
  <si>
    <t>SPTV120112020-5IOM986</t>
  </si>
  <si>
    <t>26 e 27/11/2020</t>
  </si>
  <si>
    <t>G0020841</t>
  </si>
  <si>
    <t>SPTV2_20112020</t>
  </si>
  <si>
    <t>SPTV220112020-5IOM9MN</t>
  </si>
  <si>
    <t>G0021631</t>
  </si>
  <si>
    <t>BRUTO BDSP PROTESTO RACISMO VIDAS NEGRAS 20112020</t>
  </si>
  <si>
    <t>BRUTOBDSPPROTESTORA-5IOMM1C</t>
  </si>
  <si>
    <t>BRUTOBDSPPROTESTORA-5IOMM49</t>
  </si>
  <si>
    <t>SPTV1_21112020</t>
  </si>
  <si>
    <t>SPTV121112020-5IOMAFW</t>
  </si>
  <si>
    <t>G0020842</t>
  </si>
  <si>
    <t>SPTV2_21112020</t>
  </si>
  <si>
    <t>SPTV221112020WTFMXF-5IOMD1H</t>
  </si>
  <si>
    <t>G0021623</t>
  </si>
  <si>
    <t>ANTENA_PAULISTA_22112020</t>
  </si>
  <si>
    <t xml:space="preserve">ANTENAPAULISTA22112-5IOMDHK
</t>
  </si>
  <si>
    <t>G0021625</t>
  </si>
  <si>
    <t>BDSP_23112020</t>
  </si>
  <si>
    <t>BDSP23112020GTW-5IOMDOA</t>
  </si>
  <si>
    <t>G0021626</t>
  </si>
  <si>
    <t>BDBR_SP_23112020</t>
  </si>
  <si>
    <t xml:space="preserve">BDBRSP23112020-5IOMD88
</t>
  </si>
  <si>
    <t>G0021627</t>
  </si>
  <si>
    <t>SPTV1_23112020</t>
  </si>
  <si>
    <t>SPTV123112020-5IOMDQ7</t>
  </si>
  <si>
    <t>G0021629</t>
  </si>
  <si>
    <t>SPTV2_23112020</t>
  </si>
  <si>
    <t>SPTV223112020-5IOMEH0</t>
  </si>
  <si>
    <t>G0021624</t>
  </si>
  <si>
    <t>BRUTO BDSP SANITIZA TREM 23112020</t>
  </si>
  <si>
    <t>BRUTOBDSPSANITIZATR-5IOMFOO</t>
  </si>
  <si>
    <t>BDSP_24112020</t>
  </si>
  <si>
    <t>BDSP24112020-5IOMFI0</t>
  </si>
  <si>
    <t>11 e 14/12/2020</t>
  </si>
  <si>
    <t>G0022117</t>
  </si>
  <si>
    <t>VT BDSP PREP CABELEIREIRO 12112020</t>
  </si>
  <si>
    <t>VTBDSPPREPCABELEIRE-5IOM8U4</t>
  </si>
  <si>
    <t>BDBR_SP_24112020</t>
  </si>
  <si>
    <t>BDBRSP24112020-5IOMFB5</t>
  </si>
  <si>
    <t>G0021628</t>
  </si>
  <si>
    <t>SPTV1_24112020</t>
  </si>
  <si>
    <t>SPTV124112020-5IOMFJR</t>
  </si>
  <si>
    <t>G0022118</t>
  </si>
  <si>
    <t>SPTV2_24112020</t>
  </si>
  <si>
    <t>SPTV224112020-5IOMGLS</t>
  </si>
  <si>
    <t>G0022119</t>
  </si>
  <si>
    <t>BRUTO SP1 FILA SINDICATO ENFERMEIROS 24112020</t>
  </si>
  <si>
    <t>BRUTOSP1FILASINDICA-5IOMFON</t>
  </si>
  <si>
    <t>BRUTO SP1 PREPARA ELEICAO 24112020</t>
  </si>
  <si>
    <t>BRUTOSP1PREPARAELEI-5IOMFOL</t>
  </si>
  <si>
    <t>BDSP_25112020</t>
  </si>
  <si>
    <t>BDSP25112020-5IOMI8Y</t>
  </si>
  <si>
    <t>G0022227</t>
  </si>
  <si>
    <t>BDBR_SP_25112020</t>
  </si>
  <si>
    <t>BDBRSP25112020-5IOMHI9</t>
  </si>
  <si>
    <t>G0022231</t>
  </si>
  <si>
    <t>SPTV1_25112020</t>
  </si>
  <si>
    <t>SPTV125112020-5IOMIGZ</t>
  </si>
  <si>
    <t>G0022217</t>
  </si>
  <si>
    <t>SPTV2_25112020</t>
  </si>
  <si>
    <t>SPTV225112020-5IOMJ1C</t>
  </si>
  <si>
    <t>G0022222</t>
  </si>
  <si>
    <t>BDSP_26112020</t>
  </si>
  <si>
    <t>BDSP26112020-5IOMKBY</t>
  </si>
  <si>
    <t>G0022228</t>
  </si>
  <si>
    <t>amanda</t>
  </si>
  <si>
    <t>BDBR_SP_26112020</t>
  </si>
  <si>
    <t>BDBRSP26112020-5IOMK9Q</t>
  </si>
  <si>
    <t>G0022232</t>
  </si>
  <si>
    <t>SPTV1_26112020</t>
  </si>
  <si>
    <t>NEWSEQUENCE01-5IOMKCE</t>
  </si>
  <si>
    <t>G0022218</t>
  </si>
  <si>
    <t>SPTV2_26112020</t>
  </si>
  <si>
    <t>SPTV226112020-5IOMKWZ</t>
  </si>
  <si>
    <t>G0022223</t>
  </si>
  <si>
    <t>BRUTO JNAC KIT TESTES 26112020</t>
  </si>
  <si>
    <t>BRUTOJNACKITTESTES2-96ZML6X</t>
  </si>
  <si>
    <t>BDBR</t>
  </si>
  <si>
    <t>BRUTO BDBR MERCADO LIVRE 26112020</t>
  </si>
  <si>
    <t>BRUTOBDBRMERCADOLIV-96ZMOYY</t>
  </si>
  <si>
    <t>BRUTO BDBR MERCADO LIVRE 26112020_temp</t>
  </si>
  <si>
    <t>BRUTOBDBRMERCADOLIV-96ZMPWA</t>
  </si>
  <si>
    <t>BDSP_27112020</t>
  </si>
  <si>
    <t>BDSP27112020-5IOMM0U</t>
  </si>
  <si>
    <t>21 e 22/12/2020</t>
  </si>
  <si>
    <t>G0022229</t>
  </si>
  <si>
    <t>BDBR_SP_27112020</t>
  </si>
  <si>
    <t>BDBRSP27112020-5IOMLUA</t>
  </si>
  <si>
    <t>G0022233</t>
  </si>
  <si>
    <t>SPTV1_27112020</t>
  </si>
  <si>
    <t>SPTV127112020-5IOMM0B</t>
  </si>
  <si>
    <t>G0022219</t>
  </si>
  <si>
    <t>SPTV2_27112020</t>
  </si>
  <si>
    <t>SPTV227112020-5IOMMOS</t>
  </si>
  <si>
    <t>G0022224</t>
  </si>
  <si>
    <t>BRUTO BDSP PROTESTO AV 9 DE JULHO RACISM</t>
  </si>
  <si>
    <t>BRUTOBDSPPROTESTOAV-5IOMM1E</t>
  </si>
  <si>
    <t>PREP</t>
  </si>
  <si>
    <t>BRUTO PREP AEREA PAULISTA 27112020</t>
  </si>
  <si>
    <t>BRUTOPREPAEREAPAULI-A42EJ39</t>
  </si>
  <si>
    <t>SPTV1_28112020</t>
  </si>
  <si>
    <t>SPTV128112020-5IOMN8T</t>
  </si>
  <si>
    <t>G0022220</t>
  </si>
  <si>
    <t>SPTV2_28112020</t>
  </si>
  <si>
    <t>SPTV228112020-5IOMODL</t>
  </si>
  <si>
    <t>G0022225</t>
  </si>
  <si>
    <t>ANTENA PAULISTA ELEIÇOES 29112020</t>
  </si>
  <si>
    <t>ANTENAPAULISTAELEIO-5Z806H4</t>
  </si>
  <si>
    <t>G0022235</t>
  </si>
  <si>
    <t>ELEIÇOES GIROS SEGUNDO TURNO 29112020</t>
  </si>
  <si>
    <t>ELEIOESGIROSSEGUNDO-5Z806OX</t>
  </si>
  <si>
    <t>GERAL</t>
  </si>
  <si>
    <t>BRUTO AÉREA PUC SP  29112020</t>
  </si>
  <si>
    <t>BRUTOAREAPUCSP29112-5Z806Q4</t>
  </si>
  <si>
    <t>BRUTOAREAPUCSP29112-96ZMKRV</t>
  </si>
  <si>
    <t>ELEIÇOES DISCURSO DORIA E COVAS 29112020</t>
  </si>
  <si>
    <t>ELEIOESDISCURSODORI-5Z806P2</t>
  </si>
  <si>
    <t>BRUTO ELEIÇAO SEGUNDO TURNO 29112020</t>
  </si>
  <si>
    <t>BRUTOELEIAOSEGUNDOT-96ZMPVF</t>
  </si>
  <si>
    <t>BRUTO BDSP FESTA CLANDESTINA 30112020</t>
  </si>
  <si>
    <t>BRUTOBDSPFESTACLAND-96ZMKY5</t>
  </si>
  <si>
    <t>BRUTO JNAC SEMAFORO 30112020</t>
  </si>
  <si>
    <t>BRUTOJNACSEMAFORO30-96ZMO8V</t>
  </si>
  <si>
    <t>BDSP_30112020</t>
  </si>
  <si>
    <t>BDSP30112020-5Z807YY</t>
  </si>
  <si>
    <t>G0022215</t>
  </si>
  <si>
    <t>BDBR_SP_30112020</t>
  </si>
  <si>
    <t>BDBRSP30112020-5Z807Z0</t>
  </si>
  <si>
    <t>G0022216</t>
  </si>
  <si>
    <t>G0022221</t>
  </si>
  <si>
    <t>ARQUIVAMENTO AUTOMÁTICO</t>
  </si>
  <si>
    <t>G0022226</t>
  </si>
  <si>
    <t>G0022449</t>
  </si>
  <si>
    <t>G0022453</t>
  </si>
  <si>
    <t>G0022457</t>
  </si>
  <si>
    <t>G0022462</t>
  </si>
  <si>
    <t>ACERVO JNAC HOSPITAL AC CAMARGO 02122020</t>
  </si>
  <si>
    <t>ACERVOJNACHOSPITALA-96ZMRSH</t>
  </si>
  <si>
    <t>BRUTO JNAC CORREGEDORIA 01122020</t>
  </si>
  <si>
    <t>BRUTOJNACCORREGEDOR-96ZMO8Y</t>
  </si>
  <si>
    <t>BRUTO SP2 FASE AMARELA ACADEMIA 02122020</t>
  </si>
  <si>
    <t>BRUTOSP2FASEAMARELA-96ZMYZ1</t>
  </si>
  <si>
    <t>G0022450</t>
  </si>
  <si>
    <t>G0022454</t>
  </si>
  <si>
    <t>G0022458</t>
  </si>
  <si>
    <t>ERRO/ NO MEDIA</t>
  </si>
  <si>
    <t>G0022458_TEMP2</t>
  </si>
  <si>
    <t>G0022458TEMP4MXF-96ZMXI4</t>
  </si>
  <si>
    <t>G0022463</t>
  </si>
  <si>
    <t>G0022451</t>
  </si>
  <si>
    <t>G0022455</t>
  </si>
  <si>
    <t>G0022459</t>
  </si>
  <si>
    <t>MATERIAS_SP1_VT_PROFISSAO_EMILIO_RIBAS_03122020</t>
  </si>
  <si>
    <t>MATERIASSP1VTPROFIS-96ZMQD0</t>
  </si>
  <si>
    <t>G0022464</t>
  </si>
  <si>
    <t>BRUTO JH FACHADA INSTITUTO DE CRIMINALISTICA 03122020</t>
  </si>
  <si>
    <t>BRUTOJHFACHADAINSTI-96ZMTL0</t>
  </si>
  <si>
    <t>BRUTO JH INSTITUTO DE CRIMINALISTICA 03122020_TEMP2</t>
  </si>
  <si>
    <t>BRUTOJHINSTITUTODEC-96ZMTLO</t>
  </si>
  <si>
    <t>BRUTO BDSP PAPAI NOEL 03122020</t>
  </si>
  <si>
    <t>BRUTOBDSPPAPAINOEL0-96ZMRR3</t>
  </si>
  <si>
    <t>G0022452</t>
  </si>
  <si>
    <t>G0022456</t>
  </si>
  <si>
    <t>G0022460</t>
  </si>
  <si>
    <t>G0022465</t>
  </si>
  <si>
    <t>VT SP1 PREP EMILIO RIBAS 2 04122020</t>
  </si>
  <si>
    <t>VTSP1PREPEMILIORIBA-96ZMTLQ</t>
  </si>
  <si>
    <t xml:space="preserve">BRUTO </t>
  </si>
  <si>
    <t>BRUTO BDSP ARVORE NATAL MARGINAL 0412202</t>
  </si>
  <si>
    <t>BRUTOBDSPARVORENATA-A42EEPS</t>
  </si>
  <si>
    <t>G0022461</t>
  </si>
  <si>
    <t>G0022466</t>
  </si>
  <si>
    <t>G0022466_v2</t>
  </si>
  <si>
    <t>G0022466V2-96ZMV3U</t>
  </si>
  <si>
    <t>G0022467</t>
  </si>
  <si>
    <t>G0022467_temp</t>
  </si>
  <si>
    <t>REENVIADO 2x</t>
  </si>
  <si>
    <t>G0022467TEMPMXF-96ZMXAE</t>
  </si>
  <si>
    <t>BRUTO BDSP PAPAI NOEL POR VÍDEO 06122020</t>
  </si>
  <si>
    <t>BRUTOBDSPPAPAINOELP-96ZMZAJ</t>
  </si>
  <si>
    <t>G00241500</t>
  </si>
  <si>
    <t>G0024150</t>
  </si>
  <si>
    <t>G0024155</t>
  </si>
  <si>
    <t>G0024160</t>
  </si>
  <si>
    <t>G0024171</t>
  </si>
  <si>
    <t>BRUTO JNAC BIENAL DO LIVRO VIRTUAL 07122020</t>
  </si>
  <si>
    <t>BRUTOJNACBIENALDOLI-9NJ0JOX</t>
  </si>
  <si>
    <t>G0024151</t>
  </si>
  <si>
    <t>G0024156</t>
  </si>
  <si>
    <t>G0024166</t>
  </si>
  <si>
    <t>G0024172</t>
  </si>
  <si>
    <t>BRUTO JNAC LIVRARIA 08122020</t>
  </si>
  <si>
    <t>BRUTOJNACLIVRARIA08-9NJ0JFK</t>
  </si>
  <si>
    <t>BRUTO JNAC LIVRARIA 08122020_TEMP</t>
  </si>
  <si>
    <t>BRUTOJNACLIVRARIA08-9NJ0MZK</t>
  </si>
  <si>
    <t>Alicia</t>
  </si>
  <si>
    <t>G0024152</t>
  </si>
  <si>
    <t>G0024157</t>
  </si>
  <si>
    <t>VT SP1 MUDANCAS PROVAS 09122020</t>
  </si>
  <si>
    <t>VTSP1MUDANCASPROVAS-9NJ0HEA</t>
  </si>
  <si>
    <t>G0024167</t>
  </si>
  <si>
    <t>G0024173</t>
  </si>
  <si>
    <t>BRUTO JNAC CONSTRUCAO CIVIL PANDEMIA 09122020</t>
  </si>
  <si>
    <t>BRUTOJNACCONSTRUCAO-9NJ0IBO</t>
  </si>
  <si>
    <t>BRUTO SP1 EXPOSICAO PACAEMBU 09122020</t>
  </si>
  <si>
    <t>BRUTOSP1EXPOSICAOPA-9NJ0JSY</t>
  </si>
  <si>
    <t>BRUTO JH SANTA CASA 10122020</t>
  </si>
  <si>
    <t>BRUTOJHSANTACASA101-9NJ0IAH</t>
  </si>
  <si>
    <t>BRUTO JH FACHADA BANCO SAFRA 10122020</t>
  </si>
  <si>
    <t>BRUTOJHFACHADABANCO-9NJ0IA7</t>
  </si>
  <si>
    <t>G0024153</t>
  </si>
  <si>
    <t>G0024158</t>
  </si>
  <si>
    <t>G0024158_TEMP</t>
  </si>
  <si>
    <t>BDBRSP10122020TEMP2-9NJ0OGB</t>
  </si>
  <si>
    <t>G0024168</t>
  </si>
  <si>
    <t>G0024174</t>
  </si>
  <si>
    <t>G0024154</t>
  </si>
  <si>
    <t>G0024159</t>
  </si>
  <si>
    <t>G0024169</t>
  </si>
  <si>
    <t>G0024175</t>
  </si>
  <si>
    <t>BRUTO FANT SERVICOS DOMESTICOS 11122020</t>
  </si>
  <si>
    <t>BRUTOFANTSERVICOSDO-A42EFZG</t>
  </si>
  <si>
    <t>G0024170</t>
  </si>
  <si>
    <t>Fabio</t>
  </si>
  <si>
    <t>G0024176</t>
  </si>
  <si>
    <t>G0024177</t>
  </si>
  <si>
    <t>G0025804</t>
  </si>
  <si>
    <t>G0025809</t>
  </si>
  <si>
    <t>G0025814</t>
  </si>
  <si>
    <t>G0025820</t>
  </si>
  <si>
    <t>G0025805</t>
  </si>
  <si>
    <t>11 E 12/01/2021</t>
  </si>
  <si>
    <t>G0025810</t>
  </si>
  <si>
    <t>G0025815</t>
  </si>
  <si>
    <t>G0025821</t>
  </si>
  <si>
    <t>BRUTO JH HOSPITAIS PÚBLICOS 15122020</t>
  </si>
  <si>
    <t>BRUTOJHHOSPITAISPBL-A42EIY5</t>
  </si>
  <si>
    <t>BRUTO JH HOSPITAIS PÚBLICOS 15122020_TEMP</t>
  </si>
  <si>
    <t>BRUTOJHHOSPITAISPBL-A42EJ3E</t>
  </si>
  <si>
    <t>G0025806</t>
  </si>
  <si>
    <t>G0025811</t>
  </si>
  <si>
    <t>G0025816</t>
  </si>
  <si>
    <t>G0025822</t>
  </si>
  <si>
    <t>BRUTO BDBR HOME OFFICE 16122020</t>
  </si>
  <si>
    <t>BRUTOBDBRHOMEOFFICE-A42EG7X</t>
  </si>
  <si>
    <t>BRUTO FANT E-COMMERCE 16122020</t>
  </si>
  <si>
    <t>BRUTOFANTECOMMERCE1-A42EHOD</t>
  </si>
  <si>
    <t>GNEWS</t>
  </si>
  <si>
    <t>BRUTO GNEWS ADOCAO CRIANCAS 16122020</t>
  </si>
  <si>
    <t>BRUTOGNEWSADOCAOCRI-4N3I89K</t>
  </si>
  <si>
    <t>G0025807</t>
  </si>
  <si>
    <t>14 E 15/01/2021</t>
  </si>
  <si>
    <t>G0025812</t>
  </si>
  <si>
    <t>G0025817</t>
  </si>
  <si>
    <t>G0025823</t>
  </si>
  <si>
    <t>G0025808</t>
  </si>
  <si>
    <t>G0025813</t>
  </si>
  <si>
    <t>G0025818</t>
  </si>
  <si>
    <t>G0025824</t>
  </si>
  <si>
    <t>G0025819</t>
  </si>
  <si>
    <t>G0025825</t>
  </si>
  <si>
    <t>G0025826</t>
  </si>
  <si>
    <t>28 e 29/12/2020</t>
  </si>
  <si>
    <t>G0027815</t>
  </si>
  <si>
    <t>18 e19/01/2021</t>
  </si>
  <si>
    <t>G0027822</t>
  </si>
  <si>
    <t>G0027831</t>
  </si>
  <si>
    <t>29 e 30/12/2020</t>
  </si>
  <si>
    <t>G0027846</t>
  </si>
  <si>
    <t>BRUTO BDSP CEIA DE NATAL 21122020</t>
  </si>
  <si>
    <t>BRUTOBDSPCEIADENATA-A42EFW6</t>
  </si>
  <si>
    <t>G0027816</t>
  </si>
  <si>
    <t>G0027823</t>
  </si>
  <si>
    <t>G0027832</t>
  </si>
  <si>
    <t>G0027841</t>
  </si>
  <si>
    <t>02 e 04/01/2020</t>
  </si>
  <si>
    <t>BRUTO JH GALPAO MERCADO LIVRE 22122020</t>
  </si>
  <si>
    <t>BRUTOJHGALPAOMERCAD-A42EIWV</t>
  </si>
  <si>
    <t>G0027817</t>
  </si>
  <si>
    <t>G0027824</t>
  </si>
  <si>
    <t>G0027833</t>
  </si>
  <si>
    <t>G0027842</t>
  </si>
  <si>
    <t>G0027818</t>
  </si>
  <si>
    <t>G0027825</t>
  </si>
  <si>
    <t>G0027834</t>
  </si>
  <si>
    <t>31/12 e 01/01/2021</t>
  </si>
  <si>
    <t>G0027843</t>
  </si>
  <si>
    <t>BRUTO SP1 AEROPORTO GUARULHOS 24122020</t>
  </si>
  <si>
    <t>BRUTOSP1AEROPORTOGU-A42ELLE</t>
  </si>
  <si>
    <t>G0027835</t>
  </si>
  <si>
    <t>G0027844</t>
  </si>
  <si>
    <t>BRUTO SP1 FARMÁCIA 25122020</t>
  </si>
  <si>
    <t>BRUTOSP1FARMCIA2512-A42ELEC</t>
  </si>
  <si>
    <t>G0027836</t>
  </si>
  <si>
    <t>G0027845</t>
  </si>
  <si>
    <t>BRUTO SP1 ZONA CEREALISTA 26122020</t>
  </si>
  <si>
    <t>BRUTOSP1ZONACEREALI-A42ELEA</t>
  </si>
  <si>
    <t>G0027851</t>
  </si>
  <si>
    <t>G0027820</t>
  </si>
  <si>
    <t>G0027827</t>
  </si>
  <si>
    <t>G0027837</t>
  </si>
  <si>
    <t>G0027847</t>
  </si>
  <si>
    <t>G0027821</t>
  </si>
  <si>
    <t>G0027828</t>
  </si>
  <si>
    <t>G0027838</t>
  </si>
  <si>
    <t>G0027848</t>
  </si>
  <si>
    <t>G0029901</t>
  </si>
  <si>
    <t>G0027829</t>
  </si>
  <si>
    <t>G0027839</t>
  </si>
  <si>
    <t>05 e 06/01/2021</t>
  </si>
  <si>
    <t>G0027849</t>
  </si>
  <si>
    <t>06 e 07/01/2021</t>
  </si>
  <si>
    <t>G0030467</t>
  </si>
  <si>
    <t>G0027830</t>
  </si>
  <si>
    <t>G0027840</t>
  </si>
  <si>
    <t>G0027850</t>
  </si>
  <si>
    <t>BRUTO SP1 AEREA SAO PAULO 31122020</t>
  </si>
  <si>
    <t>BRUTOSP1AEREASAOPAU-4N3I4FP</t>
  </si>
  <si>
    <t>BRUTOSP1AEREASAOPAU-4N3I5H9</t>
  </si>
  <si>
    <t>BRUTO RODOVIA IMIGRANTES REVEILLON 31122020</t>
  </si>
  <si>
    <t>BRUTORODOVIAIMIGRAN-4N3I5OU</t>
  </si>
  <si>
    <t>BRUTO SP2 ADOLFO LUTZ 31122020</t>
  </si>
  <si>
    <t>BRUTOSP2ADOLFOLUTZ3-4N3I5V9</t>
  </si>
  <si>
    <t>BRUTO BDBR REVEILLON PAULISTA 31122020</t>
  </si>
  <si>
    <t>BRUTOBDBRREVEILLONP-4N3I72G</t>
  </si>
  <si>
    <t>BRUTO FANT ANITTA 31122020</t>
  </si>
  <si>
    <t>BRUTOFANTANITTA3112-4N3I769</t>
  </si>
  <si>
    <t>ID PESQUISA RRD</t>
  </si>
  <si>
    <t>RETRANCA NO VIZ</t>
  </si>
  <si>
    <t>ROTEIRO</t>
  </si>
  <si>
    <t>PERFIL DANIELA NUNES</t>
  </si>
  <si>
    <t>SIM</t>
  </si>
  <si>
    <t>FHKBOLIYHZLBFVSÇOJKV34</t>
  </si>
  <si>
    <t>DANIELA</t>
  </si>
  <si>
    <t>73530</t>
  </si>
  <si>
    <t>ACERVO PERFIL JOSE HAMILTON RIBEIRO PT 1</t>
  </si>
  <si>
    <t>73530 E 73532</t>
  </si>
  <si>
    <t>ACERVO PERFIL JOSE HAMILTON RIBEIRO PT2</t>
  </si>
  <si>
    <t>73483</t>
  </si>
  <si>
    <t>ACERVO PERFIL JOSE HAMILTON RIBEIRO PT3</t>
  </si>
  <si>
    <t xml:space="preserve">ACERVOPERFILJOSEHAM-ESMC65C
</t>
  </si>
  <si>
    <t>ACERVO PERFIL JOSE HAMILTON RIBEIRO PT4</t>
  </si>
  <si>
    <t xml:space="preserve">ACERVOPERFILJOSEHAM-ESMC6EM
</t>
  </si>
  <si>
    <t>FÓRMULA UM</t>
  </si>
  <si>
    <t>PROJETO ESPORTE</t>
  </si>
  <si>
    <t>GP MALASIA 2002 - FELIPE MASSA</t>
  </si>
  <si>
    <t>Renata Maciel</t>
  </si>
  <si>
    <t>GP ITALIA 2004 - RUBENS BARRICHELLO</t>
  </si>
  <si>
    <t>GP EUA 2003 - RUBENS BARRICHELLO 1</t>
  </si>
  <si>
    <t>GP EUA 2003 - RUBENS BARRICHELLO 2</t>
  </si>
  <si>
    <t>GP HUNGRIA 2003 - Sonora Da Matta</t>
  </si>
  <si>
    <t>GP EUA 2004 - Acidente Massa e Sato</t>
  </si>
  <si>
    <t>GP JAPAO 2002 - Exclusiva Pele</t>
  </si>
  <si>
    <t>GP JAPAO 2002 - Cercadinho Schumacher</t>
  </si>
  <si>
    <t>GP HUNGRIA 2003 - Cercadinho Alonso</t>
  </si>
  <si>
    <t>GP ITALIA 2001 - Sonora Massa</t>
  </si>
  <si>
    <t>GP FRANCA 2002 - Schumacher pentacampeao</t>
  </si>
  <si>
    <t>GP FRANCA 2002 - Cercadinho Barrichello</t>
  </si>
  <si>
    <t>GP JAPAO 2002 - Schumacher parceria Rubinho</t>
  </si>
  <si>
    <t xml:space="preserve">Daniela </t>
  </si>
  <si>
    <t>Bruto Zoologico Guarulhos SP 21032021</t>
  </si>
  <si>
    <t>BRUTOZOOLOGICOGUARU-IF8VXOE</t>
  </si>
  <si>
    <t>PROMOÇÕES</t>
  </si>
  <si>
    <t>BRUTO LAPA SAO PAULO 18082020</t>
  </si>
  <si>
    <t>DEFINITIVO</t>
  </si>
  <si>
    <t xml:space="preserve">BRUTO AEREA DRONE DE RUAS VAZIAS DURANTE A QUARENTENA EM SAO PAULO 20092020 </t>
  </si>
  <si>
    <t>BRUTO COMUNIDADE SAO PAULO ZN E CDHU  20092020</t>
  </si>
  <si>
    <t>BRUTO IMAGEM AEREA PONTE ESTAIADA DE SAO PAULO 20092020</t>
  </si>
  <si>
    <t>BRUTO CEAGESP 20092020</t>
  </si>
  <si>
    <t>BRUTO SALA DE CONTROLE DO GE 20092020</t>
  </si>
  <si>
    <t>BRUTO ASPECTOS DE SAO BERNARDO DO CAMPO 20092020</t>
  </si>
  <si>
    <t>BRUTO RODOVIA AYRTON SENNA 20092020</t>
  </si>
  <si>
    <t>BRUTO ESTUDIOS SPTV E JH 20092020</t>
  </si>
  <si>
    <t>BRUTO ESTUDIO GE SAO PAULO 20092020</t>
  </si>
  <si>
    <t>BRUTO RUAS E AVENIDAS DE SAO PAULO OSMO 20092020</t>
  </si>
  <si>
    <t>BRUTO NOTURNA RUAS DE SAO PAULO OSMO 20092020</t>
  </si>
  <si>
    <t xml:space="preserve">BRUTO CENTRO EXIBIDOR DA EMISSORA DE SAO PAULO 30092020 </t>
  </si>
  <si>
    <t xml:space="preserve">BRUTO ASPECTOS DE DIADEMA 30092020 </t>
  </si>
  <si>
    <t xml:space="preserve">BRUTO BASTIDORES DA COBERTURA DAS ELEICOES 2020 DE SAO PAULO  30092020 </t>
  </si>
  <si>
    <t>BRUTO MARGINAL PINHEIROS E PONTE EUSEBIO MATOSO 30092020</t>
  </si>
  <si>
    <t>BRUTO NOTURNA MARGINAL PINHEIROS 30092020</t>
  </si>
  <si>
    <t>BRUTO NOTURNA LARGO DO BATATA 30092020</t>
  </si>
  <si>
    <t>BRUTO ESTACAO DE METRO LINHA VERDE 30092020</t>
  </si>
  <si>
    <t>BRUTO ELEICOES SP FABIO TURCI 30092020</t>
  </si>
  <si>
    <t>BRUTO GO PRO CARRO EM MOVIMENTO 30092020</t>
  </si>
  <si>
    <t>BRUTO BASTIDORES DO H1 30092020</t>
  </si>
  <si>
    <t>BRUTO ESTADIO DO MORUMBI 30092020</t>
  </si>
  <si>
    <t>BRUTO METRO E TERMINAL BARRA FUNDA 30092020</t>
  </si>
  <si>
    <t>BRUTO ASPECTOS DE SAO CAETANO 30092020</t>
  </si>
  <si>
    <t>BRUTO PRACA DA SE 05102020</t>
  </si>
  <si>
    <t xml:space="preserve">BRUTO ARREDORES DO METRO DA PAULISTA 05102020 </t>
  </si>
  <si>
    <t xml:space="preserve">BRUTO ESTACOES DE TREM MORUMBI E PINHEIROS 05102020 </t>
  </si>
  <si>
    <t>BRUTO ESTACAO PAULISTA LINHA AMARELA DO METRO 10102020</t>
  </si>
  <si>
    <t>BRUTO ESTACAO DE METRO LINHA AZUL PARAISO 10102020</t>
  </si>
  <si>
    <t>BRUTO ESTACAO DE METRO LINHA VERMELHA 10102020</t>
  </si>
  <si>
    <t>BRUTO INTERLAGOS 10102020</t>
  </si>
  <si>
    <t>BRUTO ELEICOES SAO PAULO RENATA 25102020</t>
  </si>
  <si>
    <t>BRUTO ESTADIO ALLIANZ  PARK VAZIO 06112020</t>
  </si>
  <si>
    <t>BRUTO COMERCIO DE RUA EM SAO PAULO  26112020</t>
  </si>
  <si>
    <t>BRUTO AEREA SAO PAULO 22122020</t>
  </si>
  <si>
    <t>BRUTO AEREA CENTRO SAO PAULO 22122020</t>
  </si>
  <si>
    <t>BRUTO TIME LAPSE TRAFEGO DE SAO PAULO 22122020</t>
  </si>
  <si>
    <t>BRUTO GLOBOCOP NO HELIPONTO DE SAO PAULO 22122020</t>
  </si>
  <si>
    <t>BRUTO AEREA MARGINAL TIETE SENTIDO RODOVIA BANDEIRANTES 22122020</t>
  </si>
  <si>
    <t>BRUTO  RODOVIARIA TIETE 22122020</t>
  </si>
  <si>
    <t>BRUTO IMAGEM AEREA RODOANEL E MARGINAL TIETE 22122020</t>
  </si>
  <si>
    <t>BRUTO AVENIDA PAULISTA E MASP 22122020</t>
  </si>
  <si>
    <t>BRUTO MERCADO MUNICIPAL DE SAO PAULO 22122020</t>
  </si>
  <si>
    <t>BRUTO JNAC VIRADA PAULISTA 01012021</t>
  </si>
  <si>
    <t>BRUTOJNACVIRADAPAUL-4N3I5VA</t>
  </si>
  <si>
    <t>SP2 / GNEWS</t>
  </si>
  <si>
    <t>BRUTO SP2 POSSE BRUNO COVAS 01012021</t>
  </si>
  <si>
    <t>BRUTOSP2POSSEBRUNOC-4N3I5UA</t>
  </si>
  <si>
    <t>G0030468</t>
  </si>
  <si>
    <t>NO MEDIA</t>
  </si>
  <si>
    <t>FOI ENVIADO SEM ÁUDIO</t>
  </si>
  <si>
    <t>G0030468_TEMP</t>
  </si>
  <si>
    <t>G0030502</t>
  </si>
  <si>
    <t>GREP</t>
  </si>
  <si>
    <t>BRUTO SERRA DO MAR 18012021</t>
  </si>
  <si>
    <t>BRUTOSERRADOMAR1801-01W9LDX</t>
  </si>
  <si>
    <t>BRUTO AEREA CANTAREIRA 20012021</t>
  </si>
  <si>
    <t>BRUTOAEREACANTAREIR-01W9LH0</t>
  </si>
  <si>
    <t>BRUTO TIMELAPSE REDACAO JOR SP 28082020</t>
  </si>
  <si>
    <t>BRUTOTIMELAPSEREDAC-01W9LH8</t>
  </si>
  <si>
    <t>BRUTO SEDE GLOBO BERRINI 27082020</t>
  </si>
  <si>
    <t>BRUTOSEDEGLOBOBERRI-01W9LOY</t>
  </si>
  <si>
    <t>BRUTO 70 ANOS TV TUPI 27082020</t>
  </si>
  <si>
    <t>BRUTO70ANOSTVTUPI27-01W9LP4</t>
  </si>
  <si>
    <t>BRUTO SONIA MARIA DORCE 10082020</t>
  </si>
  <si>
    <t>BRUTOSONIAMARIADORC-01W9LUT</t>
  </si>
  <si>
    <t>G0030469</t>
  </si>
  <si>
    <t>G0030503</t>
  </si>
  <si>
    <t>07 e 08/01/2021</t>
  </si>
  <si>
    <t>G0030504</t>
  </si>
  <si>
    <t>PEGN</t>
  </si>
  <si>
    <t>G0030879</t>
  </si>
  <si>
    <t>BRUTO HOSPITAIS PUBLICOS 04012021</t>
  </si>
  <si>
    <t>BRUTOHOSPITAISPUBLI-4N3I5IU</t>
  </si>
  <si>
    <t>BRUTO SP2 ONIBUS EMTU 04012021</t>
  </si>
  <si>
    <t>BRUTOSP2ONIBUSEMTU0-4N3I5RR</t>
  </si>
  <si>
    <t>BRUTO SP2 BILHETE UNICO 04012021</t>
  </si>
  <si>
    <t>BRUTOSP2BILHETEUNIC-4N3I5PN</t>
  </si>
  <si>
    <t>G0030505</t>
  </si>
  <si>
    <t>G0030510</t>
  </si>
  <si>
    <t>26 e 28/01/2021</t>
  </si>
  <si>
    <t>G0030515</t>
  </si>
  <si>
    <t>G0030521</t>
  </si>
  <si>
    <t>BRUTO VENDA CARROS 05012021</t>
  </si>
  <si>
    <t>BRUTOVENDACARROS050-4N3I6VE</t>
  </si>
  <si>
    <t>BRUTOJNACVENDACARRO-4N3I71M</t>
  </si>
  <si>
    <t>BRUTO JH CONCESSIONARIA 05012021</t>
  </si>
  <si>
    <t>BRUTOJHCONCESSIONAR-4N3I6WU</t>
  </si>
  <si>
    <t xml:space="preserve">SP2   </t>
  </si>
  <si>
    <t>BRUTO SP2 FARMACIA GENERICO 05012021</t>
  </si>
  <si>
    <t>BRUTOSP2FARMACIAGEN-53MVUUW</t>
  </si>
  <si>
    <t>G0030506</t>
  </si>
  <si>
    <t>G0030511</t>
  </si>
  <si>
    <t>G0030516</t>
  </si>
  <si>
    <t>G0030522</t>
  </si>
  <si>
    <t>G0030507</t>
  </si>
  <si>
    <t>G0030512</t>
  </si>
  <si>
    <t>G0030517</t>
  </si>
  <si>
    <t>G0030523</t>
  </si>
  <si>
    <t>G0030508</t>
  </si>
  <si>
    <t>G0030513</t>
  </si>
  <si>
    <t>G0030518</t>
  </si>
  <si>
    <t>G0030524</t>
  </si>
  <si>
    <t>11 e 12/01/2021</t>
  </si>
  <si>
    <t>BRUTO JNAC NIVEL CANTAREIRA 08012021</t>
  </si>
  <si>
    <t>BRUTOJNACNIVELCANTA-53MVW7R</t>
  </si>
  <si>
    <t>G0030509</t>
  </si>
  <si>
    <t>G0030514</t>
  </si>
  <si>
    <t>G0030519</t>
  </si>
  <si>
    <t>G0030525</t>
  </si>
  <si>
    <t>G0030520</t>
  </si>
  <si>
    <t>G0030526</t>
  </si>
  <si>
    <t>G0030526_TEMP</t>
  </si>
  <si>
    <t>BRUTO FANT BUTANTAN CORONAVAC 10012021</t>
  </si>
  <si>
    <t>BRUTOFANTBUTANTANCO-53MVUMV</t>
  </si>
  <si>
    <t>BRUTO GNEWS FUVEST 10012021</t>
  </si>
  <si>
    <t>BRUTOGNEWSFUVEST100-53MVX6M</t>
  </si>
  <si>
    <t>H1</t>
  </si>
  <si>
    <t>BRUTO H1 FUVEST IPIRANGA 10012021</t>
  </si>
  <si>
    <t>BRUTOH1FUVESTIPIRAN-53MVXAS</t>
  </si>
  <si>
    <t>BRUTO H1 FUVEST IPIRANGA 10012021_TEMP</t>
  </si>
  <si>
    <t>BRUTOH1FUVESTIPIRAN-53MVYQZ</t>
  </si>
  <si>
    <t>G0030527</t>
  </si>
  <si>
    <t>G0030901</t>
  </si>
  <si>
    <t>G0030901_TEMP</t>
  </si>
  <si>
    <t>G0031911</t>
  </si>
  <si>
    <t>G0031916</t>
  </si>
  <si>
    <t>G0031921</t>
  </si>
  <si>
    <t>G0031927</t>
  </si>
  <si>
    <t>JG</t>
  </si>
  <si>
    <t>BRUTO JG SUPERMERCADO 10012021</t>
  </si>
  <si>
    <t>BRUTOSUPERMERCADO12-53MVX9K</t>
  </si>
  <si>
    <t>G0031912</t>
  </si>
  <si>
    <t>G0031917</t>
  </si>
  <si>
    <t>G0031922</t>
  </si>
  <si>
    <t>G0031928</t>
  </si>
  <si>
    <t>BRUTO JNAC CORONAVAC BUTANTAN 13012021</t>
  </si>
  <si>
    <t>BRUTOJNACCORONAVACB-53MVYS7</t>
  </si>
  <si>
    <t>BRUTO BDBR FACHADA EISTEIN 13012021</t>
  </si>
  <si>
    <t>BRUTOBDBRFACHADAEIS-53MVYUD</t>
  </si>
  <si>
    <t>G0031913</t>
  </si>
  <si>
    <t>G0031918</t>
  </si>
  <si>
    <t>G0031923</t>
  </si>
  <si>
    <t>G0031929</t>
  </si>
  <si>
    <t>BRUTO SP1 FACHADA ASSEMBLEIA 14012021</t>
  </si>
  <si>
    <t>BRUTOSP1FACHADAASSE-53MVYSJ</t>
  </si>
  <si>
    <t>BRUTO SP1 FACHADA FORD ABC 14012021</t>
  </si>
  <si>
    <t>BRUTOSP1FORDABC1301-53MW1EA</t>
  </si>
  <si>
    <t>BRUTO BDBR INDÚSTRIA METALURGICA 14012021</t>
  </si>
  <si>
    <t>BRUTOBDBRINDSTRIAME-53MW1OP</t>
  </si>
  <si>
    <t>BRUTO BDBR INDÚSTRIA METALURGICA 14012021_TEMP</t>
  </si>
  <si>
    <t>BRUTOBDBRINDUSTRIAM-53MW3VL</t>
  </si>
  <si>
    <t>BRUTO SP2 AULA PANDEMIA 14012021</t>
  </si>
  <si>
    <t>BRUTOSP2AULAPANDEMI-53MW3FH</t>
  </si>
  <si>
    <t>BRUTO SP2 AULA PANDEMIA 14012021_TEMP</t>
  </si>
  <si>
    <t>BRUTOSP2AULAPANDEMI-5K69UYX</t>
  </si>
  <si>
    <t>G0031914</t>
  </si>
  <si>
    <t>22 e 23/01/2021</t>
  </si>
  <si>
    <t>G0031919</t>
  </si>
  <si>
    <t>G0031924</t>
  </si>
  <si>
    <t>G0031930</t>
  </si>
  <si>
    <t>BRUTO SP1 DEPOSITO SERINGA VACINA 15012021</t>
  </si>
  <si>
    <t>BRUTOSP1DEPOSITOSER-53MW3V2</t>
  </si>
  <si>
    <t>VT SP1 1501 ENEM O QUE FAZER</t>
  </si>
  <si>
    <t>VTSP11501ENEMOQUEFA-53MW8OC</t>
  </si>
  <si>
    <t>TECNOLOGIA</t>
  </si>
  <si>
    <t>BRUTO AEREAS ANTENAS GLOBO 15012020</t>
  </si>
  <si>
    <t>BRUTOAEREASANTENASG-5K69UK9</t>
  </si>
  <si>
    <t>BRUTO AEREAS ANTENAS GLOBO 15012020_temp</t>
  </si>
  <si>
    <t>BRUTOAEREASANTENASG-5K69UWW</t>
  </si>
  <si>
    <t>BRUTO UTIS PACIENTES 16012021</t>
  </si>
  <si>
    <t>BRUTOUTISPACIENTES1-5K69ZA3</t>
  </si>
  <si>
    <t>BRUTO SP1 PROFISSIONAIS SAUDE 15012021</t>
  </si>
  <si>
    <t>BRUTOSP1PROFISSIONA-5K6A4HA</t>
  </si>
  <si>
    <t>oK</t>
  </si>
  <si>
    <t>G0031915</t>
  </si>
  <si>
    <t>G0031920</t>
  </si>
  <si>
    <t>G0031925</t>
  </si>
  <si>
    <t>G0031931</t>
  </si>
  <si>
    <t>SPTV1_16012021</t>
  </si>
  <si>
    <t>SPTV116012021-53MWAAV</t>
  </si>
  <si>
    <t>G0031926</t>
  </si>
  <si>
    <t>G0031932</t>
  </si>
  <si>
    <t>BRUTO FANT PRIMEIRA CORONAVAC 17012021</t>
  </si>
  <si>
    <t>BRUTOFANTPRIMEIRACO-53MWB7E</t>
  </si>
  <si>
    <t>BRUTO BDSP VACINACAO CORONAVAC 17012021</t>
  </si>
  <si>
    <t>BRUTOBDSPVACINACAOC-53MWC9R</t>
  </si>
  <si>
    <t>G0031933</t>
  </si>
  <si>
    <t>18 e 19/01/2021</t>
  </si>
  <si>
    <t>G0032080</t>
  </si>
  <si>
    <t>ERRO NO MEDIA</t>
  </si>
  <si>
    <t>G0032080_temp</t>
  </si>
  <si>
    <t>G0032080TEMPMXF-5K69UZ3</t>
  </si>
  <si>
    <t>BRUTO SP1 VACINA GUARULHOS 18012021</t>
  </si>
  <si>
    <t>BRUTOVACINAGUARULHO-53MWCPI</t>
  </si>
  <si>
    <t>BRUTO SP1 CONSTRUCAO CIVIL 18012021</t>
  </si>
  <si>
    <t>BRUTOSP1CONSTRUCAOC-5K6A1NV</t>
  </si>
  <si>
    <t>G0031934</t>
  </si>
  <si>
    <t>G0031939</t>
  </si>
  <si>
    <t>G0031944</t>
  </si>
  <si>
    <t>G0031950</t>
  </si>
  <si>
    <t>BRUTO AEREA SJP 19012021</t>
  </si>
  <si>
    <t>BRUTOAEREASJP190120-5K69UOP</t>
  </si>
  <si>
    <t>BRUTO BDSP VACINACAO HC 19012021</t>
  </si>
  <si>
    <t>BRUTOBDSPVACINACAOH-9P0O8QJ</t>
  </si>
  <si>
    <t>G0031935</t>
  </si>
  <si>
    <t>G0031940</t>
  </si>
  <si>
    <t>20 e 21/01/2021</t>
  </si>
  <si>
    <t>G0031945</t>
  </si>
  <si>
    <t>G0031951</t>
  </si>
  <si>
    <t>21/01/20021</t>
  </si>
  <si>
    <t>BRUTO SP1 VACINA INDIOS 20012021</t>
  </si>
  <si>
    <t>BRUTOSP1VACINAINDIO-5K69V0E</t>
  </si>
  <si>
    <t>BRUTO SP2 HEMOCENTRO 20012021</t>
  </si>
  <si>
    <t>BRUTOSP2HEMOCENTRO2-5K6A1NQ</t>
  </si>
  <si>
    <t>BRUTO SP2 FACHADA BUTANTAN 20012021</t>
  </si>
  <si>
    <t>BRUTOSP2FACHADABUTA-5K6A1NX</t>
  </si>
  <si>
    <t>BRUTO SP1 OBRAS ANHANGABAU 20012021</t>
  </si>
  <si>
    <t>BRUTOSP1OBRASANHANG-5K6A6N5</t>
  </si>
  <si>
    <t>BRUTO SP1 OBRAS ANHANGABAU 20012021_temp2</t>
  </si>
  <si>
    <t>BRUTOOBRASANHANGABA-5K6A1NP</t>
  </si>
  <si>
    <t>G0031936</t>
  </si>
  <si>
    <t>G0031941</t>
  </si>
  <si>
    <t>BDBR_SPO_20012021_versao_2 (09:44)</t>
  </si>
  <si>
    <t>BDBRSPO20012021VERS-5K69WOZ</t>
  </si>
  <si>
    <t>28 e 29/01/2020</t>
  </si>
  <si>
    <t>G0031946</t>
  </si>
  <si>
    <t>G0031952</t>
  </si>
  <si>
    <t>21 e 22/01/2021</t>
  </si>
  <si>
    <t>G0031937</t>
  </si>
  <si>
    <t>G0031942</t>
  </si>
  <si>
    <t>G0031947</t>
  </si>
  <si>
    <t>G0031953</t>
  </si>
  <si>
    <t>BRUTO SP2 SEC ESTADO SAUDE 22012021</t>
  </si>
  <si>
    <t>BRUTOSP2SECESTADOSA-5K69Z6B</t>
  </si>
  <si>
    <t>BRUTO BDSP RODOVIARIA TIETE 22012021</t>
  </si>
  <si>
    <t>BRUTOBDSPRODOVIARIA-5K69Z7B</t>
  </si>
  <si>
    <t>G0031938</t>
  </si>
  <si>
    <t>G0031943</t>
  </si>
  <si>
    <t>G0031948</t>
  </si>
  <si>
    <t>G0031954</t>
  </si>
  <si>
    <t>BRUTO JNAC VACINA OXFORD CHEGA 23012021</t>
  </si>
  <si>
    <t>BRUTOJNACVACINAOXFO-5K6A4NJ</t>
  </si>
  <si>
    <t>BRUTO GNEWS PROTESTO BOLSONARO 23012021</t>
  </si>
  <si>
    <t>BRUTOGNEWSPROTESTOB-5K6A49Z</t>
  </si>
  <si>
    <t>G0031949</t>
  </si>
  <si>
    <t>G0031955</t>
  </si>
  <si>
    <t>BRUTO BDSP ENEM 24012021</t>
  </si>
  <si>
    <t>BRUTOBDSPENEM240120-5K6A1NR</t>
  </si>
  <si>
    <t>BRUTO FANT FORA BOLSONARO 24012021</t>
  </si>
  <si>
    <t>BRUTOFANTFORABOLSON-5K6A49Y</t>
  </si>
  <si>
    <t>G0031956</t>
  </si>
  <si>
    <t>G0032081</t>
  </si>
  <si>
    <t>G0032081_TEMP</t>
  </si>
  <si>
    <t>VT SP2 GASTRONOMIA SP 25012021</t>
  </si>
  <si>
    <t>VTSP2GASTRONOMIASP2-5K6A8T8</t>
  </si>
  <si>
    <t>BRUTO OBRAS BUTANTAN 25012021_temp</t>
  </si>
  <si>
    <t>BRUTOOBRASBUTANTAN2-98HA4XC</t>
  </si>
  <si>
    <t>G0031957</t>
  </si>
  <si>
    <t>G0031962</t>
  </si>
  <si>
    <t xml:space="preserve">	25/01/2021 20:04</t>
  </si>
  <si>
    <t>G0031967</t>
  </si>
  <si>
    <t>G0031973</t>
  </si>
  <si>
    <t>BRUTO JNAC LABORATORIO 26012021</t>
  </si>
  <si>
    <t>BRUTOJNACLABORATORI-5K6A4NK</t>
  </si>
  <si>
    <t>BRUTO VACINACAO SAO CAETANO 26012021</t>
  </si>
  <si>
    <t>BRUTOVACINACAOSAOCA-5K6A42N</t>
  </si>
  <si>
    <t>BRUTO VACINACAO GUARULHOS 26012021</t>
  </si>
  <si>
    <t>BRUTOVACINACAOGUARU-5K6A4CF</t>
  </si>
  <si>
    <t>anderson</t>
  </si>
  <si>
    <t>G0031958</t>
  </si>
  <si>
    <t>G0031963</t>
  </si>
  <si>
    <t>G0031968</t>
  </si>
  <si>
    <t>G0031974</t>
  </si>
  <si>
    <t>27 e 28/01/2021</t>
  </si>
  <si>
    <t>BRUTO BDSP CINEMAS SP 27012021</t>
  </si>
  <si>
    <t>BRUTOBDSPCINEMASSP2-98HA4U9</t>
  </si>
  <si>
    <t>BRUTOBDSPCINEMASSP2-98HA6IV</t>
  </si>
  <si>
    <t>G0031959</t>
  </si>
  <si>
    <t>G0031964</t>
  </si>
  <si>
    <t>G0031969</t>
  </si>
  <si>
    <t>G0031975</t>
  </si>
  <si>
    <t>BRUTO BDBR VACINA DENGUE 28012021</t>
  </si>
  <si>
    <t>BRUTO SP2 VOLTA AULAS 28012021</t>
  </si>
  <si>
    <t>BRUTOSP2VOLTAAULAS2-98HA6IZ</t>
  </si>
  <si>
    <t>G0031960</t>
  </si>
  <si>
    <t>G0031965</t>
  </si>
  <si>
    <t>G0031970</t>
  </si>
  <si>
    <t>G0031976</t>
  </si>
  <si>
    <t>G0031961</t>
  </si>
  <si>
    <t>G0031966</t>
  </si>
  <si>
    <t>G0031971</t>
  </si>
  <si>
    <t>G0031977</t>
  </si>
  <si>
    <t>G0031972</t>
  </si>
  <si>
    <t>G0031978</t>
  </si>
  <si>
    <t>G0031978_TEMP</t>
  </si>
  <si>
    <t>G0031978TEMP-98HA35M</t>
  </si>
  <si>
    <t>G0031979</t>
  </si>
  <si>
    <t>02 e 03/02/2021</t>
  </si>
  <si>
    <t>G0032082</t>
  </si>
  <si>
    <t>G0032082_TEMP</t>
  </si>
  <si>
    <t>G0032082TEMPMXF-98HA4LC</t>
  </si>
  <si>
    <t>BRUTO JH DESMATAMENTO 01022021</t>
  </si>
  <si>
    <t>BRUTOJHDESMATAMENTO-98HAA7Q</t>
  </si>
  <si>
    <t>BRUTO ESCOLA PARTICULAR 01022021</t>
  </si>
  <si>
    <t>G0032239</t>
  </si>
  <si>
    <t>G0032244</t>
  </si>
  <si>
    <t>G0032255</t>
  </si>
  <si>
    <t>G0032261</t>
  </si>
  <si>
    <t>BRUTO JH INDUSTRIA 02022021</t>
  </si>
  <si>
    <t>BRUTOJHINDUSTRIA020-98HAAF4</t>
  </si>
  <si>
    <t>G0032240</t>
  </si>
  <si>
    <t>G0032240_TEMP</t>
  </si>
  <si>
    <t>G0032240TEMPMXF-98HA67N</t>
  </si>
  <si>
    <t>G0032245</t>
  </si>
  <si>
    <t>CHEGOU FALTANDO UMA PARTE</t>
  </si>
  <si>
    <t>BDBR_SPO_02022021_VERSAO2</t>
  </si>
  <si>
    <t>BDBRSPO02022021VERS-98HA6IE</t>
  </si>
  <si>
    <t>G0032256</t>
  </si>
  <si>
    <t>03 e 04/02/2021</t>
  </si>
  <si>
    <t>G0032262</t>
  </si>
  <si>
    <t>BRUTO JG INDIGENAS GUARULHOS 03022021</t>
  </si>
  <si>
    <t>BRUTOJGINDIGENASGUA-98HA9TR</t>
  </si>
  <si>
    <t>BRUTO BDSP VOLTA AULAS 04022021</t>
  </si>
  <si>
    <t>BRUTOBDSPVOLTAAULAS-98HA9TD</t>
  </si>
  <si>
    <t>G0032241</t>
  </si>
  <si>
    <t>G0032246</t>
  </si>
  <si>
    <t>G0032257</t>
  </si>
  <si>
    <t>G0032263</t>
  </si>
  <si>
    <t>BRUTO JNAC CINTO SEGURANCA 04022021</t>
  </si>
  <si>
    <t>BRUTOJNACCINTOSEGUR-98HAA0X</t>
  </si>
  <si>
    <t>BRUTO SP2 AGUA MINERAL 04022021</t>
  </si>
  <si>
    <t>BRUTO SP2 AGUA MINERAL 04022021_TEMP</t>
  </si>
  <si>
    <t>BRUTOSP2AGUAMINERAL-9P0ODMH</t>
  </si>
  <si>
    <t>G0032242</t>
  </si>
  <si>
    <t>04 e 05/02/2021</t>
  </si>
  <si>
    <t>G0032247</t>
  </si>
  <si>
    <t>G0032258</t>
  </si>
  <si>
    <t>G0032264</t>
  </si>
  <si>
    <t>G0032243</t>
  </si>
  <si>
    <t>G0032248</t>
  </si>
  <si>
    <t>G0032259</t>
  </si>
  <si>
    <t>G0032265</t>
  </si>
  <si>
    <t>G0032260</t>
  </si>
  <si>
    <t>08 e 09/02/2021</t>
  </si>
  <si>
    <t>G0032266</t>
  </si>
  <si>
    <t>G0032267</t>
  </si>
  <si>
    <t>G0032268</t>
  </si>
  <si>
    <t>CONTEÚDO DO ANTENA</t>
  </si>
  <si>
    <t>G0032268_TEMP2.Duplicate</t>
  </si>
  <si>
    <t>G0032268TEMP2MXF-DTV2MC6</t>
  </si>
  <si>
    <t>BRUTO SP1 VACINA 90 IDOSOS 08022021</t>
  </si>
  <si>
    <t>BRUTOSP1VACINA90IDO-9P0O90M</t>
  </si>
  <si>
    <t>BRUTO SP1 VOLTA AULAS PUBLICA 08022021</t>
  </si>
  <si>
    <t>BRUTOSP1VOLTAAULASP-9P0O95G</t>
  </si>
  <si>
    <t>BRUTO SP1 VOLTA AULAS ESCOLA PUBLICA 08022021</t>
  </si>
  <si>
    <t>BRUTOSP1VOLTAAULASE-9P0OCVM</t>
  </si>
  <si>
    <t>BDSP_08022021</t>
  </si>
  <si>
    <t>BDSP08022021-98HAE3T</t>
  </si>
  <si>
    <t>G0032269</t>
  </si>
  <si>
    <t>BDBR_SPO_08022021</t>
  </si>
  <si>
    <t>BDBRSPO08022021-98HAE3U</t>
  </si>
  <si>
    <t>G0032284</t>
  </si>
  <si>
    <t>SP1_08022021</t>
  </si>
  <si>
    <t>SP108022021-98HAE3X</t>
  </si>
  <si>
    <t>G0032299</t>
  </si>
  <si>
    <t>SP2_08022021</t>
  </si>
  <si>
    <t>SP208022021-98HAE57</t>
  </si>
  <si>
    <t>G0032317</t>
  </si>
  <si>
    <t>G0032270</t>
  </si>
  <si>
    <t>G0032285</t>
  </si>
  <si>
    <t>G0032300</t>
  </si>
  <si>
    <t>G0032318</t>
  </si>
  <si>
    <t>G0032271</t>
  </si>
  <si>
    <t>G0032286</t>
  </si>
  <si>
    <t xml:space="preserve">10/02/2021 12:38
</t>
  </si>
  <si>
    <t>10 e 11/02/2021</t>
  </si>
  <si>
    <t>G0032301</t>
  </si>
  <si>
    <t>G0032319</t>
  </si>
  <si>
    <t xml:space="preserve">JH </t>
  </si>
  <si>
    <t>BRUTO JH VACINACAO IDOSOS 11022021</t>
  </si>
  <si>
    <t>BRUTOJHVACINACAOIDO-9P0O04Q</t>
  </si>
  <si>
    <t>G0032272</t>
  </si>
  <si>
    <t>G0032287</t>
  </si>
  <si>
    <t>G0032302</t>
  </si>
  <si>
    <t>G0032320</t>
  </si>
  <si>
    <t>G0032273</t>
  </si>
  <si>
    <t>13 e 15/02/2021</t>
  </si>
  <si>
    <t>G0032288</t>
  </si>
  <si>
    <t>G0032303</t>
  </si>
  <si>
    <t>G0032321</t>
  </si>
  <si>
    <t>G0032304</t>
  </si>
  <si>
    <t>G0032322</t>
  </si>
  <si>
    <t>G0032335</t>
  </si>
  <si>
    <t>G0032338</t>
  </si>
  <si>
    <t>G0032338_TEMP</t>
  </si>
  <si>
    <t>Bruto Instituto de Medicina Tropical da USP 15022021</t>
  </si>
  <si>
    <t>BRUTOINSTITUTODEMED-A5K20YP</t>
  </si>
  <si>
    <t>BRUTO VACINA PROFISSIONAIS DA SAUDE 15022021</t>
  </si>
  <si>
    <t>BRUTOVACINAPROFISSI-A5K235N</t>
  </si>
  <si>
    <t>BRUTO VACINA PROFISSIONAIS DA SAUDE 15022021_TEMP2</t>
  </si>
  <si>
    <t>BRUTOVACINAPROFISSI-9P0ODQA</t>
  </si>
  <si>
    <t>G0032274</t>
  </si>
  <si>
    <t>G0032289</t>
  </si>
  <si>
    <t xml:space="preserve">15/02/2021 12:01:54
</t>
  </si>
  <si>
    <t>BDBR_SPO_150221_2</t>
  </si>
  <si>
    <t>BDBRSPO1502212-9P0O5VV</t>
  </si>
  <si>
    <t>G0032305</t>
  </si>
  <si>
    <t>G0032323</t>
  </si>
  <si>
    <t>VT DSP EXPECTATIVA CARNAVAL 16022021</t>
  </si>
  <si>
    <t>VT BDSP EXPECTATIVA CARNAVAL 16022021</t>
  </si>
  <si>
    <t>G0032275</t>
  </si>
  <si>
    <t>G0032290</t>
  </si>
  <si>
    <t>G0032306</t>
  </si>
  <si>
    <t xml:space="preserve"> G0032324</t>
  </si>
  <si>
    <t>G0032324</t>
  </si>
  <si>
    <t>VT BDSP SUPERAÇÃO SAUDADE 17022021</t>
  </si>
  <si>
    <t>BRUTO GNEWS PLANTACAO ARROZ 17022021</t>
  </si>
  <si>
    <t>BRUTOGNEWSPLANTACAO-9P0OABV</t>
  </si>
  <si>
    <t>BRUTO PRODUCAO VACINA BUTANTAN 17022021</t>
  </si>
  <si>
    <t>BRUTOPRODUCAOVACINA-9P0OBDE</t>
  </si>
  <si>
    <t>BRUTO LINHA AMARELA METRO 17022021</t>
  </si>
  <si>
    <t>BRUTOLINHAAMARELAME-9P0OBGU</t>
  </si>
  <si>
    <t>BRUTO BDSP EPIS 17022021</t>
  </si>
  <si>
    <t>BRUTOBDSPEPIS170220-9P0OCK5</t>
  </si>
  <si>
    <t>BRUTO BDSP EPIS 17022021_temp</t>
  </si>
  <si>
    <t>REENVIO</t>
  </si>
  <si>
    <t>BRUTOBDSPEPIS170220-9P0OCNG</t>
  </si>
  <si>
    <t>G0032276</t>
  </si>
  <si>
    <t>G0032291</t>
  </si>
  <si>
    <t>G0032307</t>
  </si>
  <si>
    <t>G0032325</t>
  </si>
  <si>
    <t>BRUTO SP1 AUXILIO CARENTE 18022021</t>
  </si>
  <si>
    <t>BRUTOSP1AUXILIOCARE-9P0OCMZ</t>
  </si>
  <si>
    <t>BRUTO PALACIO DA POLICIA 18022021</t>
  </si>
  <si>
    <t>BRUTOPALACIODAPOLIC-9P0OCV6</t>
  </si>
  <si>
    <t>BRUTO HOSPITAL SIRIO LIBANES 18022021</t>
  </si>
  <si>
    <t>BRUTOHOSPITALSIRIOL-9P0ODMD</t>
  </si>
  <si>
    <t>G0032277</t>
  </si>
  <si>
    <t>G0032292</t>
  </si>
  <si>
    <t>G0032308</t>
  </si>
  <si>
    <t>G0032326</t>
  </si>
  <si>
    <t>BRUTO PROTESTO REGIS AUXILIO EMERGENCIAL 19022021</t>
  </si>
  <si>
    <t>BRUTOPROTESTOREGISA-9P0ODBF</t>
  </si>
  <si>
    <t>BRUTO JNAC OBRAS BUTANTAN 19022021</t>
  </si>
  <si>
    <t>BRUTOJNACOBRASBUTAN-A5K20YB</t>
  </si>
  <si>
    <t>BRUTO JNAC OBRAS BUTANTAN 19022021_temp</t>
  </si>
  <si>
    <t>BRUTOJNACOBRASBUTAN-A5K2182</t>
  </si>
  <si>
    <t>G0032278</t>
  </si>
  <si>
    <t>24 e 25/02/2021</t>
  </si>
  <si>
    <t>G0032293</t>
  </si>
  <si>
    <t>G0032309</t>
  </si>
  <si>
    <t>G0032327</t>
  </si>
  <si>
    <t>BRUTO SP1 CURSINHO ALUNOS REVISAO 20022021</t>
  </si>
  <si>
    <t>NEWSEQUENCE05MXF-A5K215L</t>
  </si>
  <si>
    <t>BRUTO SP1 DRIVE THRU VACINA SANTO ANDRE 20022021</t>
  </si>
  <si>
    <t>BRUTOSP1DRIVETHRUVA-A5K218L</t>
  </si>
  <si>
    <t>G0032310</t>
  </si>
  <si>
    <t>G0032328</t>
  </si>
  <si>
    <t>BRUTO BDSP PROVA FUVEST SEGUNDA FASE 21022021</t>
  </si>
  <si>
    <t>BRUTOBDSPPROVAFUVES-A5K20YE</t>
  </si>
  <si>
    <t>BRUTO ANTENA EDIFICIO COPAN 21022021</t>
  </si>
  <si>
    <t>BRUTOANTENAEDIFICIO-A5K28KS</t>
  </si>
  <si>
    <t>BRUTO ANTENA EMBU DAS ARTES 21022021</t>
  </si>
  <si>
    <t>BRUTOANTENAEMBUDASA-A5K28NZ</t>
  </si>
  <si>
    <t>G0032336</t>
  </si>
  <si>
    <t>23 e 24/02/2021</t>
  </si>
  <si>
    <t>G0032339</t>
  </si>
  <si>
    <t>G0032339_TEMP</t>
  </si>
  <si>
    <t>G0032339TEMPMXF-A5K22P9</t>
  </si>
  <si>
    <t>BRUTO JH PEDESTRES 22022021</t>
  </si>
  <si>
    <t>BRUTOJHCELULARPEDES-A5K2585</t>
  </si>
  <si>
    <t>BRUTO SP1 SKATE ANHANGABAU 22022021</t>
  </si>
  <si>
    <t>BRUTOSP1SKATEANHANG-A5K236L</t>
  </si>
  <si>
    <t>BRUTO BDBR PREDIO COMERCIAL ALUGA 220220.mxf</t>
  </si>
  <si>
    <t>BRUTOBDBRPREDIOCOME-A5K23JP</t>
  </si>
  <si>
    <t>BRUTO BDSP BUTANTAN 120 ANOS 22022021.mxf</t>
  </si>
  <si>
    <t>BRUTOBDSPBUTANTAN12-A5K25CN</t>
  </si>
  <si>
    <t>BRUTO JNAC DRONE INSTITUTO BUTANTA 22022.mxf</t>
  </si>
  <si>
    <t>BRUTOJNACDRONEINSTI-A5K25A1</t>
  </si>
  <si>
    <t>G0032279</t>
  </si>
  <si>
    <t>G0032294</t>
  </si>
  <si>
    <t>G0032311</t>
  </si>
  <si>
    <t>G0032329</t>
  </si>
  <si>
    <t>BRUTO SP1 RIO PINHEIROS 23022021</t>
  </si>
  <si>
    <t>BRUTO SP1 RIO PINHEIROS 23022021_temp2</t>
  </si>
  <si>
    <t>Reenvio</t>
  </si>
  <si>
    <t>BRUTOSP1RIOPINHEIRO-A5K28DG</t>
  </si>
  <si>
    <t>BRUTO CAFEZINHO PADARIA 23022021.mxf</t>
  </si>
  <si>
    <t>BRUTOCAFEZINHOPADAR-A5K25RY</t>
  </si>
  <si>
    <t>BRUTO SP1 PREDIO POPULAR 23022021.mxf</t>
  </si>
  <si>
    <t>BRUTOSP1PREDIOPOPUL-A5K25VN</t>
  </si>
  <si>
    <t>BRUTO SP2 HOSPITAL DE URGENCIA SBC 23022021</t>
  </si>
  <si>
    <t>BRUTOSP2HOSPITALDEU-A5K2B76</t>
  </si>
  <si>
    <t>BRUTO ANTENA ESTACAO DA LUZ 23022021</t>
  </si>
  <si>
    <t>BRUTO ANTENA ESTACAO DA LUZ 23022021_temp2</t>
  </si>
  <si>
    <t>BRUTOANTENAESTACAOD-DTV2D7E</t>
  </si>
  <si>
    <t>BRUTO BDSP VESTIDO NOIVA 23022021</t>
  </si>
  <si>
    <t>BRUTOBDSPVESTIDONOI-DTV2AGM</t>
  </si>
  <si>
    <t>G0032280</t>
  </si>
  <si>
    <t>24 e 26/02/2021</t>
  </si>
  <si>
    <t>G0032295</t>
  </si>
  <si>
    <t>G0032312</t>
  </si>
  <si>
    <t>G0032330</t>
  </si>
  <si>
    <t>BRUTO BDSP TEATRO MUNICIPAL 24022021</t>
  </si>
  <si>
    <t>BRUTOBDSPTEATROMUNI-A5K28T3</t>
  </si>
  <si>
    <t>BRUTO BDSP TERMINAL ONIBUS OSASCO 24022021</t>
  </si>
  <si>
    <t>BRUTOBDSPTERMINALON-A5K28UI</t>
  </si>
  <si>
    <t>BRUTO PEDESTRES SEM MASCARA 24012021</t>
  </si>
  <si>
    <t>BRUTOSP1PEDESTRESSE-A5K28Z3</t>
  </si>
  <si>
    <t>BRUTOSP1PEDESTRESSE-A5K2B5R</t>
  </si>
  <si>
    <t>BRUTO SP1 HORTAS URBANAS 24022021</t>
  </si>
  <si>
    <t>BRUTOSP1HORTASURBAN-A5K2B6M</t>
  </si>
  <si>
    <t>BRUTO SP1 HOSPITAL BRASILANDIA 24022021</t>
  </si>
  <si>
    <t>BRUTOSP1HOSPITALBRA-A5K2BA9</t>
  </si>
  <si>
    <t>BRUTOSP1HOSPITALBRA-A5K2BAM</t>
  </si>
  <si>
    <t>BRUTO SP1 HOSPITAL HELIOPOLIS 24022021</t>
  </si>
  <si>
    <t>BRUTOSP1HOSPITALHEL-A5K2BA7</t>
  </si>
  <si>
    <t>BRUTO SP1 COMERCIO PARELHEIROS 24022021</t>
  </si>
  <si>
    <t>BRUTOSP1COMERCIOPAR-A5K2BCV</t>
  </si>
  <si>
    <t>BRUTO JG COMERCIO FAVELA 24022021</t>
  </si>
  <si>
    <t>BRUTOJGCOMERCIOFAVE-A5K2BD1</t>
  </si>
  <si>
    <t>BRUTO SP1 UBS VILA PENTEADO 24022021</t>
  </si>
  <si>
    <t>BRUTOSP1UBSVILAPENT-A5K2BDB</t>
  </si>
  <si>
    <t>G0032281</t>
  </si>
  <si>
    <t>25 e 26/02/2021</t>
  </si>
  <si>
    <t>G0032296</t>
  </si>
  <si>
    <t>G0032313</t>
  </si>
  <si>
    <t>G0032331</t>
  </si>
  <si>
    <t>BRUTO BDBR TABAGISMO 25022021</t>
  </si>
  <si>
    <t>BRUTOBDBRTABAGISMO2-A5K2B2T</t>
  </si>
  <si>
    <t>BRUTO HOSPITAL  BELA VISTA 25022021</t>
  </si>
  <si>
    <t>BRUTOHOSPITALBELAVI-A5K2BET</t>
  </si>
  <si>
    <t>G0032282</t>
  </si>
  <si>
    <t>27/02 e 01/03/2021</t>
  </si>
  <si>
    <t>G0032297</t>
  </si>
  <si>
    <t>G0032314</t>
  </si>
  <si>
    <t>26/02 e 01/03/21</t>
  </si>
  <si>
    <t>G0032332</t>
  </si>
  <si>
    <t>BRUTO JH DRONE HOSPITAL EMILIO RIBAS 26022021</t>
  </si>
  <si>
    <t>BRUTOJHDRONEHOSPITA-DTV2DBE</t>
  </si>
  <si>
    <t>BRUTO SP2 FORUM CRIMINAL OSASCO 26022021</t>
  </si>
  <si>
    <t>BRUTOSP2FORUMCRIMIN-DTV2F24</t>
  </si>
  <si>
    <t>BRUTO SP2 DIADEMA ONIBUS 26022021</t>
  </si>
  <si>
    <t>BRUTOSP2DIADEMAONIB-DTV2F3H</t>
  </si>
  <si>
    <t>G0032283</t>
  </si>
  <si>
    <t>01 e 02/03/2021</t>
  </si>
  <si>
    <t>G0032298</t>
  </si>
  <si>
    <t>G0032315</t>
  </si>
  <si>
    <t>Daniela / Alícia</t>
  </si>
  <si>
    <t>G0032333</t>
  </si>
  <si>
    <t>BRUTO AEREAS DRIVE THRU VACINACAO 27022021</t>
  </si>
  <si>
    <t>BRUTOSP1AEREASDRIVE-DTV2F6Z</t>
  </si>
  <si>
    <t>BRUTO SP2 CPTM TREM 27022021</t>
  </si>
  <si>
    <t>BRUTOSP2CPTMTREM270-DTV2C20</t>
  </si>
  <si>
    <t>BRUTO SP2 CPTM TREM 27022021_temp</t>
  </si>
  <si>
    <t>BRUTOSP2CPTMTREM270-DTV2D6O</t>
  </si>
  <si>
    <t>G0032316</t>
  </si>
  <si>
    <t>G0032334</t>
  </si>
  <si>
    <t>BRUTO BDSP DRIVE THRU PACAEMBU VACINA 28022021</t>
  </si>
  <si>
    <t>BRUTOBDSPDRIVETHRUP-DTV2FX0</t>
  </si>
  <si>
    <t>BRUTO BDBR FACHADA HOSPITAL IPIRANGA 28022021</t>
  </si>
  <si>
    <t>BRUTOBDBRFACHADAHOS-DTV2D8O</t>
  </si>
  <si>
    <t>BRUTO ANTENA INTERNAS PARQUE DA LUZ 28022021.mxf</t>
  </si>
  <si>
    <t>BRUTOANTENAPARQUEDA-DTV2EYC</t>
  </si>
  <si>
    <t>BRUTO ANTENA INTERNAS PINACOTECA 2802202</t>
  </si>
  <si>
    <t>BRUTOANTENAINTERNAS-DTV2F1O</t>
  </si>
  <si>
    <t>G0032337</t>
  </si>
  <si>
    <t>G0032340</t>
  </si>
  <si>
    <t>G0032340_TEMP</t>
  </si>
  <si>
    <t>G0032340TEMPMXF-DTV2BC9</t>
  </si>
  <si>
    <t>BRUTO ACOUGUE SP 01032021</t>
  </si>
  <si>
    <t>BRUTOBDBRACOUGUE010-DTV2AUJ</t>
  </si>
  <si>
    <t>BRUTO ACADEMIA SP 01032021</t>
  </si>
  <si>
    <t>BRUTOJHACADEMIA0103-DTV2B2U</t>
  </si>
  <si>
    <t>BRUTO JH ACADEMIA 01032021_TEMP</t>
  </si>
  <si>
    <t>BRUTOJHACADEMIA0103-DTV2B75</t>
  </si>
  <si>
    <t>BRUTO VACINACAO UBS SP 01032021</t>
  </si>
  <si>
    <t>BRUTOSP1VACINACAOUB-DTV2BPC</t>
  </si>
  <si>
    <t>G0039882</t>
  </si>
  <si>
    <t>02 e 03/03/2021</t>
  </si>
  <si>
    <t>G0039912</t>
  </si>
  <si>
    <t>G0039932</t>
  </si>
  <si>
    <t>G0040073</t>
  </si>
  <si>
    <t>BRUTO PISTA SKATE  ANHANGABAU SP 02032</t>
  </si>
  <si>
    <t>BRUTOBDSPPISTASKATE-DTV2F91</t>
  </si>
  <si>
    <t>BRUTO JNAC INDUSTRIA TECIDO SP 02032021</t>
  </si>
  <si>
    <t>BRUTOJNACINDUSTRIAT-DTV2JSS</t>
  </si>
  <si>
    <t>BRUTO INDUSTRIA METALURGICA SP 0203202</t>
  </si>
  <si>
    <t>BRUTOJNACINDUSTRIAM-DTV2JSR</t>
  </si>
  <si>
    <t>BRUTO INDUSTRIA DE EMBALAGEM SP 020320</t>
  </si>
  <si>
    <t>BRUTOJNACINDUSTRIAD-DTV2S7E</t>
  </si>
  <si>
    <t>BRUTO JNAC INDUSTRIA DE EMBALAGEM 020320</t>
  </si>
  <si>
    <t>BRUTOJNACINDUSTRIAD-DTV2SMH</t>
  </si>
  <si>
    <t>BRUTO ESTACAO VILA PRUDENTE MONOTRILHO SP</t>
  </si>
  <si>
    <t>BRUTOSP1ESTACAOVILA-DTV2OM2</t>
  </si>
  <si>
    <t>BRUTO FACHADA HOSPITAL ESTADUAL VILA SP 02032021</t>
  </si>
  <si>
    <t>BRUTOSP1FACHADAHOSP-DTV2OME</t>
  </si>
  <si>
    <t>G0039887</t>
  </si>
  <si>
    <t>G0039887_TEMP</t>
  </si>
  <si>
    <t xml:space="preserve">ARQUIVADO </t>
  </si>
  <si>
    <t>04 e 05/03/2021</t>
  </si>
  <si>
    <t>G0039913</t>
  </si>
  <si>
    <t>G0039933</t>
  </si>
  <si>
    <t>G0040074</t>
  </si>
  <si>
    <t>BRUTO VACINA IDOSO GUARULHOS SP 0303202</t>
  </si>
  <si>
    <t>BRUTOSP1VACINAIDOSO-DTV2FZH</t>
  </si>
  <si>
    <t>BRUTO DRIVE THRU VACINA IBIRAPUERA SP 03032021</t>
  </si>
  <si>
    <t>BRUTOSP1DRIVETHRUVA-DTV2K3Y</t>
  </si>
  <si>
    <t>BRUTO COMERCIO PEDESTRES LARGO 13 SP 03032021</t>
  </si>
  <si>
    <t>BRUTOSP2COMERCIOPED-DTV2K9Z</t>
  </si>
  <si>
    <t>BRUTO FARMACIA CORREIOS BANCA PADARIA SP 03032021</t>
  </si>
  <si>
    <t>BRUTOSP2FARMACIACOR-DTV2KCP</t>
  </si>
  <si>
    <t>BRUTO ESTACAO LUZ CPTM PASSAGEIROS SP 03032021</t>
  </si>
  <si>
    <t>BRUTOJHESTACAOLUZCP-DTV2P42</t>
  </si>
  <si>
    <t>BRUTO AEREAS CAMARA MUNICIPAL SP 03032021</t>
  </si>
  <si>
    <t>BRUTOSP1AEREASCAMAR-DTV2YW7</t>
  </si>
  <si>
    <t>G0039888</t>
  </si>
  <si>
    <t>03 e 04/03/2021</t>
  </si>
  <si>
    <t>G0039914</t>
  </si>
  <si>
    <t>G0039934</t>
  </si>
  <si>
    <t>G0040075</t>
  </si>
  <si>
    <t>BRUTO RESTAURANTE VAZIO SP 04032021</t>
  </si>
  <si>
    <t>BRUTOSP2RESTAURANTE-DTV2OSX</t>
  </si>
  <si>
    <t>BRUTO SALAO DE BELEZA MANICURE SP 04032021</t>
  </si>
  <si>
    <t>BRUTOSP2SALAODEBELE-DTV2OT2</t>
  </si>
  <si>
    <t>BRUTO HOSPITAL TIDE SETUBAL SP 04032021</t>
  </si>
  <si>
    <t>BRUTOSP1HOSPITALTID-DTV34AL</t>
  </si>
  <si>
    <t>BRUTO BOM PRATO SANTO AMARO SP 04032021</t>
  </si>
  <si>
    <t>BRUTOSP1BOMPRATOSAN-DTV34LJ</t>
  </si>
  <si>
    <t>BRUTO HOSPITAL ARTHUR SABOYA SP 04032021</t>
  </si>
  <si>
    <t>BRUTOSP1HOSPITALART-DTV34M5</t>
  </si>
  <si>
    <t>BRUTOHOSPITALARTHUR-EAEGPP0</t>
  </si>
  <si>
    <t>BRUTO HOSPITAL M'BOI MIRIM SP 04032021</t>
  </si>
  <si>
    <t>BRUTOSP1HOSPITALMBO-DTV34Q2</t>
  </si>
  <si>
    <t>G0039889</t>
  </si>
  <si>
    <t>05 e 08/03/2021</t>
  </si>
  <si>
    <t>G0039915</t>
  </si>
  <si>
    <t>G0039935</t>
  </si>
  <si>
    <t>G0040076</t>
  </si>
  <si>
    <t>BRUTO ESTACAO PALMEIRAS BARRA FUNDA SP 05032021</t>
  </si>
  <si>
    <t>BRUTOSP2ESTACAOPALM-DTV2ZQL</t>
  </si>
  <si>
    <t>BRUTO SP2 ESTACAO PALMEIRAS BARRAFUNDA 05032021</t>
  </si>
  <si>
    <t>BRUTOSP2ESTACAOBARR-DTV34AD</t>
  </si>
  <si>
    <t>BRUTO LOJA DE SAPATOS SP 05032021</t>
  </si>
  <si>
    <t>BRUTOSP1LOJADESAPAT-DTV303E</t>
  </si>
  <si>
    <t>BRUTO LOJA SUPLEMENTOS SP 05032021</t>
  </si>
  <si>
    <t>BRUTOSP1LOJASUPLEME-DTV305E</t>
  </si>
  <si>
    <t>BRUTO HOSPITAL UNIVERSITARIO SP 05032021</t>
  </si>
  <si>
    <t>BRUTOSP1FACHADAHOSP-DTV30CL</t>
  </si>
  <si>
    <t>BRUTO EMBU DAS ARTES VAZIO SP 05032021</t>
  </si>
  <si>
    <t>BRUTOBDSPEMBUDASART-DTV34W8</t>
  </si>
  <si>
    <t>BRUTO PROTESTO CAMINHONEIROS SP 05032021</t>
  </si>
  <si>
    <t>BRUTOPROTESTOCAMINH-EAEGQ7N</t>
  </si>
  <si>
    <t>G0039890</t>
  </si>
  <si>
    <t>G0039916</t>
  </si>
  <si>
    <t>G0039936</t>
  </si>
  <si>
    <t>G0040077</t>
  </si>
  <si>
    <t>BRUTO COMERCIO FECHADO SP 06032021</t>
  </si>
  <si>
    <t>BRUTOSP1COMERCIOFEC-DTV2ZTG</t>
  </si>
  <si>
    <t>BRUTO HOSPITAL GUARAPIRANGA SP 06032021</t>
  </si>
  <si>
    <t>BRUTOHOSPITALGUARAP-EAEGPST</t>
  </si>
  <si>
    <t>BRUTO BARES RESTAURANTES FECHADOS SP 06032021</t>
  </si>
  <si>
    <t>BRUTOBARESRESTAURAN-EAEGQ5C</t>
  </si>
  <si>
    <t>BRUTO DELIVERY RESTAURANTE SP 06032021</t>
  </si>
  <si>
    <t>BRUTODELIVERYRESTAU-EAEGQA5</t>
  </si>
  <si>
    <t>G0039937</t>
  </si>
  <si>
    <t>G0040078</t>
  </si>
  <si>
    <t>BRUTO MISSA SANTUARIO SAO JUDAS TADEU SP 07032021</t>
  </si>
  <si>
    <t>BRUTOMISSASANTUARIO-EAEGPWY</t>
  </si>
  <si>
    <t>BRUTO CICLOFAIXA DE LAZER SP 07032021</t>
  </si>
  <si>
    <t>BRUTOCICLOFAIXADELA-EAEGPY2</t>
  </si>
  <si>
    <t>00:10;00</t>
  </si>
  <si>
    <t>BRUTO COMERCIO FECHADO PAULISTA SP 07032021</t>
  </si>
  <si>
    <t>BRUTOCOMERCIOFECHAD-EAEGQ2Z</t>
  </si>
  <si>
    <t>Bruto Beco do Batman SP 07032021</t>
  </si>
  <si>
    <t>BRUTOBECODOBATMANSP-EAEGQID</t>
  </si>
  <si>
    <t>Bruto Drone Cracolândia SP 07032021</t>
  </si>
  <si>
    <t>BRUTODRONECRACOLNDI-EAEGTBD</t>
  </si>
  <si>
    <t>G0040097</t>
  </si>
  <si>
    <t>G0040101</t>
  </si>
  <si>
    <t>G0040101_TEMP</t>
  </si>
  <si>
    <t>Bruto Estação Pinheiro do Metrô SP 08032021</t>
  </si>
  <si>
    <t>BRUTOESTAOPINHEIROD-EAEGTOJ</t>
  </si>
  <si>
    <t>Bruto comércio fechado SP 08032021</t>
  </si>
  <si>
    <t>BRUTOCOMERCIOFECHAD-EAEGTS2</t>
  </si>
  <si>
    <t>Bruto Igreja Batista SP 08032021</t>
  </si>
  <si>
    <t>BRUTOIGREJABATISTAS-EAEGTUK</t>
  </si>
  <si>
    <t>Bruto Igreja Evangelica SP 08032021</t>
  </si>
  <si>
    <t>BRUTOIGREJAEVANGELI-EAEGTX6</t>
  </si>
  <si>
    <t>Bruto Igreja Universal Templo Salomao SP 08032021</t>
  </si>
  <si>
    <t>00;00:58</t>
  </si>
  <si>
    <t>BRUTOIGREJAUNIVERSA-EAEGTXC</t>
  </si>
  <si>
    <t>Bruto Catedral da Se SP 08032021</t>
  </si>
  <si>
    <t>BRUTOCATEDRALDASESP-EAEGU0E</t>
  </si>
  <si>
    <t>Bruto aglomeracao Estacao Bras SP 08032021</t>
  </si>
  <si>
    <t>BRUTOAGLOMERACAOEST-EAEGUDP</t>
  </si>
  <si>
    <t>Bruto pedestres Sao Paulo SP 08032021</t>
  </si>
  <si>
    <t>BRUTOPEDESTRESSAOPA-EAEH5QJ</t>
  </si>
  <si>
    <t>VT_BDSP_MULHERES_GUERREIRAS_08032021</t>
  </si>
  <si>
    <t>VTBDSPMULHERESGUERR-EAEHHV5</t>
  </si>
  <si>
    <t>G0039891</t>
  </si>
  <si>
    <t>G0039938</t>
  </si>
  <si>
    <t>G0039917</t>
  </si>
  <si>
    <t>G0040079</t>
  </si>
  <si>
    <t>Bruto passageiros Estação da Luz SP 09032021</t>
  </si>
  <si>
    <t>BRUTOPASSAGEIROSEST-EAEGST7</t>
  </si>
  <si>
    <t>Bruto passageiros onibus SP 09032021</t>
  </si>
  <si>
    <t>BRUTOPASSAGEIROSONI-EAEH5SK</t>
  </si>
  <si>
    <t>Bruto Prefeitura Taboao da Serra SP 09032021</t>
  </si>
  <si>
    <t>BRUTOPREFEITURATABO-EAEH5TG</t>
  </si>
  <si>
    <t>Bruto Hospital Ignacio Proença Gouveia SP 09032021</t>
  </si>
  <si>
    <t>BRUTOHOSPITALIGNACI-EAEH5W6</t>
  </si>
  <si>
    <t>VT SP2</t>
  </si>
  <si>
    <t>VT_SP2_MAPA_INTERIOR_09032021</t>
  </si>
  <si>
    <t>VTSP2MAPAINTERIOR09-EAEHEM1</t>
  </si>
  <si>
    <t>BRUTO UTI CACHOEIRINHA SP 09032021</t>
  </si>
  <si>
    <t>BRUTOUTICACHOEIRINH-EAEHHO9</t>
  </si>
  <si>
    <t>G0039892</t>
  </si>
  <si>
    <t>G0039918</t>
  </si>
  <si>
    <t>G0039939</t>
  </si>
  <si>
    <t>G0040080</t>
  </si>
  <si>
    <t>G0039893</t>
  </si>
  <si>
    <t xml:space="preserve">NO MEDIA </t>
  </si>
  <si>
    <t>G0039893_TEMP</t>
  </si>
  <si>
    <t>19 e 20/03/2021</t>
  </si>
  <si>
    <t>G0039919</t>
  </si>
  <si>
    <t>G0039940</t>
  </si>
  <si>
    <t>G0040081</t>
  </si>
  <si>
    <t>Bruto covas cemiterio SP 11032021</t>
  </si>
  <si>
    <t>BRUTOCOVASCEMITERIO-EAEH60C</t>
  </si>
  <si>
    <t>G0039894</t>
  </si>
  <si>
    <t>G0039920</t>
  </si>
  <si>
    <t>G0039941</t>
  </si>
  <si>
    <t>G0040082</t>
  </si>
  <si>
    <t>G0039895</t>
  </si>
  <si>
    <t>G0039921</t>
  </si>
  <si>
    <t>G0039942</t>
  </si>
  <si>
    <t>G0040083</t>
  </si>
  <si>
    <t>BRUTO DRIVE THRU CONSTRUCAO SP 13032021</t>
  </si>
  <si>
    <t>BRUTODRIVETHRUCONST-EAEHELH</t>
  </si>
  <si>
    <t>BRUTO LOJA MATERIAL CONSTRUCAO SP 13032021</t>
  </si>
  <si>
    <t>BRUTOLOJAMATERIALCO-EAEHEMB</t>
  </si>
  <si>
    <t>BRUTO LOCKDOWN SAO LOURENCO SP 13032021</t>
  </si>
  <si>
    <t>BRUTOLOCKDOWNSAOLOU-EQXVDY8</t>
  </si>
  <si>
    <t>BRUTO VACINACAO DRIVE THRU OSASCO SP 13032021</t>
  </si>
  <si>
    <t>ARQUIVADO DEFINITIVO</t>
  </si>
  <si>
    <t>G0039943</t>
  </si>
  <si>
    <t>17 e 18/03/2021</t>
  </si>
  <si>
    <t>G0040084</t>
  </si>
  <si>
    <t>EE SP</t>
  </si>
  <si>
    <t xml:space="preserve"> MAM RJ (GLOBSAT)</t>
  </si>
  <si>
    <t>G0040098</t>
  </si>
  <si>
    <t xml:space="preserve">Anderson </t>
  </si>
  <si>
    <t>G0040102</t>
  </si>
  <si>
    <t>G0040102_TEMP</t>
  </si>
  <si>
    <t>G0040102_TEMP2</t>
  </si>
  <si>
    <t>BRUTO FASE EMERGENCIAL LESTE SP 15032021</t>
  </si>
  <si>
    <t>BRUTOFASEEMERGENCIA-EQXVH62</t>
  </si>
  <si>
    <t>G0039896</t>
  </si>
  <si>
    <t>23 e 24/03/2021</t>
  </si>
  <si>
    <t>G0039922</t>
  </si>
  <si>
    <t>G0039944</t>
  </si>
  <si>
    <t>18 e 19/03/2021</t>
  </si>
  <si>
    <t>G0040085</t>
  </si>
  <si>
    <t>15/03/2021 2142</t>
  </si>
  <si>
    <t>BRUTO FASE EMERGENCIAL SP 16032021</t>
  </si>
  <si>
    <t>G0039897</t>
  </si>
  <si>
    <t>G0039923</t>
  </si>
  <si>
    <t>16 e 17/03/2021</t>
  </si>
  <si>
    <t>G0039945</t>
  </si>
  <si>
    <t>G0040086</t>
  </si>
  <si>
    <t>BRUTO FIOCRUZ ENVASE VACINA SP 16032021</t>
  </si>
  <si>
    <t>BRUTOFIOCRUZENVASEV-EAEHH2J</t>
  </si>
  <si>
    <t>BRUTO FIOCRUZ ENVASE VACINA SP 16032021_temp</t>
  </si>
  <si>
    <t>BRUTOFIOCRUZENVASEV-EAEHH6O</t>
  </si>
  <si>
    <t>BRUTO UTIS HOSPITAIS PUBLICOS SP 17032021</t>
  </si>
  <si>
    <t>BRUTOUTISHOSPITAISP-EQXV4QF</t>
  </si>
  <si>
    <t>BRUTO CEMITERIO SAO LUIZ SP 17032021</t>
  </si>
  <si>
    <t>BRUTOCEMITERIOSAOLU-EQXVJFO</t>
  </si>
  <si>
    <t>G0039898</t>
  </si>
  <si>
    <t>G0039924</t>
  </si>
  <si>
    <t>G0039924_TEMP</t>
  </si>
  <si>
    <t>G0039946</t>
  </si>
  <si>
    <t>G0040087</t>
  </si>
  <si>
    <t>22 e 23/03/2021</t>
  </si>
  <si>
    <t>G0039899</t>
  </si>
  <si>
    <t>G0039925</t>
  </si>
  <si>
    <t>G0039947</t>
  </si>
  <si>
    <t>G0040088</t>
  </si>
  <si>
    <t>G0039900</t>
  </si>
  <si>
    <t>25 e 26/03/2021</t>
  </si>
  <si>
    <t>G0039926</t>
  </si>
  <si>
    <t>G0039948</t>
  </si>
  <si>
    <t>G0040089</t>
  </si>
  <si>
    <t>23 e 24 03/2021</t>
  </si>
  <si>
    <t>BRUTO UPA OXIGENIO SP 20032021</t>
  </si>
  <si>
    <t>BRUTOUPAOXIGENIOSP2-EQXVDV3</t>
  </si>
  <si>
    <t>G0039949</t>
  </si>
  <si>
    <t>G0040090</t>
  </si>
  <si>
    <t>Rafael</t>
  </si>
  <si>
    <t>BRUTO FAVELA CUFA SP 21032021</t>
  </si>
  <si>
    <t>G0040099</t>
  </si>
  <si>
    <t>G0040103</t>
  </si>
  <si>
    <t>BRUTO RODIZIO CARROS SP 22032021</t>
  </si>
  <si>
    <t>BRUTORODIZIOCARROSS-F7H97T0</t>
  </si>
  <si>
    <t>BRUTO RODIZIO CARROS SP 22032021_temp</t>
  </si>
  <si>
    <t>BRUTO MORADOR DE RUA 22032021</t>
  </si>
  <si>
    <t>BRUTO FACHADA HOSPITAL BRASILANDIA SP 22032021</t>
  </si>
  <si>
    <t>BRUTOFACHADAHOSPITA-F7H97OB</t>
  </si>
  <si>
    <t>G0039901</t>
  </si>
  <si>
    <t>G0039927</t>
  </si>
  <si>
    <t>G0039950</t>
  </si>
  <si>
    <t>G0040091</t>
  </si>
  <si>
    <t>24 e 25/03/2021</t>
  </si>
  <si>
    <t>BRUTO CEMITERIO VILA NOVA CACHOEIRINHA SP 23032021</t>
  </si>
  <si>
    <t>G0039902</t>
  </si>
  <si>
    <t>29 e 30/03/2021</t>
  </si>
  <si>
    <t>G0039928</t>
  </si>
  <si>
    <t>G0039951</t>
  </si>
  <si>
    <t>G0040092</t>
  </si>
  <si>
    <t>VT_SP1_DOACOES OSASCO_24032021_TEMP2</t>
  </si>
  <si>
    <t>G0039903</t>
  </si>
  <si>
    <t>G0039929</t>
  </si>
  <si>
    <t>G0039952</t>
  </si>
  <si>
    <t>26 e 29/03/2021</t>
  </si>
  <si>
    <t>G0040093</t>
  </si>
  <si>
    <t>BRUTO MARCELO QUEIROGA SP 25032021</t>
  </si>
  <si>
    <t>BRUTOMARCELOQUEIROG-EQXVJY2</t>
  </si>
  <si>
    <t>BRUTO MARCELO QUEIROGA SP 25032021_TEMP</t>
  </si>
  <si>
    <t>BRUTOMARCELOQUEIROG-EQXVNHJ</t>
  </si>
  <si>
    <t>BRUTO KIT REMEDIOS COVID-19 25032021</t>
  </si>
  <si>
    <t>BRUTOKITREMEDIOSCOV-F7H9ARG</t>
  </si>
  <si>
    <t>G0039904</t>
  </si>
  <si>
    <t>G0039930</t>
  </si>
  <si>
    <t>G0039953</t>
  </si>
  <si>
    <t xml:space="preserve">	25/03/2021 21:08</t>
  </si>
  <si>
    <t>G0040094</t>
  </si>
  <si>
    <t>BRUTO BUTANVAC SP 26032021</t>
  </si>
  <si>
    <t>BRUTOBUTANVACSP2603-EQXVJZ1</t>
  </si>
  <si>
    <t>BRUTO OXIGENIO MEDICINAL SP 26032021</t>
  </si>
  <si>
    <t>BRUTOOXIGENIOMEDICI-EQXVJI7</t>
  </si>
  <si>
    <t>G0039905</t>
  </si>
  <si>
    <t>G0039931</t>
  </si>
  <si>
    <t>G0039954</t>
  </si>
  <si>
    <t>G0040095</t>
  </si>
  <si>
    <t>BRUTO INVERMECTINA SP 27032021</t>
  </si>
  <si>
    <t>BRUTOINVERMECTINASP-EQXVNCQ</t>
  </si>
  <si>
    <t>BRUTO PRODUCAO VACINAS SP 27032021</t>
  </si>
  <si>
    <t>BRUTOPRODUCAOVACINA-EQXVNLG</t>
  </si>
  <si>
    <t>BRUTO DOACAO ALIMENTOS SP 27032021</t>
  </si>
  <si>
    <t>BRUTO LOTERICA 27032021</t>
  </si>
  <si>
    <t>BRUTOLOTERICA270320-IF8VO4J</t>
  </si>
  <si>
    <t>G0039955</t>
  </si>
  <si>
    <t>G0040096</t>
  </si>
  <si>
    <t>28/03/2021 2014</t>
  </si>
  <si>
    <t>ACERVOESPORTEESPETA-EQXVN41</t>
  </si>
  <si>
    <t>G0040100</t>
  </si>
  <si>
    <t>G0040104</t>
  </si>
  <si>
    <t>G0040104_TEMP</t>
  </si>
  <si>
    <t>BRUTO CEMITERIO VILA FORMOSA NOTURNA 25032021</t>
  </si>
  <si>
    <t>BRUTOCEMITERIOVILAF-F7H9AQ6</t>
  </si>
  <si>
    <t>Bruto vacinacao covid sem teto SP 29032021</t>
  </si>
  <si>
    <t>BRUTOVACINACAOCOVID-IF8VZUK</t>
  </si>
  <si>
    <t>G0044749</t>
  </si>
  <si>
    <t>G0044769</t>
  </si>
  <si>
    <t>G0044789</t>
  </si>
  <si>
    <t>30 e 31/03/2021</t>
  </si>
  <si>
    <t>G0044813</t>
  </si>
  <si>
    <t>BRUTO PROTESTO RADIAL LESTE 30032021</t>
  </si>
  <si>
    <t>G0044750</t>
  </si>
  <si>
    <t>G0044770</t>
  </si>
  <si>
    <t xml:space="preserve">30/03/2021 11:40:36
</t>
  </si>
  <si>
    <t>G0044790</t>
  </si>
  <si>
    <t>31/03 e 01/04</t>
  </si>
  <si>
    <t>G0044814</t>
  </si>
  <si>
    <t>BRUTO CASA LOTERICA SP 31032021</t>
  </si>
  <si>
    <t xml:space="preserve">OK </t>
  </si>
  <si>
    <t>BRUTO FACHADA HOSPITAL SOROCABANA 31032021</t>
  </si>
  <si>
    <t>BRUTOFACHADAHOSPITA-IF8VO95</t>
  </si>
  <si>
    <t>BRUTO FACHADA HOSPITAL SANTA CECILIA 31032021</t>
  </si>
  <si>
    <t>BRUTOFACHADAHOSPITA-IF8W06G</t>
  </si>
  <si>
    <t>BRUTO LABORATORIO BUTANTAN 31032021</t>
  </si>
  <si>
    <t>BRUTOLABORATORIOBUT-IVS9YAA</t>
  </si>
  <si>
    <t>G0044751</t>
  </si>
  <si>
    <t xml:space="preserve"> 02:24:16</t>
  </si>
  <si>
    <t>07, 08 e 09/04/21</t>
  </si>
  <si>
    <t>G0044771</t>
  </si>
  <si>
    <t xml:space="preserve">31/03/2021 12:44:59
</t>
  </si>
  <si>
    <t>G0044791</t>
  </si>
  <si>
    <t>G0044815</t>
  </si>
  <si>
    <t>BRUTO OVOS DE PASCOA SP 01042021</t>
  </si>
  <si>
    <t>BRUTOOVOSDEPASCOASP-IF8VXEK</t>
  </si>
  <si>
    <t>BRUTO KIT INTUBACAO 01042021</t>
  </si>
  <si>
    <t>BRUTOKITINTUBACAO01-IF8W0OE</t>
  </si>
  <si>
    <t>VT_SP2_FILA MORTES_01042021_TEMP2</t>
  </si>
  <si>
    <t>VTSP2FILAMORTES0104-IF8W3J0</t>
  </si>
  <si>
    <t>BRUTO EPIS 01042021</t>
  </si>
  <si>
    <t>BRUTOEPIS01042021MX-IVS9WTJ</t>
  </si>
  <si>
    <t>BRUTO MOTORISTA DE APLICATIVO 01042021</t>
  </si>
  <si>
    <t>BRUTOMOTORISTADEAPL-JCBOEBB</t>
  </si>
  <si>
    <t>G0044752</t>
  </si>
  <si>
    <t>06,07,08,09/04/2021</t>
  </si>
  <si>
    <t>G0044772</t>
  </si>
  <si>
    <t>G0044792</t>
  </si>
  <si>
    <t>G0044816</t>
  </si>
  <si>
    <t>G0044753</t>
  </si>
  <si>
    <t>07, 08 e 09 /04/2021</t>
  </si>
  <si>
    <t>G0044773</t>
  </si>
  <si>
    <t>G0044793</t>
  </si>
  <si>
    <t>G0044817</t>
  </si>
  <si>
    <t>Bruto favela Vila Prudente Drone SP 03042021</t>
  </si>
  <si>
    <t>BRUTOFAVELAVILAPRUD-IF8VX5N</t>
  </si>
  <si>
    <t>BRUTO FACHADA HOSPITAL CARAPICUIBA 03042021</t>
  </si>
  <si>
    <t>BRUTOFACHADAHOSPITA-IF8VZZZ</t>
  </si>
  <si>
    <t>BRUTO HOSPITAL CARAPICUIBA 03042021_TEMP</t>
  </si>
  <si>
    <t>BRUTOHOSPITALCARAPI-IF8W97H</t>
  </si>
  <si>
    <t>G0044794</t>
  </si>
  <si>
    <t>Toninho</t>
  </si>
  <si>
    <t>G0044818</t>
  </si>
  <si>
    <t>ACERVOESPORTEESPETA-IF8VYN1</t>
  </si>
  <si>
    <t>G0044837</t>
  </si>
  <si>
    <t>G0044837_TEMP</t>
  </si>
  <si>
    <t>G0044837TEMP-IF8VXCG</t>
  </si>
  <si>
    <t>G0044841</t>
  </si>
  <si>
    <t>G0044841_TEMP</t>
  </si>
  <si>
    <t>G0044841TEMPMXF-IF8VYI5</t>
  </si>
  <si>
    <t>BRUTO VACINACAO FORCAS ARMADAS 05042021</t>
  </si>
  <si>
    <t>BRUTOVACINACAOFORCA-IF8VZX8</t>
  </si>
  <si>
    <t>BRUTO VACINACAO POLICIAIS SP 05042021</t>
  </si>
  <si>
    <t>BRUTOVACINACAOPOLIC-IF8W0MJ</t>
  </si>
  <si>
    <t>G0044754</t>
  </si>
  <si>
    <t>13, 14, 15 e 16/04/2021</t>
  </si>
  <si>
    <t>G0044774</t>
  </si>
  <si>
    <t xml:space="preserve">05/04/2021 11:14:15
</t>
  </si>
  <si>
    <t>G0044795</t>
  </si>
  <si>
    <t>G0044819</t>
  </si>
  <si>
    <t>06 e 07/04/2021</t>
  </si>
  <si>
    <t>Bruto Refinaria de Capuava - RECAP 06042021</t>
  </si>
  <si>
    <t>BRUTO ESPECIES ABELHAS 06042021</t>
  </si>
  <si>
    <t>G0044755</t>
  </si>
  <si>
    <t>G0044775</t>
  </si>
  <si>
    <t xml:space="preserve">06/04/2021 13:33:01
</t>
  </si>
  <si>
    <t>G0044796</t>
  </si>
  <si>
    <t>G0044820</t>
  </si>
  <si>
    <t>BRUTO CILINDRO OXIGENIO 07042021</t>
  </si>
  <si>
    <t>BRUTOCILINDROOXIGEN-IF8W62H</t>
  </si>
  <si>
    <t>BRUTO REUNIAO MINISTROS BOLSONARO SP 07042021</t>
  </si>
  <si>
    <t>BRUTOREUNIAOMINISTR-IF8W8ZY</t>
  </si>
  <si>
    <t>BRUTO BALADA 07042021</t>
  </si>
  <si>
    <t>BRUTOBALADA07042021-IF8W970</t>
  </si>
  <si>
    <t>G0044756</t>
  </si>
  <si>
    <t>G0044776</t>
  </si>
  <si>
    <t xml:space="preserve">07/04/2021 10:59:21
</t>
  </si>
  <si>
    <t>G0044797</t>
  </si>
  <si>
    <t>G0044821</t>
  </si>
  <si>
    <t>BRUTO FOME POBREZA 08042021</t>
  </si>
  <si>
    <t>BRUTOFOMEPOBREZA080-IF8W9ZJ</t>
  </si>
  <si>
    <t>BRUTO HOTEIS SP 08042021</t>
  </si>
  <si>
    <t>BRUTOHOTEISSP080420-IVS9WTM</t>
  </si>
  <si>
    <t>BRUTO CARRO ELETRICO 08042021</t>
  </si>
  <si>
    <t>BRUTOCARROELETRICO0-IVS9Z06</t>
  </si>
  <si>
    <t>G0044757</t>
  </si>
  <si>
    <t>02;24;36</t>
  </si>
  <si>
    <t>G0044757_TEMP</t>
  </si>
  <si>
    <t>G0044757 (DEFINITIVO)</t>
  </si>
  <si>
    <t>G0044777</t>
  </si>
  <si>
    <t>G0044798</t>
  </si>
  <si>
    <t>G0044822</t>
  </si>
  <si>
    <t>BRUTO CAIXA ECONOMICA 09042021</t>
  </si>
  <si>
    <t>BRUTOCAIXAECONOMICA-IVS9Z04</t>
  </si>
  <si>
    <t>BRUTO LABORATORIO FLEURY 09042021</t>
  </si>
  <si>
    <t>BRUTOLABORATORIOFLE-IVSAD3I</t>
  </si>
  <si>
    <t xml:space="preserve">NÃO HOUVE EXIBIÇÃO </t>
  </si>
  <si>
    <t>G0044758</t>
  </si>
  <si>
    <t>09/04/2021 e 12/04</t>
  </si>
  <si>
    <t>G0044799</t>
  </si>
  <si>
    <t>G0044823</t>
  </si>
  <si>
    <t>BRUTO VACINA PROFESSORES 10042021</t>
  </si>
  <si>
    <t>BRUTOVACINAPROFESSO-IVS9WTL</t>
  </si>
  <si>
    <t>BRUTO POSTO DE COMBUSTIVEL 10042021</t>
  </si>
  <si>
    <t>BRUTOPOSTODECOMBUST-IVSA1KG</t>
  </si>
  <si>
    <t>VT_SP1_VOLENCIA_MULHER_12042021</t>
  </si>
  <si>
    <t>Não disponível no PAM</t>
  </si>
  <si>
    <t>G0044800</t>
  </si>
  <si>
    <t>G0044824</t>
  </si>
  <si>
    <t>BRUTO PEDESTRES PAULISTA 11042021</t>
  </si>
  <si>
    <t>BRUTOPEDESTRESPAULI-IVS9WTH</t>
  </si>
  <si>
    <t>BRUTO PROTESTO AV PAULISTA 11042021</t>
  </si>
  <si>
    <t>BRUTOPROTESTOAVPAUL-IVS9WTN</t>
  </si>
  <si>
    <t>BRUTO CATEDRAL DA SE 11042021</t>
  </si>
  <si>
    <t>BRUTOCATEDRALDASE11-IVS9WTK</t>
  </si>
  <si>
    <t xml:space="preserve"> NÃO TEVE A VERSÃO SP</t>
  </si>
  <si>
    <t>G0044838</t>
  </si>
  <si>
    <t>G0044842</t>
  </si>
  <si>
    <t>G0044842_TEMP</t>
  </si>
  <si>
    <t>BRUTO ENTREGA CORONAVAC DORIA 12042021</t>
  </si>
  <si>
    <t>BRUTOENTREGACORONAV-IVS9Z08</t>
  </si>
  <si>
    <t>BRUTO AEREA BANDEIRA ED BANESPA 12042021</t>
  </si>
  <si>
    <t xml:space="preserve">SP2 </t>
  </si>
  <si>
    <t>BRUTO MOTOCICLISTAS TRANSITO 12042021</t>
  </si>
  <si>
    <t>15/04/2021/14:31</t>
  </si>
  <si>
    <t>BRUTOMOTOCICLISTAST-IVSA3Z3</t>
  </si>
  <si>
    <t>BRUTO VOLTA AULAS ESCOLA PUBLICA 12042021</t>
  </si>
  <si>
    <t>BRUTOVOLTAAULASESCO-IVSA8MV</t>
  </si>
  <si>
    <t>G0044759</t>
  </si>
  <si>
    <t>G0044779</t>
  </si>
  <si>
    <t xml:space="preserve">12/04/2021 11:09:22
</t>
  </si>
  <si>
    <t>G0044801</t>
  </si>
  <si>
    <t xml:space="preserve">12/04/2021 14:17:37
</t>
  </si>
  <si>
    <t>G0044825</t>
  </si>
  <si>
    <t>INTER</t>
  </si>
  <si>
    <t>BRUTO JANSSEN 13042021</t>
  </si>
  <si>
    <t>BRUTOJANSSEN1304202-IVS9Z01</t>
  </si>
  <si>
    <t>BRUTO HOSPITAL ESTADUAL SANTA CECILIA  13042021</t>
  </si>
  <si>
    <t>BRUTOHOSPITALESTADU-IVSA3ZT</t>
  </si>
  <si>
    <t>BRUTO ANHANGABAU 13042021</t>
  </si>
  <si>
    <t>BRUTOANHANGABAU1304-IVSA8NG</t>
  </si>
  <si>
    <t>G0044760</t>
  </si>
  <si>
    <t>G0044760_TEMP ; G0044760_TEMP2 ; e  G0044760_TEMP6</t>
  </si>
  <si>
    <t xml:space="preserve"> Export to VIZRT ACERVO JOR</t>
  </si>
  <si>
    <t>OK, Já enviado para ID definitivo</t>
  </si>
  <si>
    <t>G0044780</t>
  </si>
  <si>
    <t>G0044802</t>
  </si>
  <si>
    <t>G0044826</t>
  </si>
  <si>
    <t>BRUTO CRECHE VACINACAO 14042021</t>
  </si>
  <si>
    <t>BRUTOCRECHEVACINACA-IVSA1KN</t>
  </si>
  <si>
    <t>BRUTO KIT INTUBACAO 14042021</t>
  </si>
  <si>
    <t>BRUTOKITINTUBACAO14-IVSA3YU</t>
  </si>
  <si>
    <t>BRUTO ONIBUS AGLOMERACAO 14042021</t>
  </si>
  <si>
    <t>BRUTOONIBUSAGLOMERA-IVSA8NI</t>
  </si>
  <si>
    <t>BRUTO ONIBUS AGLOMERACAO 14042021_Duplicate</t>
  </si>
  <si>
    <t>BRUTOONIBUSAGLOMERA-JCBNVUC</t>
  </si>
  <si>
    <t>BRUTO FACHADA AEREA SBT 15042021</t>
  </si>
  <si>
    <t>BRUTOFACHADAAEREASB-JCBO3QU</t>
  </si>
  <si>
    <t>NÃO HOUVE EXIBIÇÃO</t>
  </si>
  <si>
    <t>G0044761</t>
  </si>
  <si>
    <t>G0044803</t>
  </si>
  <si>
    <t xml:space="preserve">14/04/2021 14:37:46
</t>
  </si>
  <si>
    <t>14 e 15/04/2021</t>
  </si>
  <si>
    <t>G0044827</t>
  </si>
  <si>
    <t>BRUTO HOSPITAL UNINOVE SP 15042021</t>
  </si>
  <si>
    <t>BRUTOHOSPITALUNINOV-IVSAD3L</t>
  </si>
  <si>
    <t>BRUTO ARMAZENAMENTO VACINA 15042021</t>
  </si>
  <si>
    <t>BRUTOARMAZENAMENTOV-JCBOE6S</t>
  </si>
  <si>
    <t>BRUTO AV FARIA LIMA 15042021</t>
  </si>
  <si>
    <t>BRUTOAVFARIALIMA150-JCBOE99</t>
  </si>
  <si>
    <t>BRUTO AEREA MURAIS PREDIOS SP 15042021</t>
  </si>
  <si>
    <t>BRUTOAEREAMURAISPRE-JCBO3QV</t>
  </si>
  <si>
    <t>BRUTO AEREA MURAIS 15042021_TEMP2</t>
  </si>
  <si>
    <t xml:space="preserve">  Export to VIZRT ACERVO JOR</t>
  </si>
  <si>
    <t>BRUTOAEREAMURAIS150-N0MOTC5</t>
  </si>
  <si>
    <t>G0044762</t>
  </si>
  <si>
    <t>G0044762_TEMP</t>
  </si>
  <si>
    <t>G0044804</t>
  </si>
  <si>
    <t>G0044804_TEMP</t>
  </si>
  <si>
    <t>15 e 16/04/2021</t>
  </si>
  <si>
    <t>G0044828</t>
  </si>
  <si>
    <t>G0044828_TEMP</t>
  </si>
  <si>
    <t xml:space="preserve">16/04/2021 07:51:22
</t>
  </si>
  <si>
    <t>BRUTO DOACAO ALIMENTOS 16042021</t>
  </si>
  <si>
    <t>BRUTODOACAOALIMENTO-IVSAD3G</t>
  </si>
  <si>
    <t>BRUTO MERCADO MUNICIPAL SP 16042021</t>
  </si>
  <si>
    <t>BRUTOMERCADOMUNICIP-IVSAD3H</t>
  </si>
  <si>
    <t>BRUTO FACHADA POLICIA FEDERAL SP 16042021</t>
  </si>
  <si>
    <t>BRUTOFACHADAPOLICIA-IVSACRR</t>
  </si>
  <si>
    <t>G0044763</t>
  </si>
  <si>
    <t>G0044763_TEMP</t>
  </si>
  <si>
    <t>G0044783</t>
  </si>
  <si>
    <t xml:space="preserve">16/04/2021 12:24:37
</t>
  </si>
  <si>
    <t xml:space="preserve">G0044783TEMPMXF-IVSA62N
</t>
  </si>
  <si>
    <t>G0044805</t>
  </si>
  <si>
    <t>G0044829</t>
  </si>
  <si>
    <t>BRUTO FACHADA HOSP SIRIO LIBANES 17042021</t>
  </si>
  <si>
    <t>BRUTOFACHADAHOSPSIR-IVSACRQ</t>
  </si>
  <si>
    <t>BRUTOFACHADAHOSPSIR-JCBNVUB</t>
  </si>
  <si>
    <t>G0044806</t>
  </si>
  <si>
    <t>G0044755_TEMP</t>
  </si>
  <si>
    <t>G0044806TEMP2MXF-IVSA9LN</t>
  </si>
  <si>
    <t>G0044830</t>
  </si>
  <si>
    <t xml:space="preserve"> MAM RJ (GLOBOSAT)</t>
  </si>
  <si>
    <t>ACERVOESPORTEESPETA-IVSABFN</t>
  </si>
  <si>
    <t>G0044839</t>
  </si>
  <si>
    <t>G0044839_TEMP</t>
  </si>
  <si>
    <t>G0044839TEMPMXF-IVSABGC</t>
  </si>
  <si>
    <t>G0044843</t>
  </si>
  <si>
    <t>G0044843_TEMP</t>
  </si>
  <si>
    <t>G0044843TEMPMXF-IVSABGH</t>
  </si>
  <si>
    <t>BRUTO SANTO EXPEDITO 19042021</t>
  </si>
  <si>
    <t>BRUTOSANTOEXPEDITO1-JCBOI69</t>
  </si>
  <si>
    <t>VT JH 50 ANOS  - VT 1 - 19042021</t>
  </si>
  <si>
    <t>ACERVOJHOJE50ANOSVT-JCBODZ5</t>
  </si>
  <si>
    <t>JB</t>
  </si>
  <si>
    <t>G0044764</t>
  </si>
  <si>
    <t>G0044764_TEMP</t>
  </si>
  <si>
    <t>G0044764TEMPMXF-IVSADE2</t>
  </si>
  <si>
    <t>G0044807</t>
  </si>
  <si>
    <t>G0044831</t>
  </si>
  <si>
    <t>VT JH 50 ANOS  - VT 2 - 20042021</t>
  </si>
  <si>
    <t>ACERVOJHOJE50ANOSVT-JCBODYY</t>
  </si>
  <si>
    <t>G0044765</t>
  </si>
  <si>
    <t>G0044765_TEMP</t>
  </si>
  <si>
    <t>G0044765TEMPMXF-JCBNXIW</t>
  </si>
  <si>
    <t>G0044785</t>
  </si>
  <si>
    <t xml:space="preserve">20/04/2021 11:53:56
</t>
  </si>
  <si>
    <t>G0044808</t>
  </si>
  <si>
    <t>G0044808_TEMP2</t>
  </si>
  <si>
    <t>G0044808TEMP2MXF-JCBNXXC</t>
  </si>
  <si>
    <t>G0044832</t>
  </si>
  <si>
    <t>VT JH 50 ANOS  - VT 3 - 21042021</t>
  </si>
  <si>
    <t>ACERVOJHOJE50ANOSVT-JCBODZ2</t>
  </si>
  <si>
    <t>G0044766</t>
  </si>
  <si>
    <t>G0044766_TEMP</t>
  </si>
  <si>
    <t>G0044766TEMPMXF-JCBO1BB</t>
  </si>
  <si>
    <t>G0044786</t>
  </si>
  <si>
    <t xml:space="preserve">21/04/2021 10:56:24
</t>
  </si>
  <si>
    <t>G0044809</t>
  </si>
  <si>
    <t>G0044833</t>
  </si>
  <si>
    <t>G0044833_TEMP</t>
  </si>
  <si>
    <t>G0044833TEMPMXF-JCBO16N</t>
  </si>
  <si>
    <t>VT_SP2_MANANCIAIS_22042021</t>
  </si>
  <si>
    <t>VTSP2MANANCIAIS2204-JCBO4ND</t>
  </si>
  <si>
    <t>BRUTO AEREA CANTAREIRA 22042021</t>
  </si>
  <si>
    <t>BRUTOAEREACANTAREIR-JCBO498</t>
  </si>
  <si>
    <t>BRUTO LABORATORIO BIOCONTENCAO USP 22042021</t>
  </si>
  <si>
    <t>BRUTOLABORATORIOBIO-JCBO497</t>
  </si>
  <si>
    <t>BRUTO ENEL BUTANTA 22042021</t>
  </si>
  <si>
    <t>BRUTOENELBUTANTA220-JCBO4JW</t>
  </si>
  <si>
    <t>BRUTO FILA HOSPITAL VETERINARIO 22042021</t>
  </si>
  <si>
    <t>BRUTOFILAHOSPITALVE-JCBO4JT</t>
  </si>
  <si>
    <t>BRUTO AGLOMERACAO TRANSPORTE CPTM 22042021</t>
  </si>
  <si>
    <t>BRUTOAGLOMERACAOTRA-JCBO4JU</t>
  </si>
  <si>
    <t>BRUTO AGLOMERACAO CPTM 22042021_TEMP</t>
  </si>
  <si>
    <t>BRUTOAGLOMERACAOCPT-JCBOEEV</t>
  </si>
  <si>
    <t>BRUTO MIS 22042021</t>
  </si>
  <si>
    <t>BRUTOMIS22042021MXF-JCBOE7V</t>
  </si>
  <si>
    <t>VT SPO ABANDONO E DOAÇÕES CMAYUMI</t>
  </si>
  <si>
    <t>G0044767</t>
  </si>
  <si>
    <t>G0044767_TEMP</t>
  </si>
  <si>
    <t>G0044767TEMPMXF-JCBO2G3</t>
  </si>
  <si>
    <t>23,26 e 27/04/2021</t>
  </si>
  <si>
    <t>G0044787</t>
  </si>
  <si>
    <t xml:space="preserve">22/04/2021 10:46:32
</t>
  </si>
  <si>
    <t>G0044810</t>
  </si>
  <si>
    <t>G0044810_TEMP</t>
  </si>
  <si>
    <t>G0044810TEMPMXF-JCBO2BC</t>
  </si>
  <si>
    <t>G0044834</t>
  </si>
  <si>
    <t>BRUTO AEREA CIRCO 23042021</t>
  </si>
  <si>
    <t>BRUTOAEREACIRCO2304-JCBO4JV</t>
  </si>
  <si>
    <t>BRUTO MEGA SENA 23042021</t>
  </si>
  <si>
    <t>BRUTOMEGASENA230420-JCBO4KS</t>
  </si>
  <si>
    <t>VT_BDSP_FAMILIA_SCHURMANN_23042021</t>
  </si>
  <si>
    <t>VTBDSPFAMILIASCHURM-JCBOG2X</t>
  </si>
  <si>
    <t>BRUTO CINEMA SP 23042021</t>
  </si>
  <si>
    <t>BRUTOCINEMASP230420-JCBOI6A</t>
  </si>
  <si>
    <t>VT DOENÇAS AAPPLE</t>
  </si>
  <si>
    <t>NÃO</t>
  </si>
  <si>
    <t>VT FOLHAS MORDIDAS AAPPLE</t>
  </si>
  <si>
    <t>VT ABUBO AAPPLE</t>
  </si>
  <si>
    <t>NÃO HOUVE EXBIÇÃO SP</t>
  </si>
  <si>
    <t>G0044768</t>
  </si>
  <si>
    <t>G0044768_TEMP2</t>
  </si>
  <si>
    <t>G0044768TEMP2MXF-JCBO5EL</t>
  </si>
  <si>
    <t>G0044811</t>
  </si>
  <si>
    <t>G0044811_TEMP2</t>
  </si>
  <si>
    <t>G0044811TEMP2MXF-JCBO5EN</t>
  </si>
  <si>
    <t>G0044835</t>
  </si>
  <si>
    <t>G0044812</t>
  </si>
  <si>
    <t>26 e 27/04/2021</t>
  </si>
  <si>
    <t>G0044836</t>
  </si>
  <si>
    <t>ACERVOESPORTEESPETA-JCBOD1V</t>
  </si>
  <si>
    <t>BRUTO PEDESTRES 25042021</t>
  </si>
  <si>
    <t>BRUTOPEDESTRES25042-JCBOES7</t>
  </si>
  <si>
    <t>BRUTO GAMERS CAMPEONATO 25042021</t>
  </si>
  <si>
    <t>BRUTOGAMERSCAMPEONA-JCBOI6E</t>
  </si>
  <si>
    <t>G0044840</t>
  </si>
  <si>
    <t>G0044844</t>
  </si>
  <si>
    <t>G0044844-TEMP</t>
  </si>
  <si>
    <t>G0044844TEMPMXF-JCBOD1C</t>
  </si>
  <si>
    <t>G0047774</t>
  </si>
  <si>
    <t>G0047774_TEMP</t>
  </si>
  <si>
    <t xml:space="preserve">REENVIADO </t>
  </si>
  <si>
    <t>G0047774TEMPMXF-JCBOD20</t>
  </si>
  <si>
    <t>G0047785</t>
  </si>
  <si>
    <t>G0047791</t>
  </si>
  <si>
    <t>BRUTO VARIANTE BUTANTAN 27042021</t>
  </si>
  <si>
    <t>BRUTOVARIANTEBUTANT-JCBOHVJ</t>
  </si>
  <si>
    <t>BRUTO SUPER LUA SÃO PAULO 27042021</t>
  </si>
  <si>
    <t>BRUTOSUPERLUA270420-JCBOES8</t>
  </si>
  <si>
    <t>BRUTO MULHER DJ 27042021</t>
  </si>
  <si>
    <t>BRUTOMULHERDJ270420-JCBOI6C</t>
  </si>
  <si>
    <t xml:space="preserve">Alícia </t>
  </si>
  <si>
    <t>BRUTO BILHETE ELETRONICO QR CODE 27042021</t>
  </si>
  <si>
    <t>BRUTOBILHETEELETRON-JCBOI6G</t>
  </si>
  <si>
    <t>VT_BDSP_SUPERLUA_27042021</t>
  </si>
  <si>
    <t>VTBDSPSUPERLUA27042-JSV25W3</t>
  </si>
  <si>
    <t>G0047775</t>
  </si>
  <si>
    <t>G0047775_TEMP</t>
  </si>
  <si>
    <t>G0047775TEMPMXF-JCBOGAZ</t>
  </si>
  <si>
    <t>G0047780</t>
  </si>
  <si>
    <t>G0047786</t>
  </si>
  <si>
    <t>G0047792</t>
  </si>
  <si>
    <t>G0047776</t>
  </si>
  <si>
    <t>G0047776_TEMP</t>
  </si>
  <si>
    <t>G0047776TEMPMXF-JCBOJ35</t>
  </si>
  <si>
    <t>G0047781</t>
  </si>
  <si>
    <t>G0047787</t>
  </si>
  <si>
    <t>G0047793</t>
  </si>
  <si>
    <t>BRUTO HAPPY HOUR BAR 29042021</t>
  </si>
  <si>
    <t>BRUTO CEPIC 29042021</t>
  </si>
  <si>
    <t>G0047777</t>
  </si>
  <si>
    <t>G0047777_TEMP</t>
  </si>
  <si>
    <t>G0047777TEMPMXF-JCBOMFN</t>
  </si>
  <si>
    <t>G0047782</t>
  </si>
  <si>
    <t>G0047788</t>
  </si>
  <si>
    <t>G0047794</t>
  </si>
  <si>
    <t>VT SP1 SEM VACINA 30042021</t>
  </si>
  <si>
    <t xml:space="preserve">30/04/2021 15:24:59
</t>
  </si>
  <si>
    <t>BRUTO CENTRO DE DISTRIBUICAO GUARULHOS 30042021</t>
  </si>
  <si>
    <t>Ok</t>
  </si>
  <si>
    <t>G0047778</t>
  </si>
  <si>
    <t>G0047778_TEMP2</t>
  </si>
  <si>
    <t>G0047778TEMP2MXF-N0MOHCL</t>
  </si>
  <si>
    <t>G0047783</t>
  </si>
  <si>
    <t>G0047789</t>
  </si>
  <si>
    <t>G0047789_TEMP</t>
  </si>
  <si>
    <t>G0047789TEMPMXF-JSV26BS</t>
  </si>
  <si>
    <t>G0047795</t>
  </si>
  <si>
    <t>G0047784</t>
  </si>
  <si>
    <t>G0047790</t>
  </si>
  <si>
    <t>ACERVOESPORTEESPETA-N0MOMGG</t>
  </si>
  <si>
    <t>BRUTO SHOPPING CHEIO 02052021</t>
  </si>
  <si>
    <t>BRUTOSHOPPINGCHEIO0-N0MOREW</t>
  </si>
  <si>
    <t>BRUTO MINHOCAO 02052021</t>
  </si>
  <si>
    <t>BRUTOMINHOCAO020520-N0MOR2B</t>
  </si>
  <si>
    <t>BRUTO MINHOCAO 02052021_TEMP</t>
  </si>
  <si>
    <t>BRUTOMINHOCAO020520-N0MOTC1</t>
  </si>
  <si>
    <t>BRUTO AV PAULISTA DOMINGO 02052021</t>
  </si>
  <si>
    <t>BRUTOAVPAULISTADOMI-N0MORER</t>
  </si>
  <si>
    <t>BRUTO EMBU DAS ARTES 02052021</t>
  </si>
  <si>
    <t>BRUTOEMBUDASARTES02-N0MOR2C</t>
  </si>
  <si>
    <t>G0047796</t>
  </si>
  <si>
    <t>G0047797</t>
  </si>
  <si>
    <t>G0047797_TEMP</t>
  </si>
  <si>
    <t>G0047797TEMPMXF-N0MOMHW</t>
  </si>
  <si>
    <t>BRUTO TRANSITO SP 03052021</t>
  </si>
  <si>
    <t>BRUTOTRANSITOSP0305-N0MOREU</t>
  </si>
  <si>
    <t>BRUTO HOSPITAL MUNICIPAL VL SANTA CATARINA 03052021</t>
  </si>
  <si>
    <t>BRUTOHOSPITALMUNICI-N0MOR2A</t>
  </si>
  <si>
    <t>BRUTO MUSEU LINGUA PORTUGUESA 04052021</t>
  </si>
  <si>
    <t>BRUTOMUSEULINGUAPOR-NH62PNR</t>
  </si>
  <si>
    <t>G0051708</t>
  </si>
  <si>
    <t>G0051708_TEMP</t>
  </si>
  <si>
    <t>G0051708TEMPMXF-N0MONI9</t>
  </si>
  <si>
    <t>G0051728</t>
  </si>
  <si>
    <t>G0051799</t>
  </si>
  <si>
    <t>G0051799_TEMP</t>
  </si>
  <si>
    <t xml:space="preserve">  Export to VIZRT ACERVO GNEWS</t>
  </si>
  <si>
    <t>G0051799TEMPMXF-N0MOQJA</t>
  </si>
  <si>
    <t>04 e 05/05/2021</t>
  </si>
  <si>
    <t>G0052565</t>
  </si>
  <si>
    <t>G0052565_ TEMP</t>
  </si>
  <si>
    <t>G0052565TEMPMXF-N0MOQID</t>
  </si>
  <si>
    <t>BRUTO PADARIA 03052021</t>
  </si>
  <si>
    <t>BRUTO FLORES 04052021</t>
  </si>
  <si>
    <t>BRUTOFLORES04052021-NH62KPL</t>
  </si>
  <si>
    <t>G0051709</t>
  </si>
  <si>
    <t>G0051709_TEMP</t>
  </si>
  <si>
    <t>G0051709TEMPMXF-N0MORJK</t>
  </si>
  <si>
    <t>G0051729</t>
  </si>
  <si>
    <t>G0051800</t>
  </si>
  <si>
    <t>G0052566</t>
  </si>
  <si>
    <t>BRUTO PEDESTRES SP 05052021</t>
  </si>
  <si>
    <t>BRUTO COLETA DE SANGUE 05052021</t>
  </si>
  <si>
    <t>BRUTOCOLETADESANGUE-NH62KPK</t>
  </si>
  <si>
    <t>BRUTO CRUZ VERMELHA 05052021</t>
  </si>
  <si>
    <t>BRUTOCRUZVERMELHA05-NH62POJ</t>
  </si>
  <si>
    <t>NÃO HOUVE EXIBIÇÃO SP</t>
  </si>
  <si>
    <t>G0051710</t>
  </si>
  <si>
    <t>G0051710_TEMP</t>
  </si>
  <si>
    <t>G0051710TEMPMXF-N0MOUBY</t>
  </si>
  <si>
    <t>G0051813</t>
  </si>
  <si>
    <t>05 e 06/05/2021</t>
  </si>
  <si>
    <t>G0052567</t>
  </si>
  <si>
    <t>G0052567_TEMP</t>
  </si>
  <si>
    <t>G0052567TEMPMXF-N0MOW4E</t>
  </si>
  <si>
    <t>BRUTO LABORATORIO DASA 06052021</t>
  </si>
  <si>
    <t>BRUTOLABORATORIODAS-NH62KPM</t>
  </si>
  <si>
    <t>BRUTO VACINACAO PFIZER 06052021</t>
  </si>
  <si>
    <t>BRUTOVACINACAOPFIZE-NH62KPN</t>
  </si>
  <si>
    <t>G0051711</t>
  </si>
  <si>
    <t>G0051711_TEMP</t>
  </si>
  <si>
    <t>G0051711TEMPMXF-N0MOZ7P</t>
  </si>
  <si>
    <t>08 e 10/05/2021</t>
  </si>
  <si>
    <t>G0051814</t>
  </si>
  <si>
    <t>G0051814_TEMP</t>
  </si>
  <si>
    <t xml:space="preserve">06/05/2021 16:29:29
</t>
  </si>
  <si>
    <t xml:space="preserve">G0051814TEMPMXF-N0MOWYV
</t>
  </si>
  <si>
    <t>G0052568</t>
  </si>
  <si>
    <t>BRUTO JOAO DORIA VACINADO 07052021</t>
  </si>
  <si>
    <t>BRUTOJOAODORIAVACIN-NH62QEI</t>
  </si>
  <si>
    <t>BRUTO OBRAS MUSEU IPIRANGA 07052021</t>
  </si>
  <si>
    <t>BRUTOOBRASMUSEUIPIR-NH62WWH</t>
  </si>
  <si>
    <t>VTS PILULAS DOS DIAS DAS MÃES</t>
  </si>
  <si>
    <t>VT QUADRO VERDE MAES ANANDA APPLE</t>
  </si>
  <si>
    <t>VT SPO SEPULTADORES ETORRES</t>
  </si>
  <si>
    <t>VT - SEPULTADORES OUTROS</t>
  </si>
  <si>
    <t>G0051712</t>
  </si>
  <si>
    <t>G0051712_TEMP</t>
  </si>
  <si>
    <t>G0051712TEMPMXF-N0MOYY6</t>
  </si>
  <si>
    <t>08,10 e 11/05/2021</t>
  </si>
  <si>
    <t>G0051732</t>
  </si>
  <si>
    <t>G0051815</t>
  </si>
  <si>
    <t>G0051815_TEMP</t>
  </si>
  <si>
    <t>G0051815TEMPMXF-N0MOZ5J</t>
  </si>
  <si>
    <t>G0052569</t>
  </si>
  <si>
    <t>G0051816</t>
  </si>
  <si>
    <t>G0052570</t>
  </si>
  <si>
    <t>G0052589</t>
  </si>
  <si>
    <t>G0052593</t>
  </si>
  <si>
    <t>G0052593_TEMP</t>
  </si>
  <si>
    <t>G0052593TEMPMXF-N0MP34R</t>
  </si>
  <si>
    <t>G0051713</t>
  </si>
  <si>
    <t>G0051713_TEMP4</t>
  </si>
  <si>
    <t>G0051713TEMP4MXF-NH62MQX</t>
  </si>
  <si>
    <t>11 e 12/05/2021</t>
  </si>
  <si>
    <t>G0051733</t>
  </si>
  <si>
    <t>G0051817</t>
  </si>
  <si>
    <t>G0052571</t>
  </si>
  <si>
    <t>BRUTO COMERCIO POPULAR 11052021</t>
  </si>
  <si>
    <t>BRUTOCOMERCIOPOPULA-NH631H0</t>
  </si>
  <si>
    <t>BRUTO RIO PINHEIROS 11052021</t>
  </si>
  <si>
    <t>BRUTORIOPINHEIROS11-S2JVHZI</t>
  </si>
  <si>
    <t>VT SERGINHO AOLIVEIRA</t>
  </si>
  <si>
    <t>G0051714</t>
  </si>
  <si>
    <t>12 e 13/05/2021</t>
  </si>
  <si>
    <t>G0051734</t>
  </si>
  <si>
    <t>G0051818</t>
  </si>
  <si>
    <t>G0051818_TEMP</t>
  </si>
  <si>
    <t>G0051818TEMPMXF-NH62P8L</t>
  </si>
  <si>
    <t>G0052572</t>
  </si>
  <si>
    <t>BRUTO CANTAREIRA 12052021</t>
  </si>
  <si>
    <t>BRUTOCANTAREIRA1205-NH62XCA</t>
  </si>
  <si>
    <t>BRUTO VACINA COMORBIDADES 12052021</t>
  </si>
  <si>
    <t>G0051715</t>
  </si>
  <si>
    <t>13 e 14/05/2021</t>
  </si>
  <si>
    <t>G0051735</t>
  </si>
  <si>
    <t>G0051819</t>
  </si>
  <si>
    <t>G0052573</t>
  </si>
  <si>
    <t>BRUTO FACHADA UNIFESP 13052021</t>
  </si>
  <si>
    <t>BRUTOFACHADAUNIFESP-NH62XC9</t>
  </si>
  <si>
    <t>BRUTO OBRAS BUTANTAN 13052021</t>
  </si>
  <si>
    <t>BRUTOOBRASBUTANTAN1-NH631H7</t>
  </si>
  <si>
    <t>BRUTO PRODUÇÃO DE VACINA 13052021</t>
  </si>
  <si>
    <t>BRUTOPRODUCAOVACINA-NH631H8</t>
  </si>
  <si>
    <t>VT INQUÉRITO SOROLÓGICO</t>
  </si>
  <si>
    <t>G0051716</t>
  </si>
  <si>
    <t>17 e 18/05/2021</t>
  </si>
  <si>
    <t>G0051820</t>
  </si>
  <si>
    <t>14/05/021</t>
  </si>
  <si>
    <t>G0052574</t>
  </si>
  <si>
    <t>BRUTO ENTREGA CORONAVAC 14052021</t>
  </si>
  <si>
    <t>DEFICIENTES VISUAIS RGHELFI</t>
  </si>
  <si>
    <t>QV MODO DE FAZER AAPPLE</t>
  </si>
  <si>
    <t>G0051717</t>
  </si>
  <si>
    <t>G0051737</t>
  </si>
  <si>
    <t>G0051821</t>
  </si>
  <si>
    <t>G0052575</t>
  </si>
  <si>
    <t xml:space="preserve">SP1  </t>
  </si>
  <si>
    <t>BRUTO VACINA GRIPE 15052021</t>
  </si>
  <si>
    <t>BRUTOVACINAGRIPE150-NH63296</t>
  </si>
  <si>
    <t>G0051822</t>
  </si>
  <si>
    <t>G0052576</t>
  </si>
  <si>
    <t xml:space="preserve">Rafael </t>
  </si>
  <si>
    <t>BRUTO VELORIO BRUNO COVAS 16052021</t>
  </si>
  <si>
    <t>NÃO APARECE NO VIZ</t>
  </si>
  <si>
    <t>BRUTO VELORIO BRUNO COVAS 16052021_TEMP</t>
  </si>
  <si>
    <t>BRUTOVELORIOBRUNOCO-NH6329G</t>
  </si>
  <si>
    <t>BRUTO VELORIO COVAS TVG 16052021</t>
  </si>
  <si>
    <t>BRUTOVELORIOCOVASTV-NH631GX</t>
  </si>
  <si>
    <t>PLANTÃO</t>
  </si>
  <si>
    <t>PLANTAO MORTE BRUNO COVAS 16052021</t>
  </si>
  <si>
    <t>FLASH MORTE BRUNO COVAS 16052021</t>
  </si>
  <si>
    <t>FLASHMORTEBRUNOCOVA-NXPH34K</t>
  </si>
  <si>
    <t>G0052590</t>
  </si>
  <si>
    <t>G0052594</t>
  </si>
  <si>
    <t>G0052594_TEMP</t>
  </si>
  <si>
    <t>G0052594TEMPMXF-NH62ZP1</t>
  </si>
  <si>
    <t>SP1 / BDSP</t>
  </si>
  <si>
    <t>BRUTO RICARDO NUNES 17052021</t>
  </si>
  <si>
    <t>BRUTORICARDONUNES17-NH631H1</t>
  </si>
  <si>
    <t>BRUTO ESCOLA PUBLICA 17052021</t>
  </si>
  <si>
    <t>BRUTOESCOLAPUBLICA1-NH631JT</t>
  </si>
  <si>
    <t>BRUTO COOPERATIVA RECICLAGEM 17052021</t>
  </si>
  <si>
    <t>BRUTO COOPERATIVA RECICLAGEM 17052021_TEMP</t>
  </si>
  <si>
    <t>BRUTOCOOPERATIVAREC-NH63219</t>
  </si>
  <si>
    <t>BRUTO TCE E MINISTERIO PUBLICO 17052021</t>
  </si>
  <si>
    <t>BRUTOTCEEMINISTERIO-NH632EW</t>
  </si>
  <si>
    <t>BRUTO VACINA COVID 17052021</t>
  </si>
  <si>
    <t>BRUTOVACINACOVID170-NH632EY</t>
  </si>
  <si>
    <t>BRUTO COMERCIO DE RUA 17052021</t>
  </si>
  <si>
    <t>BRUTOCOMERCIODERUA1-NH634IG</t>
  </si>
  <si>
    <t>VT PERFIL BRUNO FMANCUSO</t>
  </si>
  <si>
    <t>Não encontrado no PAM</t>
  </si>
  <si>
    <t xml:space="preserve">NÃO </t>
  </si>
  <si>
    <t>G0051718</t>
  </si>
  <si>
    <t>17/05e 18/05/2021</t>
  </si>
  <si>
    <t>G0051738</t>
  </si>
  <si>
    <t>G0051823</t>
  </si>
  <si>
    <t>G0052577</t>
  </si>
  <si>
    <t>BRUTO VACINACAO MOTORISTAS 18052021</t>
  </si>
  <si>
    <t>BRUTOVACINACAOMOTOR-NH633WO</t>
  </si>
  <si>
    <t>G0051719</t>
  </si>
  <si>
    <t>18/05 e 19/05/2021</t>
  </si>
  <si>
    <t>G0051739</t>
  </si>
  <si>
    <t>G0051824</t>
  </si>
  <si>
    <t>G0052578</t>
  </si>
  <si>
    <t>BRUTO CELULAR STALKING 19052021</t>
  </si>
  <si>
    <t>BRUTOCELULARSTALKIN-NXPGNCS</t>
  </si>
  <si>
    <t>BRUTO GREVE METRO SP 19052021</t>
  </si>
  <si>
    <t>BRUTOGREVEMETROSP19-NXPGNCP</t>
  </si>
  <si>
    <t>BRUTO HOSPITAL BRASILANDIA 19052021</t>
  </si>
  <si>
    <t>BRUTOHOSPITALBRASIL-NXPGNCO</t>
  </si>
  <si>
    <t>BRUTO AEROPORTO GUARULHOS 19052021</t>
  </si>
  <si>
    <t>BRUTOAEROPORTOGUARU-NXPGNCQ</t>
  </si>
  <si>
    <t>BDSP / SP1</t>
  </si>
  <si>
    <t>BRUTO GREVE METRO 19052021</t>
  </si>
  <si>
    <t>BRUTO GREVE METRO 19052021_TEMP2</t>
  </si>
  <si>
    <t>BRUTOGREVEMETRO1905-NXPGV73</t>
  </si>
  <si>
    <t>BRUTO BUTANVAC 19052021</t>
  </si>
  <si>
    <t>G0051720</t>
  </si>
  <si>
    <t>19/05 e 20/05</t>
  </si>
  <si>
    <t>G0051740</t>
  </si>
  <si>
    <t>G0051825</t>
  </si>
  <si>
    <t>G0052579</t>
  </si>
  <si>
    <t>BRUTO VACINACAO DEFICIENTES 20052021</t>
  </si>
  <si>
    <t>BRUTOVACINACAODEFIC-NXPGQBC</t>
  </si>
  <si>
    <t>BRUTO PREFEITO VACINACAO 20052021</t>
  </si>
  <si>
    <t>BRUTOPREFEITOVACINA-NXPGQBG</t>
  </si>
  <si>
    <t>BRUTO VACINA COMORBIDADES 20052021</t>
  </si>
  <si>
    <t>BRUTOVACINACOMORBID-NXPGQBF</t>
  </si>
  <si>
    <t>BRUTO CHEGADA VACINA PFIZER 20052021</t>
  </si>
  <si>
    <t>BRUTOCHEGADAVACINAP-NXPGQBD</t>
  </si>
  <si>
    <t>BRUTO BUTANTAN VACINA OVOS 20052021</t>
  </si>
  <si>
    <t>BRUTOBUTANTANVACINA-NXPH341</t>
  </si>
  <si>
    <t>BRUTO PRODUCAO BUTANVAC 20052021</t>
  </si>
  <si>
    <t>BRUTOPRODUCAOBUTANV-NXPH342</t>
  </si>
  <si>
    <t>G0051721</t>
  </si>
  <si>
    <t>20 e 21/05/2021</t>
  </si>
  <si>
    <t>G0051741</t>
  </si>
  <si>
    <t>G0051826</t>
  </si>
  <si>
    <t>G0052580</t>
  </si>
  <si>
    <t>VT QUADRO VERDE ANDAR 43 21052021</t>
  </si>
  <si>
    <t xml:space="preserve">24/05/2021 09:05:16
</t>
  </si>
  <si>
    <t xml:space="preserve">VTQUADROVERDEANDAR4-NXPGV15
</t>
  </si>
  <si>
    <t>BRUTO VACINA XEPA 21052021</t>
  </si>
  <si>
    <t>BRUTO USINA OXIGENIO 21052021</t>
  </si>
  <si>
    <t>BRUTOUSINAOXIGENIO2-NXPH603</t>
  </si>
  <si>
    <t>G0051722</t>
  </si>
  <si>
    <t>21,24 e 25/05/2021</t>
  </si>
  <si>
    <t>G0051742</t>
  </si>
  <si>
    <t>G0051827</t>
  </si>
  <si>
    <t>G0052581</t>
  </si>
  <si>
    <t>G0051828</t>
  </si>
  <si>
    <t>G0051828_TEMP</t>
  </si>
  <si>
    <t>G0052582</t>
  </si>
  <si>
    <t>BRUTO ILHA DO BORORE 23052021</t>
  </si>
  <si>
    <t>BRUTOILHADOBORORE23-NXPH5ZF</t>
  </si>
  <si>
    <t>G0052591</t>
  </si>
  <si>
    <t>G0052595</t>
  </si>
  <si>
    <t>G0052595_TEMP</t>
  </si>
  <si>
    <t>G0052595TEMPMXF-NXPGWTV</t>
  </si>
  <si>
    <t>BRUTO IMOVEIS 24052021</t>
  </si>
  <si>
    <t>BRUTO ENSINO REMOTO PERIFERIA 24052021</t>
  </si>
  <si>
    <t>BRUTOENSINOREMOTOPE-NXPH5YW</t>
  </si>
  <si>
    <t>G0051723</t>
  </si>
  <si>
    <t>G0051743</t>
  </si>
  <si>
    <t>G0051829</t>
  </si>
  <si>
    <t xml:space="preserve"> 24/05/2021 19:05</t>
  </si>
  <si>
    <t>G0052583</t>
  </si>
  <si>
    <t>BRUTO FACHADA PREFEITURA SP 25052021</t>
  </si>
  <si>
    <t>BRUTO BILLINGS 25052021</t>
  </si>
  <si>
    <t>BRUTOBILLINGS250520-NXPH64L</t>
  </si>
  <si>
    <t>G0051724</t>
  </si>
  <si>
    <t>G0051744</t>
  </si>
  <si>
    <t>G0051830</t>
  </si>
  <si>
    <t>G0052584</t>
  </si>
  <si>
    <t>BRUTO SUPER LUA 26052021</t>
  </si>
  <si>
    <t>BRUTOSUPERLUA260520-NXPH600</t>
  </si>
  <si>
    <t>BRUTO UBS 26052021</t>
  </si>
  <si>
    <t>BRUTOUBS26052021MXF-NXPH5YX</t>
  </si>
  <si>
    <t>G0051725</t>
  </si>
  <si>
    <t>G0051745</t>
  </si>
  <si>
    <t>G0051831</t>
  </si>
  <si>
    <t>G0052585</t>
  </si>
  <si>
    <t>ACERVOSP2 EMPREGO 27052021</t>
  </si>
  <si>
    <t>BRUTO HAMBURGUERIA 27052021</t>
  </si>
  <si>
    <t>BRUTOHAMBURGUERIA27-NXPH5YS</t>
  </si>
  <si>
    <t>BRUTO RETOMA BUTANTAN 27052021</t>
  </si>
  <si>
    <t>BRUTORETOMABUTANTAN-NXPH6NI</t>
  </si>
  <si>
    <t>BRUTO AGLOMERACAO LUZ CPTM 27052021</t>
  </si>
  <si>
    <t>BRUTOAGLOMERACAOLUZ-RM0HABV</t>
  </si>
  <si>
    <t>G0051726</t>
  </si>
  <si>
    <t>28 e 31/05/2021</t>
  </si>
  <si>
    <t>G0051746</t>
  </si>
  <si>
    <t>G0051832</t>
  </si>
  <si>
    <t>G0051832_TEMP2</t>
  </si>
  <si>
    <t>G0051832TEMP2MXF-NXPH53Q</t>
  </si>
  <si>
    <t>G0052586</t>
  </si>
  <si>
    <t>G0051727</t>
  </si>
  <si>
    <t>G0051727_TEMP</t>
  </si>
  <si>
    <t>G0051727TEMPMXF-NXPH7QO</t>
  </si>
  <si>
    <t>29 e 31/05/2021</t>
  </si>
  <si>
    <t>G0051747</t>
  </si>
  <si>
    <t>G0051747_TEMP</t>
  </si>
  <si>
    <t>G0051747TEMPMXF-NXPH79F</t>
  </si>
  <si>
    <t>G0051833</t>
  </si>
  <si>
    <t>31/05 e 01/06/2021</t>
  </si>
  <si>
    <t>G0052587</t>
  </si>
  <si>
    <t xml:space="preserve">JN </t>
  </si>
  <si>
    <t>BRUTO MANIFESTACAO FORA BOLSONARO 29052021</t>
  </si>
  <si>
    <t>BRUTOMANIFESTACAOFO-OE8UT6X</t>
  </si>
  <si>
    <t>BRUTO PROTESTO ANTI GOVERNO 29052021</t>
  </si>
  <si>
    <t>BRUTOPROTESTOANTIGO-RM0H8LP</t>
  </si>
  <si>
    <t>G0051834</t>
  </si>
  <si>
    <t>G0052588</t>
  </si>
  <si>
    <t>ACERVOESPORTEESPETA-RM0H77O</t>
  </si>
  <si>
    <t>G0052592</t>
  </si>
  <si>
    <t>G0052596</t>
  </si>
  <si>
    <t>G0052596_TEMP2</t>
  </si>
  <si>
    <t>G0052596TEMP2MXF-OE8UW6I</t>
  </si>
  <si>
    <t>BRUTO VACINA RIBEIRAO PIRES 31052021</t>
  </si>
  <si>
    <t>BRUTOVACINARIBEIRAO-RM0H8J8</t>
  </si>
  <si>
    <t>BRUTO INDUSTRIA 31052021</t>
  </si>
  <si>
    <t>BRUTOINDUSTRIA31052-RM0H8J7</t>
  </si>
  <si>
    <t>BRUTO PARQUE DA NEBLINA 31052021</t>
  </si>
  <si>
    <t>BRUTOPARQUEDANEBLIN-RM0H8J5</t>
  </si>
  <si>
    <t>BRUTO NOTEBOOK PROFESSORES 31052021</t>
  </si>
  <si>
    <t>BRUTONOTEBOOKPROFES-RM0HAC0</t>
  </si>
  <si>
    <t>BRUTO FACHADA AC CAMARGO 31052021</t>
  </si>
  <si>
    <t>BRUTO FACHADA CINEMATECA 31052021</t>
  </si>
  <si>
    <t>BRUTOFACHADACINEMAT-RM0HAF3</t>
  </si>
  <si>
    <t>G0060662</t>
  </si>
  <si>
    <t>G0060662_TEMP</t>
  </si>
  <si>
    <t>G0060682</t>
  </si>
  <si>
    <t>G0060706</t>
  </si>
  <si>
    <t>G0060730</t>
  </si>
  <si>
    <t>BRUTO COPO AGUA 01062021</t>
  </si>
  <si>
    <t>BRUTOCOPOAGUA010620-RM0HAEW</t>
  </si>
  <si>
    <t>BRUTO AEREA BILLINGS 01062021</t>
  </si>
  <si>
    <t>BRUTOAEREABILLINGS0-RM0HAF2</t>
  </si>
  <si>
    <t>BRUTO AULAS GUARULHOS 01062021</t>
  </si>
  <si>
    <t>BRUTOAULASGUARULHOS-RM0HNIM</t>
  </si>
  <si>
    <t>BRUTO BASTIDORES DO JH 01062021</t>
  </si>
  <si>
    <t>BRUTO BASTIDORES DO BDSP 01062021</t>
  </si>
  <si>
    <t>G0060643</t>
  </si>
  <si>
    <t>G0060663</t>
  </si>
  <si>
    <t>G0060683</t>
  </si>
  <si>
    <t>G0060707</t>
  </si>
  <si>
    <t>G0060644</t>
  </si>
  <si>
    <t>G0060664</t>
  </si>
  <si>
    <t>G0060684</t>
  </si>
  <si>
    <t>G0060708</t>
  </si>
  <si>
    <t>G0060645</t>
  </si>
  <si>
    <t>G0060665</t>
  </si>
  <si>
    <t>G0060685</t>
  </si>
  <si>
    <t>G0060709</t>
  </si>
  <si>
    <t>VT BDSP QUADRO VERDE 04062021</t>
  </si>
  <si>
    <t>VTBDSPQUADROVERDE04-RM0HL9X</t>
  </si>
  <si>
    <t>BRUTO HEMOCENTRO 04062021</t>
  </si>
  <si>
    <t>BRUTOHEMOCENTRO0406-RM0HN6V</t>
  </si>
  <si>
    <t>G0060646</t>
  </si>
  <si>
    <t>G0060666</t>
  </si>
  <si>
    <t>G0060686</t>
  </si>
  <si>
    <t>G0060710</t>
  </si>
  <si>
    <t>G0060687</t>
  </si>
  <si>
    <t>G0060711</t>
  </si>
  <si>
    <t>ACERVOESPORTEESPETA-RM0HJKH</t>
  </si>
  <si>
    <t xml:space="preserve">G0060731 </t>
  </si>
  <si>
    <t>G0060731</t>
  </si>
  <si>
    <t>G0060735</t>
  </si>
  <si>
    <t>G0060735_TEMP</t>
  </si>
  <si>
    <t>G0060735TEMPMXF-RM0HJNT</t>
  </si>
  <si>
    <t>G0060647</t>
  </si>
  <si>
    <t>G0060667</t>
  </si>
  <si>
    <t>G0060688</t>
  </si>
  <si>
    <t>G0060712</t>
  </si>
  <si>
    <t>G0060648</t>
  </si>
  <si>
    <t>G0060668</t>
  </si>
  <si>
    <t>G0060689</t>
  </si>
  <si>
    <t>G0060713</t>
  </si>
  <si>
    <t>BRUTO BRASIL SORRIDENTE 09062021</t>
  </si>
  <si>
    <t>BRUTOBRASILSORRIDEN-S2JVCWA</t>
  </si>
  <si>
    <t>BRUTO FACHADA DEIC 09062021</t>
  </si>
  <si>
    <t>BRUTOFACHADADEIC090-S2JVMT9</t>
  </si>
  <si>
    <t>G0060649</t>
  </si>
  <si>
    <t>G0060669</t>
  </si>
  <si>
    <t>G0060690</t>
  </si>
  <si>
    <t>G0060690_TEMP</t>
  </si>
  <si>
    <t>G0060690TEMPMXF-RM0HR2O</t>
  </si>
  <si>
    <t>G0060714</t>
  </si>
  <si>
    <t>BRUTO MOTEL 10062021</t>
  </si>
  <si>
    <t>BRUTOMOTEL10062021M-S2JVCWB</t>
  </si>
  <si>
    <t>G0060650</t>
  </si>
  <si>
    <t>G0060670</t>
  </si>
  <si>
    <t>G0060691</t>
  </si>
  <si>
    <t>G0060715</t>
  </si>
  <si>
    <t xml:space="preserve">JN  </t>
  </si>
  <si>
    <t>BRUTO ENTREVISTA 90 ANOS FHC 11062021</t>
  </si>
  <si>
    <t>BRUTO90ANOSFHC11062-SJ39IGY</t>
  </si>
  <si>
    <t>29 e 30/06/2021</t>
  </si>
  <si>
    <t>G0060651</t>
  </si>
  <si>
    <t>G0060671</t>
  </si>
  <si>
    <t>G0060692</t>
  </si>
  <si>
    <t>G0060716</t>
  </si>
  <si>
    <t>JN / JH</t>
  </si>
  <si>
    <t>BRUTO MOTOCIATA BOLSONARO 12062021</t>
  </si>
  <si>
    <t>BRUTOMOTOCIATA12062-S2JVICM</t>
  </si>
  <si>
    <t>BRUTO FECHA BALADA 12062021</t>
  </si>
  <si>
    <t>BRUTOFECHABALADA120-S2JVMTA</t>
  </si>
  <si>
    <t xml:space="preserve">VT ALIMENTOS JUNINOS </t>
  </si>
  <si>
    <t>Não</t>
  </si>
  <si>
    <t>G0060693</t>
  </si>
  <si>
    <t>G0060717</t>
  </si>
  <si>
    <t>G0060732</t>
  </si>
  <si>
    <t>G0060736</t>
  </si>
  <si>
    <t>G0060736_TEMP</t>
  </si>
  <si>
    <t>G0060736TEMPMXF-S2JVI9V</t>
  </si>
  <si>
    <t>BRUTO LIBERDADE SP 14062021</t>
  </si>
  <si>
    <t>BRUTOLIBERDADESP140-S2JVMT8</t>
  </si>
  <si>
    <t>G0060652</t>
  </si>
  <si>
    <t>G0060652_TEMP</t>
  </si>
  <si>
    <t>G0060652TEMPMXF-S2JVJOQ</t>
  </si>
  <si>
    <t>G0060672</t>
  </si>
  <si>
    <t>G0060694</t>
  </si>
  <si>
    <t>G0060718</t>
  </si>
  <si>
    <t>G0060718_TEMP</t>
  </si>
  <si>
    <t>G0060718TEMPMXF-S2JVJZM</t>
  </si>
  <si>
    <t>BRUTO IPE ROXO 15062021</t>
  </si>
  <si>
    <t>BRUTOIPEROXO1506202-S2JVMTI</t>
  </si>
  <si>
    <t>G0060653</t>
  </si>
  <si>
    <t>G0060673</t>
  </si>
  <si>
    <t>G0060695</t>
  </si>
  <si>
    <t>G0060719</t>
  </si>
  <si>
    <t xml:space="preserve">VT BDSP </t>
  </si>
  <si>
    <t>VT SPO PLANETÁRIO VIRTUAL CPRESTES</t>
  </si>
  <si>
    <t>G0060654</t>
  </si>
  <si>
    <t>G0060674</t>
  </si>
  <si>
    <t>G0060696</t>
  </si>
  <si>
    <t>17/06:2021</t>
  </si>
  <si>
    <t>G0060720</t>
  </si>
  <si>
    <t>G0060655</t>
  </si>
  <si>
    <t>G0060675</t>
  </si>
  <si>
    <t>G0060697</t>
  </si>
  <si>
    <t>G0060721</t>
  </si>
  <si>
    <t>G0060656</t>
  </si>
  <si>
    <t>G0060676</t>
  </si>
  <si>
    <t>G0060698</t>
  </si>
  <si>
    <t>G0060722</t>
  </si>
  <si>
    <t>JN / GNEWS</t>
  </si>
  <si>
    <t>BRUTO PROTESTO FORA BOLSONARO 19062021</t>
  </si>
  <si>
    <t>BRUTOPROTESTOFORABO-SJ39ISU</t>
  </si>
  <si>
    <t>BRUTO PRAÇA POR DO SOL 19062021</t>
  </si>
  <si>
    <t>BRUTOPRAAPORDOSOL19-WNXOI25</t>
  </si>
  <si>
    <t>G0060699</t>
  </si>
  <si>
    <t>G0060723</t>
  </si>
  <si>
    <t>ACERVOESPORTEESPETA-SJ39DRN</t>
  </si>
  <si>
    <t>VT FANT</t>
  </si>
  <si>
    <t>VT FANT LABORATORIO WUHAN 2 LIMPO</t>
  </si>
  <si>
    <t>VTFANTLABORATORIOWU-SJ39O0S</t>
  </si>
  <si>
    <t>G0060733</t>
  </si>
  <si>
    <t>G0060737</t>
  </si>
  <si>
    <t>G0060737_TEMP</t>
  </si>
  <si>
    <t>G0060737TEMPMXF-SJ39D8F</t>
  </si>
  <si>
    <t>BRUTO VELAS 500 MIL MORTOS COVID 21062021</t>
  </si>
  <si>
    <t>BRUTOVELAS500MILMOR-SJ39IX2</t>
  </si>
  <si>
    <t>BRUTO SEMAFOROS 21062021</t>
  </si>
  <si>
    <t>BRUTOSEMAFOROS21062-SJ39J2Y</t>
  </si>
  <si>
    <t>G0060657</t>
  </si>
  <si>
    <t>G0060677</t>
  </si>
  <si>
    <t>G0060700</t>
  </si>
  <si>
    <t>G0060724</t>
  </si>
  <si>
    <t>BRUTO RICARDO NUNES INAUGURA HOSPITAL 22062021</t>
  </si>
  <si>
    <t>BRUTORICARDONUNESIN-SJ39OMJ</t>
  </si>
  <si>
    <t>BRUTO CHEGADA JANSSEN 22062021</t>
  </si>
  <si>
    <t>BRUTOCHEGADAJANSSEN-SJ39PUU</t>
  </si>
  <si>
    <t>G0060658</t>
  </si>
  <si>
    <t>G0060678</t>
  </si>
  <si>
    <t>G0060701</t>
  </si>
  <si>
    <t>G0060725</t>
  </si>
  <si>
    <t>BRUTO VISITA SINOVAC BUTANTAN 23062021</t>
  </si>
  <si>
    <t>BRUTOVISITASINOVACB-W7EAM1B</t>
  </si>
  <si>
    <t>BRUTO USINA MARIMBONDO 23062021</t>
  </si>
  <si>
    <t>BRUTOUSINAMARIMBOND-X4H2FQ5</t>
  </si>
  <si>
    <t>BRUTO TEATRO MUNICIPAL 23062021</t>
  </si>
  <si>
    <t>BRUTOTEATROMUNICIPA-19BI8L9</t>
  </si>
  <si>
    <t>G0060659</t>
  </si>
  <si>
    <t>G0060679</t>
  </si>
  <si>
    <t>G0060702</t>
  </si>
  <si>
    <t>G0060726</t>
  </si>
  <si>
    <t>BRUTO CENTRO DISTRIBUICAO PFIZER 24062021</t>
  </si>
  <si>
    <t>BRUTOCENTRODISTRIBU-SJ39OMK</t>
  </si>
  <si>
    <t>BRUTO COBRAS BUTANTAN 24062021</t>
  </si>
  <si>
    <t>BRUTOCOBRASBUTANTAN-SJ39PWK</t>
  </si>
  <si>
    <t>G0060660</t>
  </si>
  <si>
    <t>G0060680</t>
  </si>
  <si>
    <t>G0060703</t>
  </si>
  <si>
    <t>G0060727</t>
  </si>
  <si>
    <t>G0060661</t>
  </si>
  <si>
    <t>G0060681</t>
  </si>
  <si>
    <t>G0060704</t>
  </si>
  <si>
    <t>G0060728</t>
  </si>
  <si>
    <t>G0060705</t>
  </si>
  <si>
    <t>G0060729</t>
  </si>
  <si>
    <t>VT FANT LIMPO PREFEITO FUJAO</t>
  </si>
  <si>
    <t>VTFANTLIMPOPREFEITO-W7E9Y1F</t>
  </si>
  <si>
    <t>G0060734</t>
  </si>
  <si>
    <t>G0060738</t>
  </si>
  <si>
    <t>G0060738_TEMP</t>
  </si>
  <si>
    <t>VT JH</t>
  </si>
  <si>
    <t>VT JH SERIE OLÍMPICA EP1 LIMPO 28062021</t>
  </si>
  <si>
    <t>00::05:03</t>
  </si>
  <si>
    <t>VTJHSERIEOLIMPICAEP-W7E9XF2</t>
  </si>
  <si>
    <t>BRUTO VACINA MORADOR DE RUA 28062021</t>
  </si>
  <si>
    <t>BRUTOVACINAMORADORD-W7E9Z0H</t>
  </si>
  <si>
    <t>G0069725</t>
  </si>
  <si>
    <t xml:space="preserve">G0069725 </t>
  </si>
  <si>
    <t xml:space="preserve">G0069750 </t>
  </si>
  <si>
    <t xml:space="preserve">G0069775 </t>
  </si>
  <si>
    <t>G0069805</t>
  </si>
  <si>
    <t xml:space="preserve">G0069805 </t>
  </si>
  <si>
    <t>BRUTO CHEGADA CORONAVAC 29062021</t>
  </si>
  <si>
    <t>BRUTOCHEGADACORONAV-W7E9Z1M</t>
  </si>
  <si>
    <t>G0069726</t>
  </si>
  <si>
    <t xml:space="preserve">G0069726 </t>
  </si>
  <si>
    <t>G0069751</t>
  </si>
  <si>
    <t xml:space="preserve">G0069751 </t>
  </si>
  <si>
    <t xml:space="preserve">G0069776 </t>
  </si>
  <si>
    <t>G0069806</t>
  </si>
  <si>
    <t xml:space="preserve">G0069806 </t>
  </si>
  <si>
    <t>VT JH SERIE OLÍMPICA EP2 LIMPO 30062021</t>
  </si>
  <si>
    <t>VTJHSERIEOLIMPICAEP-W7E9XI4</t>
  </si>
  <si>
    <t xml:space="preserve">G0069727 </t>
  </si>
  <si>
    <t xml:space="preserve">G0069752 </t>
  </si>
  <si>
    <t xml:space="preserve">G0069777 </t>
  </si>
  <si>
    <t>G0069807</t>
  </si>
  <si>
    <t>G0069807_TEMP</t>
  </si>
  <si>
    <t>G0069807TEMPMXF-W7E9UH4</t>
  </si>
  <si>
    <t xml:space="preserve">G0069807 </t>
  </si>
  <si>
    <t>VT JH SERIE OLÍMPICA EP3 LIMPO 01072021</t>
  </si>
  <si>
    <t>VTJHSERIEOLIMPICAEP-W7E9XK4</t>
  </si>
  <si>
    <t>G0069728</t>
  </si>
  <si>
    <t xml:space="preserve">G0069728 </t>
  </si>
  <si>
    <t xml:space="preserve">G0069753 </t>
  </si>
  <si>
    <t xml:space="preserve">G0069778 </t>
  </si>
  <si>
    <t>G0069808</t>
  </si>
  <si>
    <t xml:space="preserve">G0069808 </t>
  </si>
  <si>
    <t>VT JH SERIE OLÍMPICA EP4 LIMPO 02072021</t>
  </si>
  <si>
    <t>VTJHSERIEOLIMPICAEP-W7EA0AR</t>
  </si>
  <si>
    <t>G0069729</t>
  </si>
  <si>
    <t xml:space="preserve">G0069729 </t>
  </si>
  <si>
    <t>G0069754</t>
  </si>
  <si>
    <t xml:space="preserve">G0069754 </t>
  </si>
  <si>
    <t xml:space="preserve">G0069779 </t>
  </si>
  <si>
    <t xml:space="preserve">G0069809 </t>
  </si>
  <si>
    <t>VT JH SERIE OLIMPICA EP5 LIMPO 03072021</t>
  </si>
  <si>
    <t>JHSERIEOLIMPICAEP5L-W7EA0VB</t>
  </si>
  <si>
    <t xml:space="preserve">G0069780 </t>
  </si>
  <si>
    <t>G0069810</t>
  </si>
  <si>
    <t xml:space="preserve">G0069810 </t>
  </si>
  <si>
    <t xml:space="preserve">G0069835 </t>
  </si>
  <si>
    <t xml:space="preserve">G0069840 </t>
  </si>
  <si>
    <t>VT SPO ABERTURA JAPÃO MBARROS 05072021</t>
  </si>
  <si>
    <t xml:space="preserve">VTSPOABERTURAJAPAOM-W7EAFGG
</t>
  </si>
  <si>
    <t xml:space="preserve">G0069730 </t>
  </si>
  <si>
    <t>G0069755</t>
  </si>
  <si>
    <t xml:space="preserve">G0069755 </t>
  </si>
  <si>
    <t xml:space="preserve">G0069781 </t>
  </si>
  <si>
    <t xml:space="preserve">G0069811 </t>
  </si>
  <si>
    <t>VT SPO TOMBAMENTO VILA MARIANA</t>
  </si>
  <si>
    <t>VT SANTOS IMIGRANTES RNARDELLI 06072021</t>
  </si>
  <si>
    <t>VTSANTOSIMIGRANTESR-W7EAF0V</t>
  </si>
  <si>
    <t>Bruto salas comerciais coworking 06072021</t>
  </si>
  <si>
    <t>BRUTOSALASCOMERCIAI-WNXO9GF</t>
  </si>
  <si>
    <t>BRUTO CENTRO HISTORICO SP 06072021</t>
  </si>
  <si>
    <t>BRUTOCENTROHISTORIC-X4H2LVH</t>
  </si>
  <si>
    <t xml:space="preserve">G0069731 </t>
  </si>
  <si>
    <t>G0069756</t>
  </si>
  <si>
    <t xml:space="preserve">G0069756 </t>
  </si>
  <si>
    <t xml:space="preserve">G0069782 </t>
  </si>
  <si>
    <t xml:space="preserve">G0069812 </t>
  </si>
  <si>
    <t>VT BDSP RPO FLOR DE LOTUS DMARTINS 07072021</t>
  </si>
  <si>
    <t xml:space="preserve">08/07/2021 11:29:06
</t>
  </si>
  <si>
    <t xml:space="preserve">VTBDSPRPOFLORDELOTU-W7EAIEW
</t>
  </si>
  <si>
    <t>Bruto Masp exposicao Edgar Degas 07072021</t>
  </si>
  <si>
    <t>BRUTOMASPEXPOSICAOE-WNXODW0</t>
  </si>
  <si>
    <t xml:space="preserve">G0069732 </t>
  </si>
  <si>
    <t xml:space="preserve">G0069757 </t>
  </si>
  <si>
    <t xml:space="preserve">G0069783 </t>
  </si>
  <si>
    <t xml:space="preserve">G0069813 </t>
  </si>
  <si>
    <t>Bruto Mairipora 08072021</t>
  </si>
  <si>
    <t>BRUTOMAIRIPORA08072-WNXOA18</t>
  </si>
  <si>
    <t>Bruto plantacao cannabis Paraiba 08072021</t>
  </si>
  <si>
    <t>BRUTOPLANTACAOCANNA-WNXODCJ</t>
  </si>
  <si>
    <t xml:space="preserve">Bruto Obelisco Ibirapuera 08072021 </t>
  </si>
  <si>
    <t>BRUTOOBELISCOIBIRAP-WNXOH2Y</t>
  </si>
  <si>
    <t>Bruto Hotel Sheraton SP 08072021</t>
  </si>
  <si>
    <t>BRUTOHOTELSHERATONS-X4H2MWU</t>
  </si>
  <si>
    <t>GRU</t>
  </si>
  <si>
    <t>BRUTO AVIARIO 08072021</t>
  </si>
  <si>
    <t>BRUTOAVIARIO0807202-1PUWC7R</t>
  </si>
  <si>
    <t>BRUTO ENERGIA SOLAR 08072021</t>
  </si>
  <si>
    <t>BRUTOENERGIASOLAR08-1PUWIKU</t>
  </si>
  <si>
    <t>BRUTO GADO NO PASTO 08072021</t>
  </si>
  <si>
    <t>BRUTOGADONOPASTO080-1PUWILS</t>
  </si>
  <si>
    <t xml:space="preserve">G0069733 </t>
  </si>
  <si>
    <t>G0069758</t>
  </si>
  <si>
    <t xml:space="preserve">G0069758 </t>
  </si>
  <si>
    <t xml:space="preserve">G0069784 </t>
  </si>
  <si>
    <t>G0069814</t>
  </si>
  <si>
    <t xml:space="preserve">G0069814 </t>
  </si>
  <si>
    <t>VT BDSP PPE PEREIRA BARRETO JCABRAL 09072021</t>
  </si>
  <si>
    <t>VTBDSPPPEPEREIRABAR-W7EAM9N</t>
  </si>
  <si>
    <t>Bruto pizza delivery 09072021</t>
  </si>
  <si>
    <t>BRUTOPIZZADELIVERY0-WNXO9YY</t>
  </si>
  <si>
    <t>Bruto bares Pinheiros SP 09072021</t>
  </si>
  <si>
    <t>BRUTOBARESPINHEIROS-WNXOGAI</t>
  </si>
  <si>
    <t>Bruto pipa papagaio 09072021</t>
  </si>
  <si>
    <t>BRUTOPIPAPAPAGAIO09-WNXOGGS</t>
  </si>
  <si>
    <t>Bruto bares Vila Madalena SP 09072021</t>
  </si>
  <si>
    <t>BRUTOBARESVILAMADAL-WNXOGKJ</t>
  </si>
  <si>
    <t>Bruto cartao aproximacao 09072021</t>
  </si>
  <si>
    <t>BRUTOCARTAOAPROXIMA-WNXOJ34</t>
  </si>
  <si>
    <t>Bruto pedagio rodovia Aryton Senna 09072021</t>
  </si>
  <si>
    <t>BRUTOPEDAGIORODOVIA-WNXOJ6W</t>
  </si>
  <si>
    <t xml:space="preserve">G0069734 </t>
  </si>
  <si>
    <t xml:space="preserve">G0069759 </t>
  </si>
  <si>
    <t>G0069785</t>
  </si>
  <si>
    <t xml:space="preserve">G0069785 </t>
  </si>
  <si>
    <t xml:space="preserve">G0069815 </t>
  </si>
  <si>
    <t>Brutos predios antigos centro SP 10072021</t>
  </si>
  <si>
    <t>BRUTOSPREDIOSANTIGO-WNXODVZ</t>
  </si>
  <si>
    <t>Bruto presidio CDP Pinheiros 10072021</t>
  </si>
  <si>
    <t>BRUTOPRESIDIOCDPPIN-WNXOG6P</t>
  </si>
  <si>
    <t>Bruto comercio consumidores 09072021</t>
  </si>
  <si>
    <t>BRUTOCOMERCIOCONSUM-WNXOG79</t>
  </si>
  <si>
    <t>Bruto banco de leite materno 10072021</t>
  </si>
  <si>
    <t>BRUTOBANCODELEITEMA-WNXODWP</t>
  </si>
  <si>
    <t xml:space="preserve">G0069786 </t>
  </si>
  <si>
    <t>G0069816</t>
  </si>
  <si>
    <t xml:space="preserve">G0069816 </t>
  </si>
  <si>
    <t xml:space="preserve">EE SP </t>
  </si>
  <si>
    <t xml:space="preserve">G0069836 </t>
  </si>
  <si>
    <t xml:space="preserve">G0069841 </t>
  </si>
  <si>
    <t>G0069841_TEMP</t>
  </si>
  <si>
    <t>G0069841TEMPMXF-WNXOBCZ</t>
  </si>
  <si>
    <t>VT BDSP PPE JAPAO PRUDENTE HHMADA 12072021</t>
  </si>
  <si>
    <t xml:space="preserve">VTBDSPPPEJAPAOPRUDE-WNXOB3G
</t>
  </si>
  <si>
    <t>Bruto Parque Ibirapuera_temp 12072021</t>
  </si>
  <si>
    <t>BRUTOPARQUEIBIRAPUE-WNXOJMQ</t>
  </si>
  <si>
    <t>Bruto ciclovia ciclofaixa Av Paulista 12072021</t>
  </si>
  <si>
    <t>ENVIADO PARA O DEFINITIVO</t>
  </si>
  <si>
    <t>Bruto ciclofaixa Av Paulista_temp 12072021</t>
  </si>
  <si>
    <t>BRUTOCICLOFAIXAAVPA-WNXOM7A</t>
  </si>
  <si>
    <t>Bruto ciclofaixa de lazer 12072021</t>
  </si>
  <si>
    <t>BRUTOCICLOFAIXAAVRE-WNXOJM3</t>
  </si>
  <si>
    <t>Bruto ciclofaixa Av Roberto Marinho 12072021</t>
  </si>
  <si>
    <t>BRUTOCICLOFAIXAAVRO-WNXOJR8</t>
  </si>
  <si>
    <t>Bruto instrumentos musicais 12072021</t>
  </si>
  <si>
    <t>BRUTOINSTRUMENTOSMU-WNXOMK6</t>
  </si>
  <si>
    <t>Bruto Museu da Lingua Portuguesa 12072021</t>
  </si>
  <si>
    <t>BRUTOMUSEUDALINGUAP-WNXOMSN</t>
  </si>
  <si>
    <t>Bruto vacinação covid 37 mais 12072021</t>
  </si>
  <si>
    <t>BRUTOVACINACAOCOVID-WNXOQ2W</t>
  </si>
  <si>
    <t>Bruto morador de rua inverno SP 12072021</t>
  </si>
  <si>
    <t>BRUTOMORADORDERUAIN-X4H2MNL</t>
  </si>
  <si>
    <t>VT BDSP LUCAS E BRENDA OUTROS</t>
  </si>
  <si>
    <t xml:space="preserve">G0069735 </t>
  </si>
  <si>
    <t xml:space="preserve">G0069760 </t>
  </si>
  <si>
    <t xml:space="preserve">G0069787 </t>
  </si>
  <si>
    <t xml:space="preserve">G0069817 </t>
  </si>
  <si>
    <t>VT BDSP Mogi Casarao Cha 13072021</t>
  </si>
  <si>
    <t xml:space="preserve">VTBDSPMOGICASARAOCH-WNXOE1C
</t>
  </si>
  <si>
    <t>Bruto Tribunal de Justica do Estado de SP 13072021</t>
  </si>
  <si>
    <t>BRUTOTRIBUNALDEJUST-WNXOJ89</t>
  </si>
  <si>
    <t>Bruto posto bilhete unico 13072021</t>
  </si>
  <si>
    <t>BRUTOPOSTOBILHETEUN-WNXOMPL</t>
  </si>
  <si>
    <t xml:space="preserve">G0069736 </t>
  </si>
  <si>
    <t>14 e 15/07/2021</t>
  </si>
  <si>
    <t xml:space="preserve">G0069788 </t>
  </si>
  <si>
    <t xml:space="preserve">G0069818 </t>
  </si>
  <si>
    <t>Vt BDSP taiko atibaia acosta 14072021</t>
  </si>
  <si>
    <t xml:space="preserve">VTBDSPTAIKOATIBAIAA-WNXOGWW
</t>
  </si>
  <si>
    <t>BRUTO IDOSOS PARQUE 14072021</t>
  </si>
  <si>
    <t>BRUTOIDOSOSPARQUE14-WNXOVKF</t>
  </si>
  <si>
    <t xml:space="preserve">G0069737 </t>
  </si>
  <si>
    <t>15 e 16/07/2021</t>
  </si>
  <si>
    <t>G0069762</t>
  </si>
  <si>
    <t xml:space="preserve">G0069762 </t>
  </si>
  <si>
    <t xml:space="preserve">G0069789 </t>
  </si>
  <si>
    <t xml:space="preserve">G0069819 </t>
  </si>
  <si>
    <t>Bruto Hospital Vila Nova Star 15072021</t>
  </si>
  <si>
    <t>BRUTOHOSPITALVILANO-WNXON2U</t>
  </si>
  <si>
    <t>Bruto vacinação covid 36 mais SP 15072021</t>
  </si>
  <si>
    <t>BRUTOVACINACAOCOVID-WNXOQ9X</t>
  </si>
  <si>
    <t>BRUTO BIBLIOTECA ESCOLA 15072021</t>
  </si>
  <si>
    <t>BRUTOBIBLIOTECAESCO-X4H2FRA</t>
  </si>
  <si>
    <t>BRUTO FALTA AGUA 15072021</t>
  </si>
  <si>
    <t>BRUTOFALTAAGUA15072-X4H2MWV</t>
  </si>
  <si>
    <t xml:space="preserve">G0069738 </t>
  </si>
  <si>
    <t>G0069763</t>
  </si>
  <si>
    <t xml:space="preserve">G0069763 </t>
  </si>
  <si>
    <t xml:space="preserve">G0069790 </t>
  </si>
  <si>
    <t xml:space="preserve">G0069820 </t>
  </si>
  <si>
    <t>VT BDSP GOIABA VALINHOS 160721</t>
  </si>
  <si>
    <t>VTBDSPGOIABAVALINHO-WNXOVHW</t>
  </si>
  <si>
    <t>VT QUADRO VERDE COBERTURA JARDIM 16072021</t>
  </si>
  <si>
    <t>VTQUADROVERDECOBERT-X4H2FDH</t>
  </si>
  <si>
    <t>BRUTO GCM CRACOLANDIA 16072021</t>
  </si>
  <si>
    <t>BRUTOGCMCRACOLANDIA-X4H2FX6</t>
  </si>
  <si>
    <t>BRUTO VENDEDOR SEMAFORO 16072021</t>
  </si>
  <si>
    <t>BRUTOVENDEDORSEMAFO-X4H2FZF</t>
  </si>
  <si>
    <t>BRUTO BILHETE UNICO 16072021</t>
  </si>
  <si>
    <t>BRUTOBILHETEUNICO16-X4H2G2P</t>
  </si>
  <si>
    <t>BRUTO USP ESCOLA DE MUSICA CMU 16072021</t>
  </si>
  <si>
    <t>BRUTOUSPMUSICACMU16-19BI77D</t>
  </si>
  <si>
    <t xml:space="preserve">G0069739 </t>
  </si>
  <si>
    <t>G0069764</t>
  </si>
  <si>
    <t xml:space="preserve">G0069764 </t>
  </si>
  <si>
    <t xml:space="preserve">G0069791 </t>
  </si>
  <si>
    <t xml:space="preserve">G0069821 </t>
  </si>
  <si>
    <t xml:space="preserve">G0069792 </t>
  </si>
  <si>
    <t xml:space="preserve">G0069822 </t>
  </si>
  <si>
    <t>BRUTO REABERTURA AV PAULISTA 18072021</t>
  </si>
  <si>
    <t>BRUTOREABERTURAAVPA-WNXOVHS</t>
  </si>
  <si>
    <t xml:space="preserve">G0069837 </t>
  </si>
  <si>
    <t xml:space="preserve">G0069842 </t>
  </si>
  <si>
    <t>G0069842_TEMP</t>
  </si>
  <si>
    <t>G0069842TEMPMXF-X4H2DZU</t>
  </si>
  <si>
    <t xml:space="preserve"> VT BDSP SERIE JAPAO BIBLIOTECA 19072021</t>
  </si>
  <si>
    <t>VTBDSPSERIEJAPAOBIB-X4H2GKJ</t>
  </si>
  <si>
    <t>BRUTO ESCOLA PUBLICA 19072021</t>
  </si>
  <si>
    <t>BRUTOESCOLAPUBLICA1-X4H2GU2</t>
  </si>
  <si>
    <t>G0069740</t>
  </si>
  <si>
    <t xml:space="preserve">G0069740 </t>
  </si>
  <si>
    <t xml:space="preserve">G0069765 </t>
  </si>
  <si>
    <t>G0069793</t>
  </si>
  <si>
    <t xml:space="preserve">G0069793 </t>
  </si>
  <si>
    <t xml:space="preserve">G0069823 </t>
  </si>
  <si>
    <t>BRUTO HOME CARE 20072021</t>
  </si>
  <si>
    <t>BRUTOHOMECARE200720-X4H2I51</t>
  </si>
  <si>
    <t>BRUTO VACINAÇÃO COVID 33 MAIS 20072021</t>
  </si>
  <si>
    <t>BRUTOVACINACAOCOVID-X4H2I5R</t>
  </si>
  <si>
    <t>BRUTO FRIO MORADOR DE RUA 20072021</t>
  </si>
  <si>
    <t>BRUTOFRIOMORADORDER-X4H2I5Y</t>
  </si>
  <si>
    <t>BRUTO TRANSITO MARGINAL TIETE 20072021</t>
  </si>
  <si>
    <t>BRUTOTRANSITOMARGIN-X4H2I8V</t>
  </si>
  <si>
    <t>BRUTO MORADORES DE RUA FRIO 20072021</t>
  </si>
  <si>
    <t>BRUTOMORADORESDERUA-X4H2IF0</t>
  </si>
  <si>
    <t>BRUTO (AGU) ADVOCACIA GERAL DA UNIAO SP 20072021</t>
  </si>
  <si>
    <t>BRUTOAGUADVOCACIAGE-X4H2IGN</t>
  </si>
  <si>
    <t>BRUTO LOJA BOLO CASEIRO 20072021</t>
  </si>
  <si>
    <t>21/047/2021 12:47</t>
  </si>
  <si>
    <t>BRUTOLOJABOLOCASEIR-X4H2IUT</t>
  </si>
  <si>
    <t>VT BDSP JAPAO TEMPLOS LIMPO 20072021</t>
  </si>
  <si>
    <t>VTJAPAOTEMPLOSLIMPO-X4H2IMZ</t>
  </si>
  <si>
    <t>BRUTO JOVENS CELULAR 20072021</t>
  </si>
  <si>
    <t>BRUTOJOVENSCELULAR2-X4H2Y8I</t>
  </si>
  <si>
    <t>G0069741</t>
  </si>
  <si>
    <t xml:space="preserve">G0069741 </t>
  </si>
  <si>
    <t xml:space="preserve">G0069766 </t>
  </si>
  <si>
    <t xml:space="preserve">G0069794 </t>
  </si>
  <si>
    <t xml:space="preserve">G0069824 </t>
  </si>
  <si>
    <t>VT BDSP JAPAO KANJI SAO CARLOS 21072021</t>
  </si>
  <si>
    <t>VTJAPAOKANJISAOCARL-X4H2M50</t>
  </si>
  <si>
    <t>BRUTO ENSINO FUNDAMENTAL ESCOLA MUNICIPAL 21072021</t>
  </si>
  <si>
    <t>BRUTOENSINOFUNDAMEN-X4H2X1L</t>
  </si>
  <si>
    <t>BRUTO PRÉDIOS ANTIGOS CENTRO SP 21072021</t>
  </si>
  <si>
    <t>BRUTOPREDIOSANTIGOS-X4H2XH3</t>
  </si>
  <si>
    <t>BRUTO MARMITA 21072021</t>
  </si>
  <si>
    <t>BRUTOMARMITA2107202-X4H2YRJ</t>
  </si>
  <si>
    <t>BRUTO HOSPITAL GERAL DE GUAIANAZES 21072021</t>
  </si>
  <si>
    <t>BRUTOHOSPITALGERALD-X4H30NU</t>
  </si>
  <si>
    <t>BRUTO ASPECTOS AMSTERDAN 21072021</t>
  </si>
  <si>
    <t>BRUTOAMSTERDAN21072-5E5XCG9</t>
  </si>
  <si>
    <t>G0069742</t>
  </si>
  <si>
    <t xml:space="preserve">G0069742 </t>
  </si>
  <si>
    <t xml:space="preserve">G0069767 </t>
  </si>
  <si>
    <t xml:space="preserve">G0069795 </t>
  </si>
  <si>
    <t xml:space="preserve">G0069825 </t>
  </si>
  <si>
    <t xml:space="preserve"> JN</t>
  </si>
  <si>
    <t>BRUTO RETORNO ESCOLA MUNICIPAL 22072021</t>
  </si>
  <si>
    <t>BRUTORETORNOESCOLAM-X4H32DZ</t>
  </si>
  <si>
    <t>BRUTO CRIANÇA ESTUDANDO EM CASA 22072021</t>
  </si>
  <si>
    <t>BRUTOCRIANCAESTUDAN-X4H346A</t>
  </si>
  <si>
    <t>BRUTO ALUNOS ESCOLA MUNICIPAL TABLET 22072021</t>
  </si>
  <si>
    <t>BRUTOALUNOSESCOLAMU-X4H34DH</t>
  </si>
  <si>
    <t>SP2 / JN</t>
  </si>
  <si>
    <t>BRUTO ESTUDO VARIANTES 22072021</t>
  </si>
  <si>
    <t>BRUTOESTUDOVARIANTE-X4H32ME</t>
  </si>
  <si>
    <t>G0069743</t>
  </si>
  <si>
    <t xml:space="preserve">G0069743 </t>
  </si>
  <si>
    <t xml:space="preserve">G0069768 </t>
  </si>
  <si>
    <t xml:space="preserve">G0069796 </t>
  </si>
  <si>
    <t xml:space="preserve">G0069826 </t>
  </si>
  <si>
    <t>BRUTO CAMPUS PARTY DIGITAL 23072021</t>
  </si>
  <si>
    <t>BRUTOCAMPUSPARTYDIG-X4H348X</t>
  </si>
  <si>
    <t>G0069744</t>
  </si>
  <si>
    <t xml:space="preserve">G0069744 </t>
  </si>
  <si>
    <t xml:space="preserve">G0069769 </t>
  </si>
  <si>
    <t xml:space="preserve">G0069797 </t>
  </si>
  <si>
    <t xml:space="preserve">G0069827 </t>
  </si>
  <si>
    <t>BRUTO MARCHA PARA JESUS 24072021</t>
  </si>
  <si>
    <t>BRUTOMARCHAPARAJESU-X4H35TJ</t>
  </si>
  <si>
    <t xml:space="preserve">G0069798 </t>
  </si>
  <si>
    <t>G0069828</t>
  </si>
  <si>
    <t xml:space="preserve">G0069828 </t>
  </si>
  <si>
    <t>BRUTO REINAUGURACAO VALE DO ANHANGABAU 26072021</t>
  </si>
  <si>
    <t>BRUTOREINAUGURACAOV-XL0GRYK</t>
  </si>
  <si>
    <t>BRUTO SKATE VALE DO ANHANGABAU 26072021</t>
  </si>
  <si>
    <t>BRUTOSKATEVALEDOANH-XL0GS4A</t>
  </si>
  <si>
    <t>BRUTO PROTESTO CONTRA BOLSONARO 26072021</t>
  </si>
  <si>
    <t>BRUTOPROTESTOCONTRA-X4H38KY</t>
  </si>
  <si>
    <t>BRUTO FACHADA PREFEITURA SP 26072021</t>
  </si>
  <si>
    <t>BRUTOFACHADAPREFEIT-XL0GVX8</t>
  </si>
  <si>
    <t>BRUTO SECRETARIA MUN SAUDE 26072021</t>
  </si>
  <si>
    <t>BRUTOSECRETARIAMUNS-XL0GVX9</t>
  </si>
  <si>
    <t>VT SPO SUÍTE CASAL OUTROS</t>
  </si>
  <si>
    <t>NÃO DISPONÍVEL NO PAM</t>
  </si>
  <si>
    <t xml:space="preserve">G0069745 </t>
  </si>
  <si>
    <t xml:space="preserve">G0069770 </t>
  </si>
  <si>
    <t xml:space="preserve">G0069799 </t>
  </si>
  <si>
    <t>27 e 28/07/2021</t>
  </si>
  <si>
    <t>G0069829</t>
  </si>
  <si>
    <t xml:space="preserve">G0069829 </t>
  </si>
  <si>
    <t>BRUTO MUSEU DA LIGUA PORTUGUESA 27072021</t>
  </si>
  <si>
    <t>BRUTOMUSEUDALIGUAPO-XL0GW4O</t>
  </si>
  <si>
    <t xml:space="preserve">G0069746 </t>
  </si>
  <si>
    <t xml:space="preserve">G0069771 </t>
  </si>
  <si>
    <t xml:space="preserve">G0069800 </t>
  </si>
  <si>
    <t xml:space="preserve">G0069830 </t>
  </si>
  <si>
    <t>BRUTO ABRIGO FRIO METRO 28072021</t>
  </si>
  <si>
    <t>BRUTOABRIGOFRIOMETR-XL0GV6I</t>
  </si>
  <si>
    <t>BRUTO MUSEU DA LINGUA 28072021</t>
  </si>
  <si>
    <t>BRUTOMUSEUDALINGUA2-X4H399G</t>
  </si>
  <si>
    <t xml:space="preserve">G0069747 </t>
  </si>
  <si>
    <t>G0069747_2</t>
  </si>
  <si>
    <t>G00697472MXF-X4H35D8</t>
  </si>
  <si>
    <t xml:space="preserve">G0069801 </t>
  </si>
  <si>
    <t>G0069831</t>
  </si>
  <si>
    <t xml:space="preserve">G0069831 </t>
  </si>
  <si>
    <t>BRUTO CEREJEIRAS 29072021</t>
  </si>
  <si>
    <t>BRUTOCEREJEIRAS2907-XL0GTF0</t>
  </si>
  <si>
    <t>BRUTO COMUNIDADE COTIA 29072021</t>
  </si>
  <si>
    <t>BRUTOCOMUNIDADECOTI-XL0GTV5</t>
  </si>
  <si>
    <t>BRUTO INCENDIO CINEMATECA 29072021</t>
  </si>
  <si>
    <t>BRUTOINCENDIOCINEMA-0SS3CW9</t>
  </si>
  <si>
    <t xml:space="preserve">G0069748 </t>
  </si>
  <si>
    <t xml:space="preserve">G0069802 </t>
  </si>
  <si>
    <t>G0069832</t>
  </si>
  <si>
    <t xml:space="preserve">G0069832 </t>
  </si>
  <si>
    <t>BRUTO CEAGESP 30072021</t>
  </si>
  <si>
    <t>BRUTOCEAGESP3007202-0SS3DA2</t>
  </si>
  <si>
    <t>BRUTO VOLTA CRECHE 30072021</t>
  </si>
  <si>
    <t>BRUTOVOLTACRECHE300-0SS3LV0</t>
  </si>
  <si>
    <t>não</t>
  </si>
  <si>
    <t xml:space="preserve">G0069803 </t>
  </si>
  <si>
    <t>G0069833</t>
  </si>
  <si>
    <t xml:space="preserve">G0069833 </t>
  </si>
  <si>
    <t>BRUTO FRIO MENDIGOS 31072021</t>
  </si>
  <si>
    <t>BRUTOFRIOMENDIGOS31-0SS3D2V</t>
  </si>
  <si>
    <t>BRUTO INVERNO PEDESTRES SP 31072021</t>
  </si>
  <si>
    <t>BRUTOINVERNOPEDESTR-0SS3DKN</t>
  </si>
  <si>
    <t>SPO CRACOLÂNDIA/ESCOLA AOLIVEIRA</t>
  </si>
  <si>
    <t xml:space="preserve">G0069804 </t>
  </si>
  <si>
    <t>G0069834</t>
  </si>
  <si>
    <t xml:space="preserve">G0069834 </t>
  </si>
  <si>
    <t>BRUTO PROTESTO PRO BOLSONARO 01082021</t>
  </si>
  <si>
    <t>BRUTOPROTESTOPROBOL-0SS3DKQ</t>
  </si>
  <si>
    <t>BRUTO ESCOLA PARTICULAR 02082021</t>
  </si>
  <si>
    <t>BRUTOESCOLAPARTICUL-19BHPWS</t>
  </si>
  <si>
    <t>BRUTO VOLTA AULAS SP 02082021</t>
  </si>
  <si>
    <t>BRUTOVOLTAAULASSP02-19BHNXX</t>
  </si>
  <si>
    <t>BRUTO CAIXA ELETRONICO 02082021</t>
  </si>
  <si>
    <t>BRUTOCAIXAELETRONIC-19BI673</t>
  </si>
  <si>
    <t>G0079339</t>
  </si>
  <si>
    <t>G0079409</t>
  </si>
  <si>
    <t>G0079433</t>
  </si>
  <si>
    <t>G0079359</t>
  </si>
  <si>
    <t>G0079410</t>
  </si>
  <si>
    <t>G0079434</t>
  </si>
  <si>
    <t>BRUTO SKATISTAS 04082021</t>
  </si>
  <si>
    <t>BRUTOSKATISTAS04082-0SS4125</t>
  </si>
  <si>
    <t>BRUTO CRIANÇAS CHEGANDO NA ESCOLA 04082021</t>
  </si>
  <si>
    <t>BRUTOCRIANCASCHEGAN-19BHK4J</t>
  </si>
  <si>
    <t>G0079340</t>
  </si>
  <si>
    <t>G0079340_TEMP</t>
  </si>
  <si>
    <t>G0079340TEMPMXF-0SS3LYJ</t>
  </si>
  <si>
    <t>G0079360</t>
  </si>
  <si>
    <t>G0079411</t>
  </si>
  <si>
    <t>G0079435</t>
  </si>
  <si>
    <t>VT SP1 COMIDA EMPREENDEDORA 05082021</t>
  </si>
  <si>
    <t>VTSP1COMIDAEMPREEND-0SS3RKJ</t>
  </si>
  <si>
    <t>BRUTO ESCOLA ESTADUAL 05082021</t>
  </si>
  <si>
    <t>BRUTOESCOLAESTADUAL-19BHK4P</t>
  </si>
  <si>
    <t>BRUTO CATE 05082021</t>
  </si>
  <si>
    <t>BRUTOCATE05082021MX-19BHK64</t>
  </si>
  <si>
    <t>BRUTO SEM TETO PRACA PRINCESA ISABEL 05082021</t>
  </si>
  <si>
    <t>BRUTOSEMTETOPRACAPR-19BHKTM</t>
  </si>
  <si>
    <t>BRUTO ESCOLA MUNICIPAL 05082021</t>
  </si>
  <si>
    <t>BRUTOESCOLAMUNICIPA-19BHKST</t>
  </si>
  <si>
    <t>VT Tobogã Pacaembu</t>
  </si>
  <si>
    <t>G0079341</t>
  </si>
  <si>
    <t>G0079361</t>
  </si>
  <si>
    <t>G0079412</t>
  </si>
  <si>
    <t>G0079436</t>
  </si>
  <si>
    <t>BRUTO PEDESTRES CENTRO SP 06082021</t>
  </si>
  <si>
    <t>BRUTOPEDESTRESCENTR-0SS4163</t>
  </si>
  <si>
    <t>BRUTO EVENTO DEMOCRACIA 06082021</t>
  </si>
  <si>
    <t>BRUTOEVENTODEMOCRAC-19BHKAW</t>
  </si>
  <si>
    <t>BRUTO OBRA SOCIAL ACHIROPITA 06082021</t>
  </si>
  <si>
    <t>BRUTOOBRASOCIALACHI-19BHKBL</t>
  </si>
  <si>
    <t>G0079342</t>
  </si>
  <si>
    <t>G0079362</t>
  </si>
  <si>
    <t>G0079413</t>
  </si>
  <si>
    <t>G0079437</t>
  </si>
  <si>
    <t>BRUTO SESC POMPEIA 07082021</t>
  </si>
  <si>
    <t>SESCPOMPEIA07082021-19BHPNE</t>
  </si>
  <si>
    <t>BRUTO PARTO TRIGEMEOS 07082021</t>
  </si>
  <si>
    <t>BRUTOPARTOTRIGEMEOS-19BHQA7</t>
  </si>
  <si>
    <t>G0079414</t>
  </si>
  <si>
    <t>G0079438</t>
  </si>
  <si>
    <t>G0069838</t>
  </si>
  <si>
    <t>G0069843</t>
  </si>
  <si>
    <t>G0069843_TEMP</t>
  </si>
  <si>
    <t>G0069843TEMPMXF-0SS3ZGU</t>
  </si>
  <si>
    <t>G0079343</t>
  </si>
  <si>
    <t>G0079415</t>
  </si>
  <si>
    <t>G0079439</t>
  </si>
  <si>
    <t>BRUTO ATENDIMENTO SUBPREFEITURA SE 10082021</t>
  </si>
  <si>
    <t>BRUTOATENDIMENTOSUB-19BHML6</t>
  </si>
  <si>
    <t>BRUTO SEQUENCIAMENTO COVID-19 10082021</t>
  </si>
  <si>
    <t>BRUTOSEQUENCIAMENTO-19BHQAC</t>
  </si>
  <si>
    <t>BRUTO REFORCO ESCOLAR 10082021</t>
  </si>
  <si>
    <t>BRUTOREFORCOESCOLAR-19BHVDZ</t>
  </si>
  <si>
    <t>BRUTO INAUGURA CPTM 10082021</t>
  </si>
  <si>
    <t>BRUTOCPTM10082021MX-19BI488</t>
  </si>
  <si>
    <t>BRUTO VACINA 18+ OSASCO 10082021</t>
  </si>
  <si>
    <t>BRUTOVACINA18OSASCO-19BI486</t>
  </si>
  <si>
    <t>G0079344</t>
  </si>
  <si>
    <t>G0079363</t>
  </si>
  <si>
    <t>G0079416</t>
  </si>
  <si>
    <t>G0079440</t>
  </si>
  <si>
    <t>G0079345</t>
  </si>
  <si>
    <t>G0079364</t>
  </si>
  <si>
    <t>G0079417</t>
  </si>
  <si>
    <t>13 e 16/08/2021</t>
  </si>
  <si>
    <t>G0079441</t>
  </si>
  <si>
    <t>BRUTO SUPERMERCADO 12082021</t>
  </si>
  <si>
    <t>BRUTOSUPERMERCADO12-19BI4CB</t>
  </si>
  <si>
    <t>G0079346</t>
  </si>
  <si>
    <t>G0079365</t>
  </si>
  <si>
    <t>G0079418</t>
  </si>
  <si>
    <t>G0079442</t>
  </si>
  <si>
    <t>BRUTO ENSINO FUNDAMENTAL PUBLICO 13082021</t>
  </si>
  <si>
    <t>BRUTOENSINOFUNDAMEN-1PUVX02</t>
  </si>
  <si>
    <t>G0079347</t>
  </si>
  <si>
    <t>G0079419</t>
  </si>
  <si>
    <t>Jeane / André</t>
  </si>
  <si>
    <t>G0079443</t>
  </si>
  <si>
    <t>BRUTO VIRADA VACINA 14082021</t>
  </si>
  <si>
    <t>BRUTOVIRADAVACINA14-19BI3GH</t>
  </si>
  <si>
    <t>BRUTO VACINACAO VIRADA 15082021</t>
  </si>
  <si>
    <t>BRUNOVACINACAOVIRAD-19BI4CC</t>
  </si>
  <si>
    <t>G0079420</t>
  </si>
  <si>
    <t>G0079444</t>
  </si>
  <si>
    <t>ACERVOESPORTEESPETA-19BI490</t>
  </si>
  <si>
    <t>BRUTO DELEGACIA DA MULHER 15082021</t>
  </si>
  <si>
    <t>BRUTODELEGACIADAMUL-19BI6WU</t>
  </si>
  <si>
    <t>BRUTO DELEGACIA DA MULHER 15082021_V2</t>
  </si>
  <si>
    <t>BRUTODELEGACIADAMUL-19BI8GY</t>
  </si>
  <si>
    <t>G0069839</t>
  </si>
  <si>
    <t>G0069844</t>
  </si>
  <si>
    <t>G0069844_TEMP</t>
  </si>
  <si>
    <t>G0069844TEMPMXF-19BI46W</t>
  </si>
  <si>
    <t>BRUTO GUARAPIRANGA 16082021</t>
  </si>
  <si>
    <t>BRUTOGUARAPIRANGA16-19BI3PY</t>
  </si>
  <si>
    <t>BRUTO REABILITACAO COVID 16082021</t>
  </si>
  <si>
    <t>BRUTOREABILITACAOCO-19BI704</t>
  </si>
  <si>
    <t>G0079348</t>
  </si>
  <si>
    <t>G0079421</t>
  </si>
  <si>
    <t>G0079445</t>
  </si>
  <si>
    <t>BRUTO BILHETE DESEMPREGADO 17082021</t>
  </si>
  <si>
    <t>BRUTOBILHETEDESEMPR-19BI6YX</t>
  </si>
  <si>
    <t>BRUTO FILA EMPREGO 17082021</t>
  </si>
  <si>
    <t>BRUTOFILAEMPREGO170-19BI8XL</t>
  </si>
  <si>
    <t>G0079349</t>
  </si>
  <si>
    <t xml:space="preserve">G0079368 </t>
  </si>
  <si>
    <t>G0079368</t>
  </si>
  <si>
    <t>G0079422</t>
  </si>
  <si>
    <t>G0079446</t>
  </si>
  <si>
    <t xml:space="preserve">GNEWS </t>
  </si>
  <si>
    <t>BRUTO VACINA ADOLESCENTES 18082021</t>
  </si>
  <si>
    <t>BRUTOVACINAADOLESCE-19BI92H</t>
  </si>
  <si>
    <t>BRUTO LINHA VERDE METRO 18082021</t>
  </si>
  <si>
    <t>BRUTOLINHAVERDEMETR-1PUWFUE</t>
  </si>
  <si>
    <t>VT SPO VENDA/PANOS OUTROS</t>
  </si>
  <si>
    <t>G0079350</t>
  </si>
  <si>
    <t>G0079369</t>
  </si>
  <si>
    <t>G0079423</t>
  </si>
  <si>
    <t>G0079447</t>
  </si>
  <si>
    <t>BRUTO CORRETORA VALORES 09082021</t>
  </si>
  <si>
    <t>BRUTOCORRETORAVALOR-1PUVW4W</t>
  </si>
  <si>
    <t>G0079351</t>
  </si>
  <si>
    <t>G0079370</t>
  </si>
  <si>
    <t>G0079424</t>
  </si>
  <si>
    <t xml:space="preserve">19/08/2021 14:41
</t>
  </si>
  <si>
    <t>G0079448</t>
  </si>
  <si>
    <t>G0079352</t>
  </si>
  <si>
    <t>22 e 23/08/2021</t>
  </si>
  <si>
    <t>G0079425</t>
  </si>
  <si>
    <t>20 e 23/08/2021</t>
  </si>
  <si>
    <t>G0079449</t>
  </si>
  <si>
    <t>23/08/2021 19:52</t>
  </si>
  <si>
    <t>G0079426</t>
  </si>
  <si>
    <t>G0079450</t>
  </si>
  <si>
    <t>EE</t>
  </si>
  <si>
    <t>Rafael Castro</t>
  </si>
  <si>
    <t>G0079457</t>
  </si>
  <si>
    <t>G0079461</t>
  </si>
  <si>
    <t>G0079461_TEMP</t>
  </si>
  <si>
    <t>G0079461TEMPMXF-1PUWCAH</t>
  </si>
  <si>
    <t>BRUTO QUEIMADA PARQUE JUQUERY 23082021</t>
  </si>
  <si>
    <t>BRUTOQUEIMADAPARQUE-1PUWAT8</t>
  </si>
  <si>
    <t>VT SPO BRÁS PGUEDES 23082021</t>
  </si>
  <si>
    <t>G0079353</t>
  </si>
  <si>
    <t>G0079372</t>
  </si>
  <si>
    <t>G0079427</t>
  </si>
  <si>
    <t>G0079451</t>
  </si>
  <si>
    <t>23/08/2021 23:57</t>
  </si>
  <si>
    <t>BRUTO ESTACAO BRAS CPTM 24082021</t>
  </si>
  <si>
    <t>BRUTOESTACAOBRASCPT-1PUWIIU</t>
  </si>
  <si>
    <t>G0079354</t>
  </si>
  <si>
    <t>G0079354_temp</t>
  </si>
  <si>
    <t>G0079355TEMPDUPLICA-1PUWG2U</t>
  </si>
  <si>
    <t>G0079373</t>
  </si>
  <si>
    <t>G0079428</t>
  </si>
  <si>
    <t>G0079452</t>
  </si>
  <si>
    <t>VT SP1 RESPIRAR 25082021</t>
  </si>
  <si>
    <t xml:space="preserve">VTSP1RESPIRAR250820-1PUWFP3
</t>
  </si>
  <si>
    <t>G0079355</t>
  </si>
  <si>
    <t>G0079374</t>
  </si>
  <si>
    <t>G0079429</t>
  </si>
  <si>
    <t>G0079453</t>
  </si>
  <si>
    <t>26/08/2021 01:08</t>
  </si>
  <si>
    <t>VT SP1 RESPIRAR CARROS 26082021</t>
  </si>
  <si>
    <t>VTSP1RESPIRARCARROS-1PUWIMW</t>
  </si>
  <si>
    <t>G0079356</t>
  </si>
  <si>
    <t>G0079356TEMPMXFMXF-1PUWLU1</t>
  </si>
  <si>
    <t>G0079375</t>
  </si>
  <si>
    <t xml:space="preserve">26/08/2021 11:09:24
</t>
  </si>
  <si>
    <t>G0079430</t>
  </si>
  <si>
    <t xml:space="preserve">26/08/2021 14:50:57
</t>
  </si>
  <si>
    <t>G0079454</t>
  </si>
  <si>
    <t>26/08/2021 21:20</t>
  </si>
  <si>
    <t>VT SP1 RESPIRAR 3 27082021</t>
  </si>
  <si>
    <t xml:space="preserve">VTSP1RESPIRAR327082-1PUWLHT
</t>
  </si>
  <si>
    <t>BRUTO DOACAO DE SANGUE FUNDAÇÃO PRÓ-SANGUE 27082021</t>
  </si>
  <si>
    <t>BRUTODOACAODESANGUE-5E5WS8X</t>
  </si>
  <si>
    <t>BRUTO EXPOSICAO FUTURO ESPACIAL 27082021</t>
  </si>
  <si>
    <t>BRUTOEXPOSICAOFUTUR-5E5WSKV</t>
  </si>
  <si>
    <t>BRUTO EXPOSIÇÃO SPACE ADVENTURE 27082021</t>
  </si>
  <si>
    <t>BRUTOEXPOSICAOSPACE-5E5WSKS</t>
  </si>
  <si>
    <t>BRUTO FACULDADE DE DIREITO USP 27082021</t>
  </si>
  <si>
    <t>BRUTOFACULDADEDEDIR-5E5WSN2</t>
  </si>
  <si>
    <t>G0079357</t>
  </si>
  <si>
    <t>NÃO CHEGOU</t>
  </si>
  <si>
    <t>G0079357_temp</t>
  </si>
  <si>
    <t>G0079357TEMPMXF-1PUWO4W</t>
  </si>
  <si>
    <t>G0079431</t>
  </si>
  <si>
    <t>G0079455</t>
  </si>
  <si>
    <t>BRUTO ESCOLA DE GAMES 280082021</t>
  </si>
  <si>
    <t>BRUTOESCOLADEGAMES2-5E5WSQ4</t>
  </si>
  <si>
    <t>G0079432</t>
  </si>
  <si>
    <t>G0079456</t>
  </si>
  <si>
    <t>Luiz Henrique</t>
  </si>
  <si>
    <t>BRUTO QUEIJARIA 29082021</t>
  </si>
  <si>
    <t xml:space="preserve">NÃO CHEGOU </t>
  </si>
  <si>
    <t>BRUTO QUEIJARIA 29082021_TEMP</t>
  </si>
  <si>
    <t>BRUTOQUEIJARIA29082-5E5WPDO</t>
  </si>
  <si>
    <t>BRUTO MULHERES AFEGANISTAO 29082021 (Copião feito pela GNEWS e foi solicitado o arquivamento)</t>
  </si>
  <si>
    <t>BRUTOMULHERESAFEGAN-5E5WPG9</t>
  </si>
  <si>
    <t>BRUTO CRIACAO DE OVELHA ORDENHA 29082021</t>
  </si>
  <si>
    <t>BRUTOCRIACAODEOVELH-5E5WQFU</t>
  </si>
  <si>
    <t>BRUTO EXPOSICAO VERMELHO STEAM 29082021</t>
  </si>
  <si>
    <t>BRUTOEXPOSICAOVERME-5E5WT1U</t>
  </si>
  <si>
    <t>VT ANTENA</t>
  </si>
  <si>
    <t xml:space="preserve">VT ANTENA ECOBARREIRAS 29082021 </t>
  </si>
  <si>
    <t>VTANTENAECOBARREIRA-5UPB1C3</t>
  </si>
  <si>
    <t>G0079458</t>
  </si>
  <si>
    <t>G0079462</t>
  </si>
  <si>
    <t>G0079462TEMPMXF-5E5WPGB</t>
  </si>
  <si>
    <t>VT SP1 RESPIRAR 4 30082021</t>
  </si>
  <si>
    <t>VTSP1RESPIRAR430082-5E5WX60</t>
  </si>
  <si>
    <t>00:05:000</t>
  </si>
  <si>
    <t>BRUTO FACHADA DELEGACIA 30082021</t>
  </si>
  <si>
    <t>BRUTOFACHADADELEGAC-5E5WSWU</t>
  </si>
  <si>
    <t>BRUTO AEREAS BRAS SP 30082021 (SÉRIE TRAMPO)</t>
  </si>
  <si>
    <t>BRUTOAEREASBRASSP30-01W958Z</t>
  </si>
  <si>
    <t>G0079358</t>
  </si>
  <si>
    <t>G0079377</t>
  </si>
  <si>
    <t xml:space="preserve">30/08/2021 10:46:07
</t>
  </si>
  <si>
    <t>G0086747</t>
  </si>
  <si>
    <t>G0086777</t>
  </si>
  <si>
    <t>BRUTO FAVELA PARAISOPOLIS 31082021</t>
  </si>
  <si>
    <t>BRUTOFAVELAPARAISOP-5E5WT1N</t>
  </si>
  <si>
    <t>G0079378</t>
  </si>
  <si>
    <t xml:space="preserve">31/08/2021 13:28:39
</t>
  </si>
  <si>
    <t>G0086700</t>
  </si>
  <si>
    <t>G0086748</t>
  </si>
  <si>
    <t>G0086778</t>
  </si>
  <si>
    <t>BRUTO NASCER DO SOL 01092021</t>
  </si>
  <si>
    <t>BRUTONASCERDOSOL010-5E5WW4K</t>
  </si>
  <si>
    <t>BRUTO CRISE ENERGIA 01092021</t>
  </si>
  <si>
    <t>BRUTOCRISEENERGIA01-5E5WW4Q</t>
  </si>
  <si>
    <t>BRUTO ECONOMIZA ENERGIA 01092021</t>
  </si>
  <si>
    <t>BRUTOECONOMIZAENERG-5E5WX6R</t>
  </si>
  <si>
    <t>G0086701</t>
  </si>
  <si>
    <t>G0086724</t>
  </si>
  <si>
    <t xml:space="preserve">01/09/2021 11:59:49
</t>
  </si>
  <si>
    <t>G0086749</t>
  </si>
  <si>
    <t>G0086779</t>
  </si>
  <si>
    <t>BRUTO TERMINAL RODOVIÁRIO TIETÊ 02092021</t>
  </si>
  <si>
    <t>BRUTOTERMINALRODOVI-5E5XC9Q</t>
  </si>
  <si>
    <t>G0086702</t>
  </si>
  <si>
    <t>G0086725</t>
  </si>
  <si>
    <t xml:space="preserve">02/09/2021 11:07:38
</t>
  </si>
  <si>
    <t>G0086750</t>
  </si>
  <si>
    <t>G0086750_temp</t>
  </si>
  <si>
    <t xml:space="preserve">	06/09/2021 14:41:32</t>
  </si>
  <si>
    <t>G0086750TEMPDUPLICA-5E5X8FQ</t>
  </si>
  <si>
    <t>G0086780</t>
  </si>
  <si>
    <t>BRUTO IPÊ AMARELO 03092021</t>
  </si>
  <si>
    <t>BRUTOIPEAMARELO0309-5E5XGWU</t>
  </si>
  <si>
    <t>G0086703</t>
  </si>
  <si>
    <t xml:space="preserve">03/09/2021 14:47:59
</t>
  </si>
  <si>
    <t>03 e 06/09/2021</t>
  </si>
  <si>
    <t>G0086726</t>
  </si>
  <si>
    <t xml:space="preserve">03/09/2021 12:13:44
</t>
  </si>
  <si>
    <t>G0086751</t>
  </si>
  <si>
    <t>G0086751_temp</t>
  </si>
  <si>
    <t>G0086751TEMPMXF-5E5X8F5</t>
  </si>
  <si>
    <t>G0086781</t>
  </si>
  <si>
    <t>BRUTO BIENAL 04092021</t>
  </si>
  <si>
    <t>BRUTOBIENAL04092021-5E5XCN2</t>
  </si>
  <si>
    <t>BRUTO REABRE BIENAL 04092021</t>
  </si>
  <si>
    <t>BRUTOREABREBIENAL04-5E5XCTR</t>
  </si>
  <si>
    <t>G0086752</t>
  </si>
  <si>
    <t>G0086782</t>
  </si>
  <si>
    <t>GLOBO RURAL</t>
  </si>
  <si>
    <t>BRUTO PLANTAÇÃO DE CANOLA 05092021</t>
  </si>
  <si>
    <t>BRUTOPLANTACAODECAN-5E5X7KT</t>
  </si>
  <si>
    <t>BRUTO VACA ORDENHA 05092021</t>
  </si>
  <si>
    <t>BRUTOVACAORDENHA050-5E5X7KU</t>
  </si>
  <si>
    <t>BRUTO HORTA 05092021</t>
  </si>
  <si>
    <t>BRUTOHORTA05092021M-5E5X7KY</t>
  </si>
  <si>
    <t xml:space="preserve">JG </t>
  </si>
  <si>
    <t>BRUTO REPRESA RIACHO GRANDE 05092021</t>
  </si>
  <si>
    <t>BRUTOREPRESARIACHOG-01W97S3</t>
  </si>
  <si>
    <t>NÃO TEVE LOCAL</t>
  </si>
  <si>
    <t>G0079459</t>
  </si>
  <si>
    <t>G0079463</t>
  </si>
  <si>
    <t>ACERVO PEGN 050921 MASTER.mxf</t>
  </si>
  <si>
    <t>ACERVOPEGN050921MAS-5E5XIDZ</t>
  </si>
  <si>
    <t>BRUTO VACINACAO ADOLESCENTES 12 E 14 ANOS SP 06092021</t>
  </si>
  <si>
    <t>BRUTOVACINACAOADOLE-5UPB8GU</t>
  </si>
  <si>
    <t>BRUTO PLANTACAO CAFE 06092021</t>
  </si>
  <si>
    <t>BRUTOPLANTACAOCAFE0-01W9584</t>
  </si>
  <si>
    <t>VT SALÁRIO/MÍNIMO JLEPRI</t>
  </si>
  <si>
    <t>G0086704</t>
  </si>
  <si>
    <t>G0086704_TEMP</t>
  </si>
  <si>
    <t xml:space="preserve">06/09/2021 16:09:50
</t>
  </si>
  <si>
    <t>G0086704TEMPMXF-5E5X8MD</t>
  </si>
  <si>
    <t>G0086727</t>
  </si>
  <si>
    <t>G0086753</t>
  </si>
  <si>
    <t>G0086783</t>
  </si>
  <si>
    <t>BRUTO AÉREAS PROTESTOS 7 SETEMBRO PAULISTA 07092021</t>
  </si>
  <si>
    <t>BRUTOAEREASPROTESTO-5E5XGKD</t>
  </si>
  <si>
    <t>BRUTO AÉREAS PROTESTOS 7 SETEMBRO ANHANGABAÚ 07092021</t>
  </si>
  <si>
    <t>BRUTOAEREASPROTESTO-5E5XGKC</t>
  </si>
  <si>
    <t>BRUTO REFORMA MUSEU DO IPIRANGA 07092021</t>
  </si>
  <si>
    <t>BRUTOREFORMAMUSEUDO-5UPBE7W</t>
  </si>
  <si>
    <t>G0086705</t>
  </si>
  <si>
    <t xml:space="preserve">07/09/2021 13:50:22
</t>
  </si>
  <si>
    <t>G0086728</t>
  </si>
  <si>
    <t>G0086754</t>
  </si>
  <si>
    <t>G0086784</t>
  </si>
  <si>
    <t>VT SPO COLETIVO/TEM SENTIMENTO GDAVID 07082021</t>
  </si>
  <si>
    <t>G0086706</t>
  </si>
  <si>
    <t xml:space="preserve">08/09/2021 12:46:29
</t>
  </si>
  <si>
    <t>G0086729</t>
  </si>
  <si>
    <t>G0086755</t>
  </si>
  <si>
    <t>G0086785</t>
  </si>
  <si>
    <t>G0086707</t>
  </si>
  <si>
    <t xml:space="preserve">09/09/2021 15:18:01
</t>
  </si>
  <si>
    <t>G0086730</t>
  </si>
  <si>
    <t>G0086756</t>
  </si>
  <si>
    <t>G0086786</t>
  </si>
  <si>
    <t>SPO QV TEMPO LOUCO AAPPLE</t>
  </si>
  <si>
    <t>G0086708</t>
  </si>
  <si>
    <t xml:space="preserve">10/09/2021 15:44:12
</t>
  </si>
  <si>
    <t>G0086757</t>
  </si>
  <si>
    <t>G0086787</t>
  </si>
  <si>
    <t>G0086758</t>
  </si>
  <si>
    <t>G0086788</t>
  </si>
  <si>
    <t>BRUTO GALINHEIRO 12092021</t>
  </si>
  <si>
    <t>BRUTOGRUGALINHEIROA-5UPB7QN</t>
  </si>
  <si>
    <t>BRUTO PANTANAL SECA ESTIAGEM 12092021</t>
  </si>
  <si>
    <t>BRUTOPANTANALSECAES-5UPB822</t>
  </si>
  <si>
    <t>BRUTO PROTESTOS MBL PAULISTA 12092021</t>
  </si>
  <si>
    <t>BRUTOPROTESTOSMBLPA-5UPBJWO</t>
  </si>
  <si>
    <t>G0079460</t>
  </si>
  <si>
    <t>G0079464</t>
  </si>
  <si>
    <t>G0079464_TEMP3</t>
  </si>
  <si>
    <t xml:space="preserve"> VT BDSP FABRICA CHOCOLATE 12092021_TEMP</t>
  </si>
  <si>
    <t>VTBDSPFABRICACHOCOL-5UPBAJY</t>
  </si>
  <si>
    <t>BRUTO VELORIO SP 13012021</t>
  </si>
  <si>
    <t>BRUTOVELORIOSP13092-5UPBGGP</t>
  </si>
  <si>
    <t>BRUTO FAVELA PARAISOPOLIS 13092021</t>
  </si>
  <si>
    <t>BRUTOFAVELAPARAISOP-5UPBMQ5</t>
  </si>
  <si>
    <t>BRUTO DRONE FAVELA PARAISOPOLIS 13092021</t>
  </si>
  <si>
    <t>BRUTODRONEFAVELAPAR-5UPBMQ4</t>
  </si>
  <si>
    <t>BRUTO OBRAS MONOTRILHO LINHA 17 OURO 13092021</t>
  </si>
  <si>
    <t>BRUTOOBRASMONOTRILH-5UPBGHM</t>
  </si>
  <si>
    <t>BRUTO GALPÃO LOGÍSTICA 13092021</t>
  </si>
  <si>
    <t>BRUTOGALPAOLOGISTIC-6B8PAHZ</t>
  </si>
  <si>
    <t>SPO TRAMPO/LOGÍSTICA TLUQUESI</t>
  </si>
  <si>
    <t>VT TRAMPO#01 BBORTOLOTT 13092021</t>
  </si>
  <si>
    <t>G0086709</t>
  </si>
  <si>
    <t>G0086732</t>
  </si>
  <si>
    <t>G0086759</t>
  </si>
  <si>
    <t>G0086789</t>
  </si>
  <si>
    <t>VT BDSP TRAMPO SUPERMERCADO 14092021</t>
  </si>
  <si>
    <t>VTBDSPTRAMPOSUPERME-5UPBCJG</t>
  </si>
  <si>
    <t>BRUTO RESTAURANTE SP 14092021</t>
  </si>
  <si>
    <t>BRUTO RESTAURANTE SP 14092021_TEMP</t>
  </si>
  <si>
    <t>BRUTORESTAURANTESP1-5UPBJDZ</t>
  </si>
  <si>
    <t>BRUTO PRÉDIOS AVENIDA BERRINI PLACA ALUGA-SE 14092021</t>
  </si>
  <si>
    <t>17/09/2021 08:35</t>
  </si>
  <si>
    <t>BRUTOPREDIOSAVENIDA-5UPBJ9J</t>
  </si>
  <si>
    <t>BRUTO CRECHE SP 14092021</t>
  </si>
  <si>
    <t>17/09/2021 08:57</t>
  </si>
  <si>
    <t>BRUTOCRECHESP140920-5UPBJD8</t>
  </si>
  <si>
    <t>BRUTO PARQUE HORTO FLORESTAL 14092021</t>
  </si>
  <si>
    <t>17/09/2021 11:38</t>
  </si>
  <si>
    <t>BRUTOPARQUEHORTOFLO-5UPBIKK</t>
  </si>
  <si>
    <t>VT SP2 TRAMPO SHOPPINGS 14092021</t>
  </si>
  <si>
    <t>01/10/2021 19:58</t>
  </si>
  <si>
    <t>VTSP2TRAMPOSHOPPING-01W95W5</t>
  </si>
  <si>
    <t>SPO TRAMPO/COMÉRCIO TLUQUESI</t>
  </si>
  <si>
    <t>G0086710</t>
  </si>
  <si>
    <t>G0086733</t>
  </si>
  <si>
    <t>G0086760</t>
  </si>
  <si>
    <t>G0086790</t>
  </si>
  <si>
    <t>15/09/2021 01:09</t>
  </si>
  <si>
    <t>BRUTO USINA TERMOELÉTRICA PORTO DE SERGIPE 1 15092021</t>
  </si>
  <si>
    <t>BRUTOUSINATERMOELET-5UPBE3F</t>
  </si>
  <si>
    <t>BRUTO CHEGADA E DISTRIBUIÇÃO VACINA PFIZER 15092021</t>
  </si>
  <si>
    <t>BRUTOCHEGADAVACINAP-6B8PFKD</t>
  </si>
  <si>
    <t>BRUTO LADEIRA TRÊS TOMBOS 15092021</t>
  </si>
  <si>
    <t>BRUTOLADEIRATRESTOM-6B8PFMI</t>
  </si>
  <si>
    <t>G0086711</t>
  </si>
  <si>
    <t>G0086734</t>
  </si>
  <si>
    <t>G0086761</t>
  </si>
  <si>
    <t>G0086791</t>
  </si>
  <si>
    <t>BRUTO SUBPREFEITURA MOOCA SP 16092021</t>
  </si>
  <si>
    <t>BRUTOSOBPREFEITURAM-6B8PFMN</t>
  </si>
  <si>
    <t>BRUTO OBRAS LINHA 15 PRATA MONOTRILHO 16092021</t>
  </si>
  <si>
    <t>BRUTO OBRAS LINHA 15 PRATA MONOTRILHO 16092021_TEMP</t>
  </si>
  <si>
    <t>BRUTOOBRASLINHA15PR-6B8PFXA</t>
  </si>
  <si>
    <t>BRUTO HOSPITAL DE CAMPANHA SÃO CAETANO DO SUL 16092021</t>
  </si>
  <si>
    <t>BRUTOHOSPITALCAMPAN-6B8PFUO</t>
  </si>
  <si>
    <t>VT BDSP PERSONAGEM MEI DIMAS 16092021</t>
  </si>
  <si>
    <t>VTBDSPPERSONAGEMMEI-5UPBK97</t>
  </si>
  <si>
    <t>BRUTO ESCOLA ESTADUAL ALUNOS SP 16092021</t>
  </si>
  <si>
    <t>BRUTOESCOLAESTADUAL-6B8PIUO</t>
  </si>
  <si>
    <t xml:space="preserve">VT SP2 TRAMPO COMO VENDER 16092021 </t>
  </si>
  <si>
    <t>VTSP2TRAMPOCOMOVEND-01W95W2</t>
  </si>
  <si>
    <t>BRUTO FATEC SP 16092021 (SÉRIE TRAMPO)</t>
  </si>
  <si>
    <t>BRUTOFATECSP1609202-01W97VL</t>
  </si>
  <si>
    <t>BRUTO VACINAÇÃO IDOSOS REFORÇO E JOVENS 16092021</t>
  </si>
  <si>
    <t>BRUTOVACINACAOIDOSO-6B8PG2I</t>
  </si>
  <si>
    <t>G0086712</t>
  </si>
  <si>
    <t>G0086735</t>
  </si>
  <si>
    <t>G0086762</t>
  </si>
  <si>
    <t>G0086792</t>
  </si>
  <si>
    <t>jeferson</t>
  </si>
  <si>
    <t>BRUTO ATAQUE HACKERS 17092021</t>
  </si>
  <si>
    <t>BRUTOATAQUEHACKERS1-6B8P6SV</t>
  </si>
  <si>
    <t>BRUTO CAFEZAL URBANO INSTITUTO BIOLÓGICO SP 10092021</t>
  </si>
  <si>
    <t>BRUTOCAFEZALURBANOI-6B8P7FC</t>
  </si>
  <si>
    <t>BRUTO ITARARÉ - CÂNIONS PAULISTAS 17092021</t>
  </si>
  <si>
    <t>BRUTOBOMSUCESSODEIT-6B8PD4G</t>
  </si>
  <si>
    <t>BRUTO LEGADO DAS ÁGUAS - MATA ATLÂNTICA 17092021</t>
  </si>
  <si>
    <t>BRUTOLEGADODASAGUAS-6B8PD7S</t>
  </si>
  <si>
    <t>BRUTO SERRA DO JAPI 19092021</t>
  </si>
  <si>
    <t>22/09/2021 :12:46</t>
  </si>
  <si>
    <t>BRUTOSERRADOJAPI170-6B8PDIU</t>
  </si>
  <si>
    <t>VT JG</t>
  </si>
  <si>
    <t>VT COLUNA NELSON MOTTA ANJELICA HUSTON 17092021</t>
  </si>
  <si>
    <t>24/09/2021 - 15:08</t>
  </si>
  <si>
    <t>VTCOLUNANELSONMOTTA-6B8PJTV</t>
  </si>
  <si>
    <t>SPO ENSINAR AAPPLE</t>
  </si>
  <si>
    <t>ANderson</t>
  </si>
  <si>
    <t>SPO JARDINAGEM AAPPLE</t>
  </si>
  <si>
    <t>G0086713</t>
  </si>
  <si>
    <t>G0086736</t>
  </si>
  <si>
    <t>G0086763</t>
  </si>
  <si>
    <t>G0086793</t>
  </si>
  <si>
    <t>G0086764</t>
  </si>
  <si>
    <t>G0086794</t>
  </si>
  <si>
    <t>ACERVOESPORTEESPETA-6B8P6ST</t>
  </si>
  <si>
    <t>G0086813</t>
  </si>
  <si>
    <t>ACERVOANTENA1909202-6B8P743</t>
  </si>
  <si>
    <t>G0086816</t>
  </si>
  <si>
    <t>CONSTRUÇÃO CIVIL 20092021</t>
  </si>
  <si>
    <t>BRUTOCONSTRUCAOCIVI-6B8PAJC</t>
  </si>
  <si>
    <t xml:space="preserve">Jeferson </t>
  </si>
  <si>
    <t>BRUTO FACHADA IPEN SP 20092021</t>
  </si>
  <si>
    <t>BRUTOFACHADAIPENSP2-6B8PIYX</t>
  </si>
  <si>
    <t>BRUTO G1 PORTAL DE JORNALISMO DA GLOBO 20092021</t>
  </si>
  <si>
    <t>BRUTO G1 PORTAL DE JORNALISMO GLOBO 20092021_temp</t>
  </si>
  <si>
    <t>BRUTOG1PORTAL200920-6B8PJCH</t>
  </si>
  <si>
    <t>BRUTO AÉREAS PÁTIO DO DETRAN 20092021</t>
  </si>
  <si>
    <t>BRUTOPATIODETRAN200-6B8PIWN</t>
  </si>
  <si>
    <t>BRUTO AÉREAS CEBOLÃO MARGINAL 20092021</t>
  </si>
  <si>
    <t>BRUTOAEREASCEBOLAOM-6B8PJCM</t>
  </si>
  <si>
    <t>BRUTO CONCESSIONÁRIA CARROS 20092021</t>
  </si>
  <si>
    <t>BRUTOCONCESSIONARIA-6B8PPUF</t>
  </si>
  <si>
    <t>VT SP2 TRAMPO AUTÔNOMOS 20092021</t>
  </si>
  <si>
    <t>VTSP2TRAMPOAUTONOMO-01W95RC</t>
  </si>
  <si>
    <t xml:space="preserve">SPO CONSTRUÇÃO CIVIL </t>
  </si>
  <si>
    <t>G0086714</t>
  </si>
  <si>
    <t>G0086737</t>
  </si>
  <si>
    <t>G0086765</t>
  </si>
  <si>
    <t>G0086795</t>
  </si>
  <si>
    <t>BRUTO FACHADA PRECISA MEDICAMENTOS 21092021</t>
  </si>
  <si>
    <t>BRUTOFACHADAPRECISA-6B8PSNO</t>
  </si>
  <si>
    <t>BRUTO HOME OFFICE 21092021 (SÉRIE TRAMPO)</t>
  </si>
  <si>
    <t>BRUTOHOMEOFFICE2109-01W95DZ</t>
  </si>
  <si>
    <t>VT SP2 TRAMPO SHOPPINGS 21092021</t>
  </si>
  <si>
    <t>G0086715</t>
  </si>
  <si>
    <t>G0086766</t>
  </si>
  <si>
    <t>G0086796</t>
  </si>
  <si>
    <t>BRUTO COMECA PRIMAVERA 22092021</t>
  </si>
  <si>
    <t>BRUTOCOMECAPRIMAVER-6B8PTRM</t>
  </si>
  <si>
    <t>BRUTO ASPECTOS DE OSASCO 22092021</t>
  </si>
  <si>
    <t>BRUTO PONTO DE ONIBUS NO REBOUCAS EM SAO PAULO 22092020</t>
  </si>
  <si>
    <t>G0086716</t>
  </si>
  <si>
    <t>G0086739</t>
  </si>
  <si>
    <t>G0086767</t>
  </si>
  <si>
    <t>G0086797</t>
  </si>
  <si>
    <t>BRUTO POLUICAO GUARAPIRANGA 23092021</t>
  </si>
  <si>
    <t>BRUTOPOLUICAOGUARAP-6B8PTRH</t>
  </si>
  <si>
    <t>BRUTO ESCOLA ESTADUAL ENSINO MEDIO 23092021</t>
  </si>
  <si>
    <t>BRUTOESCOLAESTADUAL-01W944S</t>
  </si>
  <si>
    <t>BRUTO PRECO FRANGO 23092021</t>
  </si>
  <si>
    <t>BRUTOPRECOFRANGO230-01W97S2</t>
  </si>
  <si>
    <t>BRUTO COMERCIO NATAL 23092021</t>
  </si>
  <si>
    <t>BRUTOCOMERCIONATAL2-01W97R7</t>
  </si>
  <si>
    <t>BRUTO ESPORTES AO AR LIVRE 26092021</t>
  </si>
  <si>
    <t>BRUTOESPORTESAOARLI-01W95RI</t>
  </si>
  <si>
    <t>VT SP2 TRAMPO ETIQUETA 23092021</t>
  </si>
  <si>
    <t>VTSP2TRAMPOETIQUETA-01W95W4</t>
  </si>
  <si>
    <t>BRUTO TRAFEGO DE CARROS NA PONTE ESTAIADA 23092020</t>
  </si>
  <si>
    <t>G0086717</t>
  </si>
  <si>
    <t>G0086740</t>
  </si>
  <si>
    <t>G0086740_temp</t>
  </si>
  <si>
    <t>G0086740TEMPMXF-6B8PK59</t>
  </si>
  <si>
    <t>G0086768</t>
  </si>
  <si>
    <t>G0086798</t>
  </si>
  <si>
    <t>G0086798_TEMP</t>
  </si>
  <si>
    <t>G0086798TEMPXCODEMI-6B8PIZM</t>
  </si>
  <si>
    <t>BRUTO MIS EXPOSIÇÃO RITA LEE 24092021</t>
  </si>
  <si>
    <t>BRUTO MIS EXPOSIÇÃO RITA LEE 24092021_temp</t>
  </si>
  <si>
    <t>2709/2021 12:18</t>
  </si>
  <si>
    <t>BRUTOMISEXPOSICAORI-6B8PQ6F</t>
  </si>
  <si>
    <t>BRUTO CETESB 24092021</t>
  </si>
  <si>
    <t>BRUTOCETESB24092021-6B8PTIF</t>
  </si>
  <si>
    <t>BRUTO ASPECTOS ALEMANHA 24092021</t>
  </si>
  <si>
    <t>BRUTOASPECTOSALEMAN-6B8PTIG</t>
  </si>
  <si>
    <t>BRUTO BALLET PARAISOPOLIS 24092021</t>
  </si>
  <si>
    <t>BRUTOBALLETPARAISOP-6B8PTII</t>
  </si>
  <si>
    <t>BRUTO INAUGURACAO UPA MOOCA 24092021</t>
  </si>
  <si>
    <t>BRUTOINAUGURACAOUPA-6B8PTIH</t>
  </si>
  <si>
    <t>VT BDSP CASA COR 24092021</t>
  </si>
  <si>
    <t>VTBDSPCASACOR240920-6B8PVVZ</t>
  </si>
  <si>
    <t>BRUTO POLUICAO TRANSITO 24092021</t>
  </si>
  <si>
    <t>BRUTOPOLUICAOTRANSI-6B8PTRB</t>
  </si>
  <si>
    <t>BRUTO CASA COR 24092021</t>
  </si>
  <si>
    <t>BRUTOCASACOR2409202-6B8PWXQ</t>
  </si>
  <si>
    <t>BRUTO AGENCIA TURISMO 24092021</t>
  </si>
  <si>
    <t>BRUTOAGENCIATURISMO-6B8PWY0</t>
  </si>
  <si>
    <t>G0086718</t>
  </si>
  <si>
    <t>G0086718_TEMP</t>
  </si>
  <si>
    <t>G0086718TEMPMXF-6B8PK7Z</t>
  </si>
  <si>
    <t>G0086741</t>
  </si>
  <si>
    <t>G0086741_TEMP</t>
  </si>
  <si>
    <t>G0086741TEMPMXF-6B8PK5A</t>
  </si>
  <si>
    <t>G0086769</t>
  </si>
  <si>
    <t>G0086799</t>
  </si>
  <si>
    <t>G0086770</t>
  </si>
  <si>
    <t>G0086800</t>
  </si>
  <si>
    <t>BRUTO CARNE DE PORCO 26092021</t>
  </si>
  <si>
    <t>BRUTOCARNEDEPORCO26-01W944M</t>
  </si>
  <si>
    <t xml:space="preserve"> G0086814</t>
  </si>
  <si>
    <t>G0086814</t>
  </si>
  <si>
    <t>G0086817</t>
  </si>
  <si>
    <t>G008681_TEMP</t>
  </si>
  <si>
    <t>G0086817TEMPMXF-6B8PR7D</t>
  </si>
  <si>
    <t>VT BDSP TRAMPO APRENDIZ 27092021</t>
  </si>
  <si>
    <t>VTBDSPTRAMPOAPRENDI-6B8PWS0</t>
  </si>
  <si>
    <t>BRUTO REFORMA COPAN 27092021</t>
  </si>
  <si>
    <t>BRUTOREFORMACOPAN27-6B8PTRI</t>
  </si>
  <si>
    <t>BRUTO ETECS SP 27092021</t>
  </si>
  <si>
    <t>BRUTOETECSSP2709202-6B8PX86</t>
  </si>
  <si>
    <t>BRUTO RADIOS 27092021_V2</t>
  </si>
  <si>
    <t>BRUTORADIOS27092021-01W9CB0</t>
  </si>
  <si>
    <t>BRUTO CANA DE ACUCAR 27092021</t>
  </si>
  <si>
    <t>BRUTOCANADEACUCAR27-0YZ1IMP</t>
  </si>
  <si>
    <t>G0086719</t>
  </si>
  <si>
    <t>G0086742</t>
  </si>
  <si>
    <t>G0086771</t>
  </si>
  <si>
    <t>G0086771_TEMP</t>
  </si>
  <si>
    <t>G0086771TEMPMXF-6B8PRWM</t>
  </si>
  <si>
    <t>G0086801</t>
  </si>
  <si>
    <t>BRUTO PREVENT SENIOR 28092021</t>
  </si>
  <si>
    <t>BRUTOPREVENTSENIOR2-01W944L</t>
  </si>
  <si>
    <t>BRUTO PADARIA 28092021</t>
  </si>
  <si>
    <t>BRUTOPADARIA2809202-01W95RJ</t>
  </si>
  <si>
    <t>VT SP2 TRAMPO LABORATORIOS 28092021</t>
  </si>
  <si>
    <t>VTSP2TRAMPOLABORATO-01W95W3</t>
  </si>
  <si>
    <t>BRUTO RADIO CBN 28092021_V2</t>
  </si>
  <si>
    <t>BRUTORADIOCBN280920-01W9CB1</t>
  </si>
  <si>
    <t>A retranca no PAM ACERVOBDSP SOS MULHER está suja</t>
  </si>
  <si>
    <t>G0086720</t>
  </si>
  <si>
    <t>G0086743</t>
  </si>
  <si>
    <t>G0086772</t>
  </si>
  <si>
    <t>G0086802</t>
  </si>
  <si>
    <t>BRUTO PEDESTRES 29092021</t>
  </si>
  <si>
    <t>BRUTOPEDESTRES29092-01W944N</t>
  </si>
  <si>
    <t>BRUTO EMPREGO IDOSO 20092021 (SÉRIE TRAMPO)</t>
  </si>
  <si>
    <t>BRUTOEMPREGOIDOSO20-01W956Y</t>
  </si>
  <si>
    <t>BRUTO POSTO COMBUSTIVEL 29092021</t>
  </si>
  <si>
    <t>BRUTOPOSTOCOMBUSTIV-01W9585</t>
  </si>
  <si>
    <t>BRUTO AEROPORTO DE GUARULHOS 29092021</t>
  </si>
  <si>
    <t>BRUTOAEROPORTODEGUA-01W94DF</t>
  </si>
  <si>
    <t>BRUTO PEDESTRES COMERCIO SBC 29092021 (SÉRIE TRAMPO)</t>
  </si>
  <si>
    <t>BRUTOPEDESTRESCOMER-01W9593</t>
  </si>
  <si>
    <t>G0086721</t>
  </si>
  <si>
    <t>G0086744</t>
  </si>
  <si>
    <t>G0086773</t>
  </si>
  <si>
    <t>G0086803</t>
  </si>
  <si>
    <t xml:space="preserve">VT SP2 TRAMPO PROFISSIONAIS TECH 30092021 </t>
  </si>
  <si>
    <t>VTSP2TRAMPOPROFISSI-01W9LUX</t>
  </si>
  <si>
    <t>Série Trampo - A retranca no PAM ACERVO BDSP VT CURSOS TECNOLOGIA está suja - indicado bruto</t>
  </si>
  <si>
    <t>G0086722</t>
  </si>
  <si>
    <t>G0086806</t>
  </si>
  <si>
    <t>G0086723</t>
  </si>
  <si>
    <t>G0086745</t>
  </si>
  <si>
    <t>G0086774</t>
  </si>
  <si>
    <t>BRUTO ESTEIRA BAGAGENS AEROPORTO GUARULHOS 01102021</t>
  </si>
  <si>
    <t>BRUTOESTEIRABAGAGEN-01W94FE</t>
  </si>
  <si>
    <t>BRUTO FURNAS 01102021</t>
  </si>
  <si>
    <t>BRUTOFURNAS01102021-01W9BQC</t>
  </si>
  <si>
    <t>BRUTO INSS 01102021</t>
  </si>
  <si>
    <t>BRUTOINSS01102021MX-01W9BRY</t>
  </si>
  <si>
    <t>BRUTO ASPECTOS ARGENTINA 01102021</t>
  </si>
  <si>
    <t>BRUTOASPECTOSARGENT-01W9C5A</t>
  </si>
  <si>
    <t>VT DIA DO IDOSO OUTROS</t>
  </si>
  <si>
    <t xml:space="preserve">VT SP2 </t>
  </si>
  <si>
    <t xml:space="preserve">VT SP2 DIA DO IDOSO 01102021  </t>
  </si>
  <si>
    <t>G0086746</t>
  </si>
  <si>
    <t>G0086775</t>
  </si>
  <si>
    <t>G0086807</t>
  </si>
  <si>
    <t>VT BDSP QV PAVILHAO JAPONES 01102021</t>
  </si>
  <si>
    <t>VTBDSPQVPAVILHAOJAP-01W97JV</t>
  </si>
  <si>
    <t>BRUTO PROTESTO PAULISTA 02102021</t>
  </si>
  <si>
    <t>BRUTOPROTESTOPAULIS-01W9BQU</t>
  </si>
  <si>
    <t>G0086776</t>
  </si>
  <si>
    <t>G0086808</t>
  </si>
  <si>
    <t xml:space="preserve">	03/10/2021 21:05:53</t>
  </si>
  <si>
    <t>G0086815</t>
  </si>
  <si>
    <t>G0086815_TEMP</t>
  </si>
  <si>
    <t>G0086815TEMPMXF-01W9CAS</t>
  </si>
  <si>
    <t>G0086818</t>
  </si>
  <si>
    <t>G0086818_TEMP</t>
  </si>
  <si>
    <t>G0086818TEMPMXF-01W9AB1</t>
  </si>
  <si>
    <t>BRUTO FACHADA VOLKSWAGEN 04102021</t>
  </si>
  <si>
    <t>BRUTOFACHADAVOLKSWA-01W9C83</t>
  </si>
  <si>
    <t xml:space="preserve">VT SP2 TRAMPO EMPREGO 04102021 </t>
  </si>
  <si>
    <t>VTSP2TRAMPOEMPREGO0-01W9LUV</t>
  </si>
  <si>
    <t>BRUTO PRACA POR DO SOL 04102021</t>
  </si>
  <si>
    <t>BRUTOPRACAPORDOSOL0-01W9M1U</t>
  </si>
  <si>
    <t>BRUTO DIA SAO FRANCISCO DE ASSIS 04102021</t>
  </si>
  <si>
    <t>BRUTODIASAOFRANCISC-01W9OAG</t>
  </si>
  <si>
    <t>BRUTO USINA HIDRELÉTRICA DE FURNAS 04102021</t>
  </si>
  <si>
    <t>BRUTOUSINAHIDRELETR-0YZ1PE6</t>
  </si>
  <si>
    <t>BRUTO CIDADE DE GUAPÉ MG FURNAS 04102021</t>
  </si>
  <si>
    <t>BRUTOCIDADEDEGUAPEM-0YZ1PE9</t>
  </si>
  <si>
    <t>G0093383</t>
  </si>
  <si>
    <t xml:space="preserve">G0093383 </t>
  </si>
  <si>
    <t xml:space="preserve">G0093403 </t>
  </si>
  <si>
    <t xml:space="preserve">G0093423 </t>
  </si>
  <si>
    <t xml:space="preserve">G0093441 </t>
  </si>
  <si>
    <t>00:30:03"</t>
  </si>
  <si>
    <t xml:space="preserve">VT SP2 CONTRATA MAIS VELHOS 05102021 </t>
  </si>
  <si>
    <t>VTSP2CONTRATAMAISVE-01W9LUS</t>
  </si>
  <si>
    <t>BRUTO ACADEMIA 05102021</t>
  </si>
  <si>
    <t>BRUTOACADEMIA051020-01W9OK8</t>
  </si>
  <si>
    <t>BRUTO FABRICA PANETONE VILLAGE 08102021</t>
  </si>
  <si>
    <t>BRUTOFABRICAPANETON-01W9OKG</t>
  </si>
  <si>
    <t>SPO TRAMPO/+ VELHOS</t>
  </si>
  <si>
    <t>G0093384</t>
  </si>
  <si>
    <t xml:space="preserve">G0093384 </t>
  </si>
  <si>
    <t>G0093404</t>
  </si>
  <si>
    <t xml:space="preserve">G0093404 </t>
  </si>
  <si>
    <t xml:space="preserve">G0093424 </t>
  </si>
  <si>
    <t>G0093442</t>
  </si>
  <si>
    <t xml:space="preserve">G0093442 </t>
  </si>
  <si>
    <t>BRUTO PARQUES PAULISTA 06102021</t>
  </si>
  <si>
    <t>BRUTOPARQUESPAULIST-0IFNBT2</t>
  </si>
  <si>
    <t>G0093385</t>
  </si>
  <si>
    <t xml:space="preserve">G0093385 </t>
  </si>
  <si>
    <t xml:space="preserve">G0093405 </t>
  </si>
  <si>
    <t xml:space="preserve">G0093425 </t>
  </si>
  <si>
    <t>G0093443</t>
  </si>
  <si>
    <t xml:space="preserve">G0093443 </t>
  </si>
  <si>
    <t>SPO TRAMPO/ABC</t>
  </si>
  <si>
    <t>VT SP2 TRAMPO PERFIL RMSP 07102021</t>
  </si>
  <si>
    <t>G0093386</t>
  </si>
  <si>
    <t xml:space="preserve">G0093386 </t>
  </si>
  <si>
    <t xml:space="preserve">G0093406 </t>
  </si>
  <si>
    <t xml:space="preserve">G0093426 </t>
  </si>
  <si>
    <t xml:space="preserve">G0093444 </t>
  </si>
  <si>
    <t>BRUTO ESTACAO BELEM METRO 08102021</t>
  </si>
  <si>
    <t>BRUTOESTACAOBELEMME-01W9OKH</t>
  </si>
  <si>
    <t xml:space="preserve">G0093387 </t>
  </si>
  <si>
    <t xml:space="preserve">G0093407 </t>
  </si>
  <si>
    <t>G0093407_TEMP</t>
  </si>
  <si>
    <t>G0093407TEMPMXF-01W9OVA</t>
  </si>
  <si>
    <t xml:space="preserve">G0093427 </t>
  </si>
  <si>
    <t>G0093445</t>
  </si>
  <si>
    <t xml:space="preserve">G0093445 </t>
  </si>
  <si>
    <t>VT BDSP MOSTRA PAISAGISMO 08102021</t>
  </si>
  <si>
    <t>BRUTO COMERCIO CRIANCAS 09102021</t>
  </si>
  <si>
    <t>BRUTOCOMERCIOCRIANC-0IFNUIB</t>
  </si>
  <si>
    <t>G0093428</t>
  </si>
  <si>
    <t xml:space="preserve">G0093428 </t>
  </si>
  <si>
    <t xml:space="preserve">G0093446 </t>
  </si>
  <si>
    <t>BRUTO MUSEU CATAVENTO 10102021</t>
  </si>
  <si>
    <t>BRUTOMUSEUCATAVENTO-0IFNCF8</t>
  </si>
  <si>
    <t>BRUTO CASA DAS ROSAS 10102021</t>
  </si>
  <si>
    <t>BRUTOCASADASROSAS10-0IFNIIU</t>
  </si>
  <si>
    <t xml:space="preserve">G0093471 </t>
  </si>
  <si>
    <t xml:space="preserve">G0093475 </t>
  </si>
  <si>
    <t>G0093475_TEMP</t>
  </si>
  <si>
    <t>G0093475TEMPMXF-0IFNAEK</t>
  </si>
  <si>
    <t>BRUTO POUPATEMPO RG 11102021</t>
  </si>
  <si>
    <t>BRUTOPOUPATEMPORG11-0IFNIIR</t>
  </si>
  <si>
    <t>VT SP1 TURISMO EMPREGO 11102021</t>
  </si>
  <si>
    <t>G0093388</t>
  </si>
  <si>
    <t xml:space="preserve">G0093388 </t>
  </si>
  <si>
    <t xml:space="preserve">G0093408 </t>
  </si>
  <si>
    <t>G0093429</t>
  </si>
  <si>
    <t>G0093429_temp</t>
  </si>
  <si>
    <t>G0093429TEMPMXF-0IFNCZA</t>
  </si>
  <si>
    <t xml:space="preserve">G0093429 </t>
  </si>
  <si>
    <t>G0093447</t>
  </si>
  <si>
    <t>G0093447_TEMP</t>
  </si>
  <si>
    <t>G0093447TEMPMXF-0IFND4E</t>
  </si>
  <si>
    <t xml:space="preserve">G0093447 </t>
  </si>
  <si>
    <t>G0093389</t>
  </si>
  <si>
    <t xml:space="preserve">12/10/2021 12:44:26
</t>
  </si>
  <si>
    <t xml:space="preserve">G0093389 </t>
  </si>
  <si>
    <t xml:space="preserve">G0093409 </t>
  </si>
  <si>
    <t xml:space="preserve">12/10/2021 11:10:21
</t>
  </si>
  <si>
    <t xml:space="preserve">G0093430 </t>
  </si>
  <si>
    <t>G0093448</t>
  </si>
  <si>
    <t xml:space="preserve">G0093448 </t>
  </si>
  <si>
    <t>BRUTO EXPOSIÇÃO CLIMA 13102021</t>
  </si>
  <si>
    <t>BRUTOEXPOSICAOCLIMA-0IFNUIC</t>
  </si>
  <si>
    <t>BRUTO MERCADO MUNICIPAL SANTO AMARO 13102021</t>
  </si>
  <si>
    <t>BRUTOMERCADOMUNICIP-0IFNXS9</t>
  </si>
  <si>
    <t>G0093390</t>
  </si>
  <si>
    <t xml:space="preserve">G0093390 </t>
  </si>
  <si>
    <t>G0093410</t>
  </si>
  <si>
    <t>04'40"</t>
  </si>
  <si>
    <t xml:space="preserve">G0093410 </t>
  </si>
  <si>
    <t xml:space="preserve">G0093431 </t>
  </si>
  <si>
    <t>G0093449</t>
  </si>
  <si>
    <t xml:space="preserve">G0093449 </t>
  </si>
  <si>
    <t>BRUTO VILA PRUDENTE 2019</t>
  </si>
  <si>
    <t>BRUTOVILAPRUDENTE20-0IFNJBG</t>
  </si>
  <si>
    <t>BRUTO ARAUTOS DO EVANGELHO CASTELO E BASÍLICA 2019</t>
  </si>
  <si>
    <t>BRUTOARAUTOSDOENVAN-0IFNJBK</t>
  </si>
  <si>
    <t>BRUTO NOTURNAS PORTO DE SANTOS 2019</t>
  </si>
  <si>
    <t>Não Media</t>
  </si>
  <si>
    <t>BRUTO NOTURNAS PORTO DE SANTOS 2019_temp</t>
  </si>
  <si>
    <t>BRUTONOTURNASPORTOD-0IFNJBZ</t>
  </si>
  <si>
    <t>BRUTO PADARIA 14102021</t>
  </si>
  <si>
    <t>BRUTOPADARIA1410202-0IFNUIA</t>
  </si>
  <si>
    <t>BRUTO CHURRASCARIA 14102021</t>
  </si>
  <si>
    <t>BRUTOCHURRASCARIA14-0IFNXSA</t>
  </si>
  <si>
    <t>BRUTO GLOBONEWS 25 ANOS 14102021</t>
  </si>
  <si>
    <t>BRUTOGLOBONEWS25ANO-0YZ246R</t>
  </si>
  <si>
    <t>G0093391</t>
  </si>
  <si>
    <t xml:space="preserve">G0093391 </t>
  </si>
  <si>
    <t xml:space="preserve">Victor </t>
  </si>
  <si>
    <t>G0093411</t>
  </si>
  <si>
    <t xml:space="preserve">G0093411 </t>
  </si>
  <si>
    <t xml:space="preserve">G0093432 </t>
  </si>
  <si>
    <t>G0093450</t>
  </si>
  <si>
    <t xml:space="preserve">G0093450 </t>
  </si>
  <si>
    <t>VT SP1  PROFESSOR PREMIADO 15102021</t>
  </si>
  <si>
    <t>VTSP1PROFESSORPREMI-0IFNU0R</t>
  </si>
  <si>
    <t>BRUTO VENDA APARTAMENTO 15102021</t>
  </si>
  <si>
    <t>BRUTOVENDAAPARTAMEN-0IFNUON</t>
  </si>
  <si>
    <t>VT BDSP QUADRO VERDE JANUARIA 15102021</t>
  </si>
  <si>
    <t>VTBDSPQUADROVERDEJA-0IFNY3W</t>
  </si>
  <si>
    <t>BRUTO TEATRO MUNICIPAL 15102021</t>
  </si>
  <si>
    <t>BRUTOTEATROMUNICIPA-0IFNXTN</t>
  </si>
  <si>
    <t>VT SP2 TRAMPO LIÇÕES PANDEMIA 15102021</t>
  </si>
  <si>
    <t>VTSP2TRAMPOLIESPAND-0YZ25XI</t>
  </si>
  <si>
    <t>VT SÉRIE TRAMPO PROFESSOR (não disponível no formato de retranca padrão)</t>
  </si>
  <si>
    <t>G0093392</t>
  </si>
  <si>
    <t xml:space="preserve">G0093392 </t>
  </si>
  <si>
    <t>G0093412</t>
  </si>
  <si>
    <t xml:space="preserve">G0093412 </t>
  </si>
  <si>
    <t xml:space="preserve">G0093433 </t>
  </si>
  <si>
    <t>G0093451</t>
  </si>
  <si>
    <t xml:space="preserve">G0093451 </t>
  </si>
  <si>
    <t>BRUTO DOACAO ABSORVENTE 16102021</t>
  </si>
  <si>
    <t>BRUTODOACAOABSORVEN-0IFNXTO</t>
  </si>
  <si>
    <t>G0093434</t>
  </si>
  <si>
    <t xml:space="preserve">G0093434 </t>
  </si>
  <si>
    <t>G0093452</t>
  </si>
  <si>
    <t xml:space="preserve">G0093452 </t>
  </si>
  <si>
    <t>BRUTO PLANETARIO 17102021</t>
  </si>
  <si>
    <t>BRUTOPLANETARIO1710-0IFNYIG</t>
  </si>
  <si>
    <t xml:space="preserve">G0093472 </t>
  </si>
  <si>
    <t xml:space="preserve">G0093476 </t>
  </si>
  <si>
    <t>G0093476_TEMP</t>
  </si>
  <si>
    <t>G0093476TEMPMXF-0IFNSSL</t>
  </si>
  <si>
    <t>BRUTO ESCOLA ESTADUAL 18102021</t>
  </si>
  <si>
    <t>BRUTOESCOLAESTADUAL-0YZ1J9A</t>
  </si>
  <si>
    <t>BRUTO ESCOLA MUNICIPAL 18102021</t>
  </si>
  <si>
    <t>BRUTOESCOLAMUNICIPA-0YZ1LYY</t>
  </si>
  <si>
    <t xml:space="preserve">VT SP2 TRAMPO SALÁRIO 18102021 </t>
  </si>
  <si>
    <t>G0093393</t>
  </si>
  <si>
    <t>20 e 21/10/2021</t>
  </si>
  <si>
    <t xml:space="preserve">G0093393 </t>
  </si>
  <si>
    <t xml:space="preserve">G0093413 </t>
  </si>
  <si>
    <t xml:space="preserve">G0093435 </t>
  </si>
  <si>
    <t xml:space="preserve">	18/10/2021 14:21</t>
  </si>
  <si>
    <t>G0093435_TEMP</t>
  </si>
  <si>
    <t>G0093435TEMPMXF-0IFNUSJ</t>
  </si>
  <si>
    <t>G0093453</t>
  </si>
  <si>
    <t>BRUTO CARNE ALARME 19102021</t>
  </si>
  <si>
    <t>BRUTOCARNEALARME191-0YZ1J9E</t>
  </si>
  <si>
    <t>BRUTO CINE MARQUISE GLOBOPLAY 19102021</t>
  </si>
  <si>
    <t>BRUTOCINEMARQUISEGL-0YZ1JA8</t>
  </si>
  <si>
    <t>BRUTO INSTITUTO DE RADIOLOGIA DO HC SP 19102021</t>
  </si>
  <si>
    <t>BRUTOINSTITUTODERAD-0YZ1KXB</t>
  </si>
  <si>
    <t>BRUTO ORQUESTRA OSESP 19102021</t>
  </si>
  <si>
    <t>BRUTOORQUESTRAOSESP-0YZ1L2D</t>
  </si>
  <si>
    <t>VT SP2 TRAMPO NOVOS APPS 19102021</t>
  </si>
  <si>
    <t>VTSP2TRAMPONOVOSAPP-0YZ1IJA</t>
  </si>
  <si>
    <t>VT SÉRIE TRAMPO ENTREGADOR (não disponível no formato de retranca padrão)</t>
  </si>
  <si>
    <t>VT TRAMPO/MOTORISTAS APPS</t>
  </si>
  <si>
    <t>G0093394</t>
  </si>
  <si>
    <t xml:space="preserve">G0093394 </t>
  </si>
  <si>
    <t xml:space="preserve">G0093414 </t>
  </si>
  <si>
    <t xml:space="preserve">G0093436 </t>
  </si>
  <si>
    <t>G0093454</t>
  </si>
  <si>
    <t xml:space="preserve">G0093454 </t>
  </si>
  <si>
    <t>BRUTO PETSHOP 20102021</t>
  </si>
  <si>
    <t>BRUTOPETSHOP2010202-0YZ2GM3</t>
  </si>
  <si>
    <t>G0093395</t>
  </si>
  <si>
    <t xml:space="preserve">G0093395 </t>
  </si>
  <si>
    <t xml:space="preserve">G0093415 </t>
  </si>
  <si>
    <t xml:space="preserve">G0093437 </t>
  </si>
  <si>
    <t>G0093455</t>
  </si>
  <si>
    <t>20/10/201 23:46</t>
  </si>
  <si>
    <t xml:space="preserve">G0093455 </t>
  </si>
  <si>
    <t>BRUTO PRACA ROOSEVELT 21102021</t>
  </si>
  <si>
    <t>BRUTOPRACAROOSEVELT-0YZ246P</t>
  </si>
  <si>
    <t>BRUTO CORRETORA DE VALORES 21102021</t>
  </si>
  <si>
    <t>BRUTOCORRETORADEVAL-0YZ26RV</t>
  </si>
  <si>
    <t>BRUTO PAES PADARIA 21102021</t>
  </si>
  <si>
    <t>BRUTOPAESPADARIA211-0YZ2E2N</t>
  </si>
  <si>
    <t>VT SÉRIE TRAMPO TEATRO CINEMA (não disponível no formato de retranca padrão)</t>
  </si>
  <si>
    <t xml:space="preserve">VT SPO FEIRA/EXPO </t>
  </si>
  <si>
    <t>VT SPO (AV) MAIRIPORÃ</t>
  </si>
  <si>
    <t>VT SPO SONORA/CASAMENTO</t>
  </si>
  <si>
    <t>VT SPO SONORA/CONTRATADO</t>
  </si>
  <si>
    <t xml:space="preserve">VT SP2 TRAMPO RETOMA EVENTOS 21102021 </t>
  </si>
  <si>
    <t>NÃO disponível no PAM</t>
  </si>
  <si>
    <t xml:space="preserve">G0093396 </t>
  </si>
  <si>
    <t xml:space="preserve">G0093416 </t>
  </si>
  <si>
    <t xml:space="preserve">G0093438 </t>
  </si>
  <si>
    <t>G0093456</t>
  </si>
  <si>
    <t xml:space="preserve">G0093456 </t>
  </si>
  <si>
    <t>VT Quadro Verde: Mercado desregulado</t>
  </si>
  <si>
    <t>QUADROVERDEMERCADOD-0YZ22CY</t>
  </si>
  <si>
    <t>BRUTO DELEGACIA DA MULHER BARUERI 22102021</t>
  </si>
  <si>
    <t>BRUTODELEGACIADAMUL-0YZ26S2</t>
  </si>
  <si>
    <t>BRUTO SALA DE AULA VAZIA 22102021</t>
  </si>
  <si>
    <t>BRUTOSALADEAULAVAZI-0YZ2E2L</t>
  </si>
  <si>
    <t>BRUTO LABORATORIO GENOMA USP 22102021</t>
  </si>
  <si>
    <t>BRUTOLABORATORIOGEN-0YZ2GNX</t>
  </si>
  <si>
    <t>G0093397</t>
  </si>
  <si>
    <t xml:space="preserve">G0093397 </t>
  </si>
  <si>
    <t xml:space="preserve">G0093417 </t>
  </si>
  <si>
    <t xml:space="preserve">G0093439 </t>
  </si>
  <si>
    <t>G0093457</t>
  </si>
  <si>
    <t xml:space="preserve">G0093457 </t>
  </si>
  <si>
    <t>BRUTO FACHADA CINEMATECA 23102021</t>
  </si>
  <si>
    <t>BRUTOFACHADACINEMAT-0YZ246O</t>
  </si>
  <si>
    <t>BRUTO CURSINHO 23102021</t>
  </si>
  <si>
    <t>BRUTOCURSINHO231020-0YZ26S1</t>
  </si>
  <si>
    <t>BRUTO ARMAS DE FOGO 23102021</t>
  </si>
  <si>
    <t>BRUTOARMASDEFOGO231-0YZ2E2Q</t>
  </si>
  <si>
    <t xml:space="preserve">G0093440 </t>
  </si>
  <si>
    <t>G0093458</t>
  </si>
  <si>
    <t xml:space="preserve">G0093458 </t>
  </si>
  <si>
    <t>ACERVOESPORTEESPETA-0YZ2250</t>
  </si>
  <si>
    <t>BRUTO RESTAURANTE CHINES 24102021</t>
  </si>
  <si>
    <t>BRUTORESTAURANTECHI-0YZ2GM6</t>
  </si>
  <si>
    <t xml:space="preserve">G0093473 </t>
  </si>
  <si>
    <t xml:space="preserve">G0093477 </t>
  </si>
  <si>
    <t xml:space="preserve"> 25/10/2021 07:49</t>
  </si>
  <si>
    <t>G0093477_TEMP</t>
  </si>
  <si>
    <t>G0093477TEMPMXF-0YZ2254</t>
  </si>
  <si>
    <t>VT TRAMPO MERCADO PET</t>
  </si>
  <si>
    <t>VT SERIE TRAMPO MERCADO PET_temp</t>
  </si>
  <si>
    <t>VTSERIETRAMPOMERCAD-0YZ28XG</t>
  </si>
  <si>
    <t>BRUTO UBER 25102021</t>
  </si>
  <si>
    <t>BRUTOUBER25102021MX-0YZ2E2P</t>
  </si>
  <si>
    <t xml:space="preserve">VT SP2 TRAMPO MERCADO FINANCEIRO 25102021 </t>
  </si>
  <si>
    <t>VTSP2TRAMPOMERCADOF-4NA2F8G</t>
  </si>
  <si>
    <t>VT SPO MERCADO/GAMER</t>
  </si>
  <si>
    <t>G0093398</t>
  </si>
  <si>
    <t>G0093398_TEMP</t>
  </si>
  <si>
    <t>G0093398TEMPMXF-0YZ25KM</t>
  </si>
  <si>
    <t xml:space="preserve">G0093398 </t>
  </si>
  <si>
    <t xml:space="preserve">G0093418 </t>
  </si>
  <si>
    <t>G0093459</t>
  </si>
  <si>
    <t xml:space="preserve">G0093459 </t>
  </si>
  <si>
    <t xml:space="preserve">G0093465 </t>
  </si>
  <si>
    <t>BRUTO ENSINO MEDIO 26102021</t>
  </si>
  <si>
    <t>BRUTOENSINOMEDIO261-0YZ26S5</t>
  </si>
  <si>
    <t>BRUTO ESTACAO PALMEIRAS BARRA FUNDA 26102021</t>
  </si>
  <si>
    <t>BRUTOESTACAOPALMEIR-0YZ26RW</t>
  </si>
  <si>
    <t>BRUTO QUEDA GUINDASTE MONOTRILHO 26102021</t>
  </si>
  <si>
    <t>BRUTOQUEDAGUINDASTE-0YZ2GM7</t>
  </si>
  <si>
    <t>BRUTO AGLOMERACAO LINHA VERMELHA METRO 26102021</t>
  </si>
  <si>
    <t>BRUTOAGLOMERACAOLIN-0YZ2GM9</t>
  </si>
  <si>
    <t>BRUTO POSTO DE COMBUSTIVEL SP 26102021</t>
  </si>
  <si>
    <t>BRUTOPOSTODECOMBUST-0YZ2GM8</t>
  </si>
  <si>
    <t xml:space="preserve">VT SP2 TRAMPO EMPREGO PERIFERIA 26102021 </t>
  </si>
  <si>
    <t>VTSP2TRAMPOEMPREGOP-4NA2F8L</t>
  </si>
  <si>
    <t>BRUTO GAL COSTA 26102021</t>
  </si>
  <si>
    <t>BRUTOGALCOSTA261020-4NA5QZT</t>
  </si>
  <si>
    <t>VT SPO TRAMPO/PRESOS</t>
  </si>
  <si>
    <t>G0093399</t>
  </si>
  <si>
    <t xml:space="preserve">G0093399 </t>
  </si>
  <si>
    <t xml:space="preserve">G0093419 </t>
  </si>
  <si>
    <t>G0093460</t>
  </si>
  <si>
    <t xml:space="preserve">G0093460 </t>
  </si>
  <si>
    <t xml:space="preserve">G0093466 </t>
  </si>
  <si>
    <t>BRUTO EMPREGO CENTRO SP 27102021</t>
  </si>
  <si>
    <t>BRUTOEMPREGOCENTROS-4NA5Q98</t>
  </si>
  <si>
    <t xml:space="preserve">VT SP2 CRACOLANDIA 27102021 </t>
  </si>
  <si>
    <t>G0093400</t>
  </si>
  <si>
    <t xml:space="preserve">G0093400 </t>
  </si>
  <si>
    <t xml:space="preserve">G0093420 </t>
  </si>
  <si>
    <t>G0093461</t>
  </si>
  <si>
    <t>G0093461_TEMP</t>
  </si>
  <si>
    <t>G0093461TEMPMXF-0YZ2BW1</t>
  </si>
  <si>
    <t xml:space="preserve">G0093461 </t>
  </si>
  <si>
    <t xml:space="preserve">G0093467 </t>
  </si>
  <si>
    <t>VT BDSP TRAMPO CURSO 28102021</t>
  </si>
  <si>
    <t>VTBDSPTRAMPOCURSO28-4NA2F73</t>
  </si>
  <si>
    <t xml:space="preserve">VT SP2 TRAMPO EMPREGO VERDE 28102021 </t>
  </si>
  <si>
    <t>VTSP2TRAMPOEMPREGOV-4NA2F7H</t>
  </si>
  <si>
    <t>BRUTO VOLTA ESCRITORIO 28102021</t>
  </si>
  <si>
    <t>BRUTOVOLTAESCRITORI-4NA2FTP</t>
  </si>
  <si>
    <t>VT SPO SONORAS/SAÚDE</t>
  </si>
  <si>
    <t>G0093401</t>
  </si>
  <si>
    <t>Victor / Andre</t>
  </si>
  <si>
    <t xml:space="preserve">	G0093421</t>
  </si>
  <si>
    <t>G0093421</t>
  </si>
  <si>
    <t>G0093462</t>
  </si>
  <si>
    <t xml:space="preserve">G0093462 </t>
  </si>
  <si>
    <t xml:space="preserve">G0093468 </t>
  </si>
  <si>
    <t>BRUTO OPEN BANKING 29102021</t>
  </si>
  <si>
    <t>BRUTOESCRITORIO2910-4NA2FTO</t>
  </si>
  <si>
    <t>BRUTO MARIGHELLA 29102021</t>
  </si>
  <si>
    <t>BRUTOMARIGHELLA2910-4NA3N6V</t>
  </si>
  <si>
    <t>VT QUADRO VERDE ARRANJOS (VERSÃO DISPONIBILIZADA NÃO É A QUE FOI AO AR) - retranca fora de padrão</t>
  </si>
  <si>
    <t>SPO VT EDER JOFRE FCURY</t>
  </si>
  <si>
    <t>VT SPO DUTRA</t>
  </si>
  <si>
    <t xml:space="preserve">G0093402 </t>
  </si>
  <si>
    <t xml:space="preserve">G0093422 </t>
  </si>
  <si>
    <t xml:space="preserve">	29/10/2021 11:01:56</t>
  </si>
  <si>
    <t>G0093463</t>
  </si>
  <si>
    <t xml:space="preserve">G0093463 </t>
  </si>
  <si>
    <t xml:space="preserve">G0093469 </t>
  </si>
  <si>
    <t>29/10 e 31/10/2021</t>
  </si>
  <si>
    <t xml:space="preserve">G0093464 </t>
  </si>
  <si>
    <t>G0093470</t>
  </si>
  <si>
    <t xml:space="preserve">G0093470 </t>
  </si>
  <si>
    <t>01:22:51;02</t>
  </si>
  <si>
    <t>ACERVOESPORTEESPETA-1FIG3DP</t>
  </si>
  <si>
    <t>Rafael de Castro</t>
  </si>
  <si>
    <t xml:space="preserve">G0093474 </t>
  </si>
  <si>
    <t xml:space="preserve">G0093478 </t>
  </si>
  <si>
    <t>BRUTO ENERGIA 01112021</t>
  </si>
  <si>
    <t>BRUTOENERGIA0111202-4NA3N6T</t>
  </si>
  <si>
    <t>BRUTO BAR 01112021</t>
  </si>
  <si>
    <t>BRUTOBAR01112021MXF-4NA3N6U</t>
  </si>
  <si>
    <t>G0098957</t>
  </si>
  <si>
    <t>G0098977</t>
  </si>
  <si>
    <t>G0098997</t>
  </si>
  <si>
    <t>G0099897</t>
  </si>
  <si>
    <t>G0098958</t>
  </si>
  <si>
    <t>G0098978</t>
  </si>
  <si>
    <t>G0098998</t>
  </si>
  <si>
    <t>G0099898</t>
  </si>
  <si>
    <t>BRUTO CATE 03112021</t>
  </si>
  <si>
    <t>BRUTOCATE03112021MX-4NA68QQ</t>
  </si>
  <si>
    <t>G0098959</t>
  </si>
  <si>
    <t>G0098979</t>
  </si>
  <si>
    <t xml:space="preserve">03/11/2021 15:03:30
</t>
  </si>
  <si>
    <t>G0098999</t>
  </si>
  <si>
    <t>G0099899</t>
  </si>
  <si>
    <t>BRUTO PARQUE AUGUSTA 04112021</t>
  </si>
  <si>
    <t>BRUTOPARQUEAUGUSTA0-4NA68QL</t>
  </si>
  <si>
    <t>BRUTO INDUSTRIA 04112021</t>
  </si>
  <si>
    <t>BRUTOINDUSTRIA04112-4NA68QO</t>
  </si>
  <si>
    <t>G0098960</t>
  </si>
  <si>
    <t>G0098980</t>
  </si>
  <si>
    <t>G0099000</t>
  </si>
  <si>
    <t xml:space="preserve">04/11/2021 15:38:18
</t>
  </si>
  <si>
    <t>G0099900</t>
  </si>
  <si>
    <t>VT BDSP ARRANJOS 05112021</t>
  </si>
  <si>
    <t>VTBDSPARRANJOS05112-4NA635D</t>
  </si>
  <si>
    <t>BRUTO PINACOTECA 05112021</t>
  </si>
  <si>
    <t>BRUTOPINACOTECA0511-4NA68QS</t>
  </si>
  <si>
    <t>BRUTO SUPERMERCADO 05112021</t>
  </si>
  <si>
    <t>BRUTOSUPERMERCADO05-53TK3W8</t>
  </si>
  <si>
    <t>G0098961</t>
  </si>
  <si>
    <t>G0098981</t>
  </si>
  <si>
    <t xml:space="preserve">05/11/2021 14:52
</t>
  </si>
  <si>
    <t xml:space="preserve">05/11/2021 14:56:45
</t>
  </si>
  <si>
    <t>G0099001</t>
  </si>
  <si>
    <t xml:space="preserve">05/11/2021 14:43:27
</t>
  </si>
  <si>
    <t>G0099901</t>
  </si>
  <si>
    <t>G0099002</t>
  </si>
  <si>
    <t xml:space="preserve">06/11/2021 16:06:57
</t>
  </si>
  <si>
    <t>G0099902</t>
  </si>
  <si>
    <t>ACERVOESPORTEESPETA-4NA52YA</t>
  </si>
  <si>
    <t>G0099921</t>
  </si>
  <si>
    <t>G0099984</t>
  </si>
  <si>
    <t>G0099984_TEMP</t>
  </si>
  <si>
    <t>G0099984TEMPMXF-4NA52ZI</t>
  </si>
  <si>
    <t>BRUTO CURSINHO 08112021</t>
  </si>
  <si>
    <t>BRUTOCURSINHO081120-4NA68QP</t>
  </si>
  <si>
    <t>BRUTO CONSULADO AMERICANO SP 08112021</t>
  </si>
  <si>
    <t>BRUTOCONSULADOAMERI-53TKFFI</t>
  </si>
  <si>
    <t>BRUTO ESTACAO JOAO DIAS CPTM 08112021</t>
  </si>
  <si>
    <t>BRUTOESTACAOJOAODIA-53TKFG6</t>
  </si>
  <si>
    <t>G0098962</t>
  </si>
  <si>
    <t>G0098982</t>
  </si>
  <si>
    <t xml:space="preserve">	08/11/2021 23:03:34</t>
  </si>
  <si>
    <t>G0099003</t>
  </si>
  <si>
    <t>G0099003_temp</t>
  </si>
  <si>
    <t>G0099903</t>
  </si>
  <si>
    <t>BRUTO PITANGUEIRA 09112021</t>
  </si>
  <si>
    <t>BRUTOPITANGUEIRA091-4NA68QT</t>
  </si>
  <si>
    <t>BRUTO ENTREVISTA SEU JORGE 09112021</t>
  </si>
  <si>
    <t>BRUTOENTREVISTASEUJ-4NA68QH</t>
  </si>
  <si>
    <t>BRUTO FEIRA DA MADRUGADA SP 09112021</t>
  </si>
  <si>
    <t>BRUTOFEIRADAMADRUGA-53TKW2E</t>
  </si>
  <si>
    <t>G0098963</t>
  </si>
  <si>
    <t>G0098983</t>
  </si>
  <si>
    <t>G0099004</t>
  </si>
  <si>
    <t>G0099004_TEMP</t>
  </si>
  <si>
    <t>G0099004TEMPMXF-53TJXQ8</t>
  </si>
  <si>
    <t>G0099904</t>
  </si>
  <si>
    <t xml:space="preserve">FANT </t>
  </si>
  <si>
    <t>BRUTO CASAMENTO 10112021</t>
  </si>
  <si>
    <t>BRUTOCASAMENTO10112-5KCZ0PE</t>
  </si>
  <si>
    <t>G0098964</t>
  </si>
  <si>
    <t xml:space="preserve">11 e 14/11/2021 </t>
  </si>
  <si>
    <t>G0098984</t>
  </si>
  <si>
    <t>G0099005</t>
  </si>
  <si>
    <t>G0099905</t>
  </si>
  <si>
    <t>BRUTO CAMPUS PARTY 11112021</t>
  </si>
  <si>
    <t>BRUTOCAMPUSPARTY111-53TKFG7</t>
  </si>
  <si>
    <t>BRUTO LABORATORIO FLEURY 11112021</t>
  </si>
  <si>
    <t>BRUTOLABORATORIOFLE-5KCZ0PA</t>
  </si>
  <si>
    <t xml:space="preserve">VT OUTRAS ESTREIAS </t>
  </si>
  <si>
    <t>G0098965</t>
  </si>
  <si>
    <t xml:space="preserve">14 e 15/11/2021 </t>
  </si>
  <si>
    <t>G0098985</t>
  </si>
  <si>
    <t>G0099006</t>
  </si>
  <si>
    <t>12 e 16/11/2021</t>
  </si>
  <si>
    <t>G0099906</t>
  </si>
  <si>
    <t>Quadro Verde - Árvores Frutíferas - Retranca não localizada no padrão combinado</t>
  </si>
  <si>
    <t>Não disponível</t>
  </si>
  <si>
    <t>Ciclista BMX - Retranca não localizada no padrão combinado</t>
  </si>
  <si>
    <t>G0098966</t>
  </si>
  <si>
    <t>G0098986</t>
  </si>
  <si>
    <t>G0099007</t>
  </si>
  <si>
    <t>G0099907</t>
  </si>
  <si>
    <t>BRUTO CASA DO NORTE FEIJOADA 13112021</t>
  </si>
  <si>
    <t>BRUTOCASADONORTEFEI-53TKVLU</t>
  </si>
  <si>
    <t>G0099008</t>
  </si>
  <si>
    <t>G0099908</t>
  </si>
  <si>
    <t>ACERVOESPORTEESPETA-53TKOMJ</t>
  </si>
  <si>
    <t xml:space="preserve">Victor Xavier </t>
  </si>
  <si>
    <t>BRUTO PARQUE AUGUSTA 14112021</t>
  </si>
  <si>
    <t>BRUTOPARQUEAUGUSTA1-5KCZ0P8</t>
  </si>
  <si>
    <t>BRUTO PAULISTA DOMINGO 14112021</t>
  </si>
  <si>
    <t>BRUTOPAULISTADOMING-5KCZ0P6</t>
  </si>
  <si>
    <t>G0099922</t>
  </si>
  <si>
    <t>00:25:32:29</t>
  </si>
  <si>
    <t>G0099985</t>
  </si>
  <si>
    <t>G0099985_TEMP</t>
  </si>
  <si>
    <t>G0099985TEMPMXF-53TKOMZ</t>
  </si>
  <si>
    <t>BRUTO ADOCAO 15112021</t>
  </si>
  <si>
    <t>BRUTOADOCAO15112021-5KCZB3M</t>
  </si>
  <si>
    <t>G0098967</t>
  </si>
  <si>
    <t>G0098987</t>
  </si>
  <si>
    <t>G0098987_TEMP</t>
  </si>
  <si>
    <t xml:space="preserve">15/11/2021 14:51:43
</t>
  </si>
  <si>
    <t xml:space="preserve">G0098987TEMPMXF-53TKR48
</t>
  </si>
  <si>
    <t>G0099009</t>
  </si>
  <si>
    <t>G0099909</t>
  </si>
  <si>
    <t xml:space="preserve">BRUTO MORADORES DE RUA SP 16112021 </t>
  </si>
  <si>
    <t>BRUTOMORADORESDERUA-5KCYWX0</t>
  </si>
  <si>
    <t>G0098968</t>
  </si>
  <si>
    <t>G0098988</t>
  </si>
  <si>
    <t>G0099010</t>
  </si>
  <si>
    <t>G0099910</t>
  </si>
  <si>
    <t>VT SP1 SAMBA ROCK 17112021</t>
  </si>
  <si>
    <t>VTSP1SAMBAROCK17112-53TL127</t>
  </si>
  <si>
    <t>G0098969</t>
  </si>
  <si>
    <t>22 E 23/11/2021</t>
  </si>
  <si>
    <t>G0098989</t>
  </si>
  <si>
    <t>G0099011</t>
  </si>
  <si>
    <t>G0099911</t>
  </si>
  <si>
    <t>BRUTO EXPO CONSCIENCIA NEGRA 18112021</t>
  </si>
  <si>
    <t>BRUTOEXPOCONSCIENCI-5KCZ0PB</t>
  </si>
  <si>
    <t>BRUTO PEDESTRES BRAS SP 18112021</t>
  </si>
  <si>
    <t>BRUTOPEDESTRESBRASS-5KCZ1QK</t>
  </si>
  <si>
    <t>VT SP1 PAIS PRETOS 18112021</t>
  </si>
  <si>
    <t>VTSP1PAISPRETOS1811-5KCYTKC</t>
  </si>
  <si>
    <t xml:space="preserve">VT ESTREIAS CINEMA </t>
  </si>
  <si>
    <t xml:space="preserve">VT SP2 ALUNOS TRANSPORTE 18112021 </t>
  </si>
  <si>
    <t>G0098970</t>
  </si>
  <si>
    <t>23 E 24/11/2021</t>
  </si>
  <si>
    <t>G0098990</t>
  </si>
  <si>
    <t>G0099012</t>
  </si>
  <si>
    <t>19 e 22/11/2021</t>
  </si>
  <si>
    <t>G0099912</t>
  </si>
  <si>
    <t>VT BDSP QV CAVALIN 19112021</t>
  </si>
  <si>
    <t>VTBDSPQVCAVALIN1911-5KCZ4YR</t>
  </si>
  <si>
    <t xml:space="preserve">VT SP1 LIVRO PEQUENA AFRICA 19112021 </t>
  </si>
  <si>
    <t xml:space="preserve">	23/11/2021 16:11:51</t>
  </si>
  <si>
    <t>VTSP1LIVROPEQUENAAF-5KCYXKY</t>
  </si>
  <si>
    <t>BRUTO PERIFERIA FAVELA SP 19112021</t>
  </si>
  <si>
    <t>BRUTOPERIFERIAFAVEL-5KCZ3C7</t>
  </si>
  <si>
    <t>BRUTO ESCOLA MUNICIPAL DE EDUCAÇÃO INFANTIL SP 19112021</t>
  </si>
  <si>
    <t>BRUTOESCOLAMUNICIPA-5KCZ474</t>
  </si>
  <si>
    <t>G0098971</t>
  </si>
  <si>
    <t>24 E 25/11/2021</t>
  </si>
  <si>
    <t>G0098991</t>
  </si>
  <si>
    <t>G0099013</t>
  </si>
  <si>
    <t>G0099913</t>
  </si>
  <si>
    <t>VT SP2 ENEM ESPECIAL 20112021</t>
  </si>
  <si>
    <t>VTSP2ENEMESPECIAL20-5KCZ56S</t>
  </si>
  <si>
    <t>VT SP2 CONSCIENCIA NEGRA 20112021</t>
  </si>
  <si>
    <t>VTSP2CONSCIENCIANEG-5KCZ5EJ</t>
  </si>
  <si>
    <t>BRUTO MUSEU AFRO BRASIL SP 20112021</t>
  </si>
  <si>
    <t>BRUTO MUSEU AFRO BRASIL SP 20112021_temp</t>
  </si>
  <si>
    <t>BRUTOMUSEUAFROBRASI-5KCZ7YS</t>
  </si>
  <si>
    <t xml:space="preserve">VT SP1 CULINARIA AFRICANA 20112021 </t>
  </si>
  <si>
    <t>G0099014</t>
  </si>
  <si>
    <t xml:space="preserve">20/11/2021 16:42:08
</t>
  </si>
  <si>
    <t>G0099914</t>
  </si>
  <si>
    <t>ACERVOESPORTEESPETA-5KCYSW8</t>
  </si>
  <si>
    <t>Luis Henrique Silva</t>
  </si>
  <si>
    <t>BRUTO CENTRO CULTURAL SP 21112021</t>
  </si>
  <si>
    <t>BRUTOCENTROCULTURAL-5KCZ7F5</t>
  </si>
  <si>
    <t>BRUTO ENEM SP 21112021</t>
  </si>
  <si>
    <t>BRUTOENEMSP21112021-5KCZ1QJ</t>
  </si>
  <si>
    <t>G0099923</t>
  </si>
  <si>
    <t>G0099986</t>
  </si>
  <si>
    <t>G0099986_TEMP</t>
  </si>
  <si>
    <t>G0099986TEMPMXF-5KCYT05</t>
  </si>
  <si>
    <t>BRUTO CARTÃO TOP SP 22112021</t>
  </si>
  <si>
    <t>BRUTOCARTAOTOPSP221-5KCZ7Y5</t>
  </si>
  <si>
    <t>BRUTO RESERVATORIO CANTAREIRA 22112021</t>
  </si>
  <si>
    <t>BRUTORESERVATORIOCA-5KCZ1RL</t>
  </si>
  <si>
    <t>BRUTO ÔNIBUS EMTU 22112021</t>
  </si>
  <si>
    <t>BRUTOONIBUSEMTU2211-60WD2ZK</t>
  </si>
  <si>
    <t>BRUTO PIPA PAPAGAIO 22112021</t>
  </si>
  <si>
    <t>BRUTOPIPAPAPAGAIO22-60WD30N</t>
  </si>
  <si>
    <t>BRUTO TROFÉU RAÇA NEGRA 2021 22112021</t>
  </si>
  <si>
    <t>BRUTO TROFÉU RAÇA NEGRA 2021 22112021_temp2</t>
  </si>
  <si>
    <t>BRUTOTROFEURACANEGR-98NZKIK</t>
  </si>
  <si>
    <t>BRUTO DOACAO DE SANGUE 22112021</t>
  </si>
  <si>
    <t>BRUTODOACAODESANGUE-98NZHNQ</t>
  </si>
  <si>
    <t>BRUTO FEIRAO LIMPA NOME 22112021</t>
  </si>
  <si>
    <t>BRUTOFEIRAOLIMPANOM-98NZHM1</t>
  </si>
  <si>
    <t>G0098972</t>
  </si>
  <si>
    <t>25/11 e 29/11/2021</t>
  </si>
  <si>
    <t>G0098992</t>
  </si>
  <si>
    <t>G0099015</t>
  </si>
  <si>
    <t>24 e 25/11/2021</t>
  </si>
  <si>
    <t>G0099915</t>
  </si>
  <si>
    <t>G0098973</t>
  </si>
  <si>
    <t>28/11 e 30/11</t>
  </si>
  <si>
    <t>G0098993</t>
  </si>
  <si>
    <t>G0099016</t>
  </si>
  <si>
    <t>25 e 26/11/2021</t>
  </si>
  <si>
    <t>G0099916</t>
  </si>
  <si>
    <t>MISTURA PAULISTA</t>
  </si>
  <si>
    <t>BRUTO MUSEU IPIRANGA OBRA 23112021</t>
  </si>
  <si>
    <t>BRUTOMUSEUIPIRANGAO-55BAYJG</t>
  </si>
  <si>
    <t>BRUTO FREGUESIA DO O 23112021</t>
  </si>
  <si>
    <t>BRUTOFREGUESIADOO23-55BB5E2</t>
  </si>
  <si>
    <t>BRUTO ESTAÇÃO DA LUZ TREM MAQUINISTA 24112021</t>
  </si>
  <si>
    <t>BRUTOESTACAODALUZTR-98NZGVS</t>
  </si>
  <si>
    <t>BRUTO LOJA ROUPAS TRABALHO TEMPORÁRIO 24112021</t>
  </si>
  <si>
    <t>BRUTOLOJAROUPASTRAB-98NZKNB</t>
  </si>
  <si>
    <t>G0098974</t>
  </si>
  <si>
    <t>G0098974_TEMP</t>
  </si>
  <si>
    <t>G0098974TEMPMXF-5KCZ0U2</t>
  </si>
  <si>
    <t>G0098994</t>
  </si>
  <si>
    <t>G0099017</t>
  </si>
  <si>
    <t>G0099917</t>
  </si>
  <si>
    <t>BRUTO TESTE PCR 25112021</t>
  </si>
  <si>
    <t>BRUTOTESTEPCR251120-5KCZJ2I</t>
  </si>
  <si>
    <t>BRUTO USP CIDADE INIVERSITÁRIA 25112021</t>
  </si>
  <si>
    <t>BRUTOUSPCIDADEUNIVE-98NZKIF</t>
  </si>
  <si>
    <t>BRUTO VACINACAO ESCOLA 25112021</t>
  </si>
  <si>
    <t>BRUTOVACINACAOESCOL-98NZHSR</t>
  </si>
  <si>
    <t xml:space="preserve">(AV) OUTRAS ESTREIAS </t>
  </si>
  <si>
    <t>Não encotrado no PAM</t>
  </si>
  <si>
    <t xml:space="preserve"> (AV) SHOWS</t>
  </si>
  <si>
    <t>G0098975</t>
  </si>
  <si>
    <t>G0098995</t>
  </si>
  <si>
    <t>G0099018</t>
  </si>
  <si>
    <t>G0099918</t>
  </si>
  <si>
    <t>BRUTO GALPAO MERCADOLIVRE 26112021</t>
  </si>
  <si>
    <t>BRUTOGALPAOMERCADOL-5KCZJ2K</t>
  </si>
  <si>
    <t>VT BDSP QV SUCULENTAS 26112021</t>
  </si>
  <si>
    <t>VTBDSPQVSUCULENTAS2-98NZL59</t>
  </si>
  <si>
    <t>VT SPO + VÍDEOS ZONA SUL</t>
  </si>
  <si>
    <t>G0098976</t>
  </si>
  <si>
    <t>G0098996</t>
  </si>
  <si>
    <t>G0099019</t>
  </si>
  <si>
    <t>29 e 30/11/2021</t>
  </si>
  <si>
    <t>G0099919</t>
  </si>
  <si>
    <t>MISTURA PAULISTA 27112021</t>
  </si>
  <si>
    <t>UPLOAD VIZ</t>
  </si>
  <si>
    <t>MISTURAPAULISTA2711-9P7EDVZ</t>
  </si>
  <si>
    <t>BRUTO ASPECTOS PARELHEIROS 27112021</t>
  </si>
  <si>
    <t>BRUTOASPECTOSPARELH-9P7EDVY</t>
  </si>
  <si>
    <t>BRUTO ESTACAO CAPAO REDONDO 17122021</t>
  </si>
  <si>
    <t>BRUTOESTACAOCAPAORE-9P7EH9E</t>
  </si>
  <si>
    <t>VT ENEM ESPECIAL</t>
  </si>
  <si>
    <t>VT CRACOLANDIA OUTROS</t>
  </si>
  <si>
    <t>G0099020</t>
  </si>
  <si>
    <t>G0099920</t>
  </si>
  <si>
    <t xml:space="preserve">	29/11/2021 08:28:25</t>
  </si>
  <si>
    <t>ACERVOESPORTEESPETA-5KCZIJL</t>
  </si>
  <si>
    <t>BRUTO CIDADE ILUMINADA 28112021</t>
  </si>
  <si>
    <t>BRUTOCIDADEILUMINAD-98NZPGS</t>
  </si>
  <si>
    <t>G0099924</t>
  </si>
  <si>
    <t>G0099987</t>
  </si>
  <si>
    <t>G0099987_TEMP</t>
  </si>
  <si>
    <t>G0099987TEMPMXF-5KCZIJI</t>
  </si>
  <si>
    <t>BRUTO AEREA  ESTADIO ALLIANZ PARK 29112021</t>
  </si>
  <si>
    <t>BRUTOAEREAESTADIOAL-5KCZJ2G</t>
  </si>
  <si>
    <t>BRUTO ENEM SP 29112021</t>
  </si>
  <si>
    <t>BRUTOENEMSP29112021-5KCZJ2H</t>
  </si>
  <si>
    <t>BRUTO SECRETÁRIA MUNICIPAL DA SAÚDE SÃO PAULO 29112021</t>
  </si>
  <si>
    <t>BRUTOSECRETARIAMUNI-98NZKRN</t>
  </si>
  <si>
    <t>BRUTO TESTE PCR 29112021</t>
  </si>
  <si>
    <t>BRUTOTESTEPCR291120-98O014S</t>
  </si>
  <si>
    <t>G0108598</t>
  </si>
  <si>
    <t>03 e 05/12/2021</t>
  </si>
  <si>
    <t>G0108648</t>
  </si>
  <si>
    <t>G0108677</t>
  </si>
  <si>
    <t>G0108599</t>
  </si>
  <si>
    <t>G0108624</t>
  </si>
  <si>
    <t>G0108649</t>
  </si>
  <si>
    <t>01 e 02/12/2021</t>
  </si>
  <si>
    <t>G0108678</t>
  </si>
  <si>
    <t>BRUTO MASCARA PEDESTRES 01122021</t>
  </si>
  <si>
    <t>BRUTOMASCARAPEDESTR-98NZYO8</t>
  </si>
  <si>
    <t>BRUTO ADOLFO LUTZ 01122021</t>
  </si>
  <si>
    <t>BRUTOADOLFOLUTZ0112-9P7EAIB</t>
  </si>
  <si>
    <t>G0108600</t>
  </si>
  <si>
    <t>G0108625</t>
  </si>
  <si>
    <t>G0108650</t>
  </si>
  <si>
    <t>G0108650_TEMP</t>
  </si>
  <si>
    <t>G0108679</t>
  </si>
  <si>
    <t>G0108679.DUPLICATE</t>
  </si>
  <si>
    <t>G0108679DUPLICATEMX-98NZQA0</t>
  </si>
  <si>
    <t>BRUTO HOME OFFICE 02122021</t>
  </si>
  <si>
    <t>BRUTOHOMEOFFICE0212-9P7EAIC</t>
  </si>
  <si>
    <t>G0108601</t>
  </si>
  <si>
    <t xml:space="preserve">	02/12/2021 14:37</t>
  </si>
  <si>
    <t>07 e 08/12/2021</t>
  </si>
  <si>
    <t>G0108626</t>
  </si>
  <si>
    <t>G0108651</t>
  </si>
  <si>
    <t>G0108680</t>
  </si>
  <si>
    <t>BRUTO INDUSTRIA TEXTIL 03122021</t>
  </si>
  <si>
    <t>BRUTOINDUSTRIATEXTI-98O01L0</t>
  </si>
  <si>
    <t>G0108602</t>
  </si>
  <si>
    <t>G0108627</t>
  </si>
  <si>
    <t>G0108652</t>
  </si>
  <si>
    <t>G0108681</t>
  </si>
  <si>
    <t>BRUTO MOSTEIRO SAO BENTO 04122021</t>
  </si>
  <si>
    <t>BRUTOMOSTEIROSAOBEN-98NZYO5</t>
  </si>
  <si>
    <t>MISTURA PAULISTA 04122021</t>
  </si>
  <si>
    <t>MISTURAPAULISTA0412-A5QSPR1</t>
  </si>
  <si>
    <t>G0108653</t>
  </si>
  <si>
    <t>G0108682</t>
  </si>
  <si>
    <t>ACERVOESPORTEESPETA-98NZW22</t>
  </si>
  <si>
    <t>BRUTO CONTAS BOLETOS 05122021</t>
  </si>
  <si>
    <t>BRUTOCONTASBOLETOS0-98NZYO7</t>
  </si>
  <si>
    <t>G0108706</t>
  </si>
  <si>
    <t>G0108710</t>
  </si>
  <si>
    <t>G0108710_TEMP</t>
  </si>
  <si>
    <t>G0108710TEMPMXF-98NZVPX</t>
  </si>
  <si>
    <t>BRUTO AEREA DE SAO PAULO 06122021</t>
  </si>
  <si>
    <t>BRUTOAEREADESAOPAUL-9P7EAIN</t>
  </si>
  <si>
    <t>BRUTO PCR CONGONHAS 06122021</t>
  </si>
  <si>
    <t>BRUTOPCRCONGONHAS06-9P7E7FI</t>
  </si>
  <si>
    <t xml:space="preserve">BDSP </t>
  </si>
  <si>
    <t>BRUTO MINHOCAO 06122021</t>
  </si>
  <si>
    <t>BRUTOMINHOCAO061220-9P7EATH</t>
  </si>
  <si>
    <t>G0108603</t>
  </si>
  <si>
    <t>G0108628</t>
  </si>
  <si>
    <t>G0108654</t>
  </si>
  <si>
    <t>G0108683</t>
  </si>
  <si>
    <t>G0108604</t>
  </si>
  <si>
    <t>G0108604_TEMP</t>
  </si>
  <si>
    <t>G0108604TEMPMXF-98O02WY</t>
  </si>
  <si>
    <t>G0108629</t>
  </si>
  <si>
    <t>G0108655</t>
  </si>
  <si>
    <t>G0108655_temp</t>
  </si>
  <si>
    <t>G0108655TEMPMXF-98O025Z</t>
  </si>
  <si>
    <t>G0108684</t>
  </si>
  <si>
    <t>BRUTO MAKSOUD 08122021</t>
  </si>
  <si>
    <t>BRUTOMAKSOUD0812202-9P7E7FJ</t>
  </si>
  <si>
    <t>BRUTO USP SP 08122021</t>
  </si>
  <si>
    <t>BRUTOUSPSP08122021M-9P7EH9M</t>
  </si>
  <si>
    <t>G0108605</t>
  </si>
  <si>
    <t>10 e 13/12/2021</t>
  </si>
  <si>
    <t>G0108630</t>
  </si>
  <si>
    <t>G0108656</t>
  </si>
  <si>
    <t>G0108685</t>
  </si>
  <si>
    <t>BRUTO GNV GAS 09122021</t>
  </si>
  <si>
    <t>BRUTOGNVGAS09122021-A5QS9OX</t>
  </si>
  <si>
    <t>G0108606</t>
  </si>
  <si>
    <t>12 e 20/12/2021</t>
  </si>
  <si>
    <t>G0108631</t>
  </si>
  <si>
    <t>G0108657</t>
  </si>
  <si>
    <t>G0108686</t>
  </si>
  <si>
    <t>BRUTO ELETRODOMESTICOS 10122021</t>
  </si>
  <si>
    <t>BRUTOELETRODOMESTIC-9P7E7FL</t>
  </si>
  <si>
    <t>SPO TUIA NATAL AAPPLE</t>
  </si>
  <si>
    <t>G0108607</t>
  </si>
  <si>
    <t>13/12 e 14/12/2021</t>
  </si>
  <si>
    <t>G0108632</t>
  </si>
  <si>
    <t>G0108658</t>
  </si>
  <si>
    <t>TONINHO</t>
  </si>
  <si>
    <t>G0108687</t>
  </si>
  <si>
    <t>MISTURA PAULISTA 11122021</t>
  </si>
  <si>
    <t>MISTURAPAULISTAPGM3-A5QSPP8</t>
  </si>
  <si>
    <t>G0108659</t>
  </si>
  <si>
    <t>G0108688</t>
  </si>
  <si>
    <t>BRUTO REDE SOCIAL 11122021</t>
  </si>
  <si>
    <t>BRUTOREDESOCIAL1112-4ORWQGL</t>
  </si>
  <si>
    <t>ACERVOESPORTEESPETA-9P7E3KR</t>
  </si>
  <si>
    <t>BRUTO RALO PISCINA 11122021</t>
  </si>
  <si>
    <t>BRUTORALOPISCINA111-4ORWQM4</t>
  </si>
  <si>
    <t>BRUTO PANETONE LINHA DE PRODUÇÃO 12122021</t>
  </si>
  <si>
    <t>BRUTOPANETONELINHAD-A5QS6G2</t>
  </si>
  <si>
    <t>BRUTO MINHOCÃO GRAFITES PAINÉIS 12122021</t>
  </si>
  <si>
    <t>BRUTOMINHOCAOGRAFIT-A5QS6PB</t>
  </si>
  <si>
    <t>G0108707</t>
  </si>
  <si>
    <t>G0108711</t>
  </si>
  <si>
    <t>G0108711_TEMP</t>
  </si>
  <si>
    <t xml:space="preserve">- </t>
  </si>
  <si>
    <t>G0108608</t>
  </si>
  <si>
    <t>14/12 e 15/12/2021</t>
  </si>
  <si>
    <t>G0108660</t>
  </si>
  <si>
    <t>G0108689</t>
  </si>
  <si>
    <t>BRUTO EMPRESARIO EXECUTIVO 13122021</t>
  </si>
  <si>
    <t>BRUTOEMPRESARIOEXEC-4ORWQGM</t>
  </si>
  <si>
    <t>BRUTO PLENÁRIO ASSEMBLEIA LEGISLATIVA DE SP 14122021</t>
  </si>
  <si>
    <t>BRUTOPLENARIOASSEMB-A5QSD8M</t>
  </si>
  <si>
    <t>G0108609</t>
  </si>
  <si>
    <t>15/12 e 16/12/2021</t>
  </si>
  <si>
    <t>G0108634</t>
  </si>
  <si>
    <t>G0108661</t>
  </si>
  <si>
    <t>G0108690</t>
  </si>
  <si>
    <t>BRUTO PADRE JULIO LANCELLOTTI 15122021</t>
  </si>
  <si>
    <t>BRUTOPADREJULIOLANC-9P7EGQJ</t>
  </si>
  <si>
    <t>BRUTO HOSPITAL MUNICIPAL PIMENTAS BONSUCESSO GUARULHOS 15122021</t>
  </si>
  <si>
    <t>BRUTOHOSPITALMUNICI-A5QSABA</t>
  </si>
  <si>
    <t>Não Houve exibição</t>
  </si>
  <si>
    <t>G0108610</t>
  </si>
  <si>
    <t>G0108662</t>
  </si>
  <si>
    <t>G0108691</t>
  </si>
  <si>
    <t>BRUTO FLEURY 16122021</t>
  </si>
  <si>
    <t>BRUTOFLEURY16122021-9P7EGQO</t>
  </si>
  <si>
    <t>G0108611</t>
  </si>
  <si>
    <t>G0108636</t>
  </si>
  <si>
    <t>G0108663</t>
  </si>
  <si>
    <t>G0108692</t>
  </si>
  <si>
    <t>BRUTO AEROPORTO CAMPO DE MARTE 17122021</t>
  </si>
  <si>
    <t>BRUTOCAMPODEMARTE17-A5QSAZA</t>
  </si>
  <si>
    <t>BRUTO ESTACAO VILA SONIA 17122021</t>
  </si>
  <si>
    <t>BRUTOESTACAOVILASON-A5QSP14</t>
  </si>
  <si>
    <t>BRUTO AEROPORTO GRU ITAPEMIRIM 17122021</t>
  </si>
  <si>
    <t>BRUTOAEROPORTOGRUIT-A5QSP0X</t>
  </si>
  <si>
    <t>G0108612</t>
  </si>
  <si>
    <t>G0108664</t>
  </si>
  <si>
    <t>G0108693</t>
  </si>
  <si>
    <t>BRUTO PLENÁRIO CÂMARA MUNICIPAL DE SP 18122021</t>
  </si>
  <si>
    <t>BRUTOPLENARIOCAMARA-A5QSAIN</t>
  </si>
  <si>
    <t>jEFERSON</t>
  </si>
  <si>
    <t>BRUTO COMÉRCIO NATAL RUA 25 DE MARÇO 18/12/2021</t>
  </si>
  <si>
    <t>BRUTOCOMERCIONATALR-A5QSAEF</t>
  </si>
  <si>
    <t>BRUTO ITAPEMIRIM ÔNIBUS AEROPORTO CHECK-IN 18122021</t>
  </si>
  <si>
    <t>BRUTOITAPEMIRIMONIB-A5QSGSN</t>
  </si>
  <si>
    <t>MISTURA PAULISTA 18122021</t>
  </si>
  <si>
    <t>MISTURAPAULISTA1812-A5QSPQZ</t>
  </si>
  <si>
    <t>G0108665</t>
  </si>
  <si>
    <t>G0108694</t>
  </si>
  <si>
    <t>Victor Xavier Maia</t>
  </si>
  <si>
    <t>BRUTO UPA JAÇANÃ SÃO PAULO 19/12/2021</t>
  </si>
  <si>
    <t>BRUTOUPAJACANASAOPA-A5QSDPF</t>
  </si>
  <si>
    <t>BRUTO SHOPPING SP NATAL 19122021</t>
  </si>
  <si>
    <t>BRUTOSHOPPINGSPNATA-A5QSP1N</t>
  </si>
  <si>
    <t>G0108708</t>
  </si>
  <si>
    <t>G0108712</t>
  </si>
  <si>
    <t>G0108712_TEMP</t>
  </si>
  <si>
    <t>G0108712TEMPMXF-A5QS5EU</t>
  </si>
  <si>
    <t>G0108613</t>
  </si>
  <si>
    <t>G0108638</t>
  </si>
  <si>
    <t>G0108666</t>
  </si>
  <si>
    <t>G0108695</t>
  </si>
  <si>
    <t>BRUTO ALDEIA INDÍGENA GUARANI SP PARALHEIROS 21122021</t>
  </si>
  <si>
    <t>BRUTO ALDEIA INDÍGENA GUARANI PARELHEIROS SP 21122021</t>
  </si>
  <si>
    <t>BRUTOALDEIAINDIGENA-A5QSDTX</t>
  </si>
  <si>
    <t>BRUTO HOSPITAL MUNICIPAL INFANTIL MENINO JESUS 21122021</t>
  </si>
  <si>
    <t>BRUTOHOSPITALMUNICI-A5QSGSU</t>
  </si>
  <si>
    <t>BRUTO AMA UBS JARDIM GRIMALDI SP 21122021</t>
  </si>
  <si>
    <t>BRUTOAMAUBSJARDIMGR-A5QSGT9</t>
  </si>
  <si>
    <t>BRUTO LOJAS DE ROUPAS BOM RETIRO SP 21122021</t>
  </si>
  <si>
    <t>BRUTOLOJASDEROUPASB-A5QSJM9</t>
  </si>
  <si>
    <t>G0108614</t>
  </si>
  <si>
    <t>G0108639</t>
  </si>
  <si>
    <t>G0108667</t>
  </si>
  <si>
    <t>G0108696</t>
  </si>
  <si>
    <t>22 e 23/12/2021</t>
  </si>
  <si>
    <t>BRUTO CRACOLÂNDIA SP 22122021</t>
  </si>
  <si>
    <t>BRUTOCRACOLANDIASP2-A5QSJHO</t>
  </si>
  <si>
    <t>BRUTO EMBU DAS ARTES OUTLET LOJAS 22122021</t>
  </si>
  <si>
    <t>BRUTOEMBUDASARTESOU-A5QSLRG</t>
  </si>
  <si>
    <t>BRUTO LOJA DE BRINQUEDOS 22122021</t>
  </si>
  <si>
    <t>BRUTOLOJADEBRINQUED-A5QSLW9</t>
  </si>
  <si>
    <t>G0108615</t>
  </si>
  <si>
    <t>G0108668</t>
  </si>
  <si>
    <t>G0108697</t>
  </si>
  <si>
    <t>BRUTO MERCADO DA LAPA SP CARNE DE PORCO BACALHAU 23122021</t>
  </si>
  <si>
    <t>NEWSHOTLIST02MXF-A5QSJMO</t>
  </si>
  <si>
    <t>BRUTO UPA LOTADA 23122021</t>
  </si>
  <si>
    <t>BRUTOUPALOTADA23122-A5QSLUM</t>
  </si>
  <si>
    <t>VT SP2 AUMENTO VENDAS VAREJO 23122021</t>
  </si>
  <si>
    <t>SP2AUMENTOVENDASVAR-A5QSJ9X</t>
  </si>
  <si>
    <t>VT SP2 IBGE INFLACAO 23122021</t>
  </si>
  <si>
    <t>VTSP2IBGEINFLACAO23-A5QSJA5</t>
  </si>
  <si>
    <t>SPO ESTREIAS 2312 GPIMENTEL</t>
  </si>
  <si>
    <t>G0108616</t>
  </si>
  <si>
    <t>23 e 24/12/2021</t>
  </si>
  <si>
    <t>G0108669</t>
  </si>
  <si>
    <t>G0108698</t>
  </si>
  <si>
    <t>VT BDSP QV NATAL 24122021</t>
  </si>
  <si>
    <t>VTBDSPQVNATAL241220-A5QSLJD</t>
  </si>
  <si>
    <t>BRUTO VACINA GRIPE UBS JARDIM MIRIM II SP 24122021</t>
  </si>
  <si>
    <t>BRUTOVACINAGRIPEUBS-A5QSLU5</t>
  </si>
  <si>
    <t>G0108617</t>
  </si>
  <si>
    <t>25 e 27/12/2021</t>
  </si>
  <si>
    <t>G0108642</t>
  </si>
  <si>
    <t>G0108670</t>
  </si>
  <si>
    <t>G0108699</t>
  </si>
  <si>
    <t>BRUTO RESERVATORIO CANTAREIRA 24122021</t>
  </si>
  <si>
    <t>BRUTORESERVATORIOCA-A5QSSJS</t>
  </si>
  <si>
    <t>BRUTO CENTRAL DE OPERACOES ENEL SP 25122021</t>
  </si>
  <si>
    <t>BRUTOCENTRALDEOPERA-A5QSSBI</t>
  </si>
  <si>
    <t>G0108671</t>
  </si>
  <si>
    <t>G0108700</t>
  </si>
  <si>
    <t>BRUTO CIDADE SP VAZIA 25122021</t>
  </si>
  <si>
    <t>BRUTOCIDADESPVAZIA2-A5QSSEK</t>
  </si>
  <si>
    <t>G0108709</t>
  </si>
  <si>
    <t>G0108713</t>
  </si>
  <si>
    <t>G0108713_TEMP</t>
  </si>
  <si>
    <t>G0108713TEMPMXF-A5QSO35</t>
  </si>
  <si>
    <t>G0108618</t>
  </si>
  <si>
    <t>27 e 28/12/2021</t>
  </si>
  <si>
    <t>G0108643</t>
  </si>
  <si>
    <t>G0108672</t>
  </si>
  <si>
    <t>G0108701</t>
  </si>
  <si>
    <t>ACERVO DOCV PREVENT SENIOR SEM LEGENDA</t>
  </si>
  <si>
    <t>DOCPREVENTSENIORVER-A5QSO9R</t>
  </si>
  <si>
    <t>G0108619</t>
  </si>
  <si>
    <t>SPO RETRÔ DO SANTOS FPASSOS</t>
  </si>
  <si>
    <t>QUADRO SUPERLIGA LLARANJEIRA</t>
  </si>
  <si>
    <t>SPO SAO SILV CERQUILHO RPETERS</t>
  </si>
  <si>
    <t>G0108644</t>
  </si>
  <si>
    <t>G0108673</t>
  </si>
  <si>
    <t>Antônio</t>
  </si>
  <si>
    <t>G0108702</t>
  </si>
  <si>
    <t>BRUTO ENCHENTE SANTO ANDRE 28122021</t>
  </si>
  <si>
    <t>BRUTOENCHENTESANTOA-A5QSVJ0</t>
  </si>
  <si>
    <t>BRUTO PARQUE VILLA LOBOS 28122021</t>
  </si>
  <si>
    <t>BRUTOPARQUEVILLALOB-AMA6F8G</t>
  </si>
  <si>
    <t>BRUTO CARTEIRA VACINA INFANTIL 28122021</t>
  </si>
  <si>
    <t>BRUTOCARTEIRAVACINA-AMA6FDT</t>
  </si>
  <si>
    <t>BRUTO CONTA DE LUZ E GAS 28122021</t>
  </si>
  <si>
    <t>BRUTOCONTADELUZEGAS-4ORWQB1</t>
  </si>
  <si>
    <t>G0108620</t>
  </si>
  <si>
    <t>29,30 e 31/12/2021</t>
  </si>
  <si>
    <t>VT SPO PALHAÇO NA SÃO SILV DBASTOS 29122021</t>
  </si>
  <si>
    <t>VT SPO RETRÔ PALMEIRAS LTEIXEIRA 29122021</t>
  </si>
  <si>
    <t>G0108645</t>
  </si>
  <si>
    <t xml:space="preserve">29/12/2021 11:06:29
</t>
  </si>
  <si>
    <t>G0108674</t>
  </si>
  <si>
    <t>G0108703</t>
  </si>
  <si>
    <t>BRUTO COMIDA DE BAR 27122021</t>
  </si>
  <si>
    <t>BRUTOCOMIDADEBAR271-A5QSVDK</t>
  </si>
  <si>
    <t>BRUTO ASPECTO BAIRRO PENHA  SP 29122021</t>
  </si>
  <si>
    <t>BRUTOASPECTOBAIRROP-A5QSVXA</t>
  </si>
  <si>
    <t>G0108621</t>
  </si>
  <si>
    <t>G0108646</t>
  </si>
  <si>
    <t>G0108675</t>
  </si>
  <si>
    <t>G0108704</t>
  </si>
  <si>
    <t>BRUTO GAS DE COZINHA 30122021</t>
  </si>
  <si>
    <t>BRUTOGASDECOZINHA30-4ORWQB2</t>
  </si>
  <si>
    <t>G0108622</t>
  </si>
  <si>
    <t>03 e 04/01/2022</t>
  </si>
  <si>
    <t>G0108676</t>
  </si>
  <si>
    <t>G0108705</t>
  </si>
  <si>
    <t xml:space="preserve">01/01/2022 08:24:00
</t>
  </si>
  <si>
    <t>Login</t>
  </si>
  <si>
    <t>Alex Lacerda</t>
  </si>
  <si>
    <t>alacerda</t>
  </si>
  <si>
    <t>Alicia Monteiro</t>
  </si>
  <si>
    <t>alicias</t>
  </si>
  <si>
    <t>Ana Chagas</t>
  </si>
  <si>
    <t>aboemer</t>
  </si>
  <si>
    <t>Anderson Yabiku</t>
  </si>
  <si>
    <t>yabiku</t>
  </si>
  <si>
    <t>Antonio Soares</t>
  </si>
  <si>
    <t>asgomes</t>
  </si>
  <si>
    <t>Daniela Nunes</t>
  </si>
  <si>
    <t>dmnunes</t>
  </si>
  <si>
    <t>Fabio Souza</t>
  </si>
  <si>
    <t>fabiols</t>
  </si>
  <si>
    <t>Ian Alves</t>
  </si>
  <si>
    <t>ialves</t>
  </si>
  <si>
    <t>Jeane Priscilla</t>
  </si>
  <si>
    <t>jeanep</t>
  </si>
  <si>
    <t>Jeferson Ferreira</t>
  </si>
  <si>
    <t>jferreir</t>
  </si>
  <si>
    <t>Victor Koslovsky</t>
  </si>
  <si>
    <t>visoares</t>
  </si>
  <si>
    <t>Número chamada</t>
  </si>
  <si>
    <t>Clip</t>
  </si>
  <si>
    <t>ID VIZ</t>
  </si>
  <si>
    <t>Duração</t>
  </si>
  <si>
    <t>PADRONIZAÇÃO ACERVO PROMO 2022</t>
  </si>
  <si>
    <t xml:space="preserve">Autorização de Imagem </t>
  </si>
  <si>
    <t>Chamadas</t>
  </si>
  <si>
    <t>Brutas</t>
  </si>
  <si>
    <t> </t>
  </si>
  <si>
    <t>BRUTAS CLIPE CARNAVAL 2026_ CENTRO SERGIO LILI</t>
  </si>
  <si>
    <t>Chamada Programação BH 2026 - Brutas Clipe Carnaval 2026</t>
  </si>
  <si>
    <t>P0290243_MG ENCONTRO (N) 15 12</t>
  </si>
  <si>
    <t>Chamada Programação BH 2026 - Chamada Encontro N - 15122025</t>
  </si>
  <si>
    <t>P0290457_MG  ENCONTRO  POS 15 12</t>
  </si>
  <si>
    <t>Chamada Programação BH 2026 - Chamada Encontro Pos - 15122025</t>
  </si>
  <si>
    <t>P0290567_v2_MG ENCONTRO MANUT</t>
  </si>
  <si>
    <t xml:space="preserve">Chamada Programação BH 2026 - Chamada Encontro Manut </t>
  </si>
  <si>
    <t>P0292472_MG CORACAO ALAORZINHO (D) 12 01</t>
  </si>
  <si>
    <t>Chamada Programação BH 2026 - Chamada Coração Celerado Alaorzinho - 12012026</t>
  </si>
  <si>
    <t>P0292975_MG FUT (N) 14 01</t>
  </si>
  <si>
    <t>Chamada Programação BH 2026 - Chamada Futebol  - 14012026</t>
  </si>
  <si>
    <t>P0293164_MG ESPORTE (N) 11 01</t>
  </si>
  <si>
    <t>Chamada Programação BH 2026 - Chamada Esporte - 11012026</t>
  </si>
  <si>
    <t>P0293473_MG CONVITE CLIPE N 14 01</t>
  </si>
  <si>
    <t>Chamada Programação BH 2026 - Chamada Convite Clipe - 14012026</t>
  </si>
  <si>
    <t>P0293699_MG BROTHER 26 MANUT</t>
  </si>
  <si>
    <t>Chamada Programação BH 2026 - Chamada Big Brother Brasil Manut - 26012026</t>
  </si>
  <si>
    <t>P0293700_MG BROTHER 26 MANUT 2</t>
  </si>
  <si>
    <t>Chamada Programação BH 2026 - Chamada Big Brother Brasil Manut  2 - 26012026</t>
  </si>
  <si>
    <t>P0293761_MG FUT (N) 18 01</t>
  </si>
  <si>
    <t>Chamada Programação BH 2026 - Chamada Futebol  - 18012026</t>
  </si>
  <si>
    <t>P0294015_MG CORACAO MANUT</t>
  </si>
  <si>
    <t>Chamada Programação BH 2026 - Chamada Coração Celerado Manut</t>
  </si>
  <si>
    <t>P0294561_MG CASA (A) 17 01</t>
  </si>
  <si>
    <t>Chamada Programação BH 2026 - Chamada Casa  - 17012026</t>
  </si>
  <si>
    <t>P0294741_MG FUT (N) 21 01</t>
  </si>
  <si>
    <t>Chamada Programação BH 2026 - Chamada Futebol  - 21012026</t>
  </si>
  <si>
    <t>P0294942_MG FUT (N) 25 01</t>
  </si>
  <si>
    <t>Chamada Programação BH 2026 - Chamada Futebol  - 25012026</t>
  </si>
  <si>
    <t>P0294954_MG CLIPE CARNA 2026</t>
  </si>
  <si>
    <t>Chamada Programação BH 2026 - Chamada Clipe Carnaval 2026</t>
  </si>
  <si>
    <t>P0295238_MG BROTHER MANUT (A) SEM3</t>
  </si>
  <si>
    <t>Chamada Programação BH 2026 - Chamada Big Brother Brasil Manut A</t>
  </si>
  <si>
    <t>P0295395_MG FABRICA PREVIA DIA 07 02</t>
  </si>
  <si>
    <t>Chamada Programação BH 2026 - Chamada Fábrica de Blocos Prévia - 07022026</t>
  </si>
  <si>
    <t>P0295400_MG CASA (A) 24 01</t>
  </si>
  <si>
    <t>Chamada Programação BH 2026 - Chamada Casa - 24012026</t>
  </si>
  <si>
    <t>P0295541_MG CARNAVAL (VEM AI) DE 9 A 17 02</t>
  </si>
  <si>
    <t>Chamada Programação BH 2026 - Chamada Carnaval vem aí  - 09022026</t>
  </si>
  <si>
    <t>P0295816_MG FUT (N) 31 01</t>
  </si>
  <si>
    <t>Chamada Programação BH 2026 - Chamada Futebol  - 31012026</t>
  </si>
  <si>
    <t>P0296332_MG CARNAVAL (TRANSMISSÃO) P 14 A 17 02</t>
  </si>
  <si>
    <t>Chamada Programação BH 2026 - Chamada  Transmissão Carnaval P - 14022026</t>
  </si>
  <si>
    <t>P0296334_MG CARNAVAL (TRANSMISSÃO) A 14 02</t>
  </si>
  <si>
    <t>Chamada Programação BH 2026 - Chamada  Transmissão Carnaval A- 14022026</t>
  </si>
  <si>
    <t>P0296336_MG CARNAVAL (TRANSMISSÃO) A 15 02</t>
  </si>
  <si>
    <t>Chamada Programação BH 2026 - Chamada  Transmissão Carnaval A- 15022026</t>
  </si>
  <si>
    <t>P0296338_MG CARNAVAL (TRANSMISSÃO) A 16 02</t>
  </si>
  <si>
    <t>Chamada Programação BH 2026 - Chamada  Transmissão Carnaval A- 16022026</t>
  </si>
  <si>
    <t>P0296340_MG CARNAVAL (TRANSMISSÃO) A 17 02</t>
  </si>
  <si>
    <t>Chamada Programação BH 2026 - Chamada  Transmissão Carnaval A- 17022026</t>
  </si>
  <si>
    <t>P0296470_MG FABRICA P 7 2</t>
  </si>
  <si>
    <t>Chamada Programação BH 2026 - Chamada Fábrica de Blocos P  - 07022026</t>
  </si>
  <si>
    <t>P0296541_MG BROTHER MANUT (A) SEM3 4 B</t>
  </si>
  <si>
    <t>Chamada Programação BH 2026 - Chamada Big Brother Brasil Manut A 4 B</t>
  </si>
  <si>
    <t>P0296728_v1_MG FUT (N) 08 02</t>
  </si>
  <si>
    <t>Chamada Programação BH 2026 - Chamada Futebol  - 08022026</t>
  </si>
  <si>
    <t>P0282496_MG CE VIU (N) 20 10</t>
  </si>
  <si>
    <t>03.13</t>
  </si>
  <si>
    <t>Chamada Programação BH 2026 - MG Programa Cê Viu N 20102026</t>
  </si>
  <si>
    <t>P0282497_MG CE VIU (A) 20 10</t>
  </si>
  <si>
    <t>03.11</t>
  </si>
  <si>
    <t>Chamada Programação BH 2026 - MG Programa Cê Viu A 20102026</t>
  </si>
  <si>
    <t>00.40</t>
  </si>
  <si>
    <t>Chamada Programação BH 2026 - Coração Alaorzinho D 12012026</t>
  </si>
  <si>
    <t>00.44</t>
  </si>
  <si>
    <t>Chamada Programação BH 2026 - Coração Manut</t>
  </si>
  <si>
    <t>P0294981_MG CORACAO MANUT GUITO</t>
  </si>
  <si>
    <t>00.42</t>
  </si>
  <si>
    <t>Chamada Programação BH 2026 - Coração Manut Guito</t>
  </si>
  <si>
    <t>00.47</t>
  </si>
  <si>
    <t>Chamada Programação BH 2026 - MG Casa A 24012026</t>
  </si>
  <si>
    <t>P0295587_MG TERRA AESP (P) 21 02</t>
  </si>
  <si>
    <t>02.54</t>
  </si>
  <si>
    <t>Chamada Programação BH 2026 - MG Terra de Minas AESP D 21022026</t>
  </si>
  <si>
    <t>P0295999_MG TERRA VEM AI (D) 21 02</t>
  </si>
  <si>
    <t>01.20</t>
  </si>
  <si>
    <t>Chamada Programação BH 2026 - MG Terra de Minas Vem Aí D 21022026</t>
  </si>
  <si>
    <t>P0297186_MG BBB NO BUSAO 05 02</t>
  </si>
  <si>
    <t>01.18</t>
  </si>
  <si>
    <t>Chamada Programação BH 2026 - MG BBB no Busão 05022026</t>
  </si>
  <si>
    <t>P0297574_MG CASA A 07 02 B</t>
  </si>
  <si>
    <t>01.32</t>
  </si>
  <si>
    <t>Chamada Programação BH 2026 - MG Casa A 07022026</t>
  </si>
  <si>
    <t>P0298092_MG BBB NO BUSAO 11 02</t>
  </si>
  <si>
    <t>01.08</t>
  </si>
  <si>
    <t>Chamada Programação BH 2026 - MG BBB no Busão 11022026</t>
  </si>
  <si>
    <t>P0298493_MG TRAMAS (TEASER) 28 02</t>
  </si>
  <si>
    <t>01.10</t>
  </si>
  <si>
    <t>Chamada Programação BH 2026 - MG Tramas Teaser 28022026</t>
  </si>
  <si>
    <t>P0298877_MG MULHER TEASER 07 03</t>
  </si>
  <si>
    <t>00.45</t>
  </si>
  <si>
    <t>Chamada Programação BH 2026 - MG Mulher Teaser 07032026</t>
  </si>
  <si>
    <t>P0298878_MG MULHER (P) 07 03</t>
  </si>
  <si>
    <t>01.11</t>
  </si>
  <si>
    <t>Chamada Programação BH 2026 - MG Mulher P 07032026</t>
  </si>
  <si>
    <t>P0299161_MG BBB NO BUSAO 19 02</t>
  </si>
  <si>
    <t>Chamada Programação BH 2026 - BBB no Busão 19022026</t>
  </si>
  <si>
    <t>P0299421_MG TRAMAS 28 02 P</t>
  </si>
  <si>
    <t>01.35</t>
  </si>
  <si>
    <t>Chamada Programação BH 2026 - MG Tramas 28022026 P</t>
  </si>
  <si>
    <t>P0299796_MG FUT (N) 01 03</t>
  </si>
  <si>
    <t>00.41</t>
  </si>
  <si>
    <t>Chamada Programação BH 2026 - MG Futebol N 01032026</t>
  </si>
  <si>
    <t>P0300006_MG BICHO VEM AI 14 03</t>
  </si>
  <si>
    <t>Chamada Programação BH 2026 - MG Bicho Vem Aí 14032026</t>
  </si>
  <si>
    <t>P0300101_MG FUT (N) 08 03</t>
  </si>
  <si>
    <t>00.56</t>
  </si>
  <si>
    <t>Chamada Programação BH 2026 - Futebol N 08032026</t>
  </si>
  <si>
    <t>P0300147_MG BBB NO BUSAO 25 02</t>
  </si>
  <si>
    <t>01.33</t>
  </si>
  <si>
    <t>Chamada Programação BH 2026 - BBB no Busão 25022026</t>
  </si>
  <si>
    <t>P0300385_MG PRAQUEMDOARJF</t>
  </si>
  <si>
    <t>Chamada Programação BH 2026 - MG Pra Quem Doar JF</t>
  </si>
  <si>
    <t>P0301234_MG BICHO 14 03 P</t>
  </si>
  <si>
    <t>Chamada Programação BH 2026 - MG Bicho 14032026 P</t>
  </si>
  <si>
    <t>P0301239_v1_MG BICHO 21 03 P</t>
  </si>
  <si>
    <t>01.29</t>
  </si>
  <si>
    <t>Chamada Programação BH 2026 - MG Bicho 21032026 P</t>
  </si>
  <si>
    <t>P0301244_MG BICHO 28 03 P</t>
  </si>
  <si>
    <t>Chamada Programação BH 2026 - MG Bicho 28032026 P</t>
  </si>
  <si>
    <t>P0301249_v1_MG BICHO 04 04 P</t>
  </si>
  <si>
    <t>01.51</t>
  </si>
  <si>
    <t>Chamada Programação BH 2026 - MG Bicho 04042026 P</t>
  </si>
  <si>
    <t>P0301359_MG BBB NO BUSAO 04 03</t>
  </si>
  <si>
    <t>01.00</t>
  </si>
  <si>
    <t>Chamada Programação BH 2026 - BBB no Busão 04032026</t>
  </si>
  <si>
    <t>P0301479_MG BICHO CROSS FUT 14 3</t>
  </si>
  <si>
    <t>01.06</t>
  </si>
  <si>
    <t>Chamada Programação BH 2026 - MG Bicho Cross Futebol 14032026</t>
  </si>
  <si>
    <t>P0302626_MG CE VIU (N) 16 03</t>
  </si>
  <si>
    <t>02.07</t>
  </si>
  <si>
    <t>Chamada Programação BH 2026 - MG Cê Viu N 16032026</t>
  </si>
  <si>
    <t>P0302689_MG BBB NO BUSAO 11 03</t>
  </si>
  <si>
    <t>Chamada Programação BH 2026 - BBB no Busão 11032026</t>
  </si>
  <si>
    <t>P0303354_MG AVENIDA BRASIL (DEBORAS) P</t>
  </si>
  <si>
    <t>01.30</t>
  </si>
  <si>
    <t xml:space="preserve">Chamada Programação BH 2026 - MG Avenida Brasil </t>
  </si>
  <si>
    <t>P0303391_MG NOBREZA POS ACAO MANUT</t>
  </si>
  <si>
    <t>Chamada Programação BH 2026 -  MG Nobreza Pós Ação Manut</t>
  </si>
  <si>
    <t>P0303430_MG NOBREZA MANUT</t>
  </si>
  <si>
    <t>Chamada Programação BH 2026 -  MG Nobreza Manut</t>
  </si>
  <si>
    <t>P0303543_MG BBB NO BUSAO 18 03</t>
  </si>
  <si>
    <t>01.03</t>
  </si>
  <si>
    <t>Chamada Programação BH 2026 - MG BBB no Busão 18032026</t>
  </si>
  <si>
    <t>P0304299_MG AVENIDA (COPA) P 30 03</t>
  </si>
  <si>
    <t>Chamada Programação BH 2026 - MG Avenida Brasil Copa P 30032026</t>
  </si>
  <si>
    <t>P0304741_MG AVENIDA ACAO N 31 03</t>
  </si>
  <si>
    <t>Chamada Programação BH 2026 - MG Avenida Brasil Ação N 31032026</t>
  </si>
  <si>
    <t>P0305259_MG AVENIDA ACAO N 31 03 B</t>
  </si>
  <si>
    <t>Chamada Programação BH 2026 - MG Avenida Brasil Ação N 31032026 B</t>
  </si>
  <si>
    <t>MG ENCONTRO POS 15 12</t>
  </si>
  <si>
    <t>00;18</t>
  </si>
  <si>
    <t>Chamada Programação BH 2026 - MG Encontro Pós 15122025</t>
  </si>
  <si>
    <t>02;05</t>
  </si>
  <si>
    <t>Chamada Programação BH 2026 - MG Encontro Pós 1512</t>
  </si>
  <si>
    <t>P0292474_MG CORACAO ALAORZINHO (N) 12 01</t>
  </si>
  <si>
    <t>00;41</t>
  </si>
  <si>
    <t>Chamada Programação BH 2026 - MG Coração Alaorzinho N 12012026</t>
  </si>
  <si>
    <t>01;14</t>
  </si>
  <si>
    <t xml:space="preserve">Chamada Programação BH 2026 - MG Brother Manutenção A </t>
  </si>
  <si>
    <t>P0297186_v1_MG BBB NO BUSAO 05 02</t>
  </si>
  <si>
    <t>01;18</t>
  </si>
  <si>
    <t>01;08</t>
  </si>
  <si>
    <t>Chamada Programação BH 2026 - MG BBB no Busão 19022026</t>
  </si>
  <si>
    <t>01;20</t>
  </si>
  <si>
    <t>Chamada Programação BH 2026 - MG É o Bicho Vem Aí 14032026</t>
  </si>
  <si>
    <t>01;33</t>
  </si>
  <si>
    <t>Chamada Programação BH 2026 - MG BBB no Busão 25022026</t>
  </si>
  <si>
    <t>Chamada Programação BH 2026 - MG É o Bicho 14032026 P</t>
  </si>
  <si>
    <t>01;29</t>
  </si>
  <si>
    <t>Chamada Programação BH 2026 - MG É o Bicho 21032026 P</t>
  </si>
  <si>
    <t>Chamada Programação BH 2026 - MG É o Bicho 28032026 P</t>
  </si>
  <si>
    <t>01;51</t>
  </si>
  <si>
    <t>Chamada Programação BH 2026 - MG É o Bicho 04042026 P</t>
  </si>
  <si>
    <t>01;00</t>
  </si>
  <si>
    <t>Chamada Programação BH 2026 - MG BBB no Busão 04032026</t>
  </si>
  <si>
    <t>01;06</t>
  </si>
  <si>
    <t>Chamada Programação BH 2026 - MG É o Bicho Cross Fut 14032026</t>
  </si>
  <si>
    <t>01;10</t>
  </si>
  <si>
    <t>Chamada Programação BH 2026 - MG BBB no Busão 11032026</t>
  </si>
  <si>
    <t>P0302949_MG CASA NOSSA VEM AI (D) 11 04</t>
  </si>
  <si>
    <t>01;13</t>
  </si>
  <si>
    <t>Chamada Programação BH 2026 - MG Casa Nossa Vem Aí D 11042026</t>
  </si>
  <si>
    <t>P0303019_MG CASA NOSSA (N) 25 04</t>
  </si>
  <si>
    <t>00;58</t>
  </si>
  <si>
    <t>Chamada Programação BH 2026 - MG Casa Nossa N 25042026</t>
  </si>
  <si>
    <t>P0303098_MG CASA NOSSA (P) 02 05</t>
  </si>
  <si>
    <t>00;59</t>
  </si>
  <si>
    <t>Chamada Programação BH 2026 - MG Casa Nossa P 02052026</t>
  </si>
  <si>
    <t>P0303106_MG CASA NOSSA (P) 09 05</t>
  </si>
  <si>
    <t>00;57</t>
  </si>
  <si>
    <t>Chamada Programação BH 2026 - MG Casa Nossa P 09052026</t>
  </si>
  <si>
    <t>P0303353_MG AVENIDA BRASIL (DEBORAS) DIA 30</t>
  </si>
  <si>
    <t>01;22</t>
  </si>
  <si>
    <t>Chamada Programação BH 2026 - MG Avenida Brasil Déboras 30</t>
  </si>
  <si>
    <t>01;30</t>
  </si>
  <si>
    <t>Chamada Programação BH 2026 - MG Avenida Brasil Déboras P</t>
  </si>
  <si>
    <t>Chamada Programação BH 2026 - MG Nobreza do Amor Pos Ação Manut</t>
  </si>
  <si>
    <t>01;32</t>
  </si>
  <si>
    <t>Chamada Programação BH 2026 - MG Nobreza do Amor Manut</t>
  </si>
  <si>
    <t>01;03</t>
  </si>
  <si>
    <t>P0303779_MG BROTHER MANUT (H) SEM 10</t>
  </si>
  <si>
    <t>Chamada Programação BH 2026 - MG Brother Manutenção H</t>
  </si>
  <si>
    <t>P0304651_MG BBB NO BUSAO 26 03</t>
  </si>
  <si>
    <t>01;17</t>
  </si>
  <si>
    <t>Chamada Programação BH 2026 - MG BBB no Busão 26032026</t>
  </si>
  <si>
    <t>P0305686_MG CASA NOSSA (P) 18 04 B</t>
  </si>
  <si>
    <t>Chamada Programação BH 2026 - MG Casa Nossa P 18042026 B</t>
  </si>
  <si>
    <t>P0305725_MG AVENIDA (POS) 31 3</t>
  </si>
  <si>
    <t>01;07</t>
  </si>
  <si>
    <t>Chamada Programação BH 2026 - MG Avenida Brasil Pós 31032026</t>
  </si>
  <si>
    <t>P0305819_MG CASA NOSSA (P) 11 04 B</t>
  </si>
  <si>
    <t>01;02</t>
  </si>
  <si>
    <t>Chamada Programação BH 2026 - MG Casa Nossa P 11042026 B</t>
  </si>
  <si>
    <t>P0305847_MG BBB NO BUSAO 01 04</t>
  </si>
  <si>
    <t>Chamada Programação BH 2026 - MG BBB no Busão 01042026</t>
  </si>
  <si>
    <t>P0305855_MG AVENIDA (CARUSO) MANUT</t>
  </si>
  <si>
    <t>00;51</t>
  </si>
  <si>
    <t>Chamada Programação BH 2026 - MG Avenida Brasil Caruso Manutenção</t>
  </si>
  <si>
    <t>P0306432_MG BBB NO BUSAO 08 04</t>
  </si>
  <si>
    <t>Chamada Programação BH 2026 - MG BBB no Busão 08042026</t>
  </si>
  <si>
    <t>P0306436_MG BROTHER MANUT (A) SEM13 2</t>
  </si>
  <si>
    <t>00;56</t>
  </si>
  <si>
    <t>Chamada Programação BH 2026 - MG Brother manutenção A 13022026</t>
  </si>
  <si>
    <t>P0307132_MG CASA NOSSA (ACAO) 18 04  N</t>
  </si>
  <si>
    <t>Chamada Programação BH 2026 - MG Casa Nossa Ação 18042026 N</t>
  </si>
  <si>
    <t>P0307261_MG BROTHER ACAO (N) 21 04.mxf</t>
  </si>
  <si>
    <t>Chamada Programação BH 2026 - MG Brother Ação N 21042026</t>
  </si>
  <si>
    <t>P0307468_MG AVENIDA MANUT ABRIL</t>
  </si>
  <si>
    <t>Chamada Programação BH 2026 - MG Avenida Brasil Manutenção Abril</t>
  </si>
  <si>
    <t>P0307469_MG LINHAS DE FE TEASER 16 5</t>
  </si>
  <si>
    <t>01;19</t>
  </si>
  <si>
    <t>Chamada Programação BH 2026 - MG Linhas de Fé Teaser 16052026</t>
  </si>
  <si>
    <t>P0307640_MG FAMILIA 19 04 N</t>
  </si>
  <si>
    <t>Chamada Programação BH 2026 - MG Família 19042026 N</t>
  </si>
  <si>
    <t>P0307643_MG BROTHER ACAO (N) 21 04 B</t>
  </si>
  <si>
    <t>Chamada Programação BH 2026 - MG Brother Ação N 21042026 B</t>
  </si>
  <si>
    <t>P0308261_MG BROTHER ACAO SEM MILENA (N) 21 04</t>
  </si>
  <si>
    <t>01;05</t>
  </si>
  <si>
    <t>Chamada Programação BH 2026 - MG Brother Ação sem Milena N 21042026</t>
  </si>
  <si>
    <t>P0308264_MG BROTHER ACAO SEM BONECO (H) 21 04</t>
  </si>
  <si>
    <t>Chamada Programação BH 2026 - MG Brother Ação sem Boneco H 21042026</t>
  </si>
  <si>
    <t>P0308589_MG BROTHER JORN MANUT</t>
  </si>
  <si>
    <t>Chamada Programação BH 2026 - MG Brother Jornalismo Manutenção</t>
  </si>
  <si>
    <t>P0309062_v1_MG VOO TEASER (DIA) 23 05</t>
  </si>
  <si>
    <t>00;43</t>
  </si>
  <si>
    <t>Chamada Programação BH 2026 - MG Voo Teaser 23052026</t>
  </si>
  <si>
    <t>P0309626_v2_MG VOO (P) 23 05</t>
  </si>
  <si>
    <t>Chamada Programação BH 2026 - MG Voo P 23052026</t>
  </si>
  <si>
    <t>00;35</t>
  </si>
  <si>
    <t>Chamada Programação BH 2026 - MG Encontro Manutenção</t>
  </si>
  <si>
    <t>Chamada Programação BH 2026 - MG Nobreza do Amor Pós Ação Manutenção</t>
  </si>
  <si>
    <t>Chamada Programação BH 2026 - MG Nobreza do Amor Manutenção</t>
  </si>
  <si>
    <t>P0305691_MG CORACAO (CARUSO) MANUT</t>
  </si>
  <si>
    <t>Chamada Programação BH 2026 - MG Coração Caruso Manutenção</t>
  </si>
  <si>
    <t>P0306293_MG EXPO FAVELA 1</t>
  </si>
  <si>
    <t>00;40</t>
  </si>
  <si>
    <t>Chamada Programação BH 2026 - MG Expo Favela 1</t>
  </si>
  <si>
    <t>P0306294_MG EXPO FAVELA 2</t>
  </si>
  <si>
    <t>Chamada Programação BH 2026 - MG Expo Favela 2</t>
  </si>
  <si>
    <t>P0307469_v1_MG LINHAS DE FE TEASER 16 5</t>
  </si>
  <si>
    <t>Chamada Programação BH 2026 - Linhas de Fé Teaser 16052026</t>
  </si>
  <si>
    <t>P0307611_v1_MG FE 16 05 P</t>
  </si>
  <si>
    <t>01;31</t>
  </si>
  <si>
    <t>Chamada Programação BH 2026 - Linhas de Fé 16052026 P</t>
  </si>
  <si>
    <t>P0311439_MG CORACAO (POS ACAO) MNT</t>
  </si>
  <si>
    <t>00;47</t>
  </si>
  <si>
    <t>Chamada Programação BH 2026 -  Coração Pós Ação Manutenção</t>
  </si>
  <si>
    <t>P0311440_MG AÇÃO QUEM AMA CUIDA (N) 15 05</t>
  </si>
  <si>
    <t>Chamada Programação BH 2026 - Quem Ama Cuida N 15052026</t>
  </si>
  <si>
    <t>P0312155_MG QUEM AMA POS 18 05 N</t>
  </si>
  <si>
    <t>Chamada Programação BH 2026 - Quem Ama Cuida Pós 18052026 N</t>
  </si>
  <si>
    <t>P0312492_MG GEOGRAFIA TEASER</t>
  </si>
  <si>
    <t>01;11</t>
  </si>
  <si>
    <t>Chamada Programação BH 2026 - Geografia do Afeto Teaser</t>
  </si>
  <si>
    <t>P0312492_v1_MG GEOGRAFIA TEASER</t>
  </si>
  <si>
    <t>Chamada Programação BH 2026 - Geografia do Afeto Teaser Versão 1</t>
  </si>
  <si>
    <t>P0313679_v1_MG GEOGRAFIA (P) 06 06</t>
  </si>
  <si>
    <t>01;28</t>
  </si>
  <si>
    <t>Chamada Programação BH 2026 - Geografia do Afeto Teaser Versão P 06062026</t>
  </si>
  <si>
    <t>P0313683_v1_MG GEOGRAFIA (N) 06 06</t>
  </si>
  <si>
    <t>Chamada Programação BH 2026 - Geografia do Afeto Teaser Versão N 06062026</t>
  </si>
  <si>
    <t>P0314030_MG  EXPO  POS  MANUT</t>
  </si>
  <si>
    <t>01;36</t>
  </si>
  <si>
    <t>Chamada Programação BH 2026 - Expo Pós Manutenção</t>
  </si>
  <si>
    <t>P0314299_MG  EXPO  POS  MANUT</t>
  </si>
  <si>
    <t>Chamada Programação BH 2026 - Expo Pós Manutenção versão 1</t>
  </si>
  <si>
    <t>P0314486_MG EXPO PÓS COPA MANUT B</t>
  </si>
  <si>
    <t>01;04</t>
  </si>
  <si>
    <t>Chamada Programação BH 2026 - Expo Pós Copa Manutenção B</t>
  </si>
  <si>
    <t>P0314486_v1_MG EXPO PÓS COPA MANUT B</t>
  </si>
  <si>
    <t>Chamada Programação BH 2026 - Expo Pós Copa Manutenção B 1</t>
  </si>
  <si>
    <t>P0315089_MG BIT E BROA TEASER 27 06</t>
  </si>
  <si>
    <t>01;27</t>
  </si>
  <si>
    <t>Chamada Programação BH 2026 - Bit e Broa Teaser 27062026</t>
  </si>
  <si>
    <t>P0315935_MG BIT E BROA 27 06 P</t>
  </si>
  <si>
    <t>Chamada Programação BH 2026 - Bit e Broa 27062026 P</t>
  </si>
  <si>
    <t>P0315939_MG BIT E BROA AESP P 27 06</t>
  </si>
  <si>
    <t>03;08</t>
  </si>
  <si>
    <t>Chamada Programação BH 2026 - Bit e Broa Aesp P 27062026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</si>
</sst>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400]h:mm:ss\ AM/PM"/>
    <numFmt numFmtId="165" formatCode="d/m/yy\ h:mm"/>
  </numFmts>
  <fonts count="43">
    <font>
      <sz val="11.0"/>
      <color/>
      <name val="Arial"/>
      <scheme val="minor"/>
    </font>
    <font>
      <b/>
      <sz val="11.0"/>
      <color/>
      <name val="Calibri"/>
    </font>
    <font/>
    <font>
      <b/>
      <sz val="11.0"/>
      <color rgb="FFFFFFFF"/>
      <name val="Calibri"/>
    </font>
    <font>
      <b/>
      <sz val="11.0"/>
      <name val="Calibri"/>
    </font>
    <font>
      <sz val="11.0"/>
      <name val="Calibri"/>
    </font>
    <font>
      <sz val="11.0"/>
      <color rgb="FFFF0000"/>
      <name val="Calibri"/>
    </font>
    <font>
      <sz val="11.0"/>
      <color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9.0"/>
      <color rgb="FF000000"/>
      <name val="Open Sans"/>
    </font>
    <font>
      <sz val="9.0"/>
      <color rgb="FF333333"/>
      <name val="Open Sans"/>
    </font>
    <font>
      <sz val="11.0"/>
      <color rgb="FFC00000"/>
      <name val="Calibri"/>
    </font>
    <font>
      <sz val="11.0"/>
      <color rgb="FF000000"/>
      <name val="Open Sans"/>
    </font>
    <font>
      <sz val="14.0"/>
      <color rgb="FF000000"/>
      <name val="Open Sans"/>
    </font>
    <font>
      <b/>
      <sz val="9.0"/>
      <color rgb="FF000000"/>
      <name val="Open Sans"/>
    </font>
    <font>
      <b/>
      <sz val="11.0"/>
      <color rgb="FF000000"/>
      <name val="Calibri"/>
    </font>
    <font>
      <sz val="9.0"/>
      <name val="Calibri"/>
    </font>
    <font>
      <sz val="10.0"/>
      <color rgb="FF000000"/>
      <name val="Open Sans"/>
    </font>
    <font>
      <sz val="9.0"/>
      <color rgb="FFEEEEEE"/>
      <name val="Open Sans"/>
    </font>
    <font>
      <sz val="9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sz val="9.0"/>
      <color/>
      <name val="Open Sans"/>
    </font>
    <font>
      <color rgb="FFFFFFFF"/>
    </font>
    <font>
      <b/>
      <sz val="14.0"/>
      <color/>
      <name val="Calibri"/>
    </font>
    <font>
      <b/>
      <u/>
      <sz val="12.0"/>
      <color rgb="FFFF0000"/>
      <name val="Calibri"/>
    </font>
    <font>
      <b/>
      <u/>
      <sz val="12.0"/>
      <color rgb="FFFF0000"/>
      <name val="Calibri"/>
    </font>
    <font>
      <b/>
      <sz val="11.0"/>
      <color rgb="FFED7D31"/>
      <name val="Calibri"/>
    </font>
    <font>
      <sz val="11.0"/>
      <color rgb="FFFFFFFF"/>
      <name val="Calibri"/>
    </font>
    <font>
      <sz val="11.0"/>
      <color rgb="FFFFFF00"/>
      <name val="Calibri"/>
    </font>
    <font>
      <sz val="9.0"/>
      <color rgb="FF000000"/>
      <name val="Trebuchet MS"/>
    </font>
    <font>
      <u/>
      <sz val="11.0"/>
      <color/>
      <name val="Calibri"/>
    </font>
    <font>
      <u/>
      <sz val="11.0"/>
      <color/>
      <name val="Calibri"/>
    </font>
    <font>
      <sz val="11.0"/>
      <color rgb="FF00B050"/>
      <name val="Calibri"/>
    </font>
    <font>
      <strike/>
      <sz val="11.0"/>
      <color rgb="FF000000"/>
      <name val="Calibri"/>
    </font>
    <font>
      <sz val="10.0"/>
      <color rgb="FF000000"/>
      <name val="Arial"/>
    </font>
    <font>
      <sz val="10.0"/>
      <color rgb="FF000000"/>
      <name val="Trebuchet MS"/>
    </font>
    <font>
      <sz val="11.0"/>
      <color rgb="FF70AD47"/>
      <name val="Calibri"/>
    </font>
    <font>
      <sz val="11.0"/>
      <color rgb="FF4F8F24"/>
      <name val="Calibri"/>
    </font>
    <font>
      <sz val="11.0"/>
      <color rgb="FFFFB7B7"/>
      <name val="Calibri"/>
    </font>
    <font>
      <b/>
      <sz val="11.0"/>
      <color rgb="FFE36C09"/>
      <name val="Calibri"/>
    </font>
    <font>
      <sz val="11.0"/>
      <color rgb="FFE36C09"/>
      <name val="Calibri"/>
    </font>
  </fonts>
  <fills count="32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4F8F24"/>
        <bgColor rgb="FF4F8F24"/>
      </patternFill>
    </fill>
    <fill>
      <patternFill patternType="solid">
        <fgColor rgb="FFFFC000"/>
        <bgColor rgb="FFFFC000"/>
      </patternFill>
    </fill>
    <fill>
      <patternFill patternType="solid">
        <fgColor rgb="FFCCC0D9"/>
        <bgColor rgb="FFCCC0D9"/>
      </patternFill>
    </fill>
    <fill>
      <patternFill patternType="solid">
        <fgColor rgb="FFE06E70"/>
        <bgColor rgb="FFE06E70"/>
      </patternFill>
    </fill>
    <fill>
      <patternFill patternType="solid">
        <fgColor rgb="FF7F7F7F"/>
        <bgColor rgb="FF7F7F7F"/>
      </patternFill>
    </fill>
    <fill>
      <patternFill patternType="solid">
        <fgColor rgb="FF808080"/>
        <bgColor rgb="FF808080"/>
      </patternFill>
    </fill>
    <fill>
      <patternFill patternType="solid">
        <fgColor rgb="FF92CDDC"/>
        <bgColor rgb="FF92CDDC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B7B7"/>
        <bgColor rgb="FFFFB7B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AEAAAA"/>
        <bgColor rgb="FFAEAAAA"/>
      </patternFill>
    </fill>
    <fill>
      <patternFill patternType="solid">
        <fgColor rgb="FF548235"/>
        <bgColor rgb="FF548235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</fills>
  <borders count="63">
    <border/>
    <border>
      <left/>
      <top/>
      <bottom/>
    </border>
    <border>
      <top/>
      <bottom/>
    </border>
    <border>
      <right/>
      <top/>
      <bottom/>
    </border>
    <border>
      <left/>
      <top/>
      <bottom style="hair">
        <color/>
      </bottom>
    </border>
    <border>
      <top/>
      <bottom style="hair">
        <color/>
      </bottom>
    </border>
    <border>
      <right/>
      <top/>
      <bottom style="hair">
        <color/>
      </bottom>
    </border>
    <border>
      <left/>
      <right/>
      <top/>
      <bottom/>
    </border>
    <border>
      <left style="hair">
        <color/>
      </left>
      <right style="hair">
        <color/>
      </right>
      <top style="hair">
        <color/>
      </top>
      <bottom/>
    </border>
    <border>
      <left style="hair">
        <color rgb="FFFFFFFF"/>
      </left>
      <right style="hair">
        <color rgb="FFFFFFFF"/>
      </right>
      <top style="hair">
        <color rgb="FFFFFFFF"/>
      </top>
      <bottom/>
    </border>
    <border>
      <left style="hair">
        <color/>
      </left>
      <right style="hair">
        <color/>
      </right>
      <top style="hair">
        <color/>
      </top>
      <bottom style="hair">
        <color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thin">
        <color/>
      </left>
      <right style="thin">
        <color/>
      </right>
      <top style="thin">
        <color/>
      </top>
      <bottom/>
    </border>
    <border>
      <left style="thin">
        <color/>
      </left>
      <right style="thin">
        <color/>
      </right>
      <top style="thin">
        <color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hair">
        <color/>
      </bottom>
    </border>
    <border>
      <right style="thin">
        <color rgb="FF000000"/>
      </right>
      <bottom style="hair">
        <color/>
      </bottom>
    </border>
    <border>
      <left style="thin">
        <color rgb="FF000000"/>
      </left>
      <top style="thin">
        <color rgb="FF000000"/>
      </top>
      <bottom style="hair">
        <color/>
      </bottom>
    </border>
    <border>
      <top style="thin">
        <color rgb="FF000000"/>
      </top>
      <bottom style="hair">
        <color/>
      </bottom>
    </border>
    <border>
      <right/>
      <top style="thin">
        <color rgb="FF000000"/>
      </top>
      <bottom style="hair">
        <color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 style="hair">
        <color/>
      </bottom>
    </border>
    <border>
      <left style="hair">
        <color/>
      </left>
      <right/>
      <top style="hair">
        <color/>
      </top>
      <bottom style="hair">
        <color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/>
    </border>
    <border>
      <left/>
      <right style="hair">
        <color/>
      </right>
      <top style="hair">
        <color/>
      </top>
      <bottom style="hair">
        <color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  <top/>
      <bottom style="dotted">
        <color rgb="FFFFFFFF"/>
      </bottom>
    </border>
    <border>
      <left style="hair">
        <color/>
      </left>
      <right style="hair">
        <color/>
      </right>
      <top/>
      <bottom style="hair">
        <color/>
      </bottom>
    </border>
    <border>
      <top style="thin">
        <color/>
      </top>
    </border>
    <border>
      <left/>
      <right/>
      <top style="thin">
        <color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1" fillId="4" fontId="1" numFmtId="0" xfId="0" applyAlignment="1" applyBorder="1" applyFill="1" applyFont="1">
      <alignment horizontal="center"/>
    </xf>
    <xf borderId="7" fillId="4" fontId="1" numFmtId="0" xfId="0" applyAlignment="1" applyBorder="1" applyFont="1">
      <alignment horizontal="center"/>
    </xf>
    <xf borderId="4" fillId="5" fontId="1" numFmtId="0" xfId="0" applyAlignment="1" applyBorder="1" applyFill="1" applyFont="1">
      <alignment horizontal="center"/>
    </xf>
    <xf borderId="7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/>
    </xf>
    <xf borderId="8" fillId="8" fontId="1" numFmtId="0" xfId="0" applyAlignment="1" applyBorder="1" applyFill="1" applyFont="1">
      <alignment horizontal="center" vertical="center"/>
    </xf>
    <xf borderId="9" fillId="9" fontId="3" numFmtId="0" xfId="0" applyAlignment="1" applyBorder="1" applyFill="1" applyFont="1">
      <alignment horizontal="center" vertical="center"/>
    </xf>
    <xf borderId="8" fillId="10" fontId="4" numFmtId="0" xfId="0" applyAlignment="1" applyBorder="1" applyFill="1" applyFont="1">
      <alignment horizontal="center" vertical="center"/>
    </xf>
    <xf borderId="10" fillId="11" fontId="4" numFmtId="0" xfId="0" applyAlignment="1" applyBorder="1" applyFill="1" applyFont="1">
      <alignment horizontal="center" vertical="center"/>
    </xf>
    <xf borderId="10" fillId="11" fontId="4" numFmtId="164" xfId="0" applyAlignment="1" applyBorder="1" applyFont="1" applyNumberFormat="1">
      <alignment horizontal="center" vertical="center"/>
    </xf>
    <xf borderId="8" fillId="11" fontId="4" numFmtId="0" xfId="0" applyAlignment="1" applyBorder="1" applyFont="1">
      <alignment horizontal="center" vertical="center"/>
    </xf>
    <xf borderId="8" fillId="12" fontId="4" numFmtId="0" xfId="0" applyAlignment="1" applyBorder="1" applyFill="1" applyFont="1">
      <alignment horizontal="center" vertical="center"/>
    </xf>
    <xf borderId="8" fillId="13" fontId="4" numFmtId="0" xfId="0" applyAlignment="1" applyBorder="1" applyFill="1" applyFont="1">
      <alignment horizontal="center" vertical="center"/>
    </xf>
    <xf borderId="11" fillId="14" fontId="5" numFmtId="14" xfId="0" applyAlignment="1" applyBorder="1" applyFill="1" applyFont="1" applyNumberFormat="1">
      <alignment horizontal="left" vertical="center"/>
    </xf>
    <xf borderId="11" fillId="14" fontId="5" numFmtId="0" xfId="0" applyAlignment="1" applyBorder="1" applyFont="1">
      <alignment horizontal="left"/>
    </xf>
    <xf borderId="11" fillId="14" fontId="5" numFmtId="21" xfId="0" applyAlignment="1" applyBorder="1" applyFont="1" applyNumberFormat="1">
      <alignment horizontal="left" vertical="center"/>
    </xf>
    <xf borderId="11" fillId="14" fontId="6" numFmtId="0" xfId="0" applyAlignment="1" applyBorder="1" applyFont="1">
      <alignment horizontal="left"/>
    </xf>
    <xf borderId="11" fillId="15" fontId="5" numFmtId="0" xfId="0" applyAlignment="1" applyBorder="1" applyFill="1" applyFont="1">
      <alignment horizontal="left"/>
    </xf>
    <xf borderId="11" fillId="15" fontId="5" numFmtId="0" xfId="0" applyAlignment="1" applyBorder="1" applyFont="1">
      <alignment horizontal="center"/>
    </xf>
    <xf borderId="11" fillId="15" fontId="5" numFmtId="22" xfId="0" applyAlignment="1" applyBorder="1" applyFont="1" applyNumberFormat="1">
      <alignment horizontal="center"/>
    </xf>
    <xf borderId="11" fillId="16" fontId="5" numFmtId="14" xfId="0" applyAlignment="1" applyBorder="1" applyFill="1" applyFont="1" applyNumberFormat="1">
      <alignment horizontal="left"/>
    </xf>
    <xf borderId="11" fillId="16" fontId="5" numFmtId="164" xfId="0" applyAlignment="1" applyBorder="1" applyFont="1" applyNumberFormat="1">
      <alignment horizontal="left"/>
    </xf>
    <xf borderId="11" fillId="16" fontId="5" numFmtId="0" xfId="0" applyAlignment="1" applyBorder="1" applyFont="1">
      <alignment horizontal="left"/>
    </xf>
    <xf quotePrefix="1" borderId="11" fillId="0" fontId="5" numFmtId="0" xfId="0" applyAlignment="1" applyBorder="1" applyFont="1">
      <alignment horizontal="center"/>
    </xf>
    <xf quotePrefix="1" borderId="11" fillId="0" fontId="5" numFmtId="14" xfId="0" applyAlignment="1" applyBorder="1" applyFont="1" applyNumberFormat="1">
      <alignment horizontal="center"/>
    </xf>
    <xf borderId="0" fillId="0" fontId="7" numFmtId="0" xfId="0" applyAlignment="1" applyFont="1">
      <alignment horizontal="center" vertical="center"/>
    </xf>
    <xf borderId="11" fillId="0" fontId="8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1" fillId="0" fontId="5" numFmtId="14" xfId="0" applyAlignment="1" applyBorder="1" applyFont="1" applyNumberFormat="1">
      <alignment horizontal="center"/>
    </xf>
    <xf borderId="11" fillId="14" fontId="8" numFmtId="14" xfId="0" applyAlignment="1" applyBorder="1" applyFont="1" applyNumberFormat="1">
      <alignment horizontal="left" vertical="center"/>
    </xf>
    <xf borderId="11" fillId="14" fontId="8" numFmtId="0" xfId="0" applyAlignment="1" applyBorder="1" applyFont="1">
      <alignment horizontal="left"/>
    </xf>
    <xf borderId="11" fillId="14" fontId="8" numFmtId="21" xfId="0" applyAlignment="1" applyBorder="1" applyFont="1" applyNumberFormat="1">
      <alignment horizontal="left" vertical="center"/>
    </xf>
    <xf borderId="11" fillId="15" fontId="8" numFmtId="0" xfId="0" applyAlignment="1" applyBorder="1" applyFont="1">
      <alignment horizontal="left"/>
    </xf>
    <xf borderId="11" fillId="15" fontId="8" numFmtId="0" xfId="0" applyAlignment="1" applyBorder="1" applyFont="1">
      <alignment horizontal="center"/>
    </xf>
    <xf borderId="11" fillId="15" fontId="8" numFmtId="22" xfId="0" applyAlignment="1" applyBorder="1" applyFont="1" applyNumberFormat="1">
      <alignment horizontal="center"/>
    </xf>
    <xf borderId="11" fillId="16" fontId="8" numFmtId="14" xfId="0" applyAlignment="1" applyBorder="1" applyFont="1" applyNumberFormat="1">
      <alignment horizontal="left"/>
    </xf>
    <xf borderId="11" fillId="16" fontId="8" numFmtId="164" xfId="0" applyAlignment="1" applyBorder="1" applyFont="1" applyNumberFormat="1">
      <alignment horizontal="left"/>
    </xf>
    <xf borderId="11" fillId="16" fontId="8" numFmtId="0" xfId="0" applyAlignment="1" applyBorder="1" applyFont="1">
      <alignment horizontal="left"/>
    </xf>
    <xf borderId="11" fillId="0" fontId="8" numFmtId="0" xfId="0" applyAlignment="1" applyBorder="1" applyFont="1">
      <alignment horizontal="center"/>
    </xf>
    <xf borderId="11" fillId="0" fontId="8" numFmtId="14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11" fillId="0" fontId="6" numFmtId="0" xfId="0" applyAlignment="1" applyBorder="1" applyFont="1">
      <alignment horizontal="center"/>
    </xf>
    <xf borderId="11" fillId="17" fontId="5" numFmtId="14" xfId="0" applyAlignment="1" applyBorder="1" applyFill="1" applyFont="1" applyNumberFormat="1">
      <alignment horizontal="left" vertical="center"/>
    </xf>
    <xf borderId="11" fillId="17" fontId="5" numFmtId="0" xfId="0" applyAlignment="1" applyBorder="1" applyFont="1">
      <alignment horizontal="left"/>
    </xf>
    <xf borderId="11" fillId="17" fontId="5" numFmtId="21" xfId="0" applyAlignment="1" applyBorder="1" applyFont="1" applyNumberFormat="1">
      <alignment horizontal="left" vertical="center"/>
    </xf>
    <xf borderId="11" fillId="17" fontId="6" numFmtId="0" xfId="0" applyAlignment="1" applyBorder="1" applyFont="1">
      <alignment horizontal="left"/>
    </xf>
    <xf borderId="7" fillId="15" fontId="7" numFmtId="0" xfId="0" applyBorder="1" applyFont="1"/>
    <xf borderId="0" fillId="0" fontId="8" numFmtId="0" xfId="0" applyAlignment="1" applyFont="1">
      <alignment horizontal="center" vertical="center"/>
    </xf>
    <xf borderId="11" fillId="18" fontId="5" numFmtId="14" xfId="0" applyAlignment="1" applyBorder="1" applyFill="1" applyFont="1" applyNumberFormat="1">
      <alignment horizontal="left" vertical="center"/>
    </xf>
    <xf borderId="11" fillId="18" fontId="5" numFmtId="0" xfId="0" applyAlignment="1" applyBorder="1" applyFont="1">
      <alignment horizontal="left"/>
    </xf>
    <xf borderId="11" fillId="18" fontId="5" numFmtId="21" xfId="0" applyAlignment="1" applyBorder="1" applyFont="1" applyNumberFormat="1">
      <alignment horizontal="left" vertical="center"/>
    </xf>
    <xf borderId="11" fillId="18" fontId="5" numFmtId="0" xfId="0" applyAlignment="1" applyBorder="1" applyFont="1">
      <alignment horizontal="left" vertical="center"/>
    </xf>
    <xf borderId="11" fillId="18" fontId="6" numFmtId="0" xfId="0" applyAlignment="1" applyBorder="1" applyFont="1">
      <alignment horizontal="left"/>
    </xf>
    <xf borderId="11" fillId="10" fontId="5" numFmtId="14" xfId="0" applyAlignment="1" applyBorder="1" applyFont="1" applyNumberFormat="1">
      <alignment horizontal="left" vertical="center"/>
    </xf>
    <xf borderId="11" fillId="10" fontId="5" numFmtId="0" xfId="0" applyAlignment="1" applyBorder="1" applyFont="1">
      <alignment horizontal="left"/>
    </xf>
    <xf borderId="11" fillId="10" fontId="5" numFmtId="21" xfId="0" applyAlignment="1" applyBorder="1" applyFont="1" applyNumberFormat="1">
      <alignment horizontal="left" vertical="center"/>
    </xf>
    <xf borderId="11" fillId="10" fontId="6" numFmtId="0" xfId="0" applyAlignment="1" applyBorder="1" applyFont="1">
      <alignment horizontal="left"/>
    </xf>
    <xf borderId="11" fillId="15" fontId="9" numFmtId="0" xfId="0" applyAlignment="1" applyBorder="1" applyFont="1">
      <alignment horizontal="left"/>
    </xf>
    <xf borderId="7" fillId="14" fontId="5" numFmtId="0" xfId="0" applyAlignment="1" applyBorder="1" applyFont="1">
      <alignment horizontal="left"/>
    </xf>
    <xf borderId="11" fillId="14" fontId="10" numFmtId="0" xfId="0" applyBorder="1" applyFont="1"/>
    <xf borderId="11" fillId="14" fontId="5" numFmtId="0" xfId="0" applyAlignment="1" applyBorder="1" applyFont="1">
      <alignment horizontal="left" vertical="center"/>
    </xf>
    <xf borderId="11" fillId="16" fontId="5" numFmtId="21" xfId="0" applyAlignment="1" applyBorder="1" applyFont="1" applyNumberFormat="1">
      <alignment horizontal="left"/>
    </xf>
    <xf borderId="11" fillId="15" fontId="8" numFmtId="0" xfId="0" applyAlignment="1" applyBorder="1" applyFont="1">
      <alignment horizontal="left" shrinkToFit="0" wrapText="1"/>
    </xf>
    <xf borderId="12" fillId="14" fontId="5" numFmtId="0" xfId="0" applyAlignment="1" applyBorder="1" applyFont="1">
      <alignment horizontal="left"/>
    </xf>
    <xf borderId="12" fillId="14" fontId="5" numFmtId="21" xfId="0" applyAlignment="1" applyBorder="1" applyFont="1" applyNumberFormat="1">
      <alignment horizontal="left" vertical="center"/>
    </xf>
    <xf borderId="12" fillId="15" fontId="5" numFmtId="0" xfId="0" applyAlignment="1" applyBorder="1" applyFont="1">
      <alignment horizontal="left"/>
    </xf>
    <xf borderId="12" fillId="15" fontId="5" numFmtId="0" xfId="0" applyAlignment="1" applyBorder="1" applyFont="1">
      <alignment horizontal="center"/>
    </xf>
    <xf borderId="12" fillId="15" fontId="5" numFmtId="22" xfId="0" applyAlignment="1" applyBorder="1" applyFont="1" applyNumberFormat="1">
      <alignment horizontal="center"/>
    </xf>
    <xf borderId="12" fillId="16" fontId="5" numFmtId="0" xfId="0" applyAlignment="1" applyBorder="1" applyFont="1">
      <alignment horizontal="left"/>
    </xf>
    <xf borderId="12" fillId="0" fontId="5" numFmtId="0" xfId="0" applyAlignment="1" applyBorder="1" applyFont="1">
      <alignment horizontal="center"/>
    </xf>
    <xf borderId="12" fillId="0" fontId="5" numFmtId="14" xfId="0" applyAlignment="1" applyBorder="1" applyFont="1" applyNumberFormat="1">
      <alignment horizontal="center"/>
    </xf>
    <xf borderId="13" fillId="0" fontId="8" numFmtId="0" xfId="0" applyAlignment="1" applyBorder="1" applyFont="1">
      <alignment horizontal="center"/>
    </xf>
    <xf borderId="11" fillId="0" fontId="8" numFmtId="14" xfId="0" applyAlignment="1" applyBorder="1" applyFont="1" applyNumberFormat="1">
      <alignment horizontal="center"/>
    </xf>
    <xf borderId="11" fillId="15" fontId="5" numFmtId="0" xfId="0" applyAlignment="1" applyBorder="1" applyFont="1">
      <alignment horizontal="left" vertical="center"/>
    </xf>
    <xf borderId="11" fillId="15" fontId="8" numFmtId="0" xfId="0" applyAlignment="1" applyBorder="1" applyFont="1">
      <alignment horizontal="left" vertical="center"/>
    </xf>
    <xf borderId="11" fillId="18" fontId="8" numFmtId="0" xfId="0" applyAlignment="1" applyBorder="1" applyFont="1">
      <alignment horizontal="left"/>
    </xf>
    <xf borderId="11" fillId="10" fontId="8" numFmtId="14" xfId="0" applyAlignment="1" applyBorder="1" applyFont="1" applyNumberFormat="1">
      <alignment horizontal="left" vertical="center"/>
    </xf>
    <xf borderId="11" fillId="10" fontId="8" numFmtId="0" xfId="0" applyAlignment="1" applyBorder="1" applyFont="1">
      <alignment horizontal="left"/>
    </xf>
    <xf borderId="11" fillId="10" fontId="8" numFmtId="21" xfId="0" applyAlignment="1" applyBorder="1" applyFont="1" applyNumberFormat="1">
      <alignment horizontal="left" vertical="center"/>
    </xf>
    <xf borderId="11" fillId="14" fontId="8" numFmtId="0" xfId="0" applyAlignment="1" applyBorder="1" applyFont="1">
      <alignment horizontal="left" shrinkToFit="0" wrapText="1"/>
    </xf>
    <xf borderId="11" fillId="0" fontId="6" numFmtId="14" xfId="0" applyAlignment="1" applyBorder="1" applyFont="1" applyNumberFormat="1">
      <alignment horizontal="center"/>
    </xf>
    <xf borderId="11" fillId="14" fontId="7" numFmtId="14" xfId="0" applyAlignment="1" applyBorder="1" applyFont="1" applyNumberFormat="1">
      <alignment horizontal="left" vertical="center"/>
    </xf>
    <xf borderId="11" fillId="14" fontId="7" numFmtId="0" xfId="0" applyAlignment="1" applyBorder="1" applyFont="1">
      <alignment horizontal="left"/>
    </xf>
    <xf borderId="11" fillId="14" fontId="7" numFmtId="21" xfId="0" applyAlignment="1" applyBorder="1" applyFont="1" applyNumberFormat="1">
      <alignment horizontal="left" vertical="center"/>
    </xf>
    <xf borderId="11" fillId="15" fontId="7" numFmtId="0" xfId="0" applyAlignment="1" applyBorder="1" applyFont="1">
      <alignment horizontal="left"/>
    </xf>
    <xf borderId="11" fillId="15" fontId="7" numFmtId="0" xfId="0" applyAlignment="1" applyBorder="1" applyFont="1">
      <alignment horizontal="center"/>
    </xf>
    <xf borderId="11" fillId="15" fontId="7" numFmtId="22" xfId="0" applyAlignment="1" applyBorder="1" applyFont="1" applyNumberFormat="1">
      <alignment horizontal="center"/>
    </xf>
    <xf borderId="11" fillId="16" fontId="7" numFmtId="14" xfId="0" applyAlignment="1" applyBorder="1" applyFont="1" applyNumberFormat="1">
      <alignment horizontal="left"/>
    </xf>
    <xf borderId="11" fillId="16" fontId="7" numFmtId="164" xfId="0" applyAlignment="1" applyBorder="1" applyFont="1" applyNumberFormat="1">
      <alignment horizontal="left"/>
    </xf>
    <xf borderId="11" fillId="16" fontId="7" numFmtId="0" xfId="0" applyAlignment="1" applyBorder="1" applyFont="1">
      <alignment horizontal="left"/>
    </xf>
    <xf borderId="11" fillId="0" fontId="7" numFmtId="0" xfId="0" applyAlignment="1" applyBorder="1" applyFont="1">
      <alignment horizontal="center"/>
    </xf>
    <xf borderId="11" fillId="0" fontId="7" numFmtId="14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0" fillId="0" fontId="10" numFmtId="0" xfId="0" applyFont="1"/>
    <xf borderId="11" fillId="15" fontId="5" numFmtId="0" xfId="0" applyAlignment="1" applyBorder="1" applyFont="1">
      <alignment horizontal="left" shrinkToFit="0" wrapText="1"/>
    </xf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center"/>
    </xf>
    <xf borderId="11" fillId="0" fontId="5" numFmtId="22" xfId="0" applyAlignment="1" applyBorder="1" applyFont="1" applyNumberFormat="1">
      <alignment horizontal="center"/>
    </xf>
    <xf borderId="11" fillId="0" fontId="5" numFmtId="14" xfId="0" applyAlignment="1" applyBorder="1" applyFont="1" applyNumberFormat="1">
      <alignment horizontal="center"/>
    </xf>
    <xf borderId="11" fillId="14" fontId="5" numFmtId="22" xfId="0" applyAlignment="1" applyBorder="1" applyFont="1" applyNumberFormat="1">
      <alignment horizontal="left"/>
    </xf>
    <xf borderId="0" fillId="0" fontId="11" numFmtId="0" xfId="0" applyFont="1"/>
    <xf borderId="11" fillId="0" fontId="10" numFmtId="0" xfId="0" applyBorder="1" applyFont="1"/>
    <xf borderId="11" fillId="15" fontId="5" numFmtId="0" xfId="0" applyAlignment="1" applyBorder="1" applyFont="1">
      <alignment vertical="center"/>
    </xf>
    <xf borderId="11" fillId="15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vertical="center"/>
    </xf>
    <xf borderId="12" fillId="14" fontId="6" numFmtId="0" xfId="0" applyAlignment="1" applyBorder="1" applyFont="1">
      <alignment horizontal="left"/>
    </xf>
    <xf borderId="11" fillId="14" fontId="5" numFmtId="0" xfId="0" applyAlignment="1" applyBorder="1" applyFont="1">
      <alignment horizontal="left" shrinkToFit="0" wrapText="1"/>
    </xf>
    <xf borderId="11" fillId="14" fontId="8" numFmtId="0" xfId="0" applyAlignment="1" applyBorder="1" applyFont="1">
      <alignment horizontal="center"/>
    </xf>
    <xf borderId="11" fillId="14" fontId="8" numFmtId="22" xfId="0" applyAlignment="1" applyBorder="1" applyFont="1" applyNumberFormat="1">
      <alignment horizontal="center"/>
    </xf>
    <xf borderId="11" fillId="14" fontId="8" numFmtId="14" xfId="0" applyAlignment="1" applyBorder="1" applyFont="1" applyNumberFormat="1">
      <alignment horizontal="left"/>
    </xf>
    <xf borderId="11" fillId="14" fontId="8" numFmtId="164" xfId="0" applyAlignment="1" applyBorder="1" applyFont="1" applyNumberFormat="1">
      <alignment horizontal="left"/>
    </xf>
    <xf borderId="7" fillId="14" fontId="8" numFmtId="0" xfId="0" applyAlignment="1" applyBorder="1" applyFont="1">
      <alignment horizontal="center" vertical="center"/>
    </xf>
    <xf borderId="7" fillId="16" fontId="11" numFmtId="0" xfId="0" applyAlignment="1" applyBorder="1" applyFont="1">
      <alignment shrinkToFit="0" wrapText="1"/>
    </xf>
    <xf borderId="11" fillId="18" fontId="8" numFmtId="14" xfId="0" applyAlignment="1" applyBorder="1" applyFont="1" applyNumberFormat="1">
      <alignment horizontal="left" vertical="center"/>
    </xf>
    <xf borderId="11" fillId="18" fontId="8" numFmtId="21" xfId="0" applyAlignment="1" applyBorder="1" applyFont="1" applyNumberFormat="1">
      <alignment horizontal="left" vertical="center"/>
    </xf>
    <xf borderId="11" fillId="15" fontId="6" numFmtId="0" xfId="0" applyAlignment="1" applyBorder="1" applyFont="1">
      <alignment horizontal="center"/>
    </xf>
    <xf borderId="11" fillId="15" fontId="6" numFmtId="22" xfId="0" applyAlignment="1" applyBorder="1" applyFont="1" applyNumberFormat="1">
      <alignment horizontal="center"/>
    </xf>
    <xf borderId="11" fillId="0" fontId="12" numFmtId="0" xfId="0" applyAlignment="1" applyBorder="1" applyFont="1">
      <alignment horizontal="center"/>
    </xf>
    <xf borderId="11" fillId="0" fontId="12" numFmtId="14" xfId="0" applyAlignment="1" applyBorder="1" applyFont="1" applyNumberFormat="1">
      <alignment horizontal="center"/>
    </xf>
    <xf borderId="11" fillId="0" fontId="5" numFmtId="14" xfId="0" applyAlignment="1" applyBorder="1" applyFont="1" applyNumberFormat="1">
      <alignment horizontal="left" vertical="center"/>
    </xf>
    <xf borderId="11" fillId="0" fontId="5" numFmtId="21" xfId="0" applyAlignment="1" applyBorder="1" applyFont="1" applyNumberFormat="1">
      <alignment horizontal="left" vertical="center"/>
    </xf>
    <xf borderId="11" fillId="0" fontId="5" numFmtId="14" xfId="0" applyAlignment="1" applyBorder="1" applyFont="1" applyNumberFormat="1">
      <alignment horizontal="left"/>
    </xf>
    <xf borderId="11" fillId="0" fontId="5" numFmtId="164" xfId="0" applyAlignment="1" applyBorder="1" applyFont="1" applyNumberFormat="1">
      <alignment horizontal="left"/>
    </xf>
    <xf borderId="11" fillId="18" fontId="5" numFmtId="164" xfId="0" applyAlignment="1" applyBorder="1" applyFont="1" applyNumberFormat="1">
      <alignment horizontal="left" vertical="center"/>
    </xf>
    <xf borderId="11" fillId="18" fontId="8" numFmtId="164" xfId="0" applyAlignment="1" applyBorder="1" applyFont="1" applyNumberFormat="1">
      <alignment horizontal="left" vertical="center"/>
    </xf>
    <xf borderId="11" fillId="0" fontId="5" numFmtId="164" xfId="0" applyAlignment="1" applyBorder="1" applyFont="1" applyNumberFormat="1">
      <alignment horizontal="left" vertical="center"/>
    </xf>
    <xf borderId="11" fillId="14" fontId="5" numFmtId="20" xfId="0" applyAlignment="1" applyBorder="1" applyFont="1" applyNumberFormat="1">
      <alignment horizontal="left" vertical="center"/>
    </xf>
    <xf borderId="11" fillId="15" fontId="8" numFmtId="20" xfId="0" applyAlignment="1" applyBorder="1" applyFont="1" applyNumberFormat="1">
      <alignment horizontal="center"/>
    </xf>
    <xf borderId="7" fillId="15" fontId="5" numFmtId="0" xfId="0" applyAlignment="1" applyBorder="1" applyFont="1">
      <alignment horizontal="left"/>
    </xf>
    <xf borderId="7" fillId="0" fontId="5" numFmtId="0" xfId="0" applyAlignment="1" applyBorder="1" applyFont="1">
      <alignment horizontal="center"/>
    </xf>
    <xf borderId="7" fillId="0" fontId="13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/>
    </xf>
    <xf borderId="7" fillId="14" fontId="8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7" fillId="16" fontId="14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quotePrefix="1" borderId="7" fillId="0" fontId="5" numFmtId="0" xfId="0" applyAlignment="1" applyBorder="1" applyFont="1">
      <alignment horizontal="center"/>
    </xf>
    <xf borderId="11" fillId="0" fontId="15" numFmtId="0" xfId="0" applyBorder="1" applyFont="1"/>
    <xf borderId="11" fillId="15" fontId="16" numFmtId="0" xfId="0" applyAlignment="1" applyBorder="1" applyFont="1">
      <alignment horizontal="left"/>
    </xf>
    <xf borderId="11" fillId="15" fontId="17" numFmtId="0" xfId="0" applyAlignment="1" applyBorder="1" applyFont="1">
      <alignment horizontal="left"/>
    </xf>
    <xf borderId="11" fillId="15" fontId="6" numFmtId="0" xfId="0" applyAlignment="1" applyBorder="1" applyFont="1">
      <alignment horizontal="left"/>
    </xf>
    <xf borderId="11" fillId="0" fontId="10" numFmtId="0" xfId="0" applyAlignment="1" applyBorder="1" applyFont="1">
      <alignment shrinkToFit="0" vertical="center" wrapText="1"/>
    </xf>
    <xf borderId="11" fillId="15" fontId="5" numFmtId="0" xfId="0" applyAlignment="1" applyBorder="1" applyFont="1">
      <alignment horizontal="left" shrinkToFit="0" vertical="center" wrapText="1"/>
    </xf>
    <xf borderId="11" fillId="15" fontId="8" numFmtId="0" xfId="0" applyAlignment="1" applyBorder="1" applyFont="1">
      <alignment horizontal="left" shrinkToFit="0" vertical="center" wrapText="1"/>
    </xf>
    <xf quotePrefix="1" borderId="11" fillId="0" fontId="8" numFmtId="2" xfId="0" applyAlignment="1" applyBorder="1" applyFont="1" applyNumberFormat="1">
      <alignment horizontal="center"/>
    </xf>
    <xf quotePrefix="1" borderId="11" fillId="0" fontId="7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1" fillId="14" fontId="5" numFmtId="22" xfId="0" applyAlignment="1" applyBorder="1" applyFont="1" applyNumberFormat="1">
      <alignment horizontal="center"/>
    </xf>
    <xf borderId="11" fillId="18" fontId="7" numFmtId="14" xfId="0" applyAlignment="1" applyBorder="1" applyFont="1" applyNumberFormat="1">
      <alignment horizontal="left" vertical="center"/>
    </xf>
    <xf borderId="11" fillId="18" fontId="7" numFmtId="0" xfId="0" applyAlignment="1" applyBorder="1" applyFont="1">
      <alignment horizontal="left"/>
    </xf>
    <xf borderId="11" fillId="18" fontId="7" numFmtId="21" xfId="0" applyAlignment="1" applyBorder="1" applyFont="1" applyNumberFormat="1">
      <alignment horizontal="left" vertical="center"/>
    </xf>
    <xf borderId="11" fillId="15" fontId="5" numFmtId="20" xfId="0" applyAlignment="1" applyBorder="1" applyFont="1" applyNumberFormat="1">
      <alignment horizontal="center"/>
    </xf>
    <xf borderId="7" fillId="16" fontId="11" numFmtId="0" xfId="0" applyAlignment="1" applyBorder="1" applyFont="1">
      <alignment horizontal="center" shrinkToFit="0" vertical="center" wrapText="1"/>
    </xf>
    <xf borderId="7" fillId="15" fontId="8" numFmtId="0" xfId="0" applyAlignment="1" applyBorder="1" applyFont="1">
      <alignment shrinkToFit="0" vertical="center" wrapText="1"/>
    </xf>
    <xf borderId="7" fillId="15" fontId="8" numFmtId="0" xfId="0" applyAlignment="1" applyBorder="1" applyFont="1">
      <alignment horizontal="center"/>
    </xf>
    <xf borderId="7" fillId="15" fontId="8" numFmtId="14" xfId="0" applyAlignment="1" applyBorder="1" applyFont="1" applyNumberFormat="1">
      <alignment horizontal="center"/>
    </xf>
    <xf borderId="11" fillId="14" fontId="8" numFmtId="0" xfId="0" applyAlignment="1" applyBorder="1" applyFont="1">
      <alignment horizontal="left" vertical="center"/>
    </xf>
    <xf borderId="11" fillId="15" fontId="5" numFmtId="22" xfId="0" applyAlignment="1" applyBorder="1" applyFont="1" applyNumberFormat="1">
      <alignment horizontal="left" vertical="center"/>
    </xf>
    <xf borderId="11" fillId="16" fontId="5" numFmtId="14" xfId="0" applyAlignment="1" applyBorder="1" applyFont="1" applyNumberFormat="1">
      <alignment horizontal="left" vertical="center"/>
    </xf>
    <xf borderId="11" fillId="16" fontId="5" numFmtId="164" xfId="0" applyAlignment="1" applyBorder="1" applyFont="1" applyNumberFormat="1">
      <alignment horizontal="left" vertical="center"/>
    </xf>
    <xf borderId="11" fillId="16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1" fillId="0" fontId="5" numFmtId="14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11" fillId="0" fontId="8" numFmtId="0" xfId="0" applyAlignment="1" applyBorder="1" applyFont="1">
      <alignment horizontal="left" vertical="center"/>
    </xf>
    <xf borderId="0" fillId="0" fontId="8" numFmtId="22" xfId="0" applyAlignment="1" applyFont="1" applyNumberFormat="1">
      <alignment horizontal="center"/>
    </xf>
    <xf borderId="7" fillId="15" fontId="5" numFmtId="0" xfId="0" applyAlignment="1" applyBorder="1" applyFont="1">
      <alignment horizontal="left" shrinkToFit="0" vertical="center" wrapText="1"/>
    </xf>
    <xf quotePrefix="1" borderId="11" fillId="0" fontId="8" numFmtId="14" xfId="0" applyAlignment="1" applyBorder="1" applyFont="1" applyNumberFormat="1">
      <alignment horizontal="center"/>
    </xf>
    <xf borderId="11" fillId="0" fontId="18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shrinkToFit="0" vertical="center" wrapText="1"/>
    </xf>
    <xf borderId="11" fillId="15" fontId="7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7" fillId="16" fontId="5" numFmtId="14" xfId="0" applyAlignment="1" applyBorder="1" applyFont="1" applyNumberFormat="1">
      <alignment horizontal="left"/>
    </xf>
    <xf borderId="7" fillId="16" fontId="5" numFmtId="164" xfId="0" applyAlignment="1" applyBorder="1" applyFont="1" applyNumberFormat="1">
      <alignment horizontal="left"/>
    </xf>
    <xf borderId="11" fillId="14" fontId="7" numFmtId="14" xfId="0" applyAlignment="1" applyBorder="1" applyFont="1" applyNumberFormat="1">
      <alignment horizontal="left"/>
    </xf>
    <xf borderId="11" fillId="14" fontId="7" numFmtId="164" xfId="0" applyAlignment="1" applyBorder="1" applyFont="1" applyNumberFormat="1">
      <alignment horizontal="left"/>
    </xf>
    <xf borderId="0" fillId="0" fontId="19" numFmtId="0" xfId="0" applyAlignment="1" applyFont="1">
      <alignment shrinkToFit="0" vertical="center" wrapText="1"/>
    </xf>
    <xf borderId="11" fillId="14" fontId="6" numFmtId="0" xfId="0" applyAlignment="1" applyBorder="1" applyFont="1">
      <alignment horizontal="left" vertical="center"/>
    </xf>
    <xf borderId="7" fillId="14" fontId="20" numFmtId="0" xfId="0" applyBorder="1" applyFont="1"/>
    <xf borderId="0" fillId="0" fontId="20" numFmtId="0" xfId="0" applyAlignment="1" applyFont="1">
      <alignment shrinkToFit="0" vertical="center" wrapText="1"/>
    </xf>
    <xf borderId="14" fillId="14" fontId="5" numFmtId="0" xfId="0" applyAlignment="1" applyBorder="1" applyFont="1">
      <alignment horizontal="left"/>
    </xf>
    <xf borderId="15" fillId="15" fontId="5" numFmtId="22" xfId="0" applyAlignment="1" applyBorder="1" applyFont="1" applyNumberFormat="1">
      <alignment horizontal="center"/>
    </xf>
    <xf borderId="7" fillId="14" fontId="8" numFmtId="0" xfId="0" applyAlignment="1" applyBorder="1" applyFont="1">
      <alignment shrinkToFit="0" wrapText="1"/>
    </xf>
    <xf borderId="7" fillId="14" fontId="7" numFmtId="0" xfId="0" applyBorder="1" applyFont="1"/>
    <xf borderId="0" fillId="0" fontId="10" numFmtId="0" xfId="0" applyAlignment="1" applyFont="1">
      <alignment shrinkToFit="0" vertical="center" wrapText="1"/>
    </xf>
    <xf borderId="7" fillId="14" fontId="10" numFmtId="0" xfId="0" applyBorder="1" applyFont="1"/>
    <xf borderId="0" fillId="0" fontId="8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7" fillId="14" fontId="20" numFmtId="0" xfId="0" applyAlignment="1" applyBorder="1" applyFont="1">
      <alignment shrinkToFit="0" wrapText="1"/>
    </xf>
    <xf borderId="11" fillId="15" fontId="5" numFmtId="0" xfId="0" applyAlignment="1" applyBorder="1" applyFont="1">
      <alignment horizontal="center" shrinkToFit="0" vertical="center" wrapText="1"/>
    </xf>
    <xf borderId="0" fillId="0" fontId="20" numFmtId="0" xfId="0" applyFont="1"/>
    <xf borderId="11" fillId="15" fontId="17" numFmtId="0" xfId="0" applyAlignment="1" applyBorder="1" applyFont="1">
      <alignment horizontal="left" shrinkToFit="0" vertical="center" wrapText="1"/>
    </xf>
    <xf borderId="0" fillId="0" fontId="22" numFmtId="0" xfId="0" applyAlignment="1" applyFont="1">
      <alignment shrinkToFit="0" vertical="center" wrapText="1"/>
    </xf>
    <xf borderId="7" fillId="14" fontId="22" numFmtId="0" xfId="0" applyBorder="1" applyFont="1"/>
    <xf borderId="7" fillId="14" fontId="23" numFmtId="0" xfId="0" applyBorder="1" applyFont="1"/>
    <xf borderId="11" fillId="14" fontId="5" numFmtId="164" xfId="0" applyAlignment="1" applyBorder="1" applyFont="1" applyNumberFormat="1">
      <alignment horizontal="left" vertical="center"/>
    </xf>
    <xf borderId="0" fillId="0" fontId="8" numFmtId="0" xfId="0" applyFont="1"/>
    <xf borderId="7" fillId="16" fontId="20" numFmtId="0" xfId="0" applyBorder="1" applyFont="1"/>
    <xf borderId="7" fillId="15" fontId="7" numFmtId="0" xfId="0" applyAlignment="1" applyBorder="1" applyFont="1">
      <alignment shrinkToFit="0" vertical="center" wrapText="1"/>
    </xf>
    <xf borderId="7" fillId="14" fontId="8" numFmtId="21" xfId="0" applyAlignment="1" applyBorder="1" applyFont="1" applyNumberFormat="1">
      <alignment horizontal="left" vertical="center"/>
    </xf>
    <xf borderId="14" fillId="0" fontId="5" numFmtId="0" xfId="0" applyAlignment="1" applyBorder="1" applyFont="1">
      <alignment horizontal="center"/>
    </xf>
    <xf borderId="15" fillId="16" fontId="5" numFmtId="0" xfId="0" applyAlignment="1" applyBorder="1" applyFont="1">
      <alignment horizontal="left"/>
    </xf>
    <xf borderId="15" fillId="0" fontId="5" numFmtId="0" xfId="0" applyAlignment="1" applyBorder="1" applyFont="1">
      <alignment horizontal="center"/>
    </xf>
    <xf borderId="16" fillId="0" fontId="5" numFmtId="14" xfId="0" applyAlignment="1" applyBorder="1" applyFont="1" applyNumberFormat="1">
      <alignment horizontal="center"/>
    </xf>
    <xf borderId="17" fillId="16" fontId="5" numFmtId="0" xfId="0" applyAlignment="1" applyBorder="1" applyFont="1">
      <alignment horizontal="left"/>
    </xf>
    <xf borderId="17" fillId="0" fontId="5" numFmtId="0" xfId="0" applyAlignment="1" applyBorder="1" applyFont="1">
      <alignment horizontal="center"/>
    </xf>
    <xf borderId="7" fillId="15" fontId="7" numFmtId="0" xfId="0" applyAlignment="1" applyBorder="1" applyFont="1">
      <alignment horizontal="left"/>
    </xf>
    <xf borderId="0" fillId="0" fontId="7" numFmtId="164" xfId="0" applyFont="1" applyNumberFormat="1"/>
    <xf borderId="0" fillId="0" fontId="7" numFmtId="14" xfId="0" applyFont="1" applyNumberFormat="1"/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0" xfId="0" applyAlignment="1" applyFont="1">
      <alignment vertical="center"/>
    </xf>
    <xf borderId="0" fillId="0" fontId="7" numFmtId="21" xfId="0" applyAlignment="1" applyFont="1" applyNumberFormat="1">
      <alignment horizontal="center" vertical="center"/>
    </xf>
    <xf borderId="0" fillId="0" fontId="24" numFmtId="0" xfId="0" applyFont="1"/>
    <xf borderId="18" fillId="0" fontId="1" numFmtId="0" xfId="0" applyBorder="1" applyFont="1"/>
    <xf borderId="0" fillId="0" fontId="2" numFmtId="0" xfId="0" applyFont="1"/>
    <xf borderId="19" fillId="0" fontId="7" numFmtId="0" xfId="0" applyBorder="1" applyFont="1"/>
    <xf borderId="0" fillId="0" fontId="7" numFmtId="0" xfId="0" applyAlignment="1" applyFont="1">
      <alignment vertical="center"/>
    </xf>
    <xf borderId="0" fillId="0" fontId="7" numFmtId="0" xfId="0" applyFont="1"/>
    <xf borderId="20" fillId="0" fontId="25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19" fontId="1" numFmtId="0" xfId="0" applyBorder="1" applyFill="1" applyFont="1"/>
    <xf borderId="24" fillId="0" fontId="7" numFmtId="0" xfId="0" applyBorder="1" applyFont="1"/>
    <xf borderId="25" fillId="19" fontId="1" numFmtId="0" xfId="0" applyBorder="1" applyFont="1"/>
    <xf borderId="26" fillId="0" fontId="7" numFmtId="0" xfId="0" applyBorder="1" applyFont="1"/>
    <xf borderId="27" fillId="19" fontId="1" numFmtId="0" xfId="0" applyBorder="1" applyFont="1"/>
    <xf borderId="28" fillId="0" fontId="7" numFmtId="0" xfId="0" applyBorder="1" applyFont="1"/>
    <xf borderId="0" fillId="0" fontId="26" numFmtId="0" xfId="0" applyAlignment="1" applyFont="1">
      <alignment horizontal="center"/>
    </xf>
    <xf borderId="0" fillId="0" fontId="7" numFmtId="0" xfId="0" applyAlignment="1" applyFont="1">
      <alignment vertical="top"/>
    </xf>
    <xf borderId="0" fillId="0" fontId="16" numFmtId="0" xfId="0" applyAlignment="1" applyFont="1">
      <alignment horizontal="center"/>
    </xf>
    <xf borderId="0" fillId="0" fontId="27" numFmtId="0" xfId="0" applyFont="1"/>
    <xf borderId="0" fillId="0" fontId="1" numFmtId="0" xfId="0" applyFont="1"/>
    <xf borderId="7" fillId="20" fontId="1" numFmtId="0" xfId="0" applyBorder="1" applyFill="1" applyFont="1"/>
    <xf borderId="7" fillId="20" fontId="9" numFmtId="0" xfId="0" applyBorder="1" applyFont="1"/>
    <xf borderId="7" fillId="20" fontId="7" numFmtId="0" xfId="0" applyBorder="1" applyFont="1"/>
    <xf borderId="29" fillId="0" fontId="7" numFmtId="0" xfId="0" applyAlignment="1" applyBorder="1" applyFont="1">
      <alignment horizontal="center"/>
    </xf>
    <xf borderId="29" fillId="0" fontId="2" numFmtId="0" xfId="0" applyBorder="1" applyFont="1"/>
    <xf borderId="30" fillId="0" fontId="2" numFmtId="0" xfId="0" applyBorder="1" applyFont="1"/>
    <xf borderId="31" fillId="21" fontId="4" numFmtId="0" xfId="0" applyAlignment="1" applyBorder="1" applyFill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22" fontId="4" numFmtId="0" xfId="0" applyAlignment="1" applyBorder="1" applyFill="1" applyFont="1">
      <alignment horizontal="center" vertical="center"/>
    </xf>
    <xf borderId="35" fillId="0" fontId="2" numFmtId="0" xfId="0" applyBorder="1" applyFont="1"/>
    <xf borderId="36" fillId="0" fontId="2" numFmtId="0" xfId="0" applyBorder="1" applyFont="1"/>
    <xf borderId="37" fillId="22" fontId="4" numFmtId="0" xfId="0" applyAlignment="1" applyBorder="1" applyFont="1">
      <alignment horizontal="center" vertical="center"/>
    </xf>
    <xf borderId="38" fillId="23" fontId="4" numFmtId="0" xfId="0" applyAlignment="1" applyBorder="1" applyFill="1" applyFont="1">
      <alignment horizontal="center" vertical="center"/>
    </xf>
    <xf borderId="38" fillId="24" fontId="3" numFmtId="0" xfId="0" applyAlignment="1" applyBorder="1" applyFill="1" applyFont="1">
      <alignment horizontal="center" vertical="center"/>
    </xf>
    <xf borderId="10" fillId="25" fontId="3" numFmtId="0" xfId="0" applyAlignment="1" applyBorder="1" applyFill="1" applyFont="1">
      <alignment vertical="center"/>
    </xf>
    <xf borderId="10" fillId="26" fontId="4" numFmtId="0" xfId="0" applyAlignment="1" applyBorder="1" applyFill="1" applyFont="1">
      <alignment horizontal="center" vertical="center"/>
    </xf>
    <xf borderId="10" fillId="27" fontId="4" numFmtId="0" xfId="0" applyAlignment="1" applyBorder="1" applyFill="1" applyFont="1">
      <alignment horizontal="center" vertical="center"/>
    </xf>
    <xf borderId="10" fillId="27" fontId="4" numFmtId="0" xfId="0" applyAlignment="1" applyBorder="1" applyFont="1">
      <alignment vertical="center"/>
    </xf>
    <xf borderId="7" fillId="26" fontId="28" numFmtId="0" xfId="0" applyAlignment="1" applyBorder="1" applyFont="1">
      <alignment vertical="top"/>
    </xf>
    <xf borderId="7" fillId="26" fontId="28" numFmtId="0" xfId="0" applyAlignment="1" applyBorder="1" applyFont="1">
      <alignment vertical="center"/>
    </xf>
    <xf borderId="7" fillId="26" fontId="28" numFmtId="0" xfId="0" applyBorder="1" applyFont="1"/>
    <xf borderId="10" fillId="12" fontId="4" numFmtId="0" xfId="0" applyAlignment="1" applyBorder="1" applyFont="1">
      <alignment horizontal="center" vertical="center"/>
    </xf>
    <xf borderId="10" fillId="13" fontId="4" numFmtId="0" xfId="0" applyAlignment="1" applyBorder="1" applyFont="1">
      <alignment horizontal="center" vertical="center"/>
    </xf>
    <xf borderId="10" fillId="8" fontId="7" numFmtId="14" xfId="0" applyBorder="1" applyFont="1" applyNumberFormat="1"/>
    <xf borderId="10" fillId="8" fontId="7" numFmtId="0" xfId="0" applyBorder="1" applyFont="1"/>
    <xf borderId="10" fillId="8" fontId="29" numFmtId="0" xfId="0" applyBorder="1" applyFont="1"/>
    <xf borderId="10" fillId="2" fontId="5" numFmtId="0" xfId="0" applyAlignment="1" applyBorder="1" applyFont="1">
      <alignment horizontal="center"/>
    </xf>
    <xf borderId="10" fillId="2" fontId="8" numFmtId="0" xfId="0" applyAlignment="1" applyBorder="1" applyFont="1">
      <alignment horizontal="left"/>
    </xf>
    <xf borderId="10" fillId="2" fontId="5" numFmtId="21" xfId="0" applyAlignment="1" applyBorder="1" applyFont="1" applyNumberFormat="1">
      <alignment horizontal="center"/>
    </xf>
    <xf borderId="10" fillId="2" fontId="5" numFmtId="22" xfId="0" applyAlignment="1" applyBorder="1" applyFont="1" applyNumberFormat="1">
      <alignment horizontal="center"/>
    </xf>
    <xf borderId="10" fillId="2" fontId="8" numFmtId="0" xfId="0" applyBorder="1" applyFont="1"/>
    <xf borderId="10" fillId="2" fontId="5" numFmtId="22" xfId="0" applyAlignment="1" applyBorder="1" applyFont="1" applyNumberFormat="1">
      <alignment vertical="top"/>
    </xf>
    <xf borderId="10" fillId="2" fontId="6" numFmtId="0" xfId="0" applyAlignment="1" applyBorder="1" applyFont="1">
      <alignment vertical="center"/>
    </xf>
    <xf borderId="10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vertical="center"/>
    </xf>
    <xf borderId="10" fillId="2" fontId="5" numFmtId="22" xfId="0" applyBorder="1" applyFont="1" applyNumberFormat="1"/>
    <xf borderId="10" fillId="2" fontId="5" numFmtId="0" xfId="0" applyBorder="1" applyFont="1"/>
    <xf borderId="10" fillId="11" fontId="5" numFmtId="0" xfId="0" applyAlignment="1" applyBorder="1" applyFont="1">
      <alignment horizontal="center"/>
    </xf>
    <xf borderId="10" fillId="11" fontId="5" numFmtId="14" xfId="0" applyAlignment="1" applyBorder="1" applyFont="1" applyNumberFormat="1">
      <alignment horizontal="center"/>
    </xf>
    <xf borderId="10" fillId="11" fontId="5" numFmtId="21" xfId="0" applyAlignment="1" applyBorder="1" applyFont="1" applyNumberFormat="1">
      <alignment horizontal="center"/>
    </xf>
    <xf borderId="10" fillId="12" fontId="5" numFmtId="0" xfId="0" applyAlignment="1" applyBorder="1" applyFont="1">
      <alignment horizontal="center"/>
    </xf>
    <xf borderId="10" fillId="12" fontId="5" numFmtId="14" xfId="0" applyAlignment="1" applyBorder="1" applyFont="1" applyNumberFormat="1">
      <alignment horizontal="center"/>
    </xf>
    <xf borderId="10" fillId="13" fontId="5" numFmtId="0" xfId="0" applyAlignment="1" applyBorder="1" applyFont="1">
      <alignment horizontal="center"/>
    </xf>
    <xf borderId="10" fillId="8" fontId="29" numFmtId="14" xfId="0" applyBorder="1" applyFont="1" applyNumberFormat="1"/>
    <xf borderId="10" fillId="2" fontId="6" numFmtId="0" xfId="0" applyAlignment="1" applyBorder="1" applyFont="1">
      <alignment horizontal="left"/>
    </xf>
    <xf borderId="10" fillId="2" fontId="5" numFmtId="22" xfId="0" applyAlignment="1" applyBorder="1" applyFont="1" applyNumberFormat="1">
      <alignment horizontal="left"/>
    </xf>
    <xf borderId="10" fillId="2" fontId="5" numFmtId="164" xfId="0" applyAlignment="1" applyBorder="1" applyFont="1" applyNumberFormat="1">
      <alignment horizontal="center"/>
    </xf>
    <xf borderId="10" fillId="8" fontId="30" numFmtId="0" xfId="0" applyBorder="1" applyFont="1"/>
    <xf borderId="10" fillId="2" fontId="5" numFmtId="0" xfId="0" applyAlignment="1" applyBorder="1" applyFont="1">
      <alignment vertical="top"/>
    </xf>
    <xf borderId="10" fillId="2" fontId="5" numFmtId="0" xfId="0" applyAlignment="1" applyBorder="1" applyFont="1">
      <alignment horizontal="left"/>
    </xf>
    <xf borderId="0" fillId="0" fontId="5" numFmtId="0" xfId="0" applyAlignment="1" applyFont="1">
      <alignment horizontal="center"/>
    </xf>
    <xf borderId="10" fillId="12" fontId="8" numFmtId="0" xfId="0" applyAlignment="1" applyBorder="1" applyFont="1">
      <alignment horizontal="center"/>
    </xf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vertical="top"/>
    </xf>
    <xf borderId="0" fillId="0" fontId="5" numFmtId="0" xfId="0" applyAlignment="1" applyFont="1">
      <alignment vertical="center"/>
    </xf>
    <xf borderId="10" fillId="28" fontId="8" numFmtId="22" xfId="0" applyAlignment="1" applyBorder="1" applyFill="1" applyFont="1" applyNumberFormat="1">
      <alignment horizontal="center"/>
    </xf>
    <xf borderId="10" fillId="2" fontId="8" numFmtId="0" xfId="0" applyAlignment="1" applyBorder="1" applyFont="1">
      <alignment vertical="top"/>
    </xf>
    <xf borderId="10" fillId="2" fontId="8" numFmtId="0" xfId="0" applyAlignment="1" applyBorder="1" applyFont="1">
      <alignment vertical="center"/>
    </xf>
    <xf borderId="7" fillId="2" fontId="5" numFmtId="22" xfId="0" applyAlignment="1" applyBorder="1" applyFont="1" applyNumberFormat="1">
      <alignment horizontal="center"/>
    </xf>
    <xf borderId="7" fillId="2" fontId="8" numFmtId="0" xfId="0" applyBorder="1" applyFont="1"/>
    <xf borderId="7" fillId="2" fontId="8" numFmtId="0" xfId="0" applyAlignment="1" applyBorder="1" applyFont="1">
      <alignment vertical="top"/>
    </xf>
    <xf borderId="7" fillId="2" fontId="8" numFmtId="0" xfId="0" applyAlignment="1" applyBorder="1" applyFont="1">
      <alignment vertical="center"/>
    </xf>
    <xf borderId="10" fillId="2" fontId="6" numFmtId="0" xfId="0" applyAlignment="1" applyBorder="1" applyFont="1">
      <alignment vertical="top"/>
    </xf>
    <xf borderId="10" fillId="2" fontId="6" numFmtId="0" xfId="0" applyBorder="1" applyFont="1"/>
    <xf borderId="10" fillId="11" fontId="8" numFmtId="0" xfId="0" applyAlignment="1" applyBorder="1" applyFont="1">
      <alignment horizontal="center"/>
    </xf>
    <xf borderId="10" fillId="11" fontId="8" numFmtId="14" xfId="0" applyAlignment="1" applyBorder="1" applyFont="1" applyNumberFormat="1">
      <alignment horizontal="center"/>
    </xf>
    <xf borderId="10" fillId="11" fontId="8" numFmtId="21" xfId="0" applyAlignment="1" applyBorder="1" applyFont="1" applyNumberFormat="1">
      <alignment horizontal="center"/>
    </xf>
    <xf borderId="10" fillId="28" fontId="31" numFmtId="0" xfId="0" applyBorder="1" applyFont="1"/>
    <xf borderId="10" fillId="28" fontId="31" numFmtId="0" xfId="0" applyAlignment="1" applyBorder="1" applyFont="1">
      <alignment vertical="top"/>
    </xf>
    <xf borderId="10" fillId="28" fontId="31" numFmtId="0" xfId="0" applyAlignment="1" applyBorder="1" applyFont="1">
      <alignment vertical="center"/>
    </xf>
    <xf borderId="10" fillId="28" fontId="31" numFmtId="0" xfId="0" applyAlignment="1" applyBorder="1" applyFont="1">
      <alignment horizontal="center"/>
    </xf>
    <xf borderId="10" fillId="2" fontId="5" numFmtId="0" xfId="0" applyAlignment="1" applyBorder="1" applyFont="1">
      <alignment shrinkToFit="0" wrapText="1"/>
    </xf>
    <xf borderId="10" fillId="2" fontId="8" numFmtId="0" xfId="0" applyAlignment="1" applyBorder="1" applyFont="1">
      <alignment horizontal="center"/>
    </xf>
    <xf borderId="10" fillId="2" fontId="8" numFmtId="0" xfId="0" applyAlignment="1" applyBorder="1" applyFont="1">
      <alignment horizontal="center" vertical="center"/>
    </xf>
    <xf borderId="0" fillId="0" fontId="29" numFmtId="0" xfId="0" applyFont="1"/>
    <xf borderId="10" fillId="2" fontId="8" numFmtId="22" xfId="0" applyAlignment="1" applyBorder="1" applyFont="1" applyNumberFormat="1">
      <alignment vertical="top"/>
    </xf>
    <xf borderId="10" fillId="2" fontId="8" numFmtId="22" xfId="0" applyAlignment="1" applyBorder="1" applyFont="1" applyNumberFormat="1">
      <alignment horizontal="center"/>
    </xf>
    <xf borderId="10" fillId="2" fontId="8" numFmtId="21" xfId="0" applyAlignment="1" applyBorder="1" applyFont="1" applyNumberFormat="1">
      <alignment horizont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/>
    </xf>
    <xf borderId="10" fillId="2" fontId="29" numFmtId="0" xfId="0" applyAlignment="1" applyBorder="1" applyFont="1">
      <alignment horizontal="center"/>
    </xf>
    <xf borderId="7" fillId="2" fontId="8" numFmtId="22" xfId="0" applyAlignment="1" applyBorder="1" applyFont="1" applyNumberFormat="1">
      <alignment horizontal="center"/>
    </xf>
    <xf borderId="10" fillId="12" fontId="8" numFmtId="14" xfId="0" applyAlignment="1" applyBorder="1" applyFont="1" applyNumberFormat="1">
      <alignment horizontal="center"/>
    </xf>
    <xf borderId="10" fillId="13" fontId="29" numFmtId="0" xfId="0" applyAlignment="1" applyBorder="1" applyFont="1">
      <alignment horizontal="center"/>
    </xf>
    <xf borderId="10" fillId="2" fontId="8" numFmtId="22" xfId="0" applyAlignment="1" applyBorder="1" applyFont="1" applyNumberFormat="1">
      <alignment horizontal="center" vertical="center"/>
    </xf>
    <xf borderId="10" fillId="2" fontId="6" numFmtId="21" xfId="0" applyAlignment="1" applyBorder="1" applyFont="1" applyNumberFormat="1">
      <alignment horizontal="center"/>
    </xf>
    <xf borderId="10" fillId="2" fontId="8" numFmtId="0" xfId="0" applyAlignment="1" applyBorder="1" applyFont="1">
      <alignment shrinkToFit="0" wrapText="1"/>
    </xf>
    <xf borderId="10" fillId="2" fontId="5" numFmtId="0" xfId="0" applyAlignment="1" applyBorder="1" applyFont="1">
      <alignment shrinkToFit="0" vertical="top" wrapText="1"/>
    </xf>
    <xf borderId="10" fillId="2" fontId="5" numFmtId="0" xfId="0" applyAlignment="1" applyBorder="1" applyFont="1">
      <alignment shrinkToFit="0" vertical="center" wrapText="1"/>
    </xf>
    <xf borderId="10" fillId="2" fontId="5" numFmtId="0" xfId="0" applyAlignment="1" applyBorder="1" applyFont="1">
      <alignment horizontal="center" shrinkToFit="0" wrapText="1"/>
    </xf>
    <xf borderId="7" fillId="28" fontId="8" numFmtId="21" xfId="0" applyAlignment="1" applyBorder="1" applyFont="1" applyNumberFormat="1">
      <alignment horizontal="center" vertical="center"/>
    </xf>
    <xf borderId="10" fillId="9" fontId="7" numFmtId="14" xfId="0" applyBorder="1" applyFont="1" applyNumberFormat="1"/>
    <xf borderId="10" fillId="9" fontId="7" numFmtId="0" xfId="0" applyBorder="1" applyFont="1"/>
    <xf borderId="10" fillId="28" fontId="5" numFmtId="0" xfId="0" applyAlignment="1" applyBorder="1" applyFont="1">
      <alignment horizontal="center"/>
    </xf>
    <xf borderId="10" fillId="28" fontId="5" numFmtId="0" xfId="0" applyAlignment="1" applyBorder="1" applyFont="1">
      <alignment horizontal="left"/>
    </xf>
    <xf borderId="10" fillId="28" fontId="5" numFmtId="21" xfId="0" applyAlignment="1" applyBorder="1" applyFont="1" applyNumberFormat="1">
      <alignment horizontal="center"/>
    </xf>
    <xf borderId="10" fillId="28" fontId="5" numFmtId="22" xfId="0" applyAlignment="1" applyBorder="1" applyFont="1" applyNumberFormat="1">
      <alignment horizontal="center"/>
    </xf>
    <xf borderId="7" fillId="28" fontId="31" numFmtId="0" xfId="0" applyBorder="1" applyFont="1"/>
    <xf borderId="10" fillId="28" fontId="5" numFmtId="0" xfId="0" applyAlignment="1" applyBorder="1" applyFont="1">
      <alignment vertical="top"/>
    </xf>
    <xf borderId="10" fillId="28" fontId="5" numFmtId="0" xfId="0" applyAlignment="1" applyBorder="1" applyFont="1">
      <alignment horizontal="center" vertical="center"/>
    </xf>
    <xf borderId="10" fillId="28" fontId="5" numFmtId="0" xfId="0" applyBorder="1" applyFont="1"/>
    <xf borderId="7" fillId="28" fontId="7" numFmtId="0" xfId="0" applyBorder="1" applyFont="1"/>
    <xf borderId="10" fillId="2" fontId="5" numFmtId="21" xfId="0" applyAlignment="1" applyBorder="1" applyFont="1" applyNumberFormat="1">
      <alignment horizontal="center" shrinkToFit="0" wrapText="1"/>
    </xf>
    <xf borderId="10" fillId="28" fontId="5" numFmtId="21" xfId="0" applyAlignment="1" applyBorder="1" applyFont="1" applyNumberFormat="1">
      <alignment horizontal="center" shrinkToFit="0" wrapText="1"/>
    </xf>
    <xf borderId="10" fillId="2" fontId="5" numFmtId="22" xfId="0" applyAlignment="1" applyBorder="1" applyFont="1" applyNumberFormat="1">
      <alignment horizontal="center" shrinkToFit="0" wrapText="1"/>
    </xf>
    <xf borderId="10" fillId="2" fontId="5" numFmtId="0" xfId="0" applyAlignment="1" applyBorder="1" applyFont="1">
      <alignment horizontal="left" shrinkToFit="0" wrapText="1"/>
    </xf>
    <xf borderId="10" fillId="11" fontId="5" numFmtId="20" xfId="0" applyAlignment="1" applyBorder="1" applyFont="1" applyNumberFormat="1">
      <alignment horizontal="center"/>
    </xf>
    <xf borderId="10" fillId="2" fontId="5" numFmtId="22" xfId="0" applyAlignment="1" applyBorder="1" applyFont="1" applyNumberFormat="1">
      <alignment horizontal="center" vertical="top"/>
    </xf>
    <xf borderId="10" fillId="2" fontId="5" numFmtId="0" xfId="0" applyAlignment="1" applyBorder="1" applyFont="1">
      <alignment horizontal="center" vertical="top"/>
    </xf>
    <xf borderId="10" fillId="2" fontId="5" numFmtId="20" xfId="0" applyAlignment="1" applyBorder="1" applyFont="1" applyNumberFormat="1">
      <alignment horizontal="center"/>
    </xf>
    <xf borderId="7" fillId="28" fontId="8" numFmtId="0" xfId="0" applyBorder="1" applyFont="1"/>
    <xf borderId="10" fillId="28" fontId="8" numFmtId="0" xfId="0" applyBorder="1" applyFont="1"/>
    <xf borderId="10" fillId="8" fontId="32" numFmtId="0" xfId="0" applyBorder="1" applyFont="1"/>
    <xf borderId="10" fillId="8" fontId="33" numFmtId="14" xfId="0" applyBorder="1" applyFont="1" applyNumberFormat="1"/>
    <xf borderId="10" fillId="2" fontId="34" numFmtId="0" xfId="0" applyAlignment="1" applyBorder="1" applyFont="1">
      <alignment horizontal="left"/>
    </xf>
    <xf borderId="10" fillId="2" fontId="34" numFmtId="0" xfId="0" applyBorder="1" applyFont="1"/>
    <xf borderId="10" fillId="12" fontId="5" numFmtId="0" xfId="0" applyAlignment="1" applyBorder="1" applyFont="1">
      <alignment horizontal="center" shrinkToFit="0" wrapText="1"/>
    </xf>
    <xf borderId="10" fillId="2" fontId="8" numFmtId="22" xfId="0" applyBorder="1" applyFont="1" applyNumberFormat="1"/>
    <xf borderId="10" fillId="2" fontId="8" numFmtId="22" xfId="0" applyAlignment="1" applyBorder="1" applyFont="1" applyNumberFormat="1">
      <alignment vertical="center"/>
    </xf>
    <xf borderId="7" fillId="2" fontId="8" numFmtId="0" xfId="0" applyAlignment="1" applyBorder="1" applyFont="1">
      <alignment horizontal="left"/>
    </xf>
    <xf borderId="7" fillId="2" fontId="5" numFmtId="21" xfId="0" applyAlignment="1" applyBorder="1" applyFont="1" applyNumberFormat="1">
      <alignment horizontal="center"/>
    </xf>
    <xf borderId="7" fillId="28" fontId="34" numFmtId="0" xfId="0" applyAlignment="1" applyBorder="1" applyFont="1">
      <alignment horizontal="left"/>
    </xf>
    <xf borderId="7" fillId="28" fontId="5" numFmtId="21" xfId="0" applyAlignment="1" applyBorder="1" applyFont="1" applyNumberFormat="1">
      <alignment horizontal="center"/>
    </xf>
    <xf borderId="10" fillId="28" fontId="34" numFmtId="0" xfId="0" applyAlignment="1" applyBorder="1" applyFont="1">
      <alignment horizontal="left"/>
    </xf>
    <xf borderId="10" fillId="28" fontId="8" numFmtId="0" xfId="0" applyAlignment="1" applyBorder="1" applyFont="1">
      <alignment horizontal="left"/>
    </xf>
    <xf borderId="10" fillId="2" fontId="8" numFmtId="22" xfId="0" applyAlignment="1" applyBorder="1" applyFont="1" applyNumberFormat="1">
      <alignment horizontal="left"/>
    </xf>
    <xf borderId="7" fillId="28" fontId="34" numFmtId="0" xfId="0" applyBorder="1" applyFont="1"/>
    <xf borderId="7" fillId="28" fontId="34" numFmtId="0" xfId="0" applyAlignment="1" applyBorder="1" applyFont="1">
      <alignment shrinkToFit="0" wrapText="1"/>
    </xf>
    <xf borderId="10" fillId="25" fontId="3" numFmtId="49" xfId="0" applyAlignment="1" applyBorder="1" applyFont="1" applyNumberFormat="1">
      <alignment horizontal="center" vertical="center"/>
    </xf>
    <xf borderId="10" fillId="25" fontId="3" numFmtId="0" xfId="0" applyAlignment="1" applyBorder="1" applyFont="1">
      <alignment horizontal="center" vertical="center"/>
    </xf>
    <xf borderId="10" fillId="8" fontId="7" numFmtId="49" xfId="0" applyAlignment="1" applyBorder="1" applyFont="1" applyNumberFormat="1">
      <alignment horizontal="center"/>
    </xf>
    <xf borderId="10" fillId="8" fontId="7" numFmtId="0" xfId="0" applyAlignment="1" applyBorder="1" applyFont="1">
      <alignment horizontal="center"/>
    </xf>
    <xf borderId="10" fillId="12" fontId="35" numFmtId="0" xfId="0" applyAlignment="1" applyBorder="1" applyFont="1">
      <alignment horizontal="center"/>
    </xf>
    <xf borderId="0" fillId="0" fontId="7" numFmtId="49" xfId="0" applyAlignment="1" applyFont="1" applyNumberFormat="1">
      <alignment horizontal="center"/>
    </xf>
    <xf borderId="10" fillId="0" fontId="5" numFmtId="0" xfId="0" applyAlignment="1" applyBorder="1" applyFont="1">
      <alignment horizontal="center"/>
    </xf>
    <xf borderId="10" fillId="12" fontId="8" numFmtId="0" xfId="0" applyAlignment="1" applyBorder="1" applyFont="1">
      <alignment horizontal="center" vertical="center"/>
    </xf>
    <xf borderId="10" fillId="12" fontId="5" numFmtId="22" xfId="0" applyAlignment="1" applyBorder="1" applyFont="1" applyNumberFormat="1">
      <alignment horizontal="center"/>
    </xf>
    <xf borderId="10" fillId="12" fontId="36" numFmtId="0" xfId="0" applyAlignment="1" applyBorder="1" applyFont="1">
      <alignment horizontal="center"/>
    </xf>
    <xf borderId="7" fillId="2" fontId="5" numFmtId="0" xfId="0" applyAlignment="1" applyBorder="1" applyFont="1">
      <alignment vertical="center"/>
    </xf>
    <xf borderId="7" fillId="2" fontId="5" numFmtId="0" xfId="0" applyBorder="1" applyFont="1"/>
    <xf borderId="10" fillId="28" fontId="31" numFmtId="22" xfId="0" applyAlignment="1" applyBorder="1" applyFont="1" applyNumberFormat="1">
      <alignment vertical="top"/>
    </xf>
    <xf borderId="10" fillId="28" fontId="37" numFmtId="0" xfId="0" applyAlignment="1" applyBorder="1" applyFont="1">
      <alignment vertical="center"/>
    </xf>
    <xf borderId="10" fillId="28" fontId="37" numFmtId="22" xfId="0" applyBorder="1" applyFont="1" applyNumberFormat="1"/>
    <xf borderId="10" fillId="28" fontId="37" numFmtId="0" xfId="0" applyBorder="1" applyFont="1"/>
    <xf borderId="10" fillId="2" fontId="5" numFmtId="14" xfId="0" applyAlignment="1" applyBorder="1" applyFont="1" applyNumberFormat="1">
      <alignment vertical="top"/>
    </xf>
    <xf borderId="10" fillId="2" fontId="8" numFmtId="0" xfId="0" applyAlignment="1" applyBorder="1" applyFont="1">
      <alignment horizontal="left" vertical="center"/>
    </xf>
    <xf borderId="10" fillId="20" fontId="9" numFmtId="0" xfId="0" applyBorder="1" applyFont="1"/>
    <xf borderId="10" fillId="2" fontId="5" numFmtId="0" xfId="0" applyAlignment="1" applyBorder="1" applyFont="1">
      <alignment horizontal="left" vertical="center"/>
    </xf>
    <xf borderId="10" fillId="12" fontId="8" numFmtId="0" xfId="0" applyAlignment="1" applyBorder="1" applyFont="1">
      <alignment horizontal="center" shrinkToFit="0" wrapText="1"/>
    </xf>
    <xf borderId="7" fillId="2" fontId="6" numFmtId="0" xfId="0" applyAlignment="1" applyBorder="1" applyFont="1">
      <alignment horizontal="left"/>
    </xf>
    <xf borderId="7" fillId="2" fontId="34" numFmtId="0" xfId="0" applyBorder="1" applyFont="1"/>
    <xf borderId="10" fillId="2" fontId="5" numFmtId="22" xfId="0" applyAlignment="1" applyBorder="1" applyFont="1" applyNumberFormat="1">
      <alignment horizontal="left" vertical="center"/>
    </xf>
    <xf borderId="10" fillId="2" fontId="5" numFmtId="22" xfId="0" applyAlignment="1" applyBorder="1" applyFont="1" applyNumberFormat="1">
      <alignment horizontal="right"/>
    </xf>
    <xf borderId="10" fillId="28" fontId="8" numFmtId="21" xfId="0" applyAlignment="1" applyBorder="1" applyFont="1" applyNumberFormat="1">
      <alignment horizontal="center" vertical="center"/>
    </xf>
    <xf borderId="10" fillId="28" fontId="5" numFmtId="0" xfId="0" applyAlignment="1" applyBorder="1" applyFont="1">
      <alignment vertical="center"/>
    </xf>
    <xf borderId="10" fillId="28" fontId="34" numFmtId="0" xfId="0" applyBorder="1" applyFont="1"/>
    <xf borderId="10" fillId="2" fontId="6" numFmtId="0" xfId="0" applyAlignment="1" applyBorder="1" applyFont="1">
      <alignment shrinkToFit="0" wrapText="1"/>
    </xf>
    <xf borderId="10" fillId="2" fontId="6" numFmtId="22" xfId="0" applyBorder="1" applyFont="1" applyNumberFormat="1"/>
    <xf borderId="10" fillId="2" fontId="5" numFmtId="14" xfId="0" applyAlignment="1" applyBorder="1" applyFont="1" applyNumberFormat="1">
      <alignment horizontal="right" vertical="top"/>
    </xf>
    <xf borderId="10" fillId="28" fontId="6" numFmtId="0" xfId="0" applyBorder="1" applyFont="1"/>
    <xf borderId="10" fillId="2" fontId="5" numFmtId="22" xfId="0" applyAlignment="1" applyBorder="1" applyFont="1" applyNumberFormat="1">
      <alignment horizontal="center" vertical="center"/>
    </xf>
    <xf borderId="10" fillId="2" fontId="5" numFmtId="14" xfId="0" applyAlignment="1" applyBorder="1" applyFont="1" applyNumberFormat="1">
      <alignment horizontal="center" vertical="top"/>
    </xf>
    <xf borderId="7" fillId="2" fontId="34" numFmtId="0" xfId="0" applyAlignment="1" applyBorder="1" applyFont="1">
      <alignment horizontal="left"/>
    </xf>
    <xf borderId="10" fillId="2" fontId="8" numFmtId="0" xfId="0" applyAlignment="1" applyBorder="1" applyFont="1">
      <alignment horizontal="center" vertical="top"/>
    </xf>
    <xf borderId="10" fillId="2" fontId="34" numFmtId="0" xfId="0" applyAlignment="1" applyBorder="1" applyFont="1">
      <alignment horizontal="left" shrinkToFit="0" wrapText="1"/>
    </xf>
    <xf borderId="7" fillId="2" fontId="5" numFmtId="0" xfId="0" applyAlignment="1" applyBorder="1" applyFont="1">
      <alignment horizontal="center"/>
    </xf>
    <xf borderId="7" fillId="13" fontId="5" numFmtId="0" xfId="0" applyAlignment="1" applyBorder="1" applyFont="1">
      <alignment horizontal="center"/>
    </xf>
    <xf borderId="10" fillId="2" fontId="8" numFmtId="22" xfId="0" applyAlignment="1" applyBorder="1" applyFont="1" applyNumberFormat="1">
      <alignment horizontal="center" vertical="top"/>
    </xf>
    <xf borderId="10" fillId="2" fontId="8" numFmtId="22" xfId="0" applyAlignment="1" applyBorder="1" applyFont="1" applyNumberFormat="1">
      <alignment horizontal="right"/>
    </xf>
    <xf borderId="10" fillId="2" fontId="5" numFmtId="0" xfId="0" applyAlignment="1" applyBorder="1" applyFont="1">
      <alignment horizontal="right"/>
    </xf>
    <xf borderId="10" fillId="2" fontId="6" numFmtId="22" xfId="0" applyAlignment="1" applyBorder="1" applyFont="1" applyNumberFormat="1">
      <alignment horizontal="left"/>
    </xf>
    <xf borderId="10" fillId="11" fontId="5" numFmtId="16" xfId="0" applyAlignment="1" applyBorder="1" applyFont="1" applyNumberFormat="1">
      <alignment horizontal="center"/>
    </xf>
    <xf borderId="10" fillId="0" fontId="7" numFmtId="0" xfId="0" applyBorder="1" applyFont="1"/>
    <xf borderId="10" fillId="2" fontId="38" numFmtId="0" xfId="0" applyAlignment="1" applyBorder="1" applyFont="1">
      <alignment horizontal="left"/>
    </xf>
    <xf borderId="10" fillId="8" fontId="7" numFmtId="0" xfId="0" applyAlignment="1" applyBorder="1" applyFont="1">
      <alignment horizontal="left"/>
    </xf>
    <xf borderId="10" fillId="8" fontId="7" numFmtId="14" xfId="0" applyAlignment="1" applyBorder="1" applyFont="1" applyNumberFormat="1">
      <alignment horizontal="right"/>
    </xf>
    <xf borderId="10" fillId="2" fontId="39" numFmtId="0" xfId="0" applyAlignment="1" applyBorder="1" applyFont="1">
      <alignment horizontal="left"/>
    </xf>
    <xf borderId="10" fillId="2" fontId="6" numFmtId="22" xfId="0" applyAlignment="1" applyBorder="1" applyFont="1" applyNumberFormat="1">
      <alignment horizontal="center"/>
    </xf>
    <xf borderId="10" fillId="2" fontId="5" numFmtId="22" xfId="0" applyAlignment="1" applyBorder="1" applyFont="1" applyNumberFormat="1">
      <alignment vertical="center"/>
    </xf>
    <xf borderId="10" fillId="11" fontId="5" numFmtId="164" xfId="0" applyAlignment="1" applyBorder="1" applyFont="1" applyNumberFormat="1">
      <alignment horizontal="center"/>
    </xf>
    <xf borderId="10" fillId="2" fontId="5" numFmtId="49" xfId="0" applyAlignment="1" applyBorder="1" applyFont="1" applyNumberFormat="1">
      <alignment horizontal="center"/>
    </xf>
    <xf borderId="10" fillId="2" fontId="5" numFmtId="22" xfId="0" applyAlignment="1" applyBorder="1" applyFont="1" applyNumberFormat="1">
      <alignment shrinkToFit="0" wrapText="1"/>
    </xf>
    <xf borderId="10" fillId="2" fontId="5" numFmtId="164" xfId="0" applyAlignment="1" applyBorder="1" applyFont="1" applyNumberFormat="1">
      <alignment horizontal="left"/>
    </xf>
    <xf borderId="10" fillId="2" fontId="8" numFmtId="0" xfId="0" applyAlignment="1" applyBorder="1" applyFont="1">
      <alignment horizontal="left" shrinkToFit="0" wrapText="1"/>
    </xf>
    <xf borderId="10" fillId="2" fontId="5" numFmtId="14" xfId="0" applyBorder="1" applyFont="1" applyNumberFormat="1"/>
    <xf borderId="10" fillId="28" fontId="21" numFmtId="0" xfId="0" applyBorder="1" applyFont="1"/>
    <xf borderId="10" fillId="2" fontId="8" numFmtId="164" xfId="0" applyAlignment="1" applyBorder="1" applyFont="1" applyNumberFormat="1">
      <alignment horizontal="center"/>
    </xf>
    <xf borderId="10" fillId="2" fontId="6" numFmtId="164" xfId="0" applyAlignment="1" applyBorder="1" applyFont="1" applyNumberFormat="1">
      <alignment horizontal="center"/>
    </xf>
    <xf borderId="10" fillId="2" fontId="5" numFmtId="14" xfId="0" applyAlignment="1" applyBorder="1" applyFont="1" applyNumberFormat="1">
      <alignment horizontal="center"/>
    </xf>
    <xf borderId="10" fillId="2" fontId="5" numFmtId="0" xfId="0" applyAlignment="1" applyBorder="1" applyFont="1">
      <alignment horizontal="right" vertical="top"/>
    </xf>
    <xf borderId="8" fillId="12" fontId="5" numFmtId="0" xfId="0" applyAlignment="1" applyBorder="1" applyFont="1">
      <alignment horizontal="center"/>
    </xf>
    <xf borderId="39" fillId="12" fontId="5" numFmtId="0" xfId="0" applyAlignment="1" applyBorder="1" applyFont="1">
      <alignment horizontal="center"/>
    </xf>
    <xf borderId="40" fillId="12" fontId="5" numFmtId="0" xfId="0" applyAlignment="1" applyBorder="1" applyFont="1">
      <alignment horizontal="center"/>
    </xf>
    <xf borderId="41" fillId="12" fontId="5" numFmtId="0" xfId="0" applyAlignment="1" applyBorder="1" applyFont="1">
      <alignment horizontal="center"/>
    </xf>
    <xf borderId="41" fillId="12" fontId="5" numFmtId="14" xfId="0" applyAlignment="1" applyBorder="1" applyFont="1" applyNumberFormat="1">
      <alignment horizontal="center"/>
    </xf>
    <xf borderId="41" fillId="11" fontId="5" numFmtId="21" xfId="0" applyAlignment="1" applyBorder="1" applyFont="1" applyNumberFormat="1">
      <alignment horizontal="center"/>
    </xf>
    <xf borderId="42" fillId="12" fontId="5" numFmtId="0" xfId="0" applyAlignment="1" applyBorder="1" applyFont="1">
      <alignment horizontal="center"/>
    </xf>
    <xf borderId="43" fillId="12" fontId="5" numFmtId="0" xfId="0" applyAlignment="1" applyBorder="1" applyFont="1">
      <alignment horizontal="center"/>
    </xf>
    <xf borderId="44" fillId="12" fontId="5" numFmtId="0" xfId="0" applyAlignment="1" applyBorder="1" applyFont="1">
      <alignment horizontal="center"/>
    </xf>
    <xf borderId="7" fillId="12" fontId="5" numFmtId="0" xfId="0" applyAlignment="1" applyBorder="1" applyFont="1">
      <alignment horizontal="center"/>
    </xf>
    <xf borderId="8" fillId="2" fontId="34" numFmtId="0" xfId="0" applyAlignment="1" applyBorder="1" applyFont="1">
      <alignment horizontal="left"/>
    </xf>
    <xf borderId="41" fillId="2" fontId="34" numFmtId="0" xfId="0" applyAlignment="1" applyBorder="1" applyFont="1">
      <alignment horizontal="left"/>
    </xf>
    <xf borderId="41" fillId="2" fontId="8" numFmtId="0" xfId="0" applyAlignment="1" applyBorder="1" applyFont="1">
      <alignment horizontal="left"/>
    </xf>
    <xf borderId="7" fillId="13" fontId="40" numFmtId="0" xfId="0" applyAlignment="1" applyBorder="1" applyFont="1">
      <alignment horizontal="center"/>
    </xf>
    <xf borderId="10" fillId="2" fontId="5" numFmtId="165" xfId="0" applyBorder="1" applyFont="1" applyNumberFormat="1"/>
    <xf borderId="7" fillId="2" fontId="5" numFmtId="164" xfId="0" applyAlignment="1" applyBorder="1" applyFont="1" applyNumberFormat="1">
      <alignment horizontal="center"/>
    </xf>
    <xf borderId="45" fillId="0" fontId="41" numFmtId="0" xfId="0" applyBorder="1" applyFont="1"/>
    <xf borderId="46" fillId="29" fontId="42" numFmtId="0" xfId="0" applyBorder="1" applyFill="1" applyFont="1"/>
    <xf borderId="0" fillId="0" fontId="42" numFmtId="0" xfId="0" applyFont="1"/>
    <xf borderId="7" fillId="29" fontId="42" numFmtId="0" xfId="0" applyBorder="1" applyFont="1"/>
    <xf borderId="47" fillId="30" fontId="8" numFmtId="0" xfId="0" applyAlignment="1" applyBorder="1" applyFill="1" applyFont="1">
      <alignment horizontal="center" shrinkToFit="0" vertical="center" wrapText="1"/>
    </xf>
    <xf borderId="48" fillId="30" fontId="8" numFmtId="0" xfId="0" applyAlignment="1" applyBorder="1" applyFont="1">
      <alignment horizontal="center" vertical="center"/>
    </xf>
    <xf borderId="8" fillId="12" fontId="4" numFmtId="22" xfId="0" applyAlignment="1" applyBorder="1" applyFont="1" applyNumberFormat="1">
      <alignment horizontal="center" vertical="center"/>
    </xf>
    <xf borderId="48" fillId="31" fontId="8" numFmtId="0" xfId="0" applyAlignment="1" applyBorder="1" applyFill="1" applyFont="1">
      <alignment horizontal="center" shrinkToFit="0" vertical="center" wrapText="1"/>
    </xf>
    <xf borderId="48" fillId="31" fontId="8" numFmtId="0" xfId="0" applyAlignment="1" applyBorder="1" applyFont="1">
      <alignment horizontal="center" vertical="center"/>
    </xf>
    <xf borderId="49" fillId="15" fontId="8" numFmtId="0" xfId="0" applyBorder="1" applyFont="1"/>
    <xf borderId="50" fillId="0" fontId="8" numFmtId="0" xfId="0" applyBorder="1" applyFont="1"/>
    <xf borderId="50" fillId="0" fontId="8" numFmtId="21" xfId="0" applyBorder="1" applyFont="1" applyNumberFormat="1"/>
    <xf borderId="51" fillId="0" fontId="8" numFmtId="0" xfId="0" applyAlignment="1" applyBorder="1" applyFont="1">
      <alignment horizontal="center"/>
    </xf>
    <xf borderId="52" fillId="15" fontId="8" numFmtId="0" xfId="0" applyBorder="1" applyFont="1"/>
    <xf borderId="53" fillId="15" fontId="8" numFmtId="22" xfId="0" applyAlignment="1" applyBorder="1" applyFont="1" applyNumberFormat="1">
      <alignment horizontal="left"/>
    </xf>
    <xf borderId="50" fillId="15" fontId="8" numFmtId="0" xfId="0" applyBorder="1" applyFont="1"/>
    <xf borderId="52" fillId="0" fontId="8" numFmtId="0" xfId="0" applyBorder="1" applyFont="1"/>
    <xf borderId="54" fillId="15" fontId="8" numFmtId="0" xfId="0" applyBorder="1" applyFont="1"/>
    <xf borderId="55" fillId="0" fontId="8" numFmtId="0" xfId="0" applyBorder="1" applyFont="1"/>
    <xf borderId="55" fillId="15" fontId="8" numFmtId="0" xfId="0" applyBorder="1" applyFont="1"/>
    <xf borderId="0" fillId="0" fontId="8" numFmtId="0" xfId="0" applyAlignment="1" applyFont="1">
      <alignment shrinkToFit="0" wrapText="1"/>
    </xf>
    <xf borderId="56" fillId="15" fontId="8" numFmtId="0" xfId="0" applyBorder="1" applyFont="1"/>
    <xf borderId="57" fillId="0" fontId="8" numFmtId="0" xfId="0" applyBorder="1" applyFont="1"/>
    <xf borderId="57" fillId="0" fontId="8" numFmtId="21" xfId="0" applyBorder="1" applyFont="1" applyNumberFormat="1"/>
    <xf borderId="58" fillId="0" fontId="8" numFmtId="0" xfId="0" applyAlignment="1" applyBorder="1" applyFont="1">
      <alignment horizontal="center"/>
    </xf>
    <xf borderId="48" fillId="15" fontId="8" numFmtId="0" xfId="0" applyBorder="1" applyFont="1"/>
    <xf borderId="59" fillId="15" fontId="8" numFmtId="0" xfId="0" applyBorder="1" applyFont="1"/>
    <xf borderId="37" fillId="15" fontId="8" numFmtId="22" xfId="0" applyAlignment="1" applyBorder="1" applyFont="1" applyNumberFormat="1">
      <alignment horizontal="left"/>
    </xf>
    <xf borderId="48" fillId="0" fontId="8" numFmtId="0" xfId="0" applyBorder="1" applyFont="1"/>
    <xf borderId="50" fillId="0" fontId="8" numFmtId="0" xfId="0" applyBorder="1" applyFont="1"/>
    <xf borderId="50" fillId="0" fontId="8" numFmtId="0" xfId="0" applyAlignment="1" applyBorder="1" applyFont="1">
      <alignment horizontal="right" vertical="center"/>
    </xf>
    <xf borderId="50" fillId="0" fontId="7" numFmtId="17" xfId="0" applyAlignment="1" applyBorder="1" applyFont="1" applyNumberFormat="1">
      <alignment horizontal="right" vertical="center"/>
    </xf>
    <xf borderId="50" fillId="0" fontId="7" numFmtId="0" xfId="0" applyBorder="1" applyFont="1"/>
    <xf borderId="50" fillId="0" fontId="8" numFmtId="22" xfId="0" applyAlignment="1" applyBorder="1" applyFont="1" applyNumberFormat="1">
      <alignment horizontal="left"/>
    </xf>
    <xf borderId="50" fillId="0" fontId="7" numFmtId="21" xfId="0" applyAlignment="1" applyBorder="1" applyFont="1" applyNumberFormat="1">
      <alignment horizontal="right" vertical="center"/>
    </xf>
    <xf borderId="50" fillId="0" fontId="7" numFmtId="0" xfId="0" applyBorder="1" applyFont="1"/>
    <xf borderId="50" fillId="0" fontId="7" numFmtId="0" xfId="0" applyAlignment="1" applyBorder="1" applyFont="1">
      <alignment horizontal="right" vertical="center"/>
    </xf>
    <xf borderId="51" fillId="0" fontId="8" numFmtId="0" xfId="0" applyBorder="1" applyFont="1"/>
    <xf borderId="50" fillId="0" fontId="8" numFmtId="0" xfId="0" applyAlignment="1" applyBorder="1" applyFont="1">
      <alignment horizontal="right"/>
    </xf>
    <xf borderId="60" fillId="0" fontId="7" numFmtId="17" xfId="0" applyAlignment="1" applyBorder="1" applyFont="1" applyNumberFormat="1">
      <alignment horizontal="right" vertical="center"/>
    </xf>
    <xf borderId="50" fillId="0" fontId="7" numFmtId="22" xfId="0" applyAlignment="1" applyBorder="1" applyFont="1" applyNumberFormat="1">
      <alignment horizontal="left"/>
    </xf>
    <xf borderId="60" fillId="0" fontId="7" numFmtId="21" xfId="0" applyAlignment="1" applyBorder="1" applyFont="1" applyNumberFormat="1">
      <alignment horizontal="right" vertical="center"/>
    </xf>
    <xf borderId="58" fillId="0" fontId="8" numFmtId="0" xfId="0" applyBorder="1" applyFont="1"/>
    <xf borderId="61" fillId="0" fontId="7" numFmtId="21" xfId="0" applyAlignment="1" applyBorder="1" applyFont="1" applyNumberFormat="1">
      <alignment horizontal="right" vertical="center"/>
    </xf>
    <xf borderId="51" fillId="0" fontId="7" numFmtId="0" xfId="0" applyBorder="1" applyFont="1"/>
    <xf borderId="60" fillId="0" fontId="7" numFmtId="0" xfId="0" applyAlignment="1" applyBorder="1" applyFont="1">
      <alignment horizontal="right" vertical="center"/>
    </xf>
    <xf borderId="62" fillId="0" fontId="7" numFmtId="0" xfId="0" applyBorder="1" applyFont="1"/>
    <xf borderId="57" fillId="0" fontId="7" numFmtId="0" xfId="0" applyBorder="1" applyFont="1"/>
    <xf borderId="58" fillId="0" fontId="7" numFmtId="0" xfId="0" applyBorder="1" applyFont="1"/>
    <xf borderId="57" fillId="0" fontId="8" numFmtId="0" xfId="0" applyAlignment="1" applyBorder="1" applyFont="1">
      <alignment horizontal="right"/>
    </xf>
    <xf borderId="61" fillId="0" fontId="7" numFmtId="0" xfId="0" applyAlignment="1" applyBorder="1" applyFont="1">
      <alignment horizontal="right" vertical="center"/>
    </xf>
    <xf borderId="50" fillId="0" fontId="7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</dxfs>
  <tableStyles count="3">
    <tableStyle count="3" pivot="0" name="Listas-style">
      <tableStyleElement dxfId="1" type="headerRow"/>
      <tableStyleElement dxfId="2" type="firstRowStripe"/>
      <tableStyleElement dxfId="2" type="secondRowStripe"/>
    </tableStyle>
    <tableStyle count="3" pivot="0" name="Listas-style 2">
      <tableStyleElement dxfId="1" type="headerRow"/>
      <tableStyleElement dxfId="2" type="firstRowStripe"/>
      <tableStyleElement dxfId="2" type="secondRowStripe"/>
    </tableStyle>
    <tableStyle count="3" pivot="0" name="Listas-style 3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16</xdr:row>
      <xdr:rowOff>0</xdr:rowOff>
    </xdr:from>
    <xdr:ext cx="1838325" cy="180975"/>
    <xdr:sp macro="" textlink="">
      <xdr:nvSpPr>
        <xdr:cNvPr id="5" name="Seta para a Direita 4">
          <a:extLst>
            <a:ext uri="{FF2B5EF4-FFF2-40B4-BE49-F238E27FC236}"/>
            <a:ext uri="{147F2762-F138-4A5C-976F-8EAC2B608ADB}"/>
          </a:extLst>
        </xdr:cNvPr>
        <xdr:cNvSpPr/>
      </xdr:nvSpPr>
      <xdr:spPr>
        <a:xfrm>
          <a:off x="3676650" y="3095625"/>
          <a:ext cx="1838325" cy="190500"/>
        </a:xfrm>
        <a:prstGeom prst="rightArrow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/>
        </a:p>
      </xdr:txBody>
    </xdr:sp>
    <xdr:clientData fLocksWithSheet="0"/>
  </xdr:oneCellAnchor>
  <xdr:oneCellAnchor>
    <xdr:from>
      <xdr:col>0</xdr:col>
      <xdr:colOff>0</xdr:colOff>
      <xdr:row>11</xdr:row>
      <xdr:rowOff>190500</xdr:rowOff>
    </xdr:from>
    <xdr:ext cx="3533775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16</xdr:row>
      <xdr:rowOff>57150</xdr:rowOff>
    </xdr:from>
    <xdr:ext cx="3524250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0" displayName="Table_1" name="Table_1" id="1">
  <tableColumns count="1">
    <tableColumn name="Tipo" id="1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C1:C8" displayName="Table_2" name="Table_2" id="2">
  <tableColumns count="1">
    <tableColumn name="Pesquisador" id="1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E1:E62" displayName="Table_3" name="Table_3" id="3">
  <tableColumns count="1">
    <tableColumn name="Programa/ Jornal" id="1"/>
  </tableColumns>
  <tableStyleInfo name="Lista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4.43" defaultRowHeight="15.0"/>
  <cols>
    <col customWidth="1" min="1" max="1" width="16.71"/>
    <col customWidth="1" min="2" max="2" width="15.71"/>
    <col customWidth="1" min="3" max="3" width="19.43"/>
    <col customWidth="1" min="4" max="4" width="15.43"/>
    <col customWidth="1" min="5" max="5" width="24.0"/>
    <col customWidth="1" min="6" max="6" width="20.57"/>
    <col customWidth="1" min="7" max="7" width="11.43"/>
    <col customWidth="1" min="8" max="8" width="57.14"/>
    <col customWidth="1" min="9" max="9" width="9.14"/>
    <col customWidth="1" min="10" max="10" width="20.29"/>
    <col customWidth="1" min="11" max="11" width="35.29"/>
    <col customWidth="1" min="12" max="12" width="21.71"/>
    <col customWidth="1" min="13" max="13" width="28.43"/>
    <col customWidth="1" min="14" max="14" width="17.86"/>
    <col customWidth="1" min="15" max="15" width="20.0"/>
    <col customWidth="1" min="16" max="16" width="15.0"/>
    <col customWidth="1" min="17" max="17" width="17.57"/>
    <col customWidth="1" min="18" max="18" width="24.14"/>
    <col customWidth="1" min="19" max="19" width="9.43"/>
    <col customWidth="1" min="20" max="20" width="26.71"/>
    <col customWidth="1" min="21" max="21" width="22.57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5"/>
      <c r="J1" s="5"/>
      <c r="K1" s="6"/>
      <c r="L1" s="7"/>
      <c r="M1" s="2"/>
      <c r="N1" s="3"/>
      <c r="O1" s="8"/>
      <c r="P1" s="9" t="s">
        <v>2</v>
      </c>
      <c r="Q1" s="5"/>
      <c r="R1" s="6"/>
      <c r="S1" s="10"/>
      <c r="T1" s="11" t="s">
        <v>3</v>
      </c>
      <c r="U1" s="6"/>
    </row>
    <row r="2">
      <c r="A2" s="12" t="s">
        <v>4</v>
      </c>
      <c r="B2" s="12" t="s">
        <v>5</v>
      </c>
      <c r="C2" s="12" t="s">
        <v>6</v>
      </c>
      <c r="D2" s="12" t="s">
        <v>7</v>
      </c>
      <c r="E2" s="13" t="s">
        <v>8</v>
      </c>
      <c r="F2" s="12" t="s">
        <v>9</v>
      </c>
      <c r="G2" s="12" t="s">
        <v>10</v>
      </c>
      <c r="H2" s="14" t="s">
        <v>11</v>
      </c>
      <c r="I2" s="14" t="s">
        <v>12</v>
      </c>
      <c r="J2" s="14" t="s">
        <v>13</v>
      </c>
      <c r="K2" s="14" t="s">
        <v>14</v>
      </c>
      <c r="L2" s="15" t="s">
        <v>15</v>
      </c>
      <c r="M2" s="16" t="s">
        <v>16</v>
      </c>
      <c r="N2" s="15" t="s">
        <v>17</v>
      </c>
      <c r="O2" s="17" t="s">
        <v>18</v>
      </c>
      <c r="P2" s="18" t="s">
        <v>19</v>
      </c>
      <c r="Q2" s="18" t="s">
        <v>20</v>
      </c>
      <c r="R2" s="18" t="s">
        <v>21</v>
      </c>
      <c r="S2" s="10" t="s">
        <v>22</v>
      </c>
      <c r="T2" s="19" t="s">
        <v>23</v>
      </c>
      <c r="U2" s="19" t="s">
        <v>24</v>
      </c>
    </row>
    <row r="3">
      <c r="A3" s="20">
        <v>46023.0</v>
      </c>
      <c r="B3" s="20">
        <v>46023.0</v>
      </c>
      <c r="C3" s="20" t="s">
        <v>25</v>
      </c>
      <c r="D3" s="21"/>
      <c r="E3" s="21" t="s">
        <v>26</v>
      </c>
      <c r="F3" s="22"/>
      <c r="G3" s="23" t="s">
        <v>27</v>
      </c>
      <c r="H3" s="24"/>
      <c r="I3" s="25"/>
      <c r="J3" s="26"/>
      <c r="K3" s="21"/>
      <c r="L3" s="27"/>
      <c r="M3" s="28"/>
      <c r="N3" s="29"/>
      <c r="O3" s="29"/>
      <c r="P3" s="30" t="s">
        <v>28</v>
      </c>
      <c r="Q3" s="30" t="s">
        <v>28</v>
      </c>
      <c r="R3" s="31" t="s">
        <v>28</v>
      </c>
      <c r="S3" s="32" t="s">
        <v>29</v>
      </c>
      <c r="T3" s="33"/>
      <c r="U3" s="33"/>
    </row>
    <row r="4">
      <c r="A4" s="20">
        <v>46023.0</v>
      </c>
      <c r="B4" s="20">
        <v>46023.0</v>
      </c>
      <c r="C4" s="20" t="s">
        <v>25</v>
      </c>
      <c r="D4" s="21"/>
      <c r="E4" s="21" t="s">
        <v>30</v>
      </c>
      <c r="F4" s="22"/>
      <c r="G4" s="23" t="s">
        <v>27</v>
      </c>
      <c r="H4" s="24"/>
      <c r="I4" s="25"/>
      <c r="J4" s="26"/>
      <c r="K4" s="21"/>
      <c r="L4" s="27"/>
      <c r="M4" s="28"/>
      <c r="N4" s="29"/>
      <c r="O4" s="29"/>
      <c r="P4" s="34" t="s">
        <v>28</v>
      </c>
      <c r="Q4" s="34" t="s">
        <v>28</v>
      </c>
      <c r="R4" s="35" t="s">
        <v>28</v>
      </c>
      <c r="S4" s="32" t="s">
        <v>29</v>
      </c>
      <c r="T4" s="33"/>
      <c r="U4" s="33"/>
    </row>
    <row r="5">
      <c r="A5" s="20">
        <v>46023.0</v>
      </c>
      <c r="B5" s="20">
        <v>46023.0</v>
      </c>
      <c r="C5" s="20" t="s">
        <v>25</v>
      </c>
      <c r="D5" s="21" t="s">
        <v>31</v>
      </c>
      <c r="E5" s="21" t="s">
        <v>32</v>
      </c>
      <c r="F5" s="22">
        <v>0.050694444444444445</v>
      </c>
      <c r="G5" s="21" t="s">
        <v>33</v>
      </c>
      <c r="H5" s="24"/>
      <c r="I5" s="25"/>
      <c r="J5" s="26"/>
      <c r="K5" s="21"/>
      <c r="L5" s="27">
        <v>46024.0</v>
      </c>
      <c r="M5" s="28">
        <v>0.12152777777777778</v>
      </c>
      <c r="N5" s="29" t="s">
        <v>34</v>
      </c>
      <c r="O5" s="29" t="s">
        <v>35</v>
      </c>
      <c r="P5" s="34" t="s">
        <v>36</v>
      </c>
      <c r="Q5" s="34" t="s">
        <v>37</v>
      </c>
      <c r="R5" s="35">
        <v>46027.0</v>
      </c>
      <c r="S5" s="32" t="s">
        <v>29</v>
      </c>
      <c r="T5" s="33"/>
      <c r="U5" s="33"/>
    </row>
    <row r="6">
      <c r="A6" s="20">
        <v>46023.0</v>
      </c>
      <c r="B6" s="20">
        <v>46023.0</v>
      </c>
      <c r="C6" s="20" t="s">
        <v>25</v>
      </c>
      <c r="D6" s="21" t="s">
        <v>34</v>
      </c>
      <c r="E6" s="21" t="s">
        <v>38</v>
      </c>
      <c r="F6" s="22">
        <v>0.008263888888888888</v>
      </c>
      <c r="G6" s="21" t="s">
        <v>33</v>
      </c>
      <c r="H6" s="24"/>
      <c r="I6" s="25"/>
      <c r="J6" s="26"/>
      <c r="K6" s="21"/>
      <c r="L6" s="27">
        <v>46024.0</v>
      </c>
      <c r="M6" s="28">
        <v>0.013888888888888888</v>
      </c>
      <c r="N6" s="29" t="s">
        <v>31</v>
      </c>
      <c r="O6" s="29" t="s">
        <v>35</v>
      </c>
      <c r="P6" s="30" t="s">
        <v>36</v>
      </c>
      <c r="Q6" s="34">
        <v>1.1952642E7</v>
      </c>
      <c r="R6" s="35">
        <v>46027.0</v>
      </c>
      <c r="S6" s="32" t="s">
        <v>29</v>
      </c>
      <c r="T6" s="33"/>
      <c r="U6" s="33"/>
    </row>
    <row r="7">
      <c r="A7" s="20">
        <v>46023.0</v>
      </c>
      <c r="B7" s="20">
        <v>46023.0</v>
      </c>
      <c r="C7" s="20" t="s">
        <v>25</v>
      </c>
      <c r="D7" s="21" t="s">
        <v>39</v>
      </c>
      <c r="E7" s="21" t="s">
        <v>40</v>
      </c>
      <c r="F7" s="22">
        <v>0.019976851851851853</v>
      </c>
      <c r="G7" s="21" t="s">
        <v>33</v>
      </c>
      <c r="H7" s="24"/>
      <c r="I7" s="25"/>
      <c r="J7" s="26"/>
      <c r="K7" s="21"/>
      <c r="L7" s="27">
        <v>46024.0</v>
      </c>
      <c r="M7" s="28">
        <v>0.041666666666666664</v>
      </c>
      <c r="N7" s="29" t="s">
        <v>31</v>
      </c>
      <c r="O7" s="29" t="s">
        <v>35</v>
      </c>
      <c r="P7" s="34" t="s">
        <v>36</v>
      </c>
      <c r="Q7" s="34" t="s">
        <v>41</v>
      </c>
      <c r="R7" s="35">
        <v>46027.0</v>
      </c>
      <c r="S7" s="32" t="s">
        <v>29</v>
      </c>
      <c r="T7" s="33"/>
      <c r="U7" s="33"/>
    </row>
    <row r="8">
      <c r="A8" s="20">
        <v>46023.0</v>
      </c>
      <c r="B8" s="20">
        <v>46023.0</v>
      </c>
      <c r="C8" s="20" t="s">
        <v>42</v>
      </c>
      <c r="D8" s="21"/>
      <c r="E8" s="21" t="s">
        <v>43</v>
      </c>
      <c r="F8" s="22"/>
      <c r="G8" s="21"/>
      <c r="H8" s="24"/>
      <c r="I8" s="25"/>
      <c r="J8" s="26"/>
      <c r="K8" s="21"/>
      <c r="L8" s="27"/>
      <c r="M8" s="28"/>
      <c r="N8" s="29"/>
      <c r="O8" s="29"/>
      <c r="P8" s="30" t="s">
        <v>28</v>
      </c>
      <c r="Q8" s="30" t="s">
        <v>28</v>
      </c>
      <c r="R8" s="31" t="s">
        <v>28</v>
      </c>
      <c r="S8" s="32" t="s">
        <v>29</v>
      </c>
      <c r="T8" s="33"/>
      <c r="U8" s="33"/>
    </row>
    <row r="9">
      <c r="A9" s="20">
        <v>46023.0</v>
      </c>
      <c r="B9" s="20">
        <v>46023.0</v>
      </c>
      <c r="C9" s="20" t="s">
        <v>25</v>
      </c>
      <c r="D9" s="21" t="s">
        <v>39</v>
      </c>
      <c r="E9" s="21" t="s">
        <v>44</v>
      </c>
      <c r="F9" s="22">
        <v>0.015821759259259258</v>
      </c>
      <c r="G9" s="21" t="s">
        <v>33</v>
      </c>
      <c r="H9" s="24" t="s">
        <v>45</v>
      </c>
      <c r="I9" s="25" t="s">
        <v>46</v>
      </c>
      <c r="J9" s="26">
        <v>46023.0</v>
      </c>
      <c r="K9" s="21" t="s">
        <v>47</v>
      </c>
      <c r="L9" s="27">
        <v>46031.0</v>
      </c>
      <c r="M9" s="28">
        <v>0.034722222222222224</v>
      </c>
      <c r="N9" s="29" t="s">
        <v>34</v>
      </c>
      <c r="O9" s="29" t="s">
        <v>35</v>
      </c>
      <c r="P9" s="34" t="s">
        <v>36</v>
      </c>
      <c r="Q9" s="34" t="s">
        <v>48</v>
      </c>
      <c r="R9" s="35">
        <v>46029.0</v>
      </c>
      <c r="S9" s="32"/>
      <c r="T9" s="33"/>
      <c r="U9" s="33"/>
    </row>
    <row r="10">
      <c r="A10" s="20">
        <v>46024.0</v>
      </c>
      <c r="B10" s="20">
        <v>46024.0</v>
      </c>
      <c r="C10" s="20" t="s">
        <v>25</v>
      </c>
      <c r="D10" s="21" t="s">
        <v>49</v>
      </c>
      <c r="E10" s="21" t="s">
        <v>26</v>
      </c>
      <c r="F10" s="22">
        <v>0.10162037037037037</v>
      </c>
      <c r="G10" s="21" t="s">
        <v>33</v>
      </c>
      <c r="H10" s="24"/>
      <c r="I10" s="25"/>
      <c r="J10" s="26"/>
      <c r="K10" s="21"/>
      <c r="L10" s="27">
        <v>46027.0</v>
      </c>
      <c r="M10" s="28">
        <v>0.20833333333333334</v>
      </c>
      <c r="N10" s="29" t="s">
        <v>31</v>
      </c>
      <c r="O10" s="29" t="s">
        <v>35</v>
      </c>
      <c r="P10" s="34" t="s">
        <v>36</v>
      </c>
      <c r="Q10" s="34" t="s">
        <v>50</v>
      </c>
      <c r="R10" s="35">
        <v>46027.0</v>
      </c>
      <c r="S10" s="32" t="s">
        <v>29</v>
      </c>
      <c r="T10" s="33"/>
      <c r="U10" s="33"/>
    </row>
    <row r="11">
      <c r="A11" s="20">
        <v>46024.0</v>
      </c>
      <c r="B11" s="20">
        <v>46024.0</v>
      </c>
      <c r="C11" s="20" t="s">
        <v>25</v>
      </c>
      <c r="D11" s="21" t="s">
        <v>31</v>
      </c>
      <c r="E11" s="21" t="s">
        <v>30</v>
      </c>
      <c r="F11" s="22">
        <v>0.0020949074074074073</v>
      </c>
      <c r="G11" s="21" t="s">
        <v>33</v>
      </c>
      <c r="H11" s="24" t="s">
        <v>51</v>
      </c>
      <c r="I11" s="25" t="s">
        <v>46</v>
      </c>
      <c r="J11" s="26">
        <v>46024.40625</v>
      </c>
      <c r="K11" s="21" t="s">
        <v>52</v>
      </c>
      <c r="L11" s="27">
        <v>46024.0</v>
      </c>
      <c r="M11" s="28">
        <v>0.006944444444444444</v>
      </c>
      <c r="N11" s="29" t="s">
        <v>31</v>
      </c>
      <c r="O11" s="29" t="s">
        <v>35</v>
      </c>
      <c r="P11" s="34" t="s">
        <v>53</v>
      </c>
      <c r="Q11" s="34" t="s">
        <v>54</v>
      </c>
      <c r="R11" s="35">
        <v>46028.0</v>
      </c>
      <c r="S11" s="32" t="s">
        <v>29</v>
      </c>
      <c r="T11" s="33"/>
      <c r="U11" s="33"/>
    </row>
    <row r="12">
      <c r="A12" s="36">
        <v>46024.0</v>
      </c>
      <c r="B12" s="36">
        <v>46024.0</v>
      </c>
      <c r="C12" s="36" t="s">
        <v>25</v>
      </c>
      <c r="D12" s="37" t="s">
        <v>49</v>
      </c>
      <c r="E12" s="37" t="s">
        <v>32</v>
      </c>
      <c r="F12" s="38">
        <v>0.05320601851851852</v>
      </c>
      <c r="G12" s="37" t="s">
        <v>33</v>
      </c>
      <c r="H12" s="39"/>
      <c r="I12" s="40"/>
      <c r="J12" s="41"/>
      <c r="K12" s="37"/>
      <c r="L12" s="42">
        <v>46025.0</v>
      </c>
      <c r="M12" s="43">
        <v>0.125</v>
      </c>
      <c r="N12" s="44" t="s">
        <v>31</v>
      </c>
      <c r="O12" s="44" t="s">
        <v>35</v>
      </c>
      <c r="P12" s="45" t="s">
        <v>36</v>
      </c>
      <c r="Q12" s="45" t="s">
        <v>55</v>
      </c>
      <c r="R12" s="46">
        <v>46027.0</v>
      </c>
      <c r="S12" s="47" t="s">
        <v>29</v>
      </c>
      <c r="T12" s="48"/>
      <c r="U12" s="48"/>
    </row>
    <row r="13">
      <c r="A13" s="20">
        <v>46024.0</v>
      </c>
      <c r="B13" s="20">
        <v>46024.0</v>
      </c>
      <c r="C13" s="20" t="s">
        <v>25</v>
      </c>
      <c r="D13" s="21" t="s">
        <v>39</v>
      </c>
      <c r="E13" s="21" t="s">
        <v>38</v>
      </c>
      <c r="F13" s="22">
        <v>0.008391203703703705</v>
      </c>
      <c r="G13" s="21" t="s">
        <v>33</v>
      </c>
      <c r="H13" s="24"/>
      <c r="I13" s="25"/>
      <c r="J13" s="26"/>
      <c r="K13" s="21"/>
      <c r="L13" s="27">
        <v>46027.0</v>
      </c>
      <c r="M13" s="28">
        <v>0.018055555555555554</v>
      </c>
      <c r="N13" s="29" t="s">
        <v>49</v>
      </c>
      <c r="O13" s="29" t="s">
        <v>35</v>
      </c>
      <c r="P13" s="34" t="s">
        <v>36</v>
      </c>
      <c r="Q13" s="34">
        <v>1.1952643E7</v>
      </c>
      <c r="R13" s="35">
        <v>46027.0</v>
      </c>
      <c r="S13" s="32" t="s">
        <v>29</v>
      </c>
      <c r="T13" s="33"/>
      <c r="U13" s="33"/>
    </row>
    <row r="14">
      <c r="A14" s="20">
        <v>46024.0</v>
      </c>
      <c r="B14" s="20">
        <v>46024.0</v>
      </c>
      <c r="C14" s="20" t="s">
        <v>25</v>
      </c>
      <c r="D14" s="21" t="s">
        <v>39</v>
      </c>
      <c r="E14" s="21" t="s">
        <v>40</v>
      </c>
      <c r="F14" s="22">
        <v>0.018541666666666668</v>
      </c>
      <c r="G14" s="21" t="s">
        <v>33</v>
      </c>
      <c r="H14" s="24"/>
      <c r="I14" s="25"/>
      <c r="J14" s="26"/>
      <c r="K14" s="21"/>
      <c r="L14" s="27">
        <v>46027.0</v>
      </c>
      <c r="M14" s="28">
        <v>0.07291666666666667</v>
      </c>
      <c r="N14" s="29" t="s">
        <v>49</v>
      </c>
      <c r="O14" s="29" t="s">
        <v>35</v>
      </c>
      <c r="P14" s="34" t="s">
        <v>36</v>
      </c>
      <c r="Q14" s="34" t="s">
        <v>56</v>
      </c>
      <c r="R14" s="35">
        <v>46027.0</v>
      </c>
      <c r="S14" s="32" t="s">
        <v>29</v>
      </c>
      <c r="T14" s="33"/>
      <c r="U14" s="33"/>
    </row>
    <row r="15">
      <c r="A15" s="20">
        <v>46024.0</v>
      </c>
      <c r="B15" s="20">
        <v>46024.0</v>
      </c>
      <c r="C15" s="20" t="s">
        <v>42</v>
      </c>
      <c r="D15" s="21"/>
      <c r="E15" s="21" t="s">
        <v>43</v>
      </c>
      <c r="F15" s="22"/>
      <c r="G15" s="21"/>
      <c r="H15" s="24"/>
      <c r="I15" s="25"/>
      <c r="J15" s="26"/>
      <c r="K15" s="21"/>
      <c r="L15" s="27"/>
      <c r="M15" s="28"/>
      <c r="N15" s="29"/>
      <c r="O15" s="29"/>
      <c r="P15" s="30" t="s">
        <v>28</v>
      </c>
      <c r="Q15" s="30" t="s">
        <v>28</v>
      </c>
      <c r="R15" s="31" t="s">
        <v>28</v>
      </c>
      <c r="S15" s="32" t="s">
        <v>29</v>
      </c>
      <c r="T15" s="33"/>
      <c r="U15" s="33"/>
    </row>
    <row r="16">
      <c r="A16" s="49">
        <v>46025.0</v>
      </c>
      <c r="B16" s="49">
        <v>46025.0</v>
      </c>
      <c r="C16" s="49" t="s">
        <v>25</v>
      </c>
      <c r="D16" s="50" t="s">
        <v>34</v>
      </c>
      <c r="E16" s="50" t="s">
        <v>32</v>
      </c>
      <c r="F16" s="51">
        <v>0.051458333333333335</v>
      </c>
      <c r="G16" s="50" t="s">
        <v>33</v>
      </c>
      <c r="H16" s="24"/>
      <c r="I16" s="25"/>
      <c r="J16" s="26"/>
      <c r="K16" s="21"/>
      <c r="L16" s="27">
        <v>46027.0</v>
      </c>
      <c r="M16" s="28">
        <v>0.15625</v>
      </c>
      <c r="N16" s="29" t="s">
        <v>57</v>
      </c>
      <c r="O16" s="29" t="s">
        <v>35</v>
      </c>
      <c r="P16" s="34" t="s">
        <v>36</v>
      </c>
      <c r="Q16" s="34" t="s">
        <v>58</v>
      </c>
      <c r="R16" s="35">
        <v>46027.0</v>
      </c>
      <c r="S16" s="32" t="s">
        <v>29</v>
      </c>
      <c r="T16" s="33"/>
      <c r="U16" s="33"/>
    </row>
    <row r="17">
      <c r="A17" s="49">
        <v>46025.0</v>
      </c>
      <c r="B17" s="49">
        <v>46025.0</v>
      </c>
      <c r="C17" s="49" t="s">
        <v>25</v>
      </c>
      <c r="D17" s="50" t="s">
        <v>57</v>
      </c>
      <c r="E17" s="50" t="s">
        <v>40</v>
      </c>
      <c r="F17" s="51">
        <v>0.01361111111111111</v>
      </c>
      <c r="G17" s="50" t="s">
        <v>33</v>
      </c>
      <c r="H17" s="24"/>
      <c r="I17" s="25"/>
      <c r="J17" s="26"/>
      <c r="K17" s="21"/>
      <c r="L17" s="27">
        <v>46027.0</v>
      </c>
      <c r="M17" s="28">
        <v>0.0625</v>
      </c>
      <c r="N17" s="29" t="s">
        <v>59</v>
      </c>
      <c r="O17" s="29" t="s">
        <v>35</v>
      </c>
      <c r="P17" s="34" t="s">
        <v>36</v>
      </c>
      <c r="Q17" s="34" t="s">
        <v>60</v>
      </c>
      <c r="R17" s="35">
        <v>46027.0</v>
      </c>
      <c r="S17" s="32" t="s">
        <v>29</v>
      </c>
      <c r="T17" s="33"/>
      <c r="U17" s="33"/>
    </row>
    <row r="18">
      <c r="A18" s="49">
        <v>46025.0</v>
      </c>
      <c r="B18" s="49">
        <v>46025.0</v>
      </c>
      <c r="C18" s="49"/>
      <c r="D18" s="50"/>
      <c r="E18" s="50" t="s">
        <v>43</v>
      </c>
      <c r="F18" s="51"/>
      <c r="G18" s="50"/>
      <c r="H18" s="24"/>
      <c r="I18" s="25"/>
      <c r="J18" s="26"/>
      <c r="K18" s="21"/>
      <c r="L18" s="27"/>
      <c r="M18" s="28"/>
      <c r="N18" s="29"/>
      <c r="O18" s="29"/>
      <c r="P18" s="30" t="s">
        <v>28</v>
      </c>
      <c r="Q18" s="30" t="s">
        <v>28</v>
      </c>
      <c r="R18" s="31" t="s">
        <v>28</v>
      </c>
      <c r="S18" s="32" t="s">
        <v>29</v>
      </c>
      <c r="T18" s="33"/>
      <c r="U18" s="33"/>
    </row>
    <row r="19">
      <c r="A19" s="49">
        <v>46025.0</v>
      </c>
      <c r="B19" s="49">
        <v>46025.0</v>
      </c>
      <c r="C19" s="49"/>
      <c r="D19" s="50"/>
      <c r="E19" s="50" t="s">
        <v>61</v>
      </c>
      <c r="F19" s="51"/>
      <c r="G19" s="52" t="s">
        <v>27</v>
      </c>
      <c r="H19" s="24"/>
      <c r="I19" s="25"/>
      <c r="J19" s="26"/>
      <c r="K19" s="21"/>
      <c r="L19" s="27"/>
      <c r="M19" s="28"/>
      <c r="N19" s="29"/>
      <c r="O19" s="29"/>
      <c r="P19" s="34" t="s">
        <v>28</v>
      </c>
      <c r="Q19" s="34" t="s">
        <v>28</v>
      </c>
      <c r="R19" s="35" t="s">
        <v>28</v>
      </c>
      <c r="S19" s="32" t="s">
        <v>29</v>
      </c>
      <c r="T19" s="33"/>
      <c r="U19" s="33"/>
    </row>
    <row r="20">
      <c r="A20" s="49">
        <v>46025.0</v>
      </c>
      <c r="B20" s="49">
        <v>46025.0</v>
      </c>
      <c r="C20" s="49"/>
      <c r="D20" s="50"/>
      <c r="E20" s="50" t="s">
        <v>62</v>
      </c>
      <c r="F20" s="51"/>
      <c r="G20" s="52" t="s">
        <v>27</v>
      </c>
      <c r="H20" s="24"/>
      <c r="I20" s="25"/>
      <c r="J20" s="26"/>
      <c r="K20" s="21"/>
      <c r="L20" s="27"/>
      <c r="M20" s="28"/>
      <c r="N20" s="29"/>
      <c r="O20" s="29"/>
      <c r="P20" s="34" t="s">
        <v>28</v>
      </c>
      <c r="Q20" s="34" t="s">
        <v>28</v>
      </c>
      <c r="R20" s="35" t="s">
        <v>28</v>
      </c>
      <c r="S20" s="32" t="s">
        <v>29</v>
      </c>
      <c r="T20" s="33"/>
      <c r="U20" s="33"/>
    </row>
    <row r="21" ht="15.75" customHeight="1">
      <c r="A21" s="49">
        <v>46026.0</v>
      </c>
      <c r="B21" s="49">
        <v>46026.0</v>
      </c>
      <c r="C21" s="49"/>
      <c r="D21" s="50"/>
      <c r="E21" s="50" t="s">
        <v>63</v>
      </c>
      <c r="F21" s="51"/>
      <c r="G21" s="52" t="s">
        <v>27</v>
      </c>
      <c r="H21" s="24"/>
      <c r="I21" s="25"/>
      <c r="J21" s="26"/>
      <c r="K21" s="21"/>
      <c r="L21" s="27"/>
      <c r="M21" s="28"/>
      <c r="N21" s="29"/>
      <c r="O21" s="29"/>
      <c r="P21" s="34" t="s">
        <v>28</v>
      </c>
      <c r="Q21" s="34" t="s">
        <v>28</v>
      </c>
      <c r="R21" s="35" t="s">
        <v>28</v>
      </c>
      <c r="S21" s="32" t="s">
        <v>29</v>
      </c>
      <c r="T21" s="33"/>
      <c r="U21" s="33"/>
    </row>
    <row r="22" ht="15.75" customHeight="1">
      <c r="A22" s="49">
        <v>46026.0</v>
      </c>
      <c r="B22" s="49">
        <v>46026.0</v>
      </c>
      <c r="C22" s="49"/>
      <c r="D22" s="50"/>
      <c r="E22" s="50" t="s">
        <v>64</v>
      </c>
      <c r="F22" s="51"/>
      <c r="G22" s="52" t="s">
        <v>27</v>
      </c>
      <c r="H22" s="24"/>
      <c r="I22" s="25"/>
      <c r="J22" s="26"/>
      <c r="K22" s="21"/>
      <c r="L22" s="27"/>
      <c r="M22" s="28"/>
      <c r="N22" s="29"/>
      <c r="O22" s="29"/>
      <c r="P22" s="34" t="s">
        <v>28</v>
      </c>
      <c r="Q22" s="34" t="s">
        <v>28</v>
      </c>
      <c r="R22" s="35" t="s">
        <v>28</v>
      </c>
      <c r="S22" s="32" t="s">
        <v>29</v>
      </c>
      <c r="T22" s="33"/>
      <c r="U22" s="33"/>
    </row>
    <row r="23" ht="15.75" customHeight="1">
      <c r="A23" s="49">
        <v>46026.0</v>
      </c>
      <c r="B23" s="49">
        <v>46026.0</v>
      </c>
      <c r="C23" s="49" t="s">
        <v>65</v>
      </c>
      <c r="D23" s="50" t="s">
        <v>57</v>
      </c>
      <c r="E23" s="50" t="s">
        <v>66</v>
      </c>
      <c r="F23" s="51">
        <v>0.018819444444444444</v>
      </c>
      <c r="G23" s="50" t="s">
        <v>33</v>
      </c>
      <c r="H23" s="24" t="s">
        <v>67</v>
      </c>
      <c r="I23" s="25" t="s">
        <v>46</v>
      </c>
      <c r="J23" s="26">
        <v>46027.24652777778</v>
      </c>
      <c r="K23" s="21" t="s">
        <v>68</v>
      </c>
      <c r="L23" s="27">
        <v>46029.0</v>
      </c>
      <c r="M23" s="28">
        <v>0.052083333333333336</v>
      </c>
      <c r="N23" s="29" t="s">
        <v>69</v>
      </c>
      <c r="O23" s="29" t="s">
        <v>35</v>
      </c>
      <c r="P23" s="34" t="s">
        <v>36</v>
      </c>
      <c r="Q23" s="34" t="s">
        <v>70</v>
      </c>
      <c r="R23" s="35">
        <v>46029.0</v>
      </c>
      <c r="S23" s="32" t="s">
        <v>29</v>
      </c>
      <c r="T23" s="33"/>
      <c r="U23" s="33"/>
    </row>
    <row r="24" ht="15.75" customHeight="1">
      <c r="A24" s="20">
        <v>46027.0</v>
      </c>
      <c r="B24" s="20">
        <v>46027.0</v>
      </c>
      <c r="C24" s="20" t="s">
        <v>25</v>
      </c>
      <c r="D24" s="21" t="s">
        <v>49</v>
      </c>
      <c r="E24" s="21" t="s">
        <v>26</v>
      </c>
      <c r="F24" s="22">
        <v>0.10225694444444444</v>
      </c>
      <c r="G24" s="21" t="s">
        <v>33</v>
      </c>
      <c r="H24" s="53"/>
      <c r="I24" s="25"/>
      <c r="J24" s="53"/>
      <c r="K24" s="21"/>
      <c r="L24" s="27">
        <v>46028.0</v>
      </c>
      <c r="M24" s="28">
        <v>0.21180555555555555</v>
      </c>
      <c r="N24" s="29" t="s">
        <v>34</v>
      </c>
      <c r="O24" s="29" t="s">
        <v>35</v>
      </c>
      <c r="P24" s="34" t="s">
        <v>36</v>
      </c>
      <c r="Q24" s="34" t="s">
        <v>71</v>
      </c>
      <c r="R24" s="35">
        <v>46028.0</v>
      </c>
      <c r="S24" s="32" t="s">
        <v>29</v>
      </c>
      <c r="T24" s="33"/>
      <c r="U24" s="33"/>
    </row>
    <row r="25" ht="15.75" customHeight="1">
      <c r="A25" s="20">
        <v>46027.0</v>
      </c>
      <c r="B25" s="20">
        <v>46027.0</v>
      </c>
      <c r="C25" s="20" t="s">
        <v>25</v>
      </c>
      <c r="D25" s="21" t="s">
        <v>31</v>
      </c>
      <c r="E25" s="21" t="s">
        <v>30</v>
      </c>
      <c r="F25" s="22">
        <v>0.005891203703703704</v>
      </c>
      <c r="G25" s="21" t="s">
        <v>33</v>
      </c>
      <c r="H25" s="24" t="s">
        <v>72</v>
      </c>
      <c r="I25" s="25" t="s">
        <v>46</v>
      </c>
      <c r="J25" s="26">
        <v>46027.40625</v>
      </c>
      <c r="K25" s="21" t="s">
        <v>73</v>
      </c>
      <c r="L25" s="27">
        <v>46027.0</v>
      </c>
      <c r="M25" s="28">
        <v>0.020833333333333332</v>
      </c>
      <c r="N25" s="29" t="s">
        <v>31</v>
      </c>
      <c r="O25" s="29" t="s">
        <v>35</v>
      </c>
      <c r="P25" s="34" t="s">
        <v>53</v>
      </c>
      <c r="Q25" s="34" t="s">
        <v>74</v>
      </c>
      <c r="R25" s="35">
        <v>46028.0</v>
      </c>
      <c r="S25" s="32" t="s">
        <v>29</v>
      </c>
      <c r="T25" s="33"/>
      <c r="U25" s="33"/>
    </row>
    <row r="26" ht="15.75" customHeight="1">
      <c r="A26" s="20">
        <v>46027.0</v>
      </c>
      <c r="B26" s="20">
        <v>46027.0</v>
      </c>
      <c r="C26" s="20" t="s">
        <v>25</v>
      </c>
      <c r="D26" s="21" t="s">
        <v>39</v>
      </c>
      <c r="E26" s="21" t="s">
        <v>32</v>
      </c>
      <c r="F26" s="22">
        <v>0.05078703703703704</v>
      </c>
      <c r="G26" s="21" t="s">
        <v>33</v>
      </c>
      <c r="H26" s="24"/>
      <c r="I26" s="25"/>
      <c r="J26" s="26"/>
      <c r="K26" s="21"/>
      <c r="L26" s="27">
        <v>46028.0</v>
      </c>
      <c r="M26" s="28">
        <v>0.125</v>
      </c>
      <c r="N26" s="29" t="s">
        <v>59</v>
      </c>
      <c r="O26" s="29" t="s">
        <v>35</v>
      </c>
      <c r="P26" s="34" t="s">
        <v>36</v>
      </c>
      <c r="Q26" s="34" t="s">
        <v>75</v>
      </c>
      <c r="R26" s="35">
        <v>46028.0</v>
      </c>
      <c r="S26" s="32" t="s">
        <v>29</v>
      </c>
      <c r="T26" s="33"/>
      <c r="U26" s="33"/>
    </row>
    <row r="27" ht="15.75" customHeight="1">
      <c r="A27" s="20">
        <v>46027.0</v>
      </c>
      <c r="B27" s="20">
        <v>46027.0</v>
      </c>
      <c r="C27" s="20" t="s">
        <v>25</v>
      </c>
      <c r="D27" s="21" t="s">
        <v>39</v>
      </c>
      <c r="E27" s="21" t="s">
        <v>38</v>
      </c>
      <c r="F27" s="22">
        <v>0.008194444444444445</v>
      </c>
      <c r="G27" s="21" t="s">
        <v>33</v>
      </c>
      <c r="H27" s="24"/>
      <c r="I27" s="25"/>
      <c r="J27" s="26"/>
      <c r="K27" s="21"/>
      <c r="L27" s="27">
        <v>46028.0</v>
      </c>
      <c r="M27" s="28">
        <v>0.020833333333333332</v>
      </c>
      <c r="N27" s="29" t="s">
        <v>31</v>
      </c>
      <c r="O27" s="29" t="s">
        <v>35</v>
      </c>
      <c r="P27" s="34" t="s">
        <v>36</v>
      </c>
      <c r="Q27" s="34">
        <v>1.1952644E7</v>
      </c>
      <c r="R27" s="35">
        <v>46028.0</v>
      </c>
      <c r="S27" s="32" t="s">
        <v>29</v>
      </c>
      <c r="T27" s="33"/>
      <c r="U27" s="33"/>
    </row>
    <row r="28" ht="15.75" customHeight="1">
      <c r="A28" s="20">
        <v>46027.0</v>
      </c>
      <c r="B28" s="20">
        <v>46027.0</v>
      </c>
      <c r="C28" s="20" t="s">
        <v>25</v>
      </c>
      <c r="D28" s="21" t="s">
        <v>34</v>
      </c>
      <c r="E28" s="21" t="s">
        <v>40</v>
      </c>
      <c r="F28" s="22">
        <v>0.017627314814814814</v>
      </c>
      <c r="G28" s="21" t="s">
        <v>33</v>
      </c>
      <c r="H28" s="24"/>
      <c r="I28" s="25"/>
      <c r="J28" s="26"/>
      <c r="K28" s="21"/>
      <c r="L28" s="27">
        <v>46028.0</v>
      </c>
      <c r="M28" s="28">
        <v>0.041666666666666664</v>
      </c>
      <c r="N28" s="29" t="s">
        <v>31</v>
      </c>
      <c r="O28" s="29" t="s">
        <v>35</v>
      </c>
      <c r="P28" s="34" t="s">
        <v>36</v>
      </c>
      <c r="Q28" s="34" t="s">
        <v>76</v>
      </c>
      <c r="R28" s="35">
        <v>46028.0</v>
      </c>
      <c r="S28" s="32" t="s">
        <v>29</v>
      </c>
      <c r="T28" s="33"/>
      <c r="U28" s="33"/>
    </row>
    <row r="29" ht="15.75" customHeight="1">
      <c r="A29" s="20">
        <v>46027.0</v>
      </c>
      <c r="B29" s="20">
        <v>46027.0</v>
      </c>
      <c r="C29" s="20"/>
      <c r="D29" s="21"/>
      <c r="E29" s="21" t="s">
        <v>43</v>
      </c>
      <c r="F29" s="22">
        <v>0.01505787037037037</v>
      </c>
      <c r="G29" s="21" t="s">
        <v>33</v>
      </c>
      <c r="H29" s="24"/>
      <c r="I29" s="25"/>
      <c r="J29" s="26"/>
      <c r="K29" s="21"/>
      <c r="L29" s="27">
        <v>46030.0</v>
      </c>
      <c r="M29" s="28">
        <v>0.04513888888888889</v>
      </c>
      <c r="N29" s="29" t="s">
        <v>57</v>
      </c>
      <c r="O29" s="29" t="s">
        <v>35</v>
      </c>
      <c r="P29" s="30" t="s">
        <v>28</v>
      </c>
      <c r="Q29" s="30" t="s">
        <v>28</v>
      </c>
      <c r="R29" s="31" t="s">
        <v>28</v>
      </c>
      <c r="S29" s="32" t="s">
        <v>29</v>
      </c>
      <c r="T29" s="33"/>
      <c r="U29" s="33"/>
    </row>
    <row r="30" ht="15.75" customHeight="1">
      <c r="A30" s="20">
        <v>46028.0</v>
      </c>
      <c r="B30" s="20">
        <v>46028.0</v>
      </c>
      <c r="C30" s="20" t="s">
        <v>25</v>
      </c>
      <c r="D30" s="21" t="s">
        <v>49</v>
      </c>
      <c r="E30" s="21" t="s">
        <v>26</v>
      </c>
      <c r="F30" s="22">
        <v>0.01505787037037037</v>
      </c>
      <c r="G30" s="21" t="s">
        <v>33</v>
      </c>
      <c r="H30" s="24"/>
      <c r="I30" s="25"/>
      <c r="J30" s="26"/>
      <c r="K30" s="21"/>
      <c r="L30" s="27">
        <v>46029.0</v>
      </c>
      <c r="M30" s="28">
        <v>0.2152777777777778</v>
      </c>
      <c r="N30" s="29" t="s">
        <v>59</v>
      </c>
      <c r="O30" s="29" t="s">
        <v>35</v>
      </c>
      <c r="P30" s="34" t="s">
        <v>36</v>
      </c>
      <c r="Q30" s="34" t="s">
        <v>77</v>
      </c>
      <c r="R30" s="35">
        <v>46029.0</v>
      </c>
      <c r="S30" s="32" t="s">
        <v>29</v>
      </c>
      <c r="T30" s="33"/>
      <c r="U30" s="33"/>
    </row>
    <row r="31" ht="15.75" customHeight="1">
      <c r="A31" s="20">
        <v>46028.0</v>
      </c>
      <c r="B31" s="20">
        <v>46028.0</v>
      </c>
      <c r="C31" s="20" t="s">
        <v>25</v>
      </c>
      <c r="D31" s="21" t="s">
        <v>34</v>
      </c>
      <c r="E31" s="21" t="s">
        <v>30</v>
      </c>
      <c r="F31" s="22">
        <v>0.0030324074074074073</v>
      </c>
      <c r="G31" s="21" t="s">
        <v>33</v>
      </c>
      <c r="H31" s="24"/>
      <c r="I31" s="25"/>
      <c r="J31" s="26"/>
      <c r="K31" s="21"/>
      <c r="L31" s="27">
        <v>46028.0</v>
      </c>
      <c r="M31" s="28">
        <v>0.006944444444444444</v>
      </c>
      <c r="N31" s="29" t="s">
        <v>34</v>
      </c>
      <c r="O31" s="29" t="s">
        <v>35</v>
      </c>
      <c r="P31" s="34" t="s">
        <v>36</v>
      </c>
      <c r="Q31" s="34" t="s">
        <v>78</v>
      </c>
      <c r="R31" s="35">
        <v>46029.0</v>
      </c>
      <c r="S31" s="32" t="s">
        <v>29</v>
      </c>
      <c r="T31" s="33"/>
      <c r="U31" s="33"/>
    </row>
    <row r="32" ht="15.75" customHeight="1">
      <c r="A32" s="36">
        <v>46028.0</v>
      </c>
      <c r="B32" s="36">
        <v>46028.0</v>
      </c>
      <c r="C32" s="36" t="s">
        <v>25</v>
      </c>
      <c r="D32" s="37" t="s">
        <v>69</v>
      </c>
      <c r="E32" s="37" t="s">
        <v>32</v>
      </c>
      <c r="F32" s="38">
        <v>0.05119212962962963</v>
      </c>
      <c r="G32" s="37" t="s">
        <v>33</v>
      </c>
      <c r="H32" s="39"/>
      <c r="I32" s="40"/>
      <c r="J32" s="41"/>
      <c r="K32" s="37"/>
      <c r="L32" s="42">
        <v>46029.0</v>
      </c>
      <c r="M32" s="43">
        <v>0.11805555555555555</v>
      </c>
      <c r="N32" s="44" t="s">
        <v>34</v>
      </c>
      <c r="O32" s="44" t="s">
        <v>35</v>
      </c>
      <c r="P32" s="45" t="s">
        <v>36</v>
      </c>
      <c r="Q32" s="45" t="s">
        <v>79</v>
      </c>
      <c r="R32" s="46">
        <v>46029.0</v>
      </c>
      <c r="S32" s="54" t="s">
        <v>29</v>
      </c>
      <c r="T32" s="33"/>
      <c r="U32" s="33"/>
    </row>
    <row r="33" ht="15.75" customHeight="1">
      <c r="A33" s="20">
        <v>46028.0</v>
      </c>
      <c r="B33" s="20">
        <v>46028.0</v>
      </c>
      <c r="C33" s="20" t="s">
        <v>25</v>
      </c>
      <c r="D33" s="21" t="s">
        <v>59</v>
      </c>
      <c r="E33" s="21" t="s">
        <v>38</v>
      </c>
      <c r="F33" s="22">
        <v>0.008703703703703703</v>
      </c>
      <c r="G33" s="21" t="s">
        <v>33</v>
      </c>
      <c r="H33" s="24"/>
      <c r="I33" s="25"/>
      <c r="J33" s="26"/>
      <c r="K33" s="21"/>
      <c r="L33" s="27">
        <v>46030.0</v>
      </c>
      <c r="M33" s="28">
        <v>0.020833333333333332</v>
      </c>
      <c r="N33" s="29" t="s">
        <v>31</v>
      </c>
      <c r="O33" s="29" t="s">
        <v>35</v>
      </c>
      <c r="P33" s="34" t="s">
        <v>36</v>
      </c>
      <c r="Q33" s="34">
        <v>1.1952645E7</v>
      </c>
      <c r="R33" s="35">
        <v>46029.0</v>
      </c>
      <c r="S33" s="32" t="s">
        <v>29</v>
      </c>
      <c r="T33" s="33"/>
      <c r="U33" s="33"/>
    </row>
    <row r="34" ht="15.75" customHeight="1">
      <c r="A34" s="20">
        <v>46028.0</v>
      </c>
      <c r="B34" s="20">
        <v>46028.0</v>
      </c>
      <c r="C34" s="20" t="s">
        <v>25</v>
      </c>
      <c r="D34" s="21" t="s">
        <v>39</v>
      </c>
      <c r="E34" s="21" t="s">
        <v>40</v>
      </c>
      <c r="F34" s="22">
        <v>0.019178240740740742</v>
      </c>
      <c r="G34" s="21" t="s">
        <v>33</v>
      </c>
      <c r="H34" s="24"/>
      <c r="I34" s="25"/>
      <c r="J34" s="26"/>
      <c r="K34" s="21"/>
      <c r="L34" s="27">
        <v>46030.0</v>
      </c>
      <c r="M34" s="28">
        <v>0.05555555555555555</v>
      </c>
      <c r="N34" s="29" t="s">
        <v>31</v>
      </c>
      <c r="O34" s="29" t="s">
        <v>35</v>
      </c>
      <c r="P34" s="34" t="s">
        <v>36</v>
      </c>
      <c r="Q34" s="34" t="s">
        <v>80</v>
      </c>
      <c r="R34" s="35">
        <v>46029.0</v>
      </c>
      <c r="S34" s="32" t="s">
        <v>29</v>
      </c>
      <c r="T34" s="33"/>
      <c r="U34" s="33"/>
    </row>
    <row r="35" ht="15.75" customHeight="1">
      <c r="A35" s="20">
        <v>46028.0</v>
      </c>
      <c r="B35" s="20">
        <v>46028.0</v>
      </c>
      <c r="C35" s="20"/>
      <c r="D35" s="21"/>
      <c r="E35" s="21" t="s">
        <v>43</v>
      </c>
      <c r="F35" s="22"/>
      <c r="G35" s="21"/>
      <c r="H35" s="24"/>
      <c r="I35" s="25"/>
      <c r="J35" s="26"/>
      <c r="K35" s="21"/>
      <c r="L35" s="27"/>
      <c r="M35" s="28"/>
      <c r="N35" s="29"/>
      <c r="O35" s="29"/>
      <c r="P35" s="30" t="s">
        <v>28</v>
      </c>
      <c r="Q35" s="30" t="s">
        <v>28</v>
      </c>
      <c r="R35" s="31" t="s">
        <v>28</v>
      </c>
      <c r="S35" s="32" t="s">
        <v>29</v>
      </c>
      <c r="T35" s="33"/>
      <c r="U35" s="33"/>
    </row>
    <row r="36" ht="15.75" customHeight="1">
      <c r="A36" s="36">
        <v>46029.0</v>
      </c>
      <c r="B36" s="36">
        <v>46029.0</v>
      </c>
      <c r="C36" s="36" t="s">
        <v>25</v>
      </c>
      <c r="D36" s="37" t="s">
        <v>59</v>
      </c>
      <c r="E36" s="37" t="s">
        <v>26</v>
      </c>
      <c r="F36" s="38">
        <v>0.10164351851851852</v>
      </c>
      <c r="G36" s="37" t="s">
        <v>33</v>
      </c>
      <c r="H36" s="39"/>
      <c r="I36" s="40"/>
      <c r="J36" s="41"/>
      <c r="K36" s="37"/>
      <c r="L36" s="42">
        <v>46030.0</v>
      </c>
      <c r="M36" s="43">
        <v>0.24305555555555555</v>
      </c>
      <c r="N36" s="44" t="s">
        <v>39</v>
      </c>
      <c r="O36" s="44" t="s">
        <v>35</v>
      </c>
      <c r="P36" s="45" t="s">
        <v>36</v>
      </c>
      <c r="Q36" s="45" t="s">
        <v>81</v>
      </c>
      <c r="R36" s="46">
        <v>46030.0</v>
      </c>
      <c r="S36" s="54" t="s">
        <v>29</v>
      </c>
      <c r="T36" s="33"/>
      <c r="U36" s="33"/>
    </row>
    <row r="37" ht="15.75" customHeight="1">
      <c r="A37" s="36">
        <v>46029.0</v>
      </c>
      <c r="B37" s="36">
        <v>46029.0</v>
      </c>
      <c r="C37" s="36" t="s">
        <v>25</v>
      </c>
      <c r="D37" s="37" t="s">
        <v>59</v>
      </c>
      <c r="E37" s="37" t="s">
        <v>30</v>
      </c>
      <c r="F37" s="38">
        <v>0.0028356481481481483</v>
      </c>
      <c r="G37" s="37" t="s">
        <v>33</v>
      </c>
      <c r="H37" s="39"/>
      <c r="I37" s="40"/>
      <c r="J37" s="41"/>
      <c r="K37" s="37"/>
      <c r="L37" s="42">
        <v>46029.0</v>
      </c>
      <c r="M37" s="43">
        <v>0.008680555555555556</v>
      </c>
      <c r="N37" s="44" t="s">
        <v>59</v>
      </c>
      <c r="O37" s="44" t="s">
        <v>35</v>
      </c>
      <c r="P37" s="45" t="s">
        <v>36</v>
      </c>
      <c r="Q37" s="45" t="s">
        <v>82</v>
      </c>
      <c r="R37" s="46">
        <v>46030.0</v>
      </c>
      <c r="S37" s="54" t="s">
        <v>29</v>
      </c>
      <c r="T37" s="33"/>
      <c r="U37" s="33"/>
    </row>
    <row r="38" ht="15.75" customHeight="1">
      <c r="A38" s="36">
        <v>46029.0</v>
      </c>
      <c r="B38" s="36">
        <v>46029.0</v>
      </c>
      <c r="C38" s="36" t="s">
        <v>25</v>
      </c>
      <c r="D38" s="37" t="s">
        <v>69</v>
      </c>
      <c r="E38" s="37" t="s">
        <v>32</v>
      </c>
      <c r="F38" s="38">
        <v>0.05040509259259259</v>
      </c>
      <c r="G38" s="37" t="s">
        <v>33</v>
      </c>
      <c r="H38" s="39"/>
      <c r="I38" s="40"/>
      <c r="J38" s="41"/>
      <c r="K38" s="37"/>
      <c r="L38" s="42">
        <v>46030.0</v>
      </c>
      <c r="M38" s="43">
        <v>0.1388888888888889</v>
      </c>
      <c r="N38" s="44" t="s">
        <v>59</v>
      </c>
      <c r="O38" s="44" t="s">
        <v>35</v>
      </c>
      <c r="P38" s="45" t="s">
        <v>36</v>
      </c>
      <c r="Q38" s="45" t="s">
        <v>83</v>
      </c>
      <c r="R38" s="46">
        <v>46030.0</v>
      </c>
      <c r="S38" s="54" t="s">
        <v>29</v>
      </c>
      <c r="T38" s="33"/>
      <c r="U38" s="33"/>
    </row>
    <row r="39" ht="15.75" customHeight="1">
      <c r="A39" s="20">
        <v>46029.0</v>
      </c>
      <c r="B39" s="20">
        <v>46029.0</v>
      </c>
      <c r="C39" s="20" t="s">
        <v>25</v>
      </c>
      <c r="D39" s="21" t="s">
        <v>39</v>
      </c>
      <c r="E39" s="21" t="s">
        <v>38</v>
      </c>
      <c r="F39" s="22">
        <v>0.008460648148148148</v>
      </c>
      <c r="G39" s="21" t="s">
        <v>33</v>
      </c>
      <c r="H39" s="24"/>
      <c r="I39" s="25"/>
      <c r="J39" s="26"/>
      <c r="K39" s="21"/>
      <c r="L39" s="27">
        <v>46030.0</v>
      </c>
      <c r="M39" s="28">
        <v>0.020833333333333332</v>
      </c>
      <c r="N39" s="29" t="s">
        <v>49</v>
      </c>
      <c r="O39" s="29" t="s">
        <v>35</v>
      </c>
      <c r="P39" s="34" t="s">
        <v>36</v>
      </c>
      <c r="Q39" s="34">
        <v>1.1952646E7</v>
      </c>
      <c r="R39" s="35">
        <v>46030.0</v>
      </c>
      <c r="S39" s="32" t="s">
        <v>29</v>
      </c>
      <c r="T39" s="33"/>
      <c r="U39" s="33"/>
    </row>
    <row r="40" ht="15.75" customHeight="1">
      <c r="A40" s="20">
        <v>46029.0</v>
      </c>
      <c r="B40" s="20">
        <v>46029.0</v>
      </c>
      <c r="C40" s="20" t="s">
        <v>25</v>
      </c>
      <c r="D40" s="21" t="s">
        <v>34</v>
      </c>
      <c r="E40" s="21" t="s">
        <v>40</v>
      </c>
      <c r="F40" s="22">
        <v>0.019178240740740742</v>
      </c>
      <c r="G40" s="21" t="s">
        <v>33</v>
      </c>
      <c r="H40" s="24" t="s">
        <v>84</v>
      </c>
      <c r="I40" s="25" t="s">
        <v>46</v>
      </c>
      <c r="J40" s="26"/>
      <c r="K40" s="21" t="s">
        <v>85</v>
      </c>
      <c r="L40" s="27">
        <v>46030.0</v>
      </c>
      <c r="M40" s="28">
        <v>0.06875</v>
      </c>
      <c r="N40" s="29" t="s">
        <v>49</v>
      </c>
      <c r="O40" s="29" t="s">
        <v>35</v>
      </c>
      <c r="P40" s="34" t="s">
        <v>36</v>
      </c>
      <c r="Q40" s="34" t="s">
        <v>86</v>
      </c>
      <c r="R40" s="35">
        <v>46031.0</v>
      </c>
      <c r="S40" s="32" t="s">
        <v>29</v>
      </c>
      <c r="T40" s="33"/>
      <c r="U40" s="33"/>
    </row>
    <row r="41" ht="15.75" customHeight="1">
      <c r="A41" s="20">
        <v>46029.0</v>
      </c>
      <c r="B41" s="20">
        <v>46029.0</v>
      </c>
      <c r="C41" s="20"/>
      <c r="D41" s="21"/>
      <c r="E41" s="21" t="s">
        <v>43</v>
      </c>
      <c r="F41" s="22"/>
      <c r="G41" s="21"/>
      <c r="H41" s="24"/>
      <c r="I41" s="25"/>
      <c r="J41" s="26"/>
      <c r="K41" s="21"/>
      <c r="L41" s="27"/>
      <c r="M41" s="28"/>
      <c r="N41" s="29"/>
      <c r="O41" s="29"/>
      <c r="P41" s="30" t="s">
        <v>28</v>
      </c>
      <c r="Q41" s="30" t="s">
        <v>28</v>
      </c>
      <c r="R41" s="31" t="s">
        <v>28</v>
      </c>
      <c r="S41" s="32" t="s">
        <v>29</v>
      </c>
      <c r="T41" s="33"/>
      <c r="U41" s="33"/>
    </row>
    <row r="42" ht="15.75" customHeight="1">
      <c r="A42" s="20">
        <v>46029.0</v>
      </c>
      <c r="B42" s="20">
        <v>46029.0</v>
      </c>
      <c r="C42" s="20" t="s">
        <v>25</v>
      </c>
      <c r="D42" s="21" t="s">
        <v>39</v>
      </c>
      <c r="E42" s="21" t="s">
        <v>87</v>
      </c>
      <c r="F42" s="22">
        <v>0.016064814814814816</v>
      </c>
      <c r="G42" s="21" t="s">
        <v>88</v>
      </c>
      <c r="H42" s="24" t="s">
        <v>89</v>
      </c>
      <c r="I42" s="25" t="s">
        <v>46</v>
      </c>
      <c r="J42" s="26">
        <v>46029.0</v>
      </c>
      <c r="K42" s="21" t="s">
        <v>90</v>
      </c>
      <c r="L42" s="27">
        <v>46058.0</v>
      </c>
      <c r="M42" s="28">
        <v>0.020833333333333332</v>
      </c>
      <c r="N42" s="29" t="s">
        <v>39</v>
      </c>
      <c r="O42" s="29" t="s">
        <v>35</v>
      </c>
      <c r="P42" s="34" t="s">
        <v>53</v>
      </c>
      <c r="Q42" s="34">
        <v>1.1960046E7</v>
      </c>
      <c r="R42" s="35">
        <v>46035.0</v>
      </c>
      <c r="S42" s="32" t="s">
        <v>29</v>
      </c>
      <c r="T42" s="33"/>
      <c r="U42" s="33"/>
    </row>
    <row r="43" ht="15.75" customHeight="1">
      <c r="A43" s="20">
        <v>46030.0</v>
      </c>
      <c r="B43" s="20">
        <v>46030.0</v>
      </c>
      <c r="C43" s="20" t="s">
        <v>25</v>
      </c>
      <c r="D43" s="21" t="s">
        <v>49</v>
      </c>
      <c r="E43" s="21" t="s">
        <v>26</v>
      </c>
      <c r="F43" s="22">
        <v>0.10107638888888888</v>
      </c>
      <c r="G43" s="21" t="s">
        <v>33</v>
      </c>
      <c r="H43" s="24"/>
      <c r="I43" s="25"/>
      <c r="J43" s="26"/>
      <c r="K43" s="21"/>
      <c r="L43" s="27">
        <v>46031.0</v>
      </c>
      <c r="M43" s="28">
        <v>0.20833333333333334</v>
      </c>
      <c r="N43" s="29" t="s">
        <v>57</v>
      </c>
      <c r="O43" s="29" t="s">
        <v>35</v>
      </c>
      <c r="P43" s="34" t="s">
        <v>36</v>
      </c>
      <c r="Q43" s="34" t="s">
        <v>91</v>
      </c>
      <c r="R43" s="35">
        <v>46031.0</v>
      </c>
      <c r="S43" s="32" t="s">
        <v>29</v>
      </c>
      <c r="T43" s="33"/>
      <c r="U43" s="33"/>
    </row>
    <row r="44" ht="15.75" customHeight="1">
      <c r="A44" s="20">
        <v>46030.0</v>
      </c>
      <c r="B44" s="20">
        <v>46030.0</v>
      </c>
      <c r="C44" s="20" t="s">
        <v>25</v>
      </c>
      <c r="D44" s="21" t="s">
        <v>39</v>
      </c>
      <c r="E44" s="21" t="s">
        <v>30</v>
      </c>
      <c r="F44" s="22">
        <v>0.003912037037037037</v>
      </c>
      <c r="G44" s="21" t="s">
        <v>33</v>
      </c>
      <c r="H44" s="24"/>
      <c r="I44" s="25"/>
      <c r="J44" s="26"/>
      <c r="K44" s="21"/>
      <c r="L44" s="27">
        <v>46030.0</v>
      </c>
      <c r="M44" s="28">
        <v>0.020833333333333332</v>
      </c>
      <c r="N44" s="29" t="s">
        <v>39</v>
      </c>
      <c r="O44" s="29" t="s">
        <v>35</v>
      </c>
      <c r="P44" s="34" t="s">
        <v>36</v>
      </c>
      <c r="Q44" s="34" t="s">
        <v>92</v>
      </c>
      <c r="R44" s="35">
        <v>46031.0</v>
      </c>
      <c r="S44" s="32" t="s">
        <v>29</v>
      </c>
      <c r="T44" s="33"/>
      <c r="U44" s="33"/>
    </row>
    <row r="45" ht="15.75" customHeight="1">
      <c r="A45" s="36">
        <v>46030.0</v>
      </c>
      <c r="B45" s="36">
        <v>46030.0</v>
      </c>
      <c r="C45" s="36" t="s">
        <v>25</v>
      </c>
      <c r="D45" s="37" t="s">
        <v>69</v>
      </c>
      <c r="E45" s="37" t="s">
        <v>32</v>
      </c>
      <c r="F45" s="38">
        <v>0.04918981481481482</v>
      </c>
      <c r="G45" s="37" t="s">
        <v>33</v>
      </c>
      <c r="H45" s="39"/>
      <c r="I45" s="40"/>
      <c r="J45" s="41"/>
      <c r="K45" s="37"/>
      <c r="L45" s="42">
        <v>46031.0</v>
      </c>
      <c r="M45" s="43">
        <v>0.125</v>
      </c>
      <c r="N45" s="44" t="s">
        <v>59</v>
      </c>
      <c r="O45" s="44" t="s">
        <v>35</v>
      </c>
      <c r="P45" s="45" t="s">
        <v>36</v>
      </c>
      <c r="Q45" s="45" t="s">
        <v>93</v>
      </c>
      <c r="R45" s="46">
        <v>46031.0</v>
      </c>
      <c r="S45" s="54" t="s">
        <v>29</v>
      </c>
      <c r="T45" s="33"/>
      <c r="U45" s="33"/>
    </row>
    <row r="46" ht="15.75" customHeight="1">
      <c r="A46" s="20">
        <v>46030.0</v>
      </c>
      <c r="B46" s="20">
        <v>46030.0</v>
      </c>
      <c r="C46" s="20" t="s">
        <v>25</v>
      </c>
      <c r="D46" s="21" t="s">
        <v>34</v>
      </c>
      <c r="E46" s="21" t="s">
        <v>38</v>
      </c>
      <c r="F46" s="22">
        <v>0.008761574074074074</v>
      </c>
      <c r="G46" s="21" t="s">
        <v>33</v>
      </c>
      <c r="H46" s="24"/>
      <c r="I46" s="25"/>
      <c r="J46" s="26"/>
      <c r="K46" s="21"/>
      <c r="L46" s="27">
        <v>46031.0</v>
      </c>
      <c r="M46" s="28">
        <v>0.020833333333333332</v>
      </c>
      <c r="N46" s="29" t="s">
        <v>31</v>
      </c>
      <c r="O46" s="29" t="s">
        <v>35</v>
      </c>
      <c r="P46" s="34" t="s">
        <v>36</v>
      </c>
      <c r="Q46" s="34">
        <v>1.1952647E7</v>
      </c>
      <c r="R46" s="35">
        <v>46031.0</v>
      </c>
      <c r="S46" s="32" t="s">
        <v>29</v>
      </c>
      <c r="T46" s="33"/>
      <c r="U46" s="33"/>
    </row>
    <row r="47" ht="15.75" customHeight="1">
      <c r="A47" s="20">
        <v>46030.0</v>
      </c>
      <c r="B47" s="20">
        <v>46030.0</v>
      </c>
      <c r="C47" s="20" t="s">
        <v>25</v>
      </c>
      <c r="D47" s="21" t="s">
        <v>34</v>
      </c>
      <c r="E47" s="21" t="s">
        <v>40</v>
      </c>
      <c r="F47" s="22">
        <v>0.01875</v>
      </c>
      <c r="G47" s="21" t="s">
        <v>33</v>
      </c>
      <c r="H47" s="24"/>
      <c r="I47" s="25"/>
      <c r="J47" s="26"/>
      <c r="K47" s="21"/>
      <c r="L47" s="27">
        <v>46031.0</v>
      </c>
      <c r="M47" s="28">
        <v>0.041666666666666664</v>
      </c>
      <c r="N47" s="29" t="s">
        <v>31</v>
      </c>
      <c r="O47" s="29" t="s">
        <v>35</v>
      </c>
      <c r="P47" s="34" t="s">
        <v>36</v>
      </c>
      <c r="Q47" s="34" t="s">
        <v>94</v>
      </c>
      <c r="R47" s="35">
        <v>46031.0</v>
      </c>
      <c r="S47" s="32" t="s">
        <v>29</v>
      </c>
      <c r="T47" s="33"/>
      <c r="U47" s="33"/>
    </row>
    <row r="48" ht="15.75" customHeight="1">
      <c r="A48" s="20">
        <v>46030.0</v>
      </c>
      <c r="B48" s="20">
        <v>46030.0</v>
      </c>
      <c r="C48" s="20"/>
      <c r="D48" s="21"/>
      <c r="E48" s="21" t="s">
        <v>43</v>
      </c>
      <c r="F48" s="22"/>
      <c r="G48" s="21"/>
      <c r="H48" s="24"/>
      <c r="I48" s="25"/>
      <c r="J48" s="26"/>
      <c r="K48" s="21"/>
      <c r="L48" s="27"/>
      <c r="M48" s="28"/>
      <c r="N48" s="29"/>
      <c r="O48" s="29"/>
      <c r="P48" s="30" t="s">
        <v>28</v>
      </c>
      <c r="Q48" s="30" t="s">
        <v>28</v>
      </c>
      <c r="R48" s="31" t="s">
        <v>28</v>
      </c>
      <c r="S48" s="32" t="s">
        <v>29</v>
      </c>
      <c r="T48" s="33"/>
      <c r="U48" s="33"/>
    </row>
    <row r="49" ht="15.75" customHeight="1">
      <c r="A49" s="20">
        <v>46031.0</v>
      </c>
      <c r="B49" s="20">
        <v>46031.0</v>
      </c>
      <c r="C49" s="20" t="s">
        <v>25</v>
      </c>
      <c r="D49" s="21" t="s">
        <v>49</v>
      </c>
      <c r="E49" s="21" t="s">
        <v>26</v>
      </c>
      <c r="F49" s="22">
        <v>0.1002662037037037</v>
      </c>
      <c r="G49" s="21" t="s">
        <v>33</v>
      </c>
      <c r="H49" s="24"/>
      <c r="I49" s="25"/>
      <c r="J49" s="26"/>
      <c r="K49" s="21"/>
      <c r="L49" s="27">
        <v>46034.0</v>
      </c>
      <c r="M49" s="28">
        <v>0.20833333333333334</v>
      </c>
      <c r="N49" s="29" t="s">
        <v>31</v>
      </c>
      <c r="O49" s="29" t="s">
        <v>35</v>
      </c>
      <c r="P49" s="34" t="s">
        <v>36</v>
      </c>
      <c r="Q49" s="34" t="s">
        <v>95</v>
      </c>
      <c r="R49" s="35">
        <v>46034.0</v>
      </c>
      <c r="S49" s="32" t="s">
        <v>29</v>
      </c>
      <c r="T49" s="33"/>
      <c r="U49" s="33"/>
    </row>
    <row r="50" ht="15.75" customHeight="1">
      <c r="A50" s="20">
        <v>46031.0</v>
      </c>
      <c r="B50" s="20">
        <v>46031.0</v>
      </c>
      <c r="C50" s="20" t="s">
        <v>25</v>
      </c>
      <c r="D50" s="21" t="s">
        <v>57</v>
      </c>
      <c r="E50" s="21" t="s">
        <v>30</v>
      </c>
      <c r="F50" s="22">
        <v>7.87037037037037E-4</v>
      </c>
      <c r="G50" s="21" t="s">
        <v>33</v>
      </c>
      <c r="H50" s="24"/>
      <c r="I50" s="25"/>
      <c r="J50" s="26"/>
      <c r="K50" s="21"/>
      <c r="L50" s="27">
        <v>46031.0</v>
      </c>
      <c r="M50" s="28">
        <v>0.002777777777777778</v>
      </c>
      <c r="N50" s="29" t="s">
        <v>57</v>
      </c>
      <c r="O50" s="29" t="s">
        <v>35</v>
      </c>
      <c r="P50" s="34" t="s">
        <v>36</v>
      </c>
      <c r="Q50" s="34" t="s">
        <v>96</v>
      </c>
      <c r="R50" s="35">
        <v>46034.0</v>
      </c>
      <c r="S50" s="32" t="s">
        <v>29</v>
      </c>
      <c r="T50" s="33"/>
      <c r="U50" s="33"/>
    </row>
    <row r="51" ht="15.75" customHeight="1">
      <c r="A51" s="20">
        <v>46031.0</v>
      </c>
      <c r="B51" s="20">
        <v>46031.0</v>
      </c>
      <c r="C51" s="20" t="s">
        <v>25</v>
      </c>
      <c r="D51" s="21" t="s">
        <v>34</v>
      </c>
      <c r="E51" s="21" t="s">
        <v>32</v>
      </c>
      <c r="F51" s="22">
        <v>0.049247685185185186</v>
      </c>
      <c r="G51" s="21" t="s">
        <v>33</v>
      </c>
      <c r="H51" s="24"/>
      <c r="I51" s="25"/>
      <c r="J51" s="26"/>
      <c r="K51" s="21"/>
      <c r="L51" s="27">
        <v>46032.0</v>
      </c>
      <c r="M51" s="28">
        <v>0.15625</v>
      </c>
      <c r="N51" s="29" t="s">
        <v>39</v>
      </c>
      <c r="O51" s="29" t="s">
        <v>35</v>
      </c>
      <c r="P51" s="34" t="s">
        <v>36</v>
      </c>
      <c r="Q51" s="34" t="s">
        <v>97</v>
      </c>
      <c r="R51" s="35">
        <v>46034.0</v>
      </c>
      <c r="S51" s="32" t="s">
        <v>29</v>
      </c>
      <c r="T51" s="33"/>
      <c r="U51" s="33"/>
    </row>
    <row r="52" ht="15.75" customHeight="1">
      <c r="A52" s="20">
        <v>46031.0</v>
      </c>
      <c r="B52" s="20">
        <v>46031.0</v>
      </c>
      <c r="C52" s="20"/>
      <c r="D52" s="21"/>
      <c r="E52" s="21" t="s">
        <v>38</v>
      </c>
      <c r="F52" s="22"/>
      <c r="G52" s="23" t="s">
        <v>27</v>
      </c>
      <c r="H52" s="24"/>
      <c r="I52" s="25"/>
      <c r="J52" s="26"/>
      <c r="K52" s="21"/>
      <c r="L52" s="27"/>
      <c r="M52" s="28"/>
      <c r="N52" s="29"/>
      <c r="O52" s="29"/>
      <c r="P52" s="34" t="s">
        <v>28</v>
      </c>
      <c r="Q52" s="34" t="s">
        <v>28</v>
      </c>
      <c r="R52" s="35" t="s">
        <v>28</v>
      </c>
      <c r="S52" s="32" t="s">
        <v>29</v>
      </c>
      <c r="T52" s="33"/>
      <c r="U52" s="33"/>
    </row>
    <row r="53" ht="15.75" customHeight="1">
      <c r="A53" s="20">
        <v>46031.0</v>
      </c>
      <c r="B53" s="20">
        <v>46031.0</v>
      </c>
      <c r="C53" s="20" t="s">
        <v>25</v>
      </c>
      <c r="D53" s="21" t="s">
        <v>39</v>
      </c>
      <c r="E53" s="21" t="s">
        <v>40</v>
      </c>
      <c r="F53" s="22">
        <v>0.018773148148148146</v>
      </c>
      <c r="G53" s="21" t="s">
        <v>33</v>
      </c>
      <c r="H53" s="24"/>
      <c r="I53" s="25"/>
      <c r="J53" s="26"/>
      <c r="K53" s="21"/>
      <c r="L53" s="27">
        <v>46034.0</v>
      </c>
      <c r="M53" s="28">
        <v>0.06388888888888888</v>
      </c>
      <c r="N53" s="29" t="s">
        <v>49</v>
      </c>
      <c r="O53" s="29" t="s">
        <v>35</v>
      </c>
      <c r="P53" s="34" t="s">
        <v>36</v>
      </c>
      <c r="Q53" s="34" t="s">
        <v>98</v>
      </c>
      <c r="R53" s="35">
        <v>46034.0</v>
      </c>
      <c r="S53" s="32" t="s">
        <v>29</v>
      </c>
      <c r="T53" s="33"/>
      <c r="U53" s="33"/>
    </row>
    <row r="54" ht="15.75" customHeight="1">
      <c r="A54" s="20">
        <v>46031.0</v>
      </c>
      <c r="B54" s="20">
        <v>46031.0</v>
      </c>
      <c r="C54" s="20"/>
      <c r="D54" s="21"/>
      <c r="E54" s="21" t="s">
        <v>43</v>
      </c>
      <c r="F54" s="22"/>
      <c r="G54" s="21"/>
      <c r="H54" s="24"/>
      <c r="I54" s="25"/>
      <c r="J54" s="26"/>
      <c r="K54" s="21"/>
      <c r="L54" s="27"/>
      <c r="M54" s="28"/>
      <c r="N54" s="29"/>
      <c r="O54" s="29"/>
      <c r="P54" s="30" t="s">
        <v>28</v>
      </c>
      <c r="Q54" s="30" t="s">
        <v>28</v>
      </c>
      <c r="R54" s="31" t="s">
        <v>28</v>
      </c>
      <c r="S54" s="32" t="s">
        <v>29</v>
      </c>
      <c r="T54" s="33"/>
      <c r="U54" s="33"/>
    </row>
    <row r="55" ht="15.75" customHeight="1">
      <c r="A55" s="55">
        <v>46032.0</v>
      </c>
      <c r="B55" s="55">
        <v>46032.0</v>
      </c>
      <c r="C55" s="55" t="s">
        <v>25</v>
      </c>
      <c r="D55" s="56" t="s">
        <v>39</v>
      </c>
      <c r="E55" s="56" t="s">
        <v>32</v>
      </c>
      <c r="F55" s="57">
        <v>0.04981481481481481</v>
      </c>
      <c r="G55" s="56" t="s">
        <v>33</v>
      </c>
      <c r="H55" s="24"/>
      <c r="I55" s="25"/>
      <c r="J55" s="26"/>
      <c r="K55" s="21"/>
      <c r="L55" s="27">
        <v>46036.0</v>
      </c>
      <c r="M55" s="28">
        <v>0.125</v>
      </c>
      <c r="N55" s="29" t="s">
        <v>57</v>
      </c>
      <c r="O55" s="29" t="s">
        <v>35</v>
      </c>
      <c r="P55" s="34" t="s">
        <v>36</v>
      </c>
      <c r="Q55" s="34" t="s">
        <v>99</v>
      </c>
      <c r="R55" s="35">
        <v>46034.0</v>
      </c>
      <c r="S55" s="32" t="s">
        <v>29</v>
      </c>
      <c r="T55" s="33"/>
      <c r="U55" s="33"/>
    </row>
    <row r="56" ht="15.75" customHeight="1">
      <c r="A56" s="55">
        <v>46032.0</v>
      </c>
      <c r="B56" s="55">
        <v>46032.0</v>
      </c>
      <c r="C56" s="55" t="s">
        <v>25</v>
      </c>
      <c r="D56" s="56" t="s">
        <v>39</v>
      </c>
      <c r="E56" s="56" t="s">
        <v>40</v>
      </c>
      <c r="F56" s="57">
        <v>0.017395833333333333</v>
      </c>
      <c r="G56" s="56" t="s">
        <v>33</v>
      </c>
      <c r="H56" s="24"/>
      <c r="I56" s="25"/>
      <c r="J56" s="26"/>
      <c r="K56" s="21"/>
      <c r="L56" s="27">
        <v>46034.0</v>
      </c>
      <c r="M56" s="28">
        <v>0.03819444444444445</v>
      </c>
      <c r="N56" s="29" t="s">
        <v>34</v>
      </c>
      <c r="O56" s="29" t="s">
        <v>35</v>
      </c>
      <c r="P56" s="34" t="s">
        <v>36</v>
      </c>
      <c r="Q56" s="34" t="s">
        <v>100</v>
      </c>
      <c r="R56" s="35">
        <v>46034.0</v>
      </c>
      <c r="S56" s="32" t="s">
        <v>29</v>
      </c>
      <c r="T56" s="33"/>
      <c r="U56" s="33"/>
    </row>
    <row r="57" ht="15.75" customHeight="1">
      <c r="A57" s="55">
        <v>46032.0</v>
      </c>
      <c r="B57" s="55">
        <v>46032.0</v>
      </c>
      <c r="C57" s="55"/>
      <c r="D57" s="56"/>
      <c r="E57" s="56" t="s">
        <v>43</v>
      </c>
      <c r="F57" s="58"/>
      <c r="G57" s="56"/>
      <c r="H57" s="24"/>
      <c r="I57" s="25"/>
      <c r="J57" s="26"/>
      <c r="K57" s="21"/>
      <c r="L57" s="29"/>
      <c r="M57" s="28"/>
      <c r="N57" s="29"/>
      <c r="O57" s="29"/>
      <c r="P57" s="30" t="s">
        <v>28</v>
      </c>
      <c r="Q57" s="30" t="s">
        <v>28</v>
      </c>
      <c r="R57" s="31" t="s">
        <v>28</v>
      </c>
      <c r="S57" s="32" t="s">
        <v>29</v>
      </c>
      <c r="T57" s="33"/>
      <c r="U57" s="33"/>
    </row>
    <row r="58" ht="15.75" customHeight="1">
      <c r="A58" s="55">
        <v>46032.0</v>
      </c>
      <c r="B58" s="55">
        <v>46032.0</v>
      </c>
      <c r="C58" s="55"/>
      <c r="D58" s="56"/>
      <c r="E58" s="56" t="s">
        <v>61</v>
      </c>
      <c r="F58" s="57"/>
      <c r="G58" s="59" t="s">
        <v>27</v>
      </c>
      <c r="H58" s="24"/>
      <c r="I58" s="25"/>
      <c r="J58" s="26"/>
      <c r="K58" s="21"/>
      <c r="L58" s="27"/>
      <c r="M58" s="28"/>
      <c r="N58" s="29"/>
      <c r="O58" s="29"/>
      <c r="P58" s="34" t="s">
        <v>28</v>
      </c>
      <c r="Q58" s="34" t="s">
        <v>28</v>
      </c>
      <c r="R58" s="34" t="s">
        <v>28</v>
      </c>
      <c r="S58" s="32" t="s">
        <v>29</v>
      </c>
      <c r="T58" s="33"/>
      <c r="U58" s="33"/>
    </row>
    <row r="59" ht="15.75" customHeight="1">
      <c r="A59" s="55">
        <v>46032.0</v>
      </c>
      <c r="B59" s="55">
        <v>46032.0</v>
      </c>
      <c r="C59" s="55"/>
      <c r="D59" s="56"/>
      <c r="E59" s="56" t="s">
        <v>62</v>
      </c>
      <c r="F59" s="57"/>
      <c r="G59" s="59" t="s">
        <v>27</v>
      </c>
      <c r="H59" s="24"/>
      <c r="I59" s="25"/>
      <c r="J59" s="26"/>
      <c r="K59" s="21"/>
      <c r="L59" s="27"/>
      <c r="M59" s="28"/>
      <c r="N59" s="29"/>
      <c r="O59" s="29"/>
      <c r="P59" s="34" t="s">
        <v>28</v>
      </c>
      <c r="Q59" s="34" t="s">
        <v>28</v>
      </c>
      <c r="R59" s="34" t="s">
        <v>28</v>
      </c>
      <c r="S59" s="32" t="s">
        <v>29</v>
      </c>
      <c r="T59" s="33"/>
      <c r="U59" s="33"/>
    </row>
    <row r="60" ht="15.75" customHeight="1">
      <c r="A60" s="55">
        <v>46033.0</v>
      </c>
      <c r="B60" s="55">
        <v>46033.0</v>
      </c>
      <c r="C60" s="55"/>
      <c r="D60" s="56"/>
      <c r="E60" s="56" t="s">
        <v>63</v>
      </c>
      <c r="F60" s="57"/>
      <c r="G60" s="59" t="s">
        <v>27</v>
      </c>
      <c r="H60" s="24"/>
      <c r="I60" s="25"/>
      <c r="J60" s="26"/>
      <c r="K60" s="21"/>
      <c r="L60" s="27"/>
      <c r="M60" s="28"/>
      <c r="N60" s="29"/>
      <c r="O60" s="29"/>
      <c r="P60" s="34" t="s">
        <v>28</v>
      </c>
      <c r="Q60" s="34" t="s">
        <v>28</v>
      </c>
      <c r="R60" s="34" t="s">
        <v>28</v>
      </c>
      <c r="S60" s="32" t="s">
        <v>29</v>
      </c>
      <c r="T60" s="33"/>
      <c r="U60" s="33"/>
    </row>
    <row r="61" ht="15.75" customHeight="1">
      <c r="A61" s="60">
        <v>46033.0</v>
      </c>
      <c r="B61" s="60">
        <v>46033.0</v>
      </c>
      <c r="C61" s="60" t="s">
        <v>42</v>
      </c>
      <c r="D61" s="61" t="s">
        <v>39</v>
      </c>
      <c r="E61" s="61" t="s">
        <v>64</v>
      </c>
      <c r="F61" s="62">
        <v>0.013819444444444445</v>
      </c>
      <c r="G61" s="61" t="s">
        <v>33</v>
      </c>
      <c r="H61" s="24"/>
      <c r="I61" s="25"/>
      <c r="J61" s="26"/>
      <c r="K61" s="21"/>
      <c r="L61" s="27"/>
      <c r="M61" s="28"/>
      <c r="N61" s="29"/>
      <c r="O61" s="29"/>
      <c r="P61" s="34" t="s">
        <v>101</v>
      </c>
      <c r="Q61" s="34">
        <v>1.1957175E7</v>
      </c>
      <c r="R61" s="35">
        <v>46036.0</v>
      </c>
      <c r="S61" s="32"/>
      <c r="T61" s="33"/>
      <c r="U61" s="33"/>
    </row>
    <row r="62" ht="15.75" customHeight="1">
      <c r="A62" s="60">
        <v>46033.0</v>
      </c>
      <c r="B62" s="60">
        <v>46033.0</v>
      </c>
      <c r="C62" s="60"/>
      <c r="D62" s="61"/>
      <c r="E62" s="61" t="s">
        <v>66</v>
      </c>
      <c r="F62" s="62"/>
      <c r="G62" s="63" t="s">
        <v>102</v>
      </c>
      <c r="H62" s="64" t="s">
        <v>103</v>
      </c>
      <c r="I62" s="25"/>
      <c r="J62" s="26"/>
      <c r="K62" s="21"/>
      <c r="L62" s="27"/>
      <c r="M62" s="28"/>
      <c r="N62" s="29"/>
      <c r="O62" s="29"/>
      <c r="P62" s="34" t="s">
        <v>28</v>
      </c>
      <c r="Q62" s="34" t="s">
        <v>28</v>
      </c>
      <c r="R62" s="34" t="s">
        <v>28</v>
      </c>
      <c r="S62" s="32" t="s">
        <v>29</v>
      </c>
      <c r="T62" s="33"/>
      <c r="U62" s="33"/>
    </row>
    <row r="63" ht="15.75" customHeight="1">
      <c r="A63" s="20">
        <v>46034.0</v>
      </c>
      <c r="B63" s="20">
        <v>46034.0</v>
      </c>
      <c r="C63" s="20" t="s">
        <v>25</v>
      </c>
      <c r="D63" s="21" t="s">
        <v>49</v>
      </c>
      <c r="E63" s="21" t="s">
        <v>26</v>
      </c>
      <c r="F63" s="22">
        <v>0.10108796296296296</v>
      </c>
      <c r="G63" s="21" t="s">
        <v>33</v>
      </c>
      <c r="H63" s="24"/>
      <c r="I63" s="25"/>
      <c r="J63" s="26"/>
      <c r="K63" s="21"/>
      <c r="L63" s="27">
        <v>46035.0</v>
      </c>
      <c r="M63" s="28">
        <v>0.20833333333333334</v>
      </c>
      <c r="N63" s="29" t="s">
        <v>34</v>
      </c>
      <c r="O63" s="29" t="s">
        <v>35</v>
      </c>
      <c r="P63" s="34" t="s">
        <v>36</v>
      </c>
      <c r="Q63" s="34" t="s">
        <v>104</v>
      </c>
      <c r="R63" s="35">
        <v>46035.0</v>
      </c>
      <c r="S63" s="32" t="s">
        <v>29</v>
      </c>
      <c r="T63" s="33"/>
      <c r="U63" s="33"/>
    </row>
    <row r="64" ht="15.75" customHeight="1">
      <c r="A64" s="20">
        <v>46034.0</v>
      </c>
      <c r="B64" s="20">
        <v>46034.0</v>
      </c>
      <c r="C64" s="20" t="s">
        <v>25</v>
      </c>
      <c r="D64" s="21" t="s">
        <v>31</v>
      </c>
      <c r="E64" s="21" t="s">
        <v>30</v>
      </c>
      <c r="F64" s="22">
        <v>0.004456018518518519</v>
      </c>
      <c r="G64" s="21" t="s">
        <v>33</v>
      </c>
      <c r="H64" s="24"/>
      <c r="I64" s="25"/>
      <c r="J64" s="26"/>
      <c r="K64" s="21"/>
      <c r="L64" s="27">
        <v>46034.0</v>
      </c>
      <c r="M64" s="28">
        <v>0.013888888888888888</v>
      </c>
      <c r="N64" s="29" t="s">
        <v>31</v>
      </c>
      <c r="O64" s="29" t="s">
        <v>35</v>
      </c>
      <c r="P64" s="34" t="s">
        <v>36</v>
      </c>
      <c r="Q64" s="34" t="s">
        <v>105</v>
      </c>
      <c r="R64" s="35">
        <v>46035.0</v>
      </c>
      <c r="S64" s="32" t="s">
        <v>29</v>
      </c>
      <c r="T64" s="33"/>
      <c r="U64" s="33"/>
    </row>
    <row r="65" ht="15.75" customHeight="1">
      <c r="A65" s="20">
        <v>46034.0</v>
      </c>
      <c r="B65" s="20">
        <v>46034.0</v>
      </c>
      <c r="C65" s="20" t="s">
        <v>25</v>
      </c>
      <c r="D65" s="21" t="s">
        <v>34</v>
      </c>
      <c r="E65" s="21" t="s">
        <v>32</v>
      </c>
      <c r="F65" s="22">
        <v>0.050729166666666665</v>
      </c>
      <c r="G65" s="21" t="s">
        <v>33</v>
      </c>
      <c r="H65" s="24"/>
      <c r="I65" s="25"/>
      <c r="J65" s="26"/>
      <c r="K65" s="21"/>
      <c r="L65" s="27">
        <v>46036.0</v>
      </c>
      <c r="M65" s="28">
        <v>0.12152777777777778</v>
      </c>
      <c r="N65" s="29" t="s">
        <v>57</v>
      </c>
      <c r="O65" s="29" t="s">
        <v>35</v>
      </c>
      <c r="P65" s="34" t="s">
        <v>36</v>
      </c>
      <c r="Q65" s="34" t="s">
        <v>106</v>
      </c>
      <c r="R65" s="35">
        <v>46035.0</v>
      </c>
      <c r="S65" s="32" t="s">
        <v>29</v>
      </c>
      <c r="T65" s="33"/>
      <c r="U65" s="33"/>
    </row>
    <row r="66" ht="15.75" customHeight="1">
      <c r="A66" s="20">
        <v>46034.0</v>
      </c>
      <c r="B66" s="20">
        <v>46034.0</v>
      </c>
      <c r="C66" s="20"/>
      <c r="D66" s="21"/>
      <c r="E66" s="21" t="s">
        <v>38</v>
      </c>
      <c r="F66" s="22"/>
      <c r="G66" s="23" t="s">
        <v>27</v>
      </c>
      <c r="H66" s="24"/>
      <c r="I66" s="25"/>
      <c r="J66" s="26"/>
      <c r="K66" s="21"/>
      <c r="L66" s="27"/>
      <c r="M66" s="28"/>
      <c r="N66" s="29"/>
      <c r="O66" s="29"/>
      <c r="P66" s="34" t="s">
        <v>28</v>
      </c>
      <c r="Q66" s="34" t="s">
        <v>28</v>
      </c>
      <c r="R66" s="35" t="s">
        <v>28</v>
      </c>
      <c r="S66" s="32" t="s">
        <v>29</v>
      </c>
      <c r="T66" s="33"/>
      <c r="U66" s="33"/>
    </row>
    <row r="67" ht="15.75" customHeight="1">
      <c r="A67" s="20">
        <v>46034.0</v>
      </c>
      <c r="B67" s="20">
        <v>46034.0</v>
      </c>
      <c r="C67" s="20" t="s">
        <v>25</v>
      </c>
      <c r="D67" s="21" t="s">
        <v>39</v>
      </c>
      <c r="E67" s="21" t="s">
        <v>40</v>
      </c>
      <c r="F67" s="22">
        <v>0.0196875</v>
      </c>
      <c r="G67" s="21" t="s">
        <v>33</v>
      </c>
      <c r="H67" s="24"/>
      <c r="I67" s="25"/>
      <c r="J67" s="26"/>
      <c r="K67" s="21"/>
      <c r="L67" s="27">
        <v>46035.0</v>
      </c>
      <c r="M67" s="28">
        <v>0.06875</v>
      </c>
      <c r="N67" s="29" t="s">
        <v>49</v>
      </c>
      <c r="O67" s="29" t="s">
        <v>35</v>
      </c>
      <c r="P67" s="34" t="s">
        <v>36</v>
      </c>
      <c r="Q67" s="34" t="s">
        <v>107</v>
      </c>
      <c r="R67" s="35">
        <v>46035.0</v>
      </c>
      <c r="S67" s="32" t="s">
        <v>29</v>
      </c>
      <c r="T67" s="33"/>
      <c r="U67" s="33"/>
    </row>
    <row r="68" ht="15.75" customHeight="1">
      <c r="A68" s="20">
        <v>46034.0</v>
      </c>
      <c r="B68" s="20">
        <v>46034.0</v>
      </c>
      <c r="C68" s="20"/>
      <c r="D68" s="21"/>
      <c r="E68" s="21" t="s">
        <v>43</v>
      </c>
      <c r="F68" s="22"/>
      <c r="G68" s="21"/>
      <c r="H68" s="24"/>
      <c r="I68" s="25"/>
      <c r="J68" s="26"/>
      <c r="K68" s="21"/>
      <c r="L68" s="27"/>
      <c r="M68" s="28"/>
      <c r="N68" s="29"/>
      <c r="O68" s="29"/>
      <c r="P68" s="30" t="s">
        <v>28</v>
      </c>
      <c r="Q68" s="30" t="s">
        <v>28</v>
      </c>
      <c r="R68" s="31" t="s">
        <v>28</v>
      </c>
      <c r="S68" s="32" t="s">
        <v>29</v>
      </c>
      <c r="T68" s="33"/>
      <c r="U68" s="33"/>
    </row>
    <row r="69" ht="15.75" customHeight="1">
      <c r="A69" s="20">
        <v>46034.0</v>
      </c>
      <c r="B69" s="20">
        <v>46034.0</v>
      </c>
      <c r="C69" s="20" t="s">
        <v>25</v>
      </c>
      <c r="D69" s="21" t="s">
        <v>39</v>
      </c>
      <c r="E69" s="21" t="s">
        <v>87</v>
      </c>
      <c r="F69" s="22">
        <v>0.0029861111111111113</v>
      </c>
      <c r="G69" s="21" t="s">
        <v>88</v>
      </c>
      <c r="H69" s="24" t="s">
        <v>108</v>
      </c>
      <c r="I69" s="25" t="s">
        <v>46</v>
      </c>
      <c r="J69" s="26">
        <v>46034.0</v>
      </c>
      <c r="K69" s="21" t="s">
        <v>109</v>
      </c>
      <c r="L69" s="27">
        <v>46058.0</v>
      </c>
      <c r="M69" s="28">
        <v>0.008333333333333333</v>
      </c>
      <c r="N69" s="29" t="s">
        <v>39</v>
      </c>
      <c r="O69" s="29" t="s">
        <v>35</v>
      </c>
      <c r="P69" s="34" t="s">
        <v>36</v>
      </c>
      <c r="Q69" s="34">
        <v>1.1960601E7</v>
      </c>
      <c r="R69" s="35">
        <v>46035.0</v>
      </c>
      <c r="S69" s="32"/>
      <c r="T69" s="33"/>
      <c r="U69" s="33"/>
    </row>
    <row r="70" ht="15.75" customHeight="1">
      <c r="A70" s="20">
        <v>46034.0</v>
      </c>
      <c r="B70" s="20">
        <v>46034.0</v>
      </c>
      <c r="C70" s="20" t="s">
        <v>25</v>
      </c>
      <c r="D70" s="21" t="s">
        <v>39</v>
      </c>
      <c r="E70" s="21" t="s">
        <v>87</v>
      </c>
      <c r="F70" s="22">
        <v>0.0015162037037037036</v>
      </c>
      <c r="G70" s="21" t="s">
        <v>88</v>
      </c>
      <c r="H70" s="24" t="s">
        <v>110</v>
      </c>
      <c r="I70" s="25" t="s">
        <v>46</v>
      </c>
      <c r="J70" s="26">
        <v>46034.0</v>
      </c>
      <c r="K70" s="21" t="s">
        <v>111</v>
      </c>
      <c r="L70" s="27">
        <v>46087.0</v>
      </c>
      <c r="M70" s="28">
        <v>0.004166666666666667</v>
      </c>
      <c r="N70" s="29" t="s">
        <v>39</v>
      </c>
      <c r="O70" s="29" t="s">
        <v>35</v>
      </c>
      <c r="P70" s="34" t="s">
        <v>36</v>
      </c>
      <c r="Q70" s="34">
        <v>1.1960602E7</v>
      </c>
      <c r="R70" s="35">
        <v>46035.0</v>
      </c>
      <c r="S70" s="32"/>
      <c r="T70" s="33"/>
      <c r="U70" s="33"/>
    </row>
    <row r="71" ht="15.75" customHeight="1">
      <c r="A71" s="20">
        <v>46034.0</v>
      </c>
      <c r="B71" s="20">
        <v>46034.0</v>
      </c>
      <c r="C71" s="20" t="s">
        <v>25</v>
      </c>
      <c r="D71" s="21" t="s">
        <v>39</v>
      </c>
      <c r="E71" s="21" t="s">
        <v>87</v>
      </c>
      <c r="F71" s="22">
        <v>0.004027777777777778</v>
      </c>
      <c r="G71" s="21" t="s">
        <v>88</v>
      </c>
      <c r="H71" s="24" t="s">
        <v>112</v>
      </c>
      <c r="I71" s="25" t="s">
        <v>46</v>
      </c>
      <c r="J71" s="26">
        <v>46034.0</v>
      </c>
      <c r="K71" s="21" t="s">
        <v>113</v>
      </c>
      <c r="L71" s="27">
        <v>46087.0</v>
      </c>
      <c r="M71" s="28">
        <v>0.010416666666666666</v>
      </c>
      <c r="N71" s="29" t="s">
        <v>39</v>
      </c>
      <c r="O71" s="29" t="s">
        <v>35</v>
      </c>
      <c r="P71" s="34" t="s">
        <v>36</v>
      </c>
      <c r="Q71" s="34">
        <v>1.1960603E7</v>
      </c>
      <c r="R71" s="35">
        <v>46035.0</v>
      </c>
      <c r="S71" s="32"/>
      <c r="T71" s="33"/>
      <c r="U71" s="33"/>
    </row>
    <row r="72" ht="15.75" customHeight="1">
      <c r="A72" s="20">
        <v>46034.0</v>
      </c>
      <c r="B72" s="20">
        <v>46034.0</v>
      </c>
      <c r="C72" s="20" t="s">
        <v>25</v>
      </c>
      <c r="D72" s="21" t="s">
        <v>39</v>
      </c>
      <c r="E72" s="21" t="s">
        <v>87</v>
      </c>
      <c r="F72" s="22">
        <v>0.0025694444444444445</v>
      </c>
      <c r="G72" s="21" t="s">
        <v>88</v>
      </c>
      <c r="H72" s="24" t="s">
        <v>114</v>
      </c>
      <c r="I72" s="25" t="s">
        <v>46</v>
      </c>
      <c r="J72" s="26">
        <v>46034.0</v>
      </c>
      <c r="K72" s="21" t="s">
        <v>115</v>
      </c>
      <c r="L72" s="27">
        <v>46087.0</v>
      </c>
      <c r="M72" s="28">
        <v>0.00625</v>
      </c>
      <c r="N72" s="29" t="s">
        <v>39</v>
      </c>
      <c r="O72" s="29" t="s">
        <v>35</v>
      </c>
      <c r="P72" s="34" t="s">
        <v>36</v>
      </c>
      <c r="Q72" s="34">
        <v>1.1960604E7</v>
      </c>
      <c r="R72" s="35">
        <v>46035.0</v>
      </c>
      <c r="S72" s="32"/>
      <c r="T72" s="33"/>
      <c r="U72" s="33"/>
    </row>
    <row r="73" ht="15.75" customHeight="1">
      <c r="A73" s="20">
        <v>46035.0</v>
      </c>
      <c r="B73" s="20">
        <v>46035.0</v>
      </c>
      <c r="C73" s="20" t="s">
        <v>25</v>
      </c>
      <c r="D73" s="21" t="s">
        <v>49</v>
      </c>
      <c r="E73" s="21" t="s">
        <v>26</v>
      </c>
      <c r="F73" s="22">
        <v>0.1015162037037037</v>
      </c>
      <c r="G73" s="21" t="s">
        <v>33</v>
      </c>
      <c r="H73" s="24"/>
      <c r="I73" s="25"/>
      <c r="J73" s="26"/>
      <c r="K73" s="21"/>
      <c r="L73" s="27">
        <v>46036.0</v>
      </c>
      <c r="M73" s="28">
        <v>0.20833333333333334</v>
      </c>
      <c r="N73" s="29" t="s">
        <v>59</v>
      </c>
      <c r="O73" s="29" t="s">
        <v>35</v>
      </c>
      <c r="P73" s="34" t="s">
        <v>36</v>
      </c>
      <c r="Q73" s="34" t="s">
        <v>116</v>
      </c>
      <c r="R73" s="35">
        <v>46036.0</v>
      </c>
      <c r="S73" s="32" t="s">
        <v>29</v>
      </c>
      <c r="T73" s="33"/>
      <c r="U73" s="33"/>
    </row>
    <row r="74" ht="15.75" customHeight="1">
      <c r="A74" s="20">
        <v>46035.0</v>
      </c>
      <c r="B74" s="20">
        <v>46035.0</v>
      </c>
      <c r="C74" s="20" t="s">
        <v>25</v>
      </c>
      <c r="D74" s="21" t="s">
        <v>34</v>
      </c>
      <c r="E74" s="21" t="s">
        <v>30</v>
      </c>
      <c r="F74" s="22">
        <v>0.0024305555555555556</v>
      </c>
      <c r="G74" s="21" t="s">
        <v>33</v>
      </c>
      <c r="H74" s="24"/>
      <c r="I74" s="25"/>
      <c r="J74" s="26"/>
      <c r="K74" s="21"/>
      <c r="L74" s="27">
        <v>46035.0</v>
      </c>
      <c r="M74" s="28">
        <v>0.004861111111111111</v>
      </c>
      <c r="N74" s="29" t="s">
        <v>34</v>
      </c>
      <c r="O74" s="29" t="s">
        <v>35</v>
      </c>
      <c r="P74" s="34" t="s">
        <v>36</v>
      </c>
      <c r="Q74" s="34" t="s">
        <v>117</v>
      </c>
      <c r="R74" s="35">
        <v>46036.0</v>
      </c>
      <c r="S74" s="32" t="s">
        <v>29</v>
      </c>
      <c r="T74" s="33"/>
      <c r="U74" s="33"/>
    </row>
    <row r="75" ht="15.75" customHeight="1">
      <c r="A75" s="20">
        <v>46035.0</v>
      </c>
      <c r="B75" s="20">
        <v>46035.0</v>
      </c>
      <c r="C75" s="20" t="s">
        <v>25</v>
      </c>
      <c r="D75" s="21" t="s">
        <v>69</v>
      </c>
      <c r="E75" s="21" t="s">
        <v>32</v>
      </c>
      <c r="F75" s="22">
        <v>0.05030092592592592</v>
      </c>
      <c r="G75" s="21" t="s">
        <v>33</v>
      </c>
      <c r="H75" s="24"/>
      <c r="I75" s="25"/>
      <c r="J75" s="26"/>
      <c r="K75" s="21"/>
      <c r="L75" s="27">
        <v>46036.0</v>
      </c>
      <c r="M75" s="28">
        <v>0.11805555555555555</v>
      </c>
      <c r="N75" s="29" t="s">
        <v>57</v>
      </c>
      <c r="O75" s="29" t="s">
        <v>35</v>
      </c>
      <c r="P75" s="34" t="s">
        <v>36</v>
      </c>
      <c r="Q75" s="34" t="s">
        <v>118</v>
      </c>
      <c r="R75" s="35">
        <v>46036.0</v>
      </c>
      <c r="S75" s="32" t="s">
        <v>29</v>
      </c>
      <c r="T75" s="33"/>
      <c r="U75" s="33"/>
    </row>
    <row r="76" ht="15.75" customHeight="1">
      <c r="A76" s="20">
        <v>46035.0</v>
      </c>
      <c r="B76" s="20">
        <v>46035.0</v>
      </c>
      <c r="C76" s="20" t="s">
        <v>25</v>
      </c>
      <c r="D76" s="21" t="s">
        <v>39</v>
      </c>
      <c r="E76" s="21" t="s">
        <v>38</v>
      </c>
      <c r="F76" s="22">
        <v>0.008414351851851852</v>
      </c>
      <c r="G76" s="21" t="s">
        <v>33</v>
      </c>
      <c r="H76" s="24"/>
      <c r="I76" s="25"/>
      <c r="J76" s="26"/>
      <c r="K76" s="21"/>
      <c r="L76" s="27">
        <v>46036.0</v>
      </c>
      <c r="M76" s="28">
        <v>0.01875</v>
      </c>
      <c r="N76" s="29" t="s">
        <v>34</v>
      </c>
      <c r="O76" s="29" t="s">
        <v>35</v>
      </c>
      <c r="P76" s="34" t="s">
        <v>36</v>
      </c>
      <c r="Q76" s="34">
        <v>1.195265E7</v>
      </c>
      <c r="R76" s="35">
        <v>46036.0</v>
      </c>
      <c r="S76" s="32" t="s">
        <v>29</v>
      </c>
      <c r="T76" s="33"/>
      <c r="U76" s="33"/>
    </row>
    <row r="77" ht="15.75" customHeight="1">
      <c r="A77" s="20">
        <v>46035.0</v>
      </c>
      <c r="B77" s="20">
        <v>46035.0</v>
      </c>
      <c r="C77" s="20" t="s">
        <v>25</v>
      </c>
      <c r="D77" s="21" t="s">
        <v>39</v>
      </c>
      <c r="E77" s="21" t="s">
        <v>40</v>
      </c>
      <c r="F77" s="22">
        <v>0.020555555555555556</v>
      </c>
      <c r="G77" s="21" t="s">
        <v>33</v>
      </c>
      <c r="H77" s="24"/>
      <c r="I77" s="25"/>
      <c r="J77" s="26"/>
      <c r="K77" s="21"/>
      <c r="L77" s="27">
        <v>46036.0</v>
      </c>
      <c r="M77" s="28">
        <v>0.04722222222222222</v>
      </c>
      <c r="N77" s="29" t="s">
        <v>34</v>
      </c>
      <c r="O77" s="29" t="s">
        <v>35</v>
      </c>
      <c r="P77" s="34" t="s">
        <v>36</v>
      </c>
      <c r="Q77" s="34" t="s">
        <v>119</v>
      </c>
      <c r="R77" s="35">
        <v>46036.0</v>
      </c>
      <c r="S77" s="32" t="s">
        <v>29</v>
      </c>
      <c r="T77" s="33"/>
      <c r="U77" s="33"/>
    </row>
    <row r="78" ht="15.75" customHeight="1">
      <c r="A78" s="20">
        <v>46035.0</v>
      </c>
      <c r="B78" s="20">
        <v>46035.0</v>
      </c>
      <c r="C78" s="20"/>
      <c r="D78" s="21"/>
      <c r="E78" s="21" t="s">
        <v>43</v>
      </c>
      <c r="F78" s="22"/>
      <c r="G78" s="21"/>
      <c r="H78" s="24"/>
      <c r="I78" s="25"/>
      <c r="J78" s="26"/>
      <c r="K78" s="21"/>
      <c r="L78" s="27"/>
      <c r="M78" s="28"/>
      <c r="N78" s="29"/>
      <c r="O78" s="29"/>
      <c r="P78" s="30" t="s">
        <v>28</v>
      </c>
      <c r="Q78" s="30" t="s">
        <v>28</v>
      </c>
      <c r="R78" s="31" t="s">
        <v>28</v>
      </c>
      <c r="S78" s="32" t="s">
        <v>29</v>
      </c>
      <c r="T78" s="33"/>
      <c r="U78" s="33"/>
    </row>
    <row r="79" ht="15.75" customHeight="1">
      <c r="A79" s="20">
        <v>46036.0</v>
      </c>
      <c r="B79" s="20">
        <v>46036.0</v>
      </c>
      <c r="C79" s="20" t="s">
        <v>25</v>
      </c>
      <c r="D79" s="21" t="s">
        <v>49</v>
      </c>
      <c r="E79" s="21" t="s">
        <v>26</v>
      </c>
      <c r="F79" s="22">
        <v>0.10114583333333334</v>
      </c>
      <c r="G79" s="21" t="s">
        <v>33</v>
      </c>
      <c r="H79" s="24"/>
      <c r="I79" s="25"/>
      <c r="J79" s="26"/>
      <c r="K79" s="21"/>
      <c r="L79" s="27">
        <v>46037.0</v>
      </c>
      <c r="M79" s="28">
        <v>0.24444444444444444</v>
      </c>
      <c r="N79" s="29" t="s">
        <v>39</v>
      </c>
      <c r="O79" s="29" t="s">
        <v>35</v>
      </c>
      <c r="P79" s="34" t="s">
        <v>36</v>
      </c>
      <c r="Q79" s="34" t="s">
        <v>120</v>
      </c>
      <c r="R79" s="35">
        <v>46037.0</v>
      </c>
      <c r="S79" s="32" t="s">
        <v>29</v>
      </c>
      <c r="T79" s="33"/>
      <c r="U79" s="33"/>
    </row>
    <row r="80" ht="15.75" customHeight="1">
      <c r="A80" s="20">
        <v>46036.0</v>
      </c>
      <c r="B80" s="20">
        <v>46036.0</v>
      </c>
      <c r="C80" s="20" t="s">
        <v>25</v>
      </c>
      <c r="D80" s="21" t="s">
        <v>59</v>
      </c>
      <c r="E80" s="21" t="s">
        <v>30</v>
      </c>
      <c r="F80" s="22">
        <v>0.005601851851851852</v>
      </c>
      <c r="G80" s="21" t="s">
        <v>33</v>
      </c>
      <c r="H80" s="24"/>
      <c r="I80" s="25"/>
      <c r="J80" s="26"/>
      <c r="K80" s="21"/>
      <c r="L80" s="27">
        <v>46036.0</v>
      </c>
      <c r="M80" s="28">
        <v>0.012789351851851852</v>
      </c>
      <c r="N80" s="29" t="s">
        <v>59</v>
      </c>
      <c r="O80" s="29" t="s">
        <v>35</v>
      </c>
      <c r="P80" s="34" t="s">
        <v>36</v>
      </c>
      <c r="Q80" s="34" t="s">
        <v>121</v>
      </c>
      <c r="R80" s="35">
        <v>46037.0</v>
      </c>
      <c r="S80" s="32" t="s">
        <v>29</v>
      </c>
      <c r="T80" s="33"/>
      <c r="U80" s="33"/>
    </row>
    <row r="81" ht="15.75" customHeight="1">
      <c r="A81" s="20">
        <v>46036.0</v>
      </c>
      <c r="B81" s="20">
        <v>46036.0</v>
      </c>
      <c r="C81" s="20" t="s">
        <v>25</v>
      </c>
      <c r="D81" s="21" t="s">
        <v>69</v>
      </c>
      <c r="E81" s="21" t="s">
        <v>32</v>
      </c>
      <c r="F81" s="22">
        <v>0.05030092592592592</v>
      </c>
      <c r="G81" s="21" t="s">
        <v>33</v>
      </c>
      <c r="H81" s="24"/>
      <c r="I81" s="25"/>
      <c r="J81" s="26"/>
      <c r="K81" s="65"/>
      <c r="L81" s="27">
        <v>46037.0</v>
      </c>
      <c r="M81" s="28">
        <v>0.11805555555555555</v>
      </c>
      <c r="N81" s="29" t="s">
        <v>57</v>
      </c>
      <c r="O81" s="29" t="s">
        <v>35</v>
      </c>
      <c r="P81" s="34" t="s">
        <v>36</v>
      </c>
      <c r="Q81" s="34" t="s">
        <v>122</v>
      </c>
      <c r="R81" s="35">
        <v>46037.0</v>
      </c>
      <c r="S81" s="32" t="s">
        <v>29</v>
      </c>
      <c r="T81" s="33"/>
      <c r="U81" s="33"/>
    </row>
    <row r="82" ht="15.75" customHeight="1">
      <c r="A82" s="20">
        <v>46036.0</v>
      </c>
      <c r="B82" s="20">
        <v>46036.0</v>
      </c>
      <c r="C82" s="20" t="s">
        <v>25</v>
      </c>
      <c r="D82" s="21" t="s">
        <v>39</v>
      </c>
      <c r="E82" s="21" t="s">
        <v>38</v>
      </c>
      <c r="F82" s="22">
        <v>0.007280092592592592</v>
      </c>
      <c r="G82" s="21" t="s">
        <v>33</v>
      </c>
      <c r="H82" s="24"/>
      <c r="I82" s="25"/>
      <c r="J82" s="26"/>
      <c r="K82" s="21"/>
      <c r="L82" s="27">
        <v>46037.0</v>
      </c>
      <c r="M82" s="28">
        <v>0.017361111111111112</v>
      </c>
      <c r="N82" s="29" t="s">
        <v>34</v>
      </c>
      <c r="O82" s="29" t="s">
        <v>35</v>
      </c>
      <c r="P82" s="34" t="s">
        <v>36</v>
      </c>
      <c r="Q82" s="34">
        <v>1.1952652E7</v>
      </c>
      <c r="R82" s="35">
        <v>46037.0</v>
      </c>
      <c r="S82" s="32" t="s">
        <v>29</v>
      </c>
      <c r="T82" s="33"/>
      <c r="U82" s="33"/>
    </row>
    <row r="83" ht="15.75" customHeight="1">
      <c r="A83" s="20">
        <v>46036.0</v>
      </c>
      <c r="B83" s="20">
        <v>46036.0</v>
      </c>
      <c r="C83" s="20" t="s">
        <v>25</v>
      </c>
      <c r="D83" s="21" t="s">
        <v>39</v>
      </c>
      <c r="E83" s="21" t="s">
        <v>40</v>
      </c>
      <c r="F83" s="22">
        <v>0.018229166666666668</v>
      </c>
      <c r="G83" s="21" t="s">
        <v>33</v>
      </c>
      <c r="H83" s="24"/>
      <c r="I83" s="25"/>
      <c r="J83" s="26"/>
      <c r="K83" s="21"/>
      <c r="L83" s="27">
        <v>46037.0</v>
      </c>
      <c r="M83" s="28">
        <v>0.041666666666666664</v>
      </c>
      <c r="N83" s="29" t="s">
        <v>34</v>
      </c>
      <c r="O83" s="29" t="s">
        <v>35</v>
      </c>
      <c r="P83" s="34" t="s">
        <v>36</v>
      </c>
      <c r="Q83" s="34" t="s">
        <v>123</v>
      </c>
      <c r="R83" s="35">
        <v>46037.0</v>
      </c>
      <c r="S83" s="32" t="s">
        <v>29</v>
      </c>
      <c r="T83" s="33"/>
      <c r="U83" s="33"/>
    </row>
    <row r="84" ht="15.75" customHeight="1">
      <c r="A84" s="20">
        <v>46036.0</v>
      </c>
      <c r="B84" s="20">
        <v>46036.0</v>
      </c>
      <c r="C84" s="20"/>
      <c r="D84" s="21"/>
      <c r="E84" s="21" t="s">
        <v>43</v>
      </c>
      <c r="F84" s="22"/>
      <c r="G84" s="21"/>
      <c r="H84" s="24"/>
      <c r="I84" s="25"/>
      <c r="J84" s="26"/>
      <c r="K84" s="21"/>
      <c r="L84" s="27"/>
      <c r="M84" s="28"/>
      <c r="N84" s="29"/>
      <c r="O84" s="29"/>
      <c r="P84" s="30" t="s">
        <v>28</v>
      </c>
      <c r="Q84" s="30" t="s">
        <v>28</v>
      </c>
      <c r="R84" s="31" t="s">
        <v>28</v>
      </c>
      <c r="S84" s="32" t="s">
        <v>29</v>
      </c>
      <c r="T84" s="33"/>
      <c r="U84" s="33"/>
    </row>
    <row r="85" ht="15.75" customHeight="1">
      <c r="A85" s="20">
        <v>46037.0</v>
      </c>
      <c r="B85" s="20">
        <v>46037.0</v>
      </c>
      <c r="C85" s="20" t="s">
        <v>25</v>
      </c>
      <c r="D85" s="21" t="s">
        <v>49</v>
      </c>
      <c r="E85" s="21" t="s">
        <v>26</v>
      </c>
      <c r="F85" s="22">
        <v>0.1007175925925926</v>
      </c>
      <c r="G85" s="21" t="s">
        <v>33</v>
      </c>
      <c r="H85" s="24"/>
      <c r="I85" s="25"/>
      <c r="J85" s="26"/>
      <c r="K85" s="21"/>
      <c r="L85" s="27">
        <v>46038.0</v>
      </c>
      <c r="M85" s="28">
        <v>0.20833333333333334</v>
      </c>
      <c r="N85" s="29" t="s">
        <v>57</v>
      </c>
      <c r="O85" s="29" t="s">
        <v>35</v>
      </c>
      <c r="P85" s="34" t="s">
        <v>36</v>
      </c>
      <c r="Q85" s="34" t="s">
        <v>124</v>
      </c>
      <c r="R85" s="35">
        <v>46038.0</v>
      </c>
      <c r="S85" s="32" t="s">
        <v>29</v>
      </c>
      <c r="T85" s="33"/>
      <c r="U85" s="33"/>
    </row>
    <row r="86" ht="15.75" customHeight="1">
      <c r="A86" s="20">
        <v>46037.0</v>
      </c>
      <c r="B86" s="20">
        <v>46037.0</v>
      </c>
      <c r="C86" s="20" t="s">
        <v>25</v>
      </c>
      <c r="D86" s="21" t="s">
        <v>39</v>
      </c>
      <c r="E86" s="21" t="s">
        <v>30</v>
      </c>
      <c r="F86" s="22">
        <v>0.0027430555555555554</v>
      </c>
      <c r="G86" s="21" t="s">
        <v>33</v>
      </c>
      <c r="H86" s="24"/>
      <c r="I86" s="25"/>
      <c r="J86" s="26"/>
      <c r="K86" s="21"/>
      <c r="L86" s="27">
        <v>46037.0</v>
      </c>
      <c r="M86" s="28">
        <v>0.010416666666666666</v>
      </c>
      <c r="N86" s="29" t="s">
        <v>39</v>
      </c>
      <c r="O86" s="29" t="s">
        <v>35</v>
      </c>
      <c r="P86" s="34" t="s">
        <v>36</v>
      </c>
      <c r="Q86" s="34" t="s">
        <v>125</v>
      </c>
      <c r="R86" s="35">
        <v>46038.0</v>
      </c>
      <c r="S86" s="32" t="s">
        <v>29</v>
      </c>
      <c r="T86" s="33"/>
      <c r="U86" s="33"/>
    </row>
    <row r="87" ht="15.75" customHeight="1">
      <c r="A87" s="20">
        <v>46037.0</v>
      </c>
      <c r="B87" s="20">
        <v>46037.0</v>
      </c>
      <c r="C87" s="20" t="s">
        <v>25</v>
      </c>
      <c r="D87" s="21" t="s">
        <v>69</v>
      </c>
      <c r="E87" s="21" t="s">
        <v>32</v>
      </c>
      <c r="F87" s="22">
        <v>0.04877314814814815</v>
      </c>
      <c r="G87" s="21" t="s">
        <v>33</v>
      </c>
      <c r="H87" s="24"/>
      <c r="I87" s="25"/>
      <c r="J87" s="26"/>
      <c r="K87" s="21"/>
      <c r="L87" s="27">
        <v>46038.0</v>
      </c>
      <c r="M87" s="28">
        <v>0.11458333333333333</v>
      </c>
      <c r="N87" s="29" t="s">
        <v>34</v>
      </c>
      <c r="O87" s="29" t="s">
        <v>35</v>
      </c>
      <c r="P87" s="34" t="s">
        <v>36</v>
      </c>
      <c r="Q87" s="34" t="s">
        <v>126</v>
      </c>
      <c r="R87" s="35">
        <v>46038.0</v>
      </c>
      <c r="S87" s="32" t="s">
        <v>29</v>
      </c>
      <c r="T87" s="33"/>
      <c r="U87" s="33"/>
    </row>
    <row r="88" ht="15.75" customHeight="1">
      <c r="A88" s="20">
        <v>46037.0</v>
      </c>
      <c r="B88" s="20">
        <v>46037.0</v>
      </c>
      <c r="C88" s="20" t="s">
        <v>25</v>
      </c>
      <c r="D88" s="21" t="s">
        <v>34</v>
      </c>
      <c r="E88" s="21" t="s">
        <v>38</v>
      </c>
      <c r="F88" s="22">
        <v>0.008287037037037037</v>
      </c>
      <c r="G88" s="21" t="s">
        <v>33</v>
      </c>
      <c r="H88" s="24"/>
      <c r="I88" s="25"/>
      <c r="J88" s="26"/>
      <c r="K88" s="21"/>
      <c r="L88" s="27">
        <v>46038.0</v>
      </c>
      <c r="M88" s="28">
        <v>0.017361111111111112</v>
      </c>
      <c r="N88" s="29" t="s">
        <v>49</v>
      </c>
      <c r="O88" s="29" t="s">
        <v>35</v>
      </c>
      <c r="P88" s="34" t="s">
        <v>36</v>
      </c>
      <c r="Q88" s="34">
        <v>1.1952653E7</v>
      </c>
      <c r="R88" s="35">
        <v>46038.0</v>
      </c>
      <c r="S88" s="32" t="s">
        <v>29</v>
      </c>
      <c r="T88" s="33"/>
      <c r="U88" s="33"/>
    </row>
    <row r="89" ht="15.75" customHeight="1">
      <c r="A89" s="20">
        <v>46037.0</v>
      </c>
      <c r="B89" s="20">
        <v>46037.0</v>
      </c>
      <c r="C89" s="20" t="s">
        <v>25</v>
      </c>
      <c r="D89" s="21" t="s">
        <v>34</v>
      </c>
      <c r="E89" s="21" t="s">
        <v>40</v>
      </c>
      <c r="F89" s="22">
        <v>0.017604166666666667</v>
      </c>
      <c r="G89" s="21" t="s">
        <v>33</v>
      </c>
      <c r="H89" s="24"/>
      <c r="I89" s="25"/>
      <c r="J89" s="26"/>
      <c r="K89" s="21"/>
      <c r="L89" s="27">
        <v>46038.0</v>
      </c>
      <c r="M89" s="28">
        <v>0.059722222222222225</v>
      </c>
      <c r="N89" s="29" t="s">
        <v>49</v>
      </c>
      <c r="O89" s="29" t="s">
        <v>35</v>
      </c>
      <c r="P89" s="34" t="s">
        <v>36</v>
      </c>
      <c r="Q89" s="34" t="s">
        <v>127</v>
      </c>
      <c r="R89" s="35">
        <v>46038.0</v>
      </c>
      <c r="S89" s="32" t="s">
        <v>29</v>
      </c>
      <c r="T89" s="33"/>
      <c r="U89" s="33"/>
    </row>
    <row r="90" ht="15.75" customHeight="1">
      <c r="A90" s="20">
        <v>46037.0</v>
      </c>
      <c r="B90" s="20">
        <v>46037.0</v>
      </c>
      <c r="C90" s="20"/>
      <c r="D90" s="21"/>
      <c r="E90" s="21" t="s">
        <v>43</v>
      </c>
      <c r="F90" s="22"/>
      <c r="G90" s="21"/>
      <c r="H90" s="24"/>
      <c r="I90" s="25"/>
      <c r="J90" s="26"/>
      <c r="K90" s="21"/>
      <c r="L90" s="27"/>
      <c r="M90" s="28"/>
      <c r="N90" s="29"/>
      <c r="O90" s="29"/>
      <c r="P90" s="30" t="s">
        <v>28</v>
      </c>
      <c r="Q90" s="30" t="s">
        <v>28</v>
      </c>
      <c r="R90" s="31" t="s">
        <v>28</v>
      </c>
      <c r="S90" s="32" t="s">
        <v>29</v>
      </c>
      <c r="T90" s="33"/>
      <c r="U90" s="33"/>
    </row>
    <row r="91" ht="15.75" customHeight="1">
      <c r="A91" s="20">
        <v>46038.0</v>
      </c>
      <c r="B91" s="20">
        <v>46038.0</v>
      </c>
      <c r="C91" s="20" t="s">
        <v>25</v>
      </c>
      <c r="D91" s="21" t="s">
        <v>49</v>
      </c>
      <c r="E91" s="21" t="s">
        <v>26</v>
      </c>
      <c r="F91" s="22">
        <v>0.10152777777777777</v>
      </c>
      <c r="G91" s="21" t="s">
        <v>33</v>
      </c>
      <c r="H91" s="24"/>
      <c r="I91" s="25"/>
      <c r="J91" s="26"/>
      <c r="K91" s="21"/>
      <c r="L91" s="27">
        <v>46041.0</v>
      </c>
      <c r="M91" s="28">
        <v>0.2013888888888889</v>
      </c>
      <c r="N91" s="29" t="s">
        <v>31</v>
      </c>
      <c r="O91" s="29" t="s">
        <v>35</v>
      </c>
      <c r="P91" s="34" t="s">
        <v>36</v>
      </c>
      <c r="Q91" s="34" t="s">
        <v>128</v>
      </c>
      <c r="R91" s="35">
        <v>46038.0</v>
      </c>
      <c r="S91" s="32" t="s">
        <v>29</v>
      </c>
      <c r="T91" s="33"/>
      <c r="U91" s="33"/>
    </row>
    <row r="92" ht="15.75" customHeight="1">
      <c r="A92" s="20">
        <v>46038.0</v>
      </c>
      <c r="B92" s="20">
        <v>46038.0</v>
      </c>
      <c r="C92" s="20" t="s">
        <v>25</v>
      </c>
      <c r="D92" s="21" t="s">
        <v>57</v>
      </c>
      <c r="E92" s="21" t="s">
        <v>30</v>
      </c>
      <c r="F92" s="22">
        <v>0.0052662037037037035</v>
      </c>
      <c r="G92" s="21" t="s">
        <v>33</v>
      </c>
      <c r="H92" s="24"/>
      <c r="I92" s="25"/>
      <c r="J92" s="26"/>
      <c r="K92" s="21"/>
      <c r="L92" s="27">
        <v>46038.0</v>
      </c>
      <c r="M92" s="28">
        <v>0.020833333333333332</v>
      </c>
      <c r="N92" s="29" t="s">
        <v>57</v>
      </c>
      <c r="O92" s="29" t="s">
        <v>35</v>
      </c>
      <c r="P92" s="34" t="s">
        <v>36</v>
      </c>
      <c r="Q92" s="34" t="s">
        <v>129</v>
      </c>
      <c r="R92" s="35">
        <v>46038.0</v>
      </c>
      <c r="S92" s="32" t="s">
        <v>29</v>
      </c>
      <c r="T92" s="33"/>
      <c r="U92" s="33"/>
    </row>
    <row r="93" ht="15.75" customHeight="1">
      <c r="A93" s="20">
        <v>46038.0</v>
      </c>
      <c r="B93" s="20">
        <v>46038.0</v>
      </c>
      <c r="C93" s="20" t="s">
        <v>25</v>
      </c>
      <c r="D93" s="21" t="s">
        <v>69</v>
      </c>
      <c r="E93" s="21" t="s">
        <v>32</v>
      </c>
      <c r="F93" s="22">
        <v>0.052037037037037034</v>
      </c>
      <c r="G93" s="21" t="s">
        <v>33</v>
      </c>
      <c r="H93" s="24"/>
      <c r="I93" s="25"/>
      <c r="J93" s="26"/>
      <c r="K93" s="21"/>
      <c r="L93" s="27">
        <v>46039.0</v>
      </c>
      <c r="M93" s="28">
        <v>0.125</v>
      </c>
      <c r="N93" s="29" t="s">
        <v>31</v>
      </c>
      <c r="O93" s="29" t="s">
        <v>35</v>
      </c>
      <c r="P93" s="34" t="s">
        <v>36</v>
      </c>
      <c r="Q93" s="34" t="s">
        <v>130</v>
      </c>
      <c r="R93" s="35">
        <v>46040.0</v>
      </c>
      <c r="S93" s="32" t="s">
        <v>29</v>
      </c>
      <c r="T93" s="33"/>
      <c r="U93" s="33"/>
    </row>
    <row r="94" ht="15.75" customHeight="1">
      <c r="A94" s="20">
        <v>46038.0</v>
      </c>
      <c r="B94" s="20">
        <v>46038.0</v>
      </c>
      <c r="C94" s="20" t="s">
        <v>25</v>
      </c>
      <c r="D94" s="21" t="s">
        <v>39</v>
      </c>
      <c r="E94" s="21" t="s">
        <v>38</v>
      </c>
      <c r="F94" s="22">
        <v>0.008483796296296297</v>
      </c>
      <c r="G94" s="21" t="s">
        <v>33</v>
      </c>
      <c r="H94" s="24"/>
      <c r="I94" s="25"/>
      <c r="J94" s="26"/>
      <c r="K94" s="66"/>
      <c r="L94" s="27">
        <v>46041.0</v>
      </c>
      <c r="M94" s="28">
        <v>0.018055555555555554</v>
      </c>
      <c r="N94" s="29" t="s">
        <v>49</v>
      </c>
      <c r="O94" s="29" t="s">
        <v>35</v>
      </c>
      <c r="P94" s="34" t="s">
        <v>36</v>
      </c>
      <c r="Q94" s="34">
        <v>1.1952654E7</v>
      </c>
      <c r="R94" s="35">
        <v>46040.0</v>
      </c>
      <c r="S94" s="32" t="s">
        <v>29</v>
      </c>
      <c r="T94" s="33"/>
      <c r="U94" s="33"/>
    </row>
    <row r="95" ht="15.75" customHeight="1">
      <c r="A95" s="20">
        <v>46038.0</v>
      </c>
      <c r="B95" s="20">
        <v>46038.0</v>
      </c>
      <c r="C95" s="20" t="s">
        <v>25</v>
      </c>
      <c r="D95" s="21" t="s">
        <v>39</v>
      </c>
      <c r="E95" s="21" t="s">
        <v>40</v>
      </c>
      <c r="F95" s="22">
        <v>0.018020833333333333</v>
      </c>
      <c r="G95" s="21" t="s">
        <v>33</v>
      </c>
      <c r="H95" s="24"/>
      <c r="I95" s="25"/>
      <c r="J95" s="26"/>
      <c r="K95" s="21"/>
      <c r="L95" s="27">
        <v>46041.0</v>
      </c>
      <c r="M95" s="28">
        <v>0.05763888888888889</v>
      </c>
      <c r="N95" s="29" t="s">
        <v>49</v>
      </c>
      <c r="O95" s="29" t="s">
        <v>35</v>
      </c>
      <c r="P95" s="34" t="s">
        <v>36</v>
      </c>
      <c r="Q95" s="34" t="s">
        <v>131</v>
      </c>
      <c r="R95" s="35">
        <v>46040.0</v>
      </c>
      <c r="S95" s="32" t="s">
        <v>29</v>
      </c>
      <c r="T95" s="33"/>
      <c r="U95" s="33"/>
    </row>
    <row r="96" ht="15.75" customHeight="1">
      <c r="A96" s="20">
        <v>46038.0</v>
      </c>
      <c r="B96" s="20">
        <v>46038.0</v>
      </c>
      <c r="C96" s="20"/>
      <c r="D96" s="21"/>
      <c r="E96" s="21" t="s">
        <v>43</v>
      </c>
      <c r="F96" s="22"/>
      <c r="G96" s="21"/>
      <c r="H96" s="24"/>
      <c r="I96" s="25"/>
      <c r="J96" s="26"/>
      <c r="K96" s="21"/>
      <c r="L96" s="27"/>
      <c r="M96" s="28"/>
      <c r="N96" s="29"/>
      <c r="O96" s="29"/>
      <c r="P96" s="30" t="s">
        <v>28</v>
      </c>
      <c r="Q96" s="30" t="s">
        <v>28</v>
      </c>
      <c r="R96" s="31" t="s">
        <v>28</v>
      </c>
      <c r="S96" s="32" t="s">
        <v>29</v>
      </c>
      <c r="T96" s="33"/>
      <c r="U96" s="33"/>
    </row>
    <row r="97" ht="15.75" customHeight="1">
      <c r="A97" s="55">
        <v>46039.0</v>
      </c>
      <c r="B97" s="55">
        <v>46039.0</v>
      </c>
      <c r="C97" s="55" t="s">
        <v>25</v>
      </c>
      <c r="D97" s="56" t="s">
        <v>31</v>
      </c>
      <c r="E97" s="56" t="s">
        <v>32</v>
      </c>
      <c r="F97" s="22">
        <v>0.05140046296296296</v>
      </c>
      <c r="G97" s="21" t="s">
        <v>33</v>
      </c>
      <c r="H97" s="24"/>
      <c r="I97" s="25"/>
      <c r="J97" s="26"/>
      <c r="K97" s="21"/>
      <c r="L97" s="27">
        <v>46041.0</v>
      </c>
      <c r="M97" s="28">
        <v>0.12152777777777778</v>
      </c>
      <c r="N97" s="29" t="s">
        <v>34</v>
      </c>
      <c r="O97" s="29" t="s">
        <v>35</v>
      </c>
      <c r="P97" s="34" t="s">
        <v>36</v>
      </c>
      <c r="Q97" s="34" t="s">
        <v>132</v>
      </c>
      <c r="R97" s="35">
        <v>46040.0</v>
      </c>
      <c r="S97" s="32" t="s">
        <v>29</v>
      </c>
      <c r="T97" s="33"/>
      <c r="U97" s="33"/>
    </row>
    <row r="98" ht="15.75" customHeight="1">
      <c r="A98" s="55">
        <v>46039.0</v>
      </c>
      <c r="B98" s="55">
        <v>46039.0</v>
      </c>
      <c r="C98" s="55" t="s">
        <v>25</v>
      </c>
      <c r="D98" s="56" t="s">
        <v>57</v>
      </c>
      <c r="E98" s="56" t="s">
        <v>40</v>
      </c>
      <c r="F98" s="22">
        <v>0.017314814814814814</v>
      </c>
      <c r="G98" s="21" t="s">
        <v>33</v>
      </c>
      <c r="H98" s="24"/>
      <c r="I98" s="25"/>
      <c r="J98" s="26"/>
      <c r="K98" s="21"/>
      <c r="L98" s="27">
        <v>46041.0</v>
      </c>
      <c r="M98" s="28">
        <v>0.05555555555555555</v>
      </c>
      <c r="N98" s="29" t="s">
        <v>57</v>
      </c>
      <c r="O98" s="29" t="s">
        <v>35</v>
      </c>
      <c r="P98" s="34" t="s">
        <v>36</v>
      </c>
      <c r="Q98" s="34" t="s">
        <v>133</v>
      </c>
      <c r="R98" s="35">
        <v>46041.0</v>
      </c>
      <c r="S98" s="32" t="s">
        <v>29</v>
      </c>
      <c r="T98" s="33"/>
      <c r="U98" s="33"/>
    </row>
    <row r="99" ht="15.75" customHeight="1">
      <c r="A99" s="55">
        <v>46039.0</v>
      </c>
      <c r="B99" s="55">
        <v>46039.0</v>
      </c>
      <c r="C99" s="55"/>
      <c r="D99" s="56"/>
      <c r="E99" s="56" t="s">
        <v>43</v>
      </c>
      <c r="F99" s="22"/>
      <c r="G99" s="21"/>
      <c r="H99" s="24"/>
      <c r="I99" s="25"/>
      <c r="J99" s="26"/>
      <c r="K99" s="21"/>
      <c r="L99" s="27"/>
      <c r="M99" s="28"/>
      <c r="N99" s="29"/>
      <c r="O99" s="29"/>
      <c r="P99" s="30" t="s">
        <v>28</v>
      </c>
      <c r="Q99" s="30" t="s">
        <v>28</v>
      </c>
      <c r="R99" s="31" t="s">
        <v>28</v>
      </c>
      <c r="S99" s="32" t="s">
        <v>29</v>
      </c>
      <c r="T99" s="33"/>
      <c r="U99" s="33"/>
    </row>
    <row r="100" ht="15.75" customHeight="1">
      <c r="A100" s="55">
        <v>46039.0</v>
      </c>
      <c r="B100" s="55">
        <v>46039.0</v>
      </c>
      <c r="C100" s="55"/>
      <c r="D100" s="56"/>
      <c r="E100" s="56" t="s">
        <v>61</v>
      </c>
      <c r="F100" s="22"/>
      <c r="G100" s="23" t="s">
        <v>27</v>
      </c>
      <c r="H100" s="24"/>
      <c r="I100" s="25"/>
      <c r="J100" s="26"/>
      <c r="K100" s="21"/>
      <c r="L100" s="27"/>
      <c r="M100" s="28"/>
      <c r="N100" s="29"/>
      <c r="O100" s="29"/>
      <c r="P100" s="30" t="s">
        <v>28</v>
      </c>
      <c r="Q100" s="30" t="s">
        <v>28</v>
      </c>
      <c r="R100" s="31" t="s">
        <v>28</v>
      </c>
      <c r="S100" s="32" t="s">
        <v>29</v>
      </c>
      <c r="T100" s="33"/>
      <c r="U100" s="33"/>
    </row>
    <row r="101" ht="15.75" customHeight="1">
      <c r="A101" s="55">
        <v>46039.0</v>
      </c>
      <c r="B101" s="55">
        <v>46039.0</v>
      </c>
      <c r="C101" s="55"/>
      <c r="D101" s="56"/>
      <c r="E101" s="56" t="s">
        <v>62</v>
      </c>
      <c r="F101" s="22"/>
      <c r="G101" s="23" t="s">
        <v>27</v>
      </c>
      <c r="H101" s="24"/>
      <c r="I101" s="25"/>
      <c r="J101" s="26"/>
      <c r="K101" s="21"/>
      <c r="L101" s="27"/>
      <c r="M101" s="28"/>
      <c r="N101" s="29"/>
      <c r="O101" s="29"/>
      <c r="P101" s="30" t="s">
        <v>28</v>
      </c>
      <c r="Q101" s="30" t="s">
        <v>28</v>
      </c>
      <c r="R101" s="31" t="s">
        <v>28</v>
      </c>
      <c r="S101" s="32" t="s">
        <v>29</v>
      </c>
      <c r="T101" s="33"/>
      <c r="U101" s="33"/>
    </row>
    <row r="102" ht="15.75" customHeight="1">
      <c r="A102" s="55">
        <v>46039.0</v>
      </c>
      <c r="B102" s="55">
        <v>46039.0</v>
      </c>
      <c r="C102" s="55"/>
      <c r="D102" s="56"/>
      <c r="E102" s="56" t="s">
        <v>63</v>
      </c>
      <c r="F102" s="67"/>
      <c r="G102" s="23" t="s">
        <v>27</v>
      </c>
      <c r="H102" s="24"/>
      <c r="I102" s="25"/>
      <c r="J102" s="26"/>
      <c r="K102" s="21"/>
      <c r="L102" s="29"/>
      <c r="M102" s="28"/>
      <c r="N102" s="29"/>
      <c r="O102" s="29"/>
      <c r="P102" s="30" t="s">
        <v>28</v>
      </c>
      <c r="Q102" s="30" t="s">
        <v>28</v>
      </c>
      <c r="R102" s="31" t="s">
        <v>28</v>
      </c>
      <c r="S102" s="32" t="s">
        <v>29</v>
      </c>
      <c r="T102" s="33"/>
      <c r="U102" s="33"/>
    </row>
    <row r="103" ht="15.75" customHeight="1">
      <c r="A103" s="60">
        <v>46040.0</v>
      </c>
      <c r="B103" s="60">
        <v>46040.0</v>
      </c>
      <c r="C103" s="60" t="s">
        <v>42</v>
      </c>
      <c r="D103" s="61" t="s">
        <v>34</v>
      </c>
      <c r="E103" s="61" t="s">
        <v>64</v>
      </c>
      <c r="F103" s="22">
        <v>0.017881944444444443</v>
      </c>
      <c r="G103" s="21" t="s">
        <v>33</v>
      </c>
      <c r="H103" s="24"/>
      <c r="I103" s="25"/>
      <c r="J103" s="26"/>
      <c r="K103" s="21"/>
      <c r="L103" s="29"/>
      <c r="M103" s="28"/>
      <c r="N103" s="29"/>
      <c r="O103" s="29"/>
      <c r="P103" s="34" t="s">
        <v>101</v>
      </c>
      <c r="Q103" s="34">
        <v>1.1959784E7</v>
      </c>
      <c r="R103" s="35">
        <v>46043.0</v>
      </c>
      <c r="S103" s="32"/>
      <c r="T103" s="33"/>
      <c r="U103" s="33"/>
    </row>
    <row r="104" ht="15.75" customHeight="1">
      <c r="A104" s="60">
        <v>46040.0</v>
      </c>
      <c r="B104" s="60">
        <v>46040.0</v>
      </c>
      <c r="C104" s="60"/>
      <c r="D104" s="61"/>
      <c r="E104" s="61" t="s">
        <v>66</v>
      </c>
      <c r="F104" s="67"/>
      <c r="G104" s="23" t="s">
        <v>102</v>
      </c>
      <c r="H104" s="24"/>
      <c r="I104" s="25"/>
      <c r="J104" s="26"/>
      <c r="K104" s="21"/>
      <c r="L104" s="29"/>
      <c r="M104" s="28"/>
      <c r="N104" s="29"/>
      <c r="O104" s="29"/>
      <c r="P104" s="34" t="s">
        <v>28</v>
      </c>
      <c r="Q104" s="34" t="s">
        <v>28</v>
      </c>
      <c r="R104" s="35" t="s">
        <v>28</v>
      </c>
      <c r="S104" s="32" t="s">
        <v>29</v>
      </c>
      <c r="T104" s="33"/>
      <c r="U104" s="33"/>
    </row>
    <row r="105" ht="15.75" customHeight="1">
      <c r="A105" s="20">
        <v>46041.0</v>
      </c>
      <c r="B105" s="20">
        <v>46041.0</v>
      </c>
      <c r="C105" s="20" t="s">
        <v>25</v>
      </c>
      <c r="D105" s="21" t="s">
        <v>49</v>
      </c>
      <c r="E105" s="21" t="s">
        <v>26</v>
      </c>
      <c r="F105" s="22">
        <v>0.10123842592592593</v>
      </c>
      <c r="G105" s="21" t="s">
        <v>33</v>
      </c>
      <c r="H105" s="24"/>
      <c r="I105" s="25"/>
      <c r="J105" s="26"/>
      <c r="K105" s="21"/>
      <c r="L105" s="27">
        <v>46042.0</v>
      </c>
      <c r="M105" s="28">
        <v>0.23958333333333334</v>
      </c>
      <c r="N105" s="29" t="s">
        <v>39</v>
      </c>
      <c r="O105" s="29" t="s">
        <v>35</v>
      </c>
      <c r="P105" s="34" t="s">
        <v>53</v>
      </c>
      <c r="Q105" s="34" t="s">
        <v>134</v>
      </c>
      <c r="R105" s="35">
        <v>46042.0</v>
      </c>
      <c r="S105" s="32" t="s">
        <v>29</v>
      </c>
      <c r="T105" s="33"/>
      <c r="U105" s="33"/>
    </row>
    <row r="106" ht="15.75" customHeight="1">
      <c r="A106" s="20">
        <v>46041.0</v>
      </c>
      <c r="B106" s="20">
        <v>46041.0</v>
      </c>
      <c r="C106" s="20" t="s">
        <v>25</v>
      </c>
      <c r="D106" s="21" t="s">
        <v>31</v>
      </c>
      <c r="E106" s="21" t="s">
        <v>30</v>
      </c>
      <c r="F106" s="22">
        <v>0.0025462962962962965</v>
      </c>
      <c r="G106" s="21" t="s">
        <v>33</v>
      </c>
      <c r="H106" s="24"/>
      <c r="I106" s="25"/>
      <c r="J106" s="26"/>
      <c r="K106" s="21"/>
      <c r="L106" s="27">
        <v>46041.0</v>
      </c>
      <c r="M106" s="28">
        <v>0.006944444444444444</v>
      </c>
      <c r="N106" s="29" t="s">
        <v>31</v>
      </c>
      <c r="O106" s="29" t="s">
        <v>35</v>
      </c>
      <c r="P106" s="34" t="s">
        <v>53</v>
      </c>
      <c r="Q106" s="34" t="s">
        <v>135</v>
      </c>
      <c r="R106" s="35">
        <v>46042.0</v>
      </c>
      <c r="S106" s="32" t="s">
        <v>29</v>
      </c>
      <c r="T106" s="33"/>
      <c r="U106" s="33"/>
    </row>
    <row r="107" ht="15.75" customHeight="1">
      <c r="A107" s="36">
        <v>46041.0</v>
      </c>
      <c r="B107" s="36">
        <v>46041.0</v>
      </c>
      <c r="C107" s="36" t="s">
        <v>25</v>
      </c>
      <c r="D107" s="37" t="s">
        <v>49</v>
      </c>
      <c r="E107" s="37" t="s">
        <v>32</v>
      </c>
      <c r="F107" s="38">
        <v>0.05070601851851852</v>
      </c>
      <c r="G107" s="37" t="s">
        <v>33</v>
      </c>
      <c r="H107" s="39"/>
      <c r="I107" s="40"/>
      <c r="J107" s="41"/>
      <c r="K107" s="37"/>
      <c r="L107" s="42">
        <v>46042.0</v>
      </c>
      <c r="M107" s="43">
        <v>0.125</v>
      </c>
      <c r="N107" s="44" t="s">
        <v>31</v>
      </c>
      <c r="O107" s="44" t="s">
        <v>35</v>
      </c>
      <c r="P107" s="34" t="s">
        <v>53</v>
      </c>
      <c r="Q107" s="45" t="s">
        <v>136</v>
      </c>
      <c r="R107" s="35">
        <v>46042.0</v>
      </c>
      <c r="S107" s="47" t="s">
        <v>29</v>
      </c>
      <c r="T107" s="48"/>
      <c r="U107" s="48"/>
    </row>
    <row r="108" ht="15.75" customHeight="1">
      <c r="A108" s="20">
        <v>46041.0</v>
      </c>
      <c r="B108" s="20">
        <v>46041.0</v>
      </c>
      <c r="C108" s="20" t="s">
        <v>25</v>
      </c>
      <c r="D108" s="21" t="s">
        <v>39</v>
      </c>
      <c r="E108" s="21" t="s">
        <v>38</v>
      </c>
      <c r="F108" s="22">
        <v>0.0084375</v>
      </c>
      <c r="G108" s="21" t="s">
        <v>33</v>
      </c>
      <c r="H108" s="24"/>
      <c r="I108" s="25"/>
      <c r="J108" s="26"/>
      <c r="K108" s="21"/>
      <c r="L108" s="27">
        <v>46042.0</v>
      </c>
      <c r="M108" s="28">
        <v>0.013888888888888888</v>
      </c>
      <c r="N108" s="29" t="s">
        <v>49</v>
      </c>
      <c r="O108" s="29" t="s">
        <v>35</v>
      </c>
      <c r="P108" s="34" t="s">
        <v>53</v>
      </c>
      <c r="Q108" s="34">
        <v>1.1952655E7</v>
      </c>
      <c r="R108" s="35">
        <v>46042.0</v>
      </c>
      <c r="S108" s="32" t="s">
        <v>29</v>
      </c>
      <c r="T108" s="33"/>
      <c r="U108" s="33"/>
    </row>
    <row r="109" ht="15.75" customHeight="1">
      <c r="A109" s="20">
        <v>46041.0</v>
      </c>
      <c r="B109" s="20">
        <v>46041.0</v>
      </c>
      <c r="C109" s="20" t="s">
        <v>25</v>
      </c>
      <c r="D109" s="21" t="s">
        <v>39</v>
      </c>
      <c r="E109" s="21" t="s">
        <v>40</v>
      </c>
      <c r="F109" s="22">
        <v>0.01972222222222222</v>
      </c>
      <c r="G109" s="21" t="s">
        <v>33</v>
      </c>
      <c r="H109" s="24"/>
      <c r="I109" s="25"/>
      <c r="J109" s="26"/>
      <c r="K109" s="21"/>
      <c r="L109" s="27">
        <v>46042.0</v>
      </c>
      <c r="M109" s="28">
        <v>0.05763888888888889</v>
      </c>
      <c r="N109" s="29" t="s">
        <v>49</v>
      </c>
      <c r="O109" s="29" t="s">
        <v>35</v>
      </c>
      <c r="P109" s="34" t="s">
        <v>53</v>
      </c>
      <c r="Q109" s="34" t="s">
        <v>137</v>
      </c>
      <c r="R109" s="35">
        <v>46042.0</v>
      </c>
      <c r="S109" s="32" t="s">
        <v>29</v>
      </c>
      <c r="T109" s="33"/>
      <c r="U109" s="33"/>
    </row>
    <row r="110" ht="15.75" customHeight="1">
      <c r="A110" s="20">
        <v>46041.0</v>
      </c>
      <c r="B110" s="20">
        <v>46041.0</v>
      </c>
      <c r="C110" s="20"/>
      <c r="D110" s="21"/>
      <c r="E110" s="21" t="s">
        <v>43</v>
      </c>
      <c r="F110" s="22"/>
      <c r="G110" s="21"/>
      <c r="H110" s="24"/>
      <c r="I110" s="25"/>
      <c r="J110" s="26"/>
      <c r="K110" s="21"/>
      <c r="L110" s="27"/>
      <c r="M110" s="28"/>
      <c r="N110" s="29"/>
      <c r="O110" s="29"/>
      <c r="P110" s="30" t="s">
        <v>28</v>
      </c>
      <c r="Q110" s="30" t="s">
        <v>28</v>
      </c>
      <c r="R110" s="31" t="s">
        <v>28</v>
      </c>
      <c r="S110" s="32" t="s">
        <v>29</v>
      </c>
      <c r="T110" s="33"/>
      <c r="U110" s="33"/>
    </row>
    <row r="111" ht="15.75" customHeight="1">
      <c r="A111" s="20">
        <v>46042.0</v>
      </c>
      <c r="B111" s="20">
        <v>46042.0</v>
      </c>
      <c r="C111" s="20" t="s">
        <v>25</v>
      </c>
      <c r="D111" s="21" t="s">
        <v>49</v>
      </c>
      <c r="E111" s="21" t="s">
        <v>26</v>
      </c>
      <c r="F111" s="22">
        <v>0.10109953703703704</v>
      </c>
      <c r="G111" s="21" t="s">
        <v>33</v>
      </c>
      <c r="H111" s="24"/>
      <c r="I111" s="25"/>
      <c r="J111" s="26"/>
      <c r="K111" s="21"/>
      <c r="L111" s="27">
        <v>46043.0</v>
      </c>
      <c r="M111" s="28">
        <v>0.21875</v>
      </c>
      <c r="N111" s="29" t="s">
        <v>34</v>
      </c>
      <c r="O111" s="29" t="s">
        <v>35</v>
      </c>
      <c r="P111" s="34" t="s">
        <v>36</v>
      </c>
      <c r="Q111" s="34" t="s">
        <v>138</v>
      </c>
      <c r="R111" s="35">
        <v>46043.0</v>
      </c>
      <c r="S111" s="32" t="s">
        <v>29</v>
      </c>
      <c r="T111" s="33"/>
      <c r="U111" s="33"/>
    </row>
    <row r="112" ht="15.75" customHeight="1">
      <c r="A112" s="20">
        <v>46042.0</v>
      </c>
      <c r="B112" s="20">
        <v>46042.0</v>
      </c>
      <c r="C112" s="20" t="s">
        <v>25</v>
      </c>
      <c r="D112" s="21" t="s">
        <v>39</v>
      </c>
      <c r="E112" s="21" t="s">
        <v>30</v>
      </c>
      <c r="F112" s="22">
        <v>0.003425925925925926</v>
      </c>
      <c r="G112" s="21" t="s">
        <v>33</v>
      </c>
      <c r="H112" s="24"/>
      <c r="I112" s="25"/>
      <c r="J112" s="26"/>
      <c r="K112" s="21"/>
      <c r="L112" s="27">
        <v>46042.0</v>
      </c>
      <c r="M112" s="28">
        <v>0.013888888888888888</v>
      </c>
      <c r="N112" s="29" t="s">
        <v>39</v>
      </c>
      <c r="O112" s="29" t="s">
        <v>35</v>
      </c>
      <c r="P112" s="34" t="s">
        <v>36</v>
      </c>
      <c r="Q112" s="34" t="s">
        <v>139</v>
      </c>
      <c r="R112" s="35">
        <v>46043.0</v>
      </c>
      <c r="S112" s="32" t="s">
        <v>29</v>
      </c>
      <c r="T112" s="33"/>
      <c r="U112" s="33"/>
    </row>
    <row r="113" ht="15.75" customHeight="1">
      <c r="A113" s="20">
        <v>46042.0</v>
      </c>
      <c r="B113" s="20">
        <v>46042.0</v>
      </c>
      <c r="C113" s="20" t="s">
        <v>25</v>
      </c>
      <c r="D113" s="21" t="s">
        <v>69</v>
      </c>
      <c r="E113" s="21" t="s">
        <v>32</v>
      </c>
      <c r="F113" s="22">
        <v>0.049756944444444444</v>
      </c>
      <c r="G113" s="21" t="s">
        <v>33</v>
      </c>
      <c r="H113" s="24"/>
      <c r="I113" s="25"/>
      <c r="J113" s="26"/>
      <c r="K113" s="21"/>
      <c r="L113" s="27">
        <v>46043.0</v>
      </c>
      <c r="M113" s="28">
        <v>0.125</v>
      </c>
      <c r="N113" s="29" t="s">
        <v>31</v>
      </c>
      <c r="O113" s="29" t="s">
        <v>35</v>
      </c>
      <c r="P113" s="34" t="s">
        <v>36</v>
      </c>
      <c r="Q113" s="34" t="s">
        <v>140</v>
      </c>
      <c r="R113" s="35">
        <v>46043.0</v>
      </c>
      <c r="S113" s="32" t="s">
        <v>29</v>
      </c>
      <c r="T113" s="33"/>
      <c r="U113" s="33"/>
    </row>
    <row r="114" ht="15.75" customHeight="1">
      <c r="A114" s="20">
        <v>46042.0</v>
      </c>
      <c r="B114" s="20">
        <v>46042.0</v>
      </c>
      <c r="C114" s="20" t="s">
        <v>25</v>
      </c>
      <c r="D114" s="21" t="s">
        <v>34</v>
      </c>
      <c r="E114" s="21" t="s">
        <v>38</v>
      </c>
      <c r="F114" s="22">
        <v>0.008148148148148147</v>
      </c>
      <c r="G114" s="21" t="s">
        <v>33</v>
      </c>
      <c r="H114" s="24"/>
      <c r="I114" s="25"/>
      <c r="J114" s="26"/>
      <c r="K114" s="21"/>
      <c r="L114" s="27">
        <v>46043.0</v>
      </c>
      <c r="M114" s="28">
        <v>0.016666666666666666</v>
      </c>
      <c r="N114" s="29" t="s">
        <v>49</v>
      </c>
      <c r="O114" s="29" t="s">
        <v>35</v>
      </c>
      <c r="P114" s="34" t="s">
        <v>36</v>
      </c>
      <c r="Q114" s="34">
        <v>1.1952656E7</v>
      </c>
      <c r="R114" s="35">
        <v>46043.0</v>
      </c>
      <c r="S114" s="32" t="s">
        <v>29</v>
      </c>
      <c r="T114" s="33"/>
      <c r="U114" s="33"/>
    </row>
    <row r="115" ht="15.75" customHeight="1">
      <c r="A115" s="20">
        <v>46042.0</v>
      </c>
      <c r="B115" s="20">
        <v>46042.0</v>
      </c>
      <c r="C115" s="20" t="s">
        <v>25</v>
      </c>
      <c r="D115" s="21" t="s">
        <v>34</v>
      </c>
      <c r="E115" s="21" t="s">
        <v>40</v>
      </c>
      <c r="F115" s="22">
        <v>0.019166666666666665</v>
      </c>
      <c r="G115" s="21" t="s">
        <v>33</v>
      </c>
      <c r="H115" s="24"/>
      <c r="I115" s="25"/>
      <c r="J115" s="26"/>
      <c r="K115" s="21"/>
      <c r="L115" s="27">
        <v>46043.0</v>
      </c>
      <c r="M115" s="28">
        <v>0.059722222222222225</v>
      </c>
      <c r="N115" s="29" t="s">
        <v>49</v>
      </c>
      <c r="O115" s="29" t="s">
        <v>35</v>
      </c>
      <c r="P115" s="34" t="s">
        <v>36</v>
      </c>
      <c r="Q115" s="34" t="s">
        <v>141</v>
      </c>
      <c r="R115" s="35">
        <v>46043.0</v>
      </c>
      <c r="S115" s="32" t="s">
        <v>29</v>
      </c>
      <c r="T115" s="33"/>
      <c r="U115" s="33"/>
    </row>
    <row r="116" ht="15.75" customHeight="1">
      <c r="A116" s="20">
        <v>46042.0</v>
      </c>
      <c r="B116" s="20">
        <v>46042.0</v>
      </c>
      <c r="C116" s="20"/>
      <c r="D116" s="21"/>
      <c r="E116" s="21" t="s">
        <v>43</v>
      </c>
      <c r="F116" s="22"/>
      <c r="G116" s="21"/>
      <c r="H116" s="24"/>
      <c r="I116" s="25"/>
      <c r="J116" s="26"/>
      <c r="K116" s="21"/>
      <c r="L116" s="27"/>
      <c r="M116" s="28"/>
      <c r="N116" s="29"/>
      <c r="O116" s="29"/>
      <c r="P116" s="30" t="s">
        <v>28</v>
      </c>
      <c r="Q116" s="30" t="s">
        <v>28</v>
      </c>
      <c r="R116" s="31" t="s">
        <v>28</v>
      </c>
      <c r="S116" s="32" t="s">
        <v>29</v>
      </c>
      <c r="T116" s="33"/>
      <c r="U116" s="33"/>
    </row>
    <row r="117" ht="15.75" customHeight="1">
      <c r="A117" s="20">
        <v>46043.0</v>
      </c>
      <c r="B117" s="20">
        <v>46043.0</v>
      </c>
      <c r="C117" s="20" t="s">
        <v>25</v>
      </c>
      <c r="D117" s="21" t="s">
        <v>49</v>
      </c>
      <c r="E117" s="21" t="s">
        <v>26</v>
      </c>
      <c r="F117" s="22">
        <v>0.10813657407407408</v>
      </c>
      <c r="G117" s="21" t="s">
        <v>33</v>
      </c>
      <c r="H117" s="24"/>
      <c r="I117" s="25"/>
      <c r="J117" s="26"/>
      <c r="K117" s="21"/>
      <c r="L117" s="27">
        <v>46044.0</v>
      </c>
      <c r="M117" s="28">
        <v>0.2013888888888889</v>
      </c>
      <c r="N117" s="29" t="s">
        <v>39</v>
      </c>
      <c r="O117" s="29" t="s">
        <v>35</v>
      </c>
      <c r="P117" s="34" t="s">
        <v>36</v>
      </c>
      <c r="Q117" s="34" t="s">
        <v>142</v>
      </c>
      <c r="R117" s="35">
        <v>46044.0</v>
      </c>
      <c r="S117" s="32" t="s">
        <v>29</v>
      </c>
      <c r="T117" s="33"/>
      <c r="U117" s="33"/>
    </row>
    <row r="118" ht="15.75" customHeight="1">
      <c r="A118" s="20">
        <v>46043.0</v>
      </c>
      <c r="B118" s="20">
        <v>46043.0</v>
      </c>
      <c r="C118" s="20" t="s">
        <v>25</v>
      </c>
      <c r="D118" s="21" t="s">
        <v>34</v>
      </c>
      <c r="E118" s="21" t="s">
        <v>30</v>
      </c>
      <c r="F118" s="22">
        <v>6.597222222222222E-4</v>
      </c>
      <c r="G118" s="21" t="s">
        <v>33</v>
      </c>
      <c r="H118" s="24"/>
      <c r="I118" s="25"/>
      <c r="J118" s="26"/>
      <c r="K118" s="21"/>
      <c r="L118" s="27">
        <v>46043.0</v>
      </c>
      <c r="M118" s="28">
        <v>0.0020833333333333333</v>
      </c>
      <c r="N118" s="29" t="s">
        <v>34</v>
      </c>
      <c r="O118" s="29" t="s">
        <v>35</v>
      </c>
      <c r="P118" s="34" t="s">
        <v>36</v>
      </c>
      <c r="Q118" s="34" t="s">
        <v>143</v>
      </c>
      <c r="R118" s="35">
        <v>46044.0</v>
      </c>
      <c r="S118" s="32" t="s">
        <v>29</v>
      </c>
      <c r="T118" s="33"/>
      <c r="U118" s="33"/>
    </row>
    <row r="119" ht="15.75" customHeight="1">
      <c r="A119" s="20">
        <v>46043.0</v>
      </c>
      <c r="B119" s="20">
        <v>46043.0</v>
      </c>
      <c r="C119" s="20" t="s">
        <v>25</v>
      </c>
      <c r="D119" s="21" t="s">
        <v>69</v>
      </c>
      <c r="E119" s="21" t="s">
        <v>32</v>
      </c>
      <c r="F119" s="22">
        <v>0.047650462962962964</v>
      </c>
      <c r="G119" s="21" t="s">
        <v>33</v>
      </c>
      <c r="H119" s="24"/>
      <c r="I119" s="25"/>
      <c r="J119" s="26"/>
      <c r="K119" s="21"/>
      <c r="L119" s="27">
        <v>46044.0</v>
      </c>
      <c r="M119" s="28">
        <v>0.125</v>
      </c>
      <c r="N119" s="29" t="s">
        <v>31</v>
      </c>
      <c r="O119" s="29" t="s">
        <v>35</v>
      </c>
      <c r="P119" s="34" t="s">
        <v>36</v>
      </c>
      <c r="Q119" s="34" t="s">
        <v>144</v>
      </c>
      <c r="R119" s="35">
        <v>46044.0</v>
      </c>
      <c r="S119" s="32" t="s">
        <v>29</v>
      </c>
      <c r="T119" s="33"/>
      <c r="U119" s="33"/>
    </row>
    <row r="120" ht="15.75" customHeight="1">
      <c r="A120" s="20">
        <v>46043.0</v>
      </c>
      <c r="B120" s="20">
        <v>46043.0</v>
      </c>
      <c r="C120" s="20" t="s">
        <v>25</v>
      </c>
      <c r="D120" s="21" t="s">
        <v>39</v>
      </c>
      <c r="E120" s="21" t="s">
        <v>38</v>
      </c>
      <c r="F120" s="22">
        <v>0.008518518518518519</v>
      </c>
      <c r="G120" s="21" t="s">
        <v>33</v>
      </c>
      <c r="H120" s="24"/>
      <c r="I120" s="25"/>
      <c r="J120" s="26"/>
      <c r="K120" s="21"/>
      <c r="L120" s="27">
        <v>46044.0</v>
      </c>
      <c r="M120" s="28">
        <v>0.02013888888888889</v>
      </c>
      <c r="N120" s="29" t="s">
        <v>49</v>
      </c>
      <c r="O120" s="29" t="s">
        <v>35</v>
      </c>
      <c r="P120" s="34" t="s">
        <v>36</v>
      </c>
      <c r="Q120" s="34">
        <v>1.1952657E7</v>
      </c>
      <c r="R120" s="35">
        <v>46044.0</v>
      </c>
      <c r="S120" s="32" t="s">
        <v>29</v>
      </c>
      <c r="T120" s="33"/>
      <c r="U120" s="33"/>
    </row>
    <row r="121" ht="15.75" customHeight="1">
      <c r="A121" s="20">
        <v>46043.0</v>
      </c>
      <c r="B121" s="20">
        <v>46043.0</v>
      </c>
      <c r="C121" s="20" t="s">
        <v>25</v>
      </c>
      <c r="D121" s="21" t="s">
        <v>39</v>
      </c>
      <c r="E121" s="21" t="s">
        <v>40</v>
      </c>
      <c r="F121" s="22">
        <v>0.018680555555555554</v>
      </c>
      <c r="G121" s="21" t="s">
        <v>33</v>
      </c>
      <c r="H121" s="24"/>
      <c r="I121" s="25"/>
      <c r="J121" s="26"/>
      <c r="K121" s="21"/>
      <c r="L121" s="27">
        <v>46044.0</v>
      </c>
      <c r="M121" s="68">
        <v>0.05555555555555555</v>
      </c>
      <c r="N121" s="29" t="s">
        <v>49</v>
      </c>
      <c r="O121" s="29" t="s">
        <v>35</v>
      </c>
      <c r="P121" s="34" t="s">
        <v>36</v>
      </c>
      <c r="Q121" s="34" t="s">
        <v>145</v>
      </c>
      <c r="R121" s="35">
        <v>46044.0</v>
      </c>
      <c r="S121" s="32" t="s">
        <v>29</v>
      </c>
      <c r="T121" s="33"/>
      <c r="U121" s="33"/>
    </row>
    <row r="122" ht="15.75" customHeight="1">
      <c r="A122" s="20">
        <v>46043.0</v>
      </c>
      <c r="B122" s="20">
        <v>46043.0</v>
      </c>
      <c r="C122" s="20"/>
      <c r="D122" s="21"/>
      <c r="E122" s="21" t="s">
        <v>43</v>
      </c>
      <c r="F122" s="22"/>
      <c r="G122" s="21"/>
      <c r="H122" s="24"/>
      <c r="I122" s="25"/>
      <c r="J122" s="26"/>
      <c r="K122" s="21"/>
      <c r="L122" s="27"/>
      <c r="M122" s="28"/>
      <c r="N122" s="29"/>
      <c r="O122" s="29"/>
      <c r="P122" s="30" t="s">
        <v>28</v>
      </c>
      <c r="Q122" s="30" t="s">
        <v>28</v>
      </c>
      <c r="R122" s="31" t="s">
        <v>28</v>
      </c>
      <c r="S122" s="32" t="s">
        <v>29</v>
      </c>
      <c r="T122" s="33"/>
      <c r="U122" s="33"/>
    </row>
    <row r="123" ht="15.75" customHeight="1">
      <c r="A123" s="20">
        <v>46044.0</v>
      </c>
      <c r="B123" s="20">
        <v>46044.0</v>
      </c>
      <c r="C123" s="20" t="s">
        <v>25</v>
      </c>
      <c r="D123" s="21" t="s">
        <v>49</v>
      </c>
      <c r="E123" s="21" t="s">
        <v>26</v>
      </c>
      <c r="F123" s="22">
        <v>0.10078703703703704</v>
      </c>
      <c r="G123" s="37" t="s">
        <v>33</v>
      </c>
      <c r="H123" s="24"/>
      <c r="I123" s="25"/>
      <c r="J123" s="26"/>
      <c r="K123" s="21"/>
      <c r="L123" s="27">
        <v>46045.0</v>
      </c>
      <c r="M123" s="28">
        <v>0.20833333333333334</v>
      </c>
      <c r="N123" s="29" t="s">
        <v>57</v>
      </c>
      <c r="O123" s="29" t="s">
        <v>35</v>
      </c>
      <c r="P123" s="34" t="s">
        <v>36</v>
      </c>
      <c r="Q123" s="34" t="s">
        <v>146</v>
      </c>
      <c r="R123" s="35">
        <v>46045.0</v>
      </c>
      <c r="S123" s="32" t="s">
        <v>29</v>
      </c>
      <c r="T123" s="33"/>
      <c r="U123" s="33"/>
    </row>
    <row r="124" ht="15.75" customHeight="1">
      <c r="A124" s="20">
        <v>46044.0</v>
      </c>
      <c r="B124" s="20">
        <v>46044.0</v>
      </c>
      <c r="C124" s="20" t="s">
        <v>25</v>
      </c>
      <c r="D124" s="21" t="s">
        <v>39</v>
      </c>
      <c r="E124" s="21" t="s">
        <v>30</v>
      </c>
      <c r="F124" s="22">
        <v>0.0019097222222222222</v>
      </c>
      <c r="G124" s="37" t="s">
        <v>33</v>
      </c>
      <c r="H124" s="24"/>
      <c r="I124" s="25"/>
      <c r="J124" s="26"/>
      <c r="K124" s="21"/>
      <c r="L124" s="27">
        <v>46044.0</v>
      </c>
      <c r="M124" s="28"/>
      <c r="N124" s="29" t="s">
        <v>39</v>
      </c>
      <c r="O124" s="29" t="s">
        <v>35</v>
      </c>
      <c r="P124" s="34" t="s">
        <v>36</v>
      </c>
      <c r="Q124" s="34" t="s">
        <v>147</v>
      </c>
      <c r="R124" s="35">
        <v>46045.0</v>
      </c>
      <c r="S124" s="32" t="s">
        <v>29</v>
      </c>
      <c r="T124" s="33"/>
      <c r="U124" s="33"/>
    </row>
    <row r="125" ht="15.75" customHeight="1">
      <c r="A125" s="20">
        <v>46044.0</v>
      </c>
      <c r="B125" s="20">
        <v>46044.0</v>
      </c>
      <c r="C125" s="20" t="s">
        <v>25</v>
      </c>
      <c r="D125" s="21" t="s">
        <v>69</v>
      </c>
      <c r="E125" s="21" t="s">
        <v>32</v>
      </c>
      <c r="F125" s="22">
        <v>0.04518518518518518</v>
      </c>
      <c r="G125" s="21" t="s">
        <v>33</v>
      </c>
      <c r="H125" s="24"/>
      <c r="I125" s="25"/>
      <c r="J125" s="26"/>
      <c r="K125" s="21"/>
      <c r="L125" s="27">
        <v>46045.0</v>
      </c>
      <c r="M125" s="28">
        <v>0.125</v>
      </c>
      <c r="N125" s="29" t="s">
        <v>31</v>
      </c>
      <c r="O125" s="29" t="s">
        <v>35</v>
      </c>
      <c r="P125" s="34" t="s">
        <v>53</v>
      </c>
      <c r="Q125" s="34" t="s">
        <v>148</v>
      </c>
      <c r="R125" s="35">
        <v>46046.0</v>
      </c>
      <c r="S125" s="32" t="s">
        <v>29</v>
      </c>
      <c r="T125" s="33"/>
      <c r="U125" s="33"/>
    </row>
    <row r="126" ht="15.75" customHeight="1">
      <c r="A126" s="20">
        <v>46044.0</v>
      </c>
      <c r="B126" s="20">
        <v>46044.0</v>
      </c>
      <c r="C126" s="20" t="s">
        <v>25</v>
      </c>
      <c r="D126" s="21" t="s">
        <v>34</v>
      </c>
      <c r="E126" s="21" t="s">
        <v>38</v>
      </c>
      <c r="F126" s="22">
        <v>0.008819444444444444</v>
      </c>
      <c r="G126" s="21" t="s">
        <v>33</v>
      </c>
      <c r="H126" s="24"/>
      <c r="I126" s="25"/>
      <c r="J126" s="26"/>
      <c r="K126" s="21"/>
      <c r="L126" s="27">
        <v>46045.0</v>
      </c>
      <c r="M126" s="28">
        <v>0.017361111111111112</v>
      </c>
      <c r="N126" s="29" t="s">
        <v>59</v>
      </c>
      <c r="O126" s="29" t="s">
        <v>35</v>
      </c>
      <c r="P126" s="34" t="s">
        <v>36</v>
      </c>
      <c r="Q126" s="34">
        <v>1.1952658E7</v>
      </c>
      <c r="R126" s="35">
        <v>46045.0</v>
      </c>
      <c r="S126" s="32" t="s">
        <v>29</v>
      </c>
      <c r="T126" s="33"/>
      <c r="U126" s="33"/>
    </row>
    <row r="127" ht="15.75" customHeight="1">
      <c r="A127" s="20">
        <v>46044.0</v>
      </c>
      <c r="B127" s="20">
        <v>46044.0</v>
      </c>
      <c r="C127" s="20" t="s">
        <v>25</v>
      </c>
      <c r="D127" s="21" t="s">
        <v>34</v>
      </c>
      <c r="E127" s="21" t="s">
        <v>40</v>
      </c>
      <c r="F127" s="22">
        <v>0.018368055555555554</v>
      </c>
      <c r="G127" s="21" t="s">
        <v>33</v>
      </c>
      <c r="H127" s="24"/>
      <c r="I127" s="25"/>
      <c r="J127" s="26"/>
      <c r="K127" s="21"/>
      <c r="L127" s="27">
        <v>46045.0</v>
      </c>
      <c r="M127" s="28">
        <v>0.05555555555555555</v>
      </c>
      <c r="N127" s="29" t="s">
        <v>59</v>
      </c>
      <c r="O127" s="29" t="s">
        <v>35</v>
      </c>
      <c r="P127" s="34" t="s">
        <v>36</v>
      </c>
      <c r="Q127" s="34" t="s">
        <v>149</v>
      </c>
      <c r="R127" s="35">
        <v>46045.0</v>
      </c>
      <c r="S127" s="32" t="s">
        <v>29</v>
      </c>
      <c r="T127" s="33"/>
      <c r="U127" s="33"/>
    </row>
    <row r="128" ht="15.75" customHeight="1">
      <c r="A128" s="20">
        <v>46044.0</v>
      </c>
      <c r="B128" s="20">
        <v>46044.0</v>
      </c>
      <c r="C128" s="20"/>
      <c r="D128" s="21"/>
      <c r="E128" s="21" t="s">
        <v>43</v>
      </c>
      <c r="F128" s="22"/>
      <c r="G128" s="21"/>
      <c r="H128" s="24"/>
      <c r="I128" s="25"/>
      <c r="J128" s="26"/>
      <c r="K128" s="21"/>
      <c r="L128" s="27"/>
      <c r="M128" s="28"/>
      <c r="N128" s="29"/>
      <c r="O128" s="29"/>
      <c r="P128" s="34" t="s">
        <v>53</v>
      </c>
      <c r="Q128" s="34">
        <v>1.1963333E7</v>
      </c>
      <c r="R128" s="35">
        <v>46045.0</v>
      </c>
      <c r="S128" s="32" t="s">
        <v>29</v>
      </c>
      <c r="T128" s="33"/>
      <c r="U128" s="33"/>
    </row>
    <row r="129" ht="15.75" customHeight="1">
      <c r="A129" s="20">
        <v>46044.0</v>
      </c>
      <c r="B129" s="20">
        <v>46044.0</v>
      </c>
      <c r="C129" s="20" t="s">
        <v>25</v>
      </c>
      <c r="D129" s="21" t="s">
        <v>39</v>
      </c>
      <c r="E129" s="21" t="s">
        <v>87</v>
      </c>
      <c r="F129" s="22">
        <v>0.0038425925925925928</v>
      </c>
      <c r="G129" s="21" t="s">
        <v>88</v>
      </c>
      <c r="H129" s="24" t="s">
        <v>150</v>
      </c>
      <c r="I129" s="25" t="s">
        <v>46</v>
      </c>
      <c r="J129" s="26">
        <v>46043.0</v>
      </c>
      <c r="K129" s="21" t="s">
        <v>151</v>
      </c>
      <c r="L129" s="27">
        <v>46087.0</v>
      </c>
      <c r="M129" s="28">
        <v>0.010416666666666666</v>
      </c>
      <c r="N129" s="29" t="s">
        <v>39</v>
      </c>
      <c r="O129" s="29" t="s">
        <v>35</v>
      </c>
      <c r="P129" s="34" t="s">
        <v>53</v>
      </c>
      <c r="Q129" s="34">
        <v>1.1963333E7</v>
      </c>
      <c r="R129" s="35">
        <v>46045.0</v>
      </c>
      <c r="S129" s="32"/>
      <c r="T129" s="33"/>
      <c r="U129" s="33"/>
    </row>
    <row r="130" ht="15.75" customHeight="1">
      <c r="A130" s="20">
        <v>46044.0</v>
      </c>
      <c r="B130" s="20">
        <v>46044.0</v>
      </c>
      <c r="C130" s="20" t="s">
        <v>25</v>
      </c>
      <c r="D130" s="21" t="s">
        <v>39</v>
      </c>
      <c r="E130" s="21" t="s">
        <v>87</v>
      </c>
      <c r="F130" s="22">
        <v>0.005833333333333334</v>
      </c>
      <c r="G130" s="21" t="s">
        <v>88</v>
      </c>
      <c r="H130" s="24" t="s">
        <v>152</v>
      </c>
      <c r="I130" s="25" t="s">
        <v>46</v>
      </c>
      <c r="J130" s="26">
        <v>46043.0</v>
      </c>
      <c r="K130" s="21" t="s">
        <v>153</v>
      </c>
      <c r="L130" s="27">
        <v>46087.0</v>
      </c>
      <c r="M130" s="28">
        <v>0.010416666666666666</v>
      </c>
      <c r="N130" s="29" t="s">
        <v>39</v>
      </c>
      <c r="O130" s="29" t="s">
        <v>35</v>
      </c>
      <c r="P130" s="34" t="s">
        <v>53</v>
      </c>
      <c r="Q130" s="34">
        <v>1.1963334E7</v>
      </c>
      <c r="R130" s="35">
        <v>46045.0</v>
      </c>
      <c r="S130" s="32"/>
      <c r="T130" s="33"/>
      <c r="U130" s="33"/>
    </row>
    <row r="131" ht="15.75" customHeight="1">
      <c r="A131" s="20">
        <v>46044.0</v>
      </c>
      <c r="B131" s="20">
        <v>46044.0</v>
      </c>
      <c r="C131" s="20" t="s">
        <v>25</v>
      </c>
      <c r="D131" s="21" t="s">
        <v>39</v>
      </c>
      <c r="E131" s="21" t="s">
        <v>87</v>
      </c>
      <c r="F131" s="22">
        <v>0.0028472222222222223</v>
      </c>
      <c r="G131" s="21" t="s">
        <v>88</v>
      </c>
      <c r="H131" s="24" t="s">
        <v>154</v>
      </c>
      <c r="I131" s="25" t="s">
        <v>46</v>
      </c>
      <c r="J131" s="26">
        <v>46043.0</v>
      </c>
      <c r="K131" s="21" t="s">
        <v>155</v>
      </c>
      <c r="L131" s="27">
        <v>46087.0</v>
      </c>
      <c r="M131" s="28">
        <v>0.008333333333333333</v>
      </c>
      <c r="N131" s="29" t="s">
        <v>39</v>
      </c>
      <c r="O131" s="29" t="s">
        <v>35</v>
      </c>
      <c r="P131" s="34" t="s">
        <v>53</v>
      </c>
      <c r="Q131" s="34">
        <v>1.1963335E7</v>
      </c>
      <c r="R131" s="35">
        <v>46045.0</v>
      </c>
      <c r="S131" s="32"/>
      <c r="T131" s="33"/>
      <c r="U131" s="33"/>
    </row>
    <row r="132" ht="15.75" customHeight="1">
      <c r="A132" s="20">
        <v>46044.0</v>
      </c>
      <c r="B132" s="20">
        <v>46044.0</v>
      </c>
      <c r="C132" s="20" t="s">
        <v>25</v>
      </c>
      <c r="D132" s="21" t="s">
        <v>39</v>
      </c>
      <c r="E132" s="21" t="s">
        <v>87</v>
      </c>
      <c r="F132" s="22">
        <v>8.449074074074074E-4</v>
      </c>
      <c r="G132" s="21" t="s">
        <v>88</v>
      </c>
      <c r="H132" s="24" t="s">
        <v>156</v>
      </c>
      <c r="I132" s="25" t="s">
        <v>46</v>
      </c>
      <c r="J132" s="26">
        <v>46043.0</v>
      </c>
      <c r="K132" s="21" t="s">
        <v>157</v>
      </c>
      <c r="L132" s="27">
        <v>46092.0</v>
      </c>
      <c r="M132" s="28">
        <v>0.004861111111111111</v>
      </c>
      <c r="N132" s="29" t="s">
        <v>39</v>
      </c>
      <c r="O132" s="29" t="s">
        <v>35</v>
      </c>
      <c r="P132" s="34" t="s">
        <v>53</v>
      </c>
      <c r="Q132" s="34">
        <v>1.1963336E7</v>
      </c>
      <c r="R132" s="35">
        <v>46045.0</v>
      </c>
      <c r="S132" s="32"/>
      <c r="T132" s="33"/>
      <c r="U132" s="33"/>
    </row>
    <row r="133" ht="15.75" customHeight="1">
      <c r="A133" s="20">
        <v>46044.0</v>
      </c>
      <c r="B133" s="20">
        <v>46044.0</v>
      </c>
      <c r="C133" s="20" t="s">
        <v>25</v>
      </c>
      <c r="D133" s="21" t="s">
        <v>39</v>
      </c>
      <c r="E133" s="21" t="s">
        <v>87</v>
      </c>
      <c r="F133" s="22">
        <v>0.0025925925925925925</v>
      </c>
      <c r="G133" s="21" t="s">
        <v>88</v>
      </c>
      <c r="H133" s="24" t="s">
        <v>158</v>
      </c>
      <c r="I133" s="25" t="s">
        <v>46</v>
      </c>
      <c r="J133" s="26">
        <v>46044.0</v>
      </c>
      <c r="K133" s="21" t="s">
        <v>159</v>
      </c>
      <c r="L133" s="27">
        <v>46094.0</v>
      </c>
      <c r="M133" s="28">
        <v>0.005555555555555556</v>
      </c>
      <c r="N133" s="29" t="s">
        <v>39</v>
      </c>
      <c r="O133" s="29" t="s">
        <v>35</v>
      </c>
      <c r="P133" s="34" t="s">
        <v>53</v>
      </c>
      <c r="Q133" s="34">
        <v>1.1963337E7</v>
      </c>
      <c r="R133" s="35">
        <v>46045.0</v>
      </c>
      <c r="S133" s="32"/>
      <c r="T133" s="33"/>
      <c r="U133" s="33"/>
    </row>
    <row r="134" ht="15.75" customHeight="1">
      <c r="A134" s="20">
        <v>46045.0</v>
      </c>
      <c r="B134" s="20">
        <v>46045.0</v>
      </c>
      <c r="C134" s="20" t="s">
        <v>25</v>
      </c>
      <c r="D134" s="21" t="s">
        <v>49</v>
      </c>
      <c r="E134" s="21" t="s">
        <v>26</v>
      </c>
      <c r="F134" s="22">
        <v>0.10114583333333334</v>
      </c>
      <c r="G134" s="21" t="s">
        <v>33</v>
      </c>
      <c r="H134" s="24"/>
      <c r="I134" s="25"/>
      <c r="J134" s="26"/>
      <c r="K134" s="21"/>
      <c r="L134" s="27">
        <v>46048.0</v>
      </c>
      <c r="M134" s="28">
        <v>0.20833333333333334</v>
      </c>
      <c r="N134" s="29" t="s">
        <v>31</v>
      </c>
      <c r="O134" s="29" t="s">
        <v>35</v>
      </c>
      <c r="P134" s="34" t="s">
        <v>53</v>
      </c>
      <c r="Q134" s="34" t="s">
        <v>160</v>
      </c>
      <c r="R134" s="35">
        <v>46046.0</v>
      </c>
      <c r="S134" s="32" t="s">
        <v>29</v>
      </c>
      <c r="T134" s="33"/>
      <c r="U134" s="33"/>
    </row>
    <row r="135" ht="15.75" customHeight="1">
      <c r="A135" s="20">
        <v>46045.0</v>
      </c>
      <c r="B135" s="20">
        <v>46045.0</v>
      </c>
      <c r="C135" s="20" t="s">
        <v>25</v>
      </c>
      <c r="D135" s="21" t="s">
        <v>57</v>
      </c>
      <c r="E135" s="21" t="s">
        <v>30</v>
      </c>
      <c r="F135" s="22">
        <v>0.0069791666666666665</v>
      </c>
      <c r="G135" s="21" t="s">
        <v>33</v>
      </c>
      <c r="H135" s="24"/>
      <c r="I135" s="25"/>
      <c r="J135" s="26"/>
      <c r="K135" s="21"/>
      <c r="L135" s="27">
        <v>46045.0</v>
      </c>
      <c r="M135" s="28">
        <v>0.024305555555555556</v>
      </c>
      <c r="N135" s="29" t="s">
        <v>57</v>
      </c>
      <c r="O135" s="29" t="s">
        <v>35</v>
      </c>
      <c r="P135" s="34" t="s">
        <v>53</v>
      </c>
      <c r="Q135" s="34" t="s">
        <v>161</v>
      </c>
      <c r="R135" s="35">
        <v>46046.0</v>
      </c>
      <c r="S135" s="32" t="s">
        <v>29</v>
      </c>
      <c r="T135" s="33"/>
      <c r="U135" s="33"/>
    </row>
    <row r="136" ht="15.75" customHeight="1">
      <c r="A136" s="20">
        <v>46045.0</v>
      </c>
      <c r="B136" s="20">
        <v>46045.0</v>
      </c>
      <c r="C136" s="20" t="s">
        <v>25</v>
      </c>
      <c r="D136" s="21" t="s">
        <v>69</v>
      </c>
      <c r="E136" s="21" t="s">
        <v>32</v>
      </c>
      <c r="F136" s="22">
        <v>0.04849537037037037</v>
      </c>
      <c r="G136" s="21" t="s">
        <v>33</v>
      </c>
      <c r="H136" s="24"/>
      <c r="I136" s="25"/>
      <c r="J136" s="26"/>
      <c r="K136" s="21"/>
      <c r="L136" s="27">
        <v>46046.0</v>
      </c>
      <c r="M136" s="28">
        <v>0.1388888888888889</v>
      </c>
      <c r="N136" s="29" t="s">
        <v>57</v>
      </c>
      <c r="O136" s="29" t="s">
        <v>35</v>
      </c>
      <c r="P136" s="34" t="s">
        <v>53</v>
      </c>
      <c r="Q136" s="34" t="s">
        <v>162</v>
      </c>
      <c r="R136" s="35">
        <v>46046.0</v>
      </c>
      <c r="S136" s="32" t="s">
        <v>29</v>
      </c>
      <c r="T136" s="33"/>
      <c r="U136" s="33"/>
    </row>
    <row r="137" ht="15.75" customHeight="1">
      <c r="A137" s="20">
        <v>46045.0</v>
      </c>
      <c r="B137" s="20">
        <v>46045.0</v>
      </c>
      <c r="C137" s="20" t="s">
        <v>25</v>
      </c>
      <c r="D137" s="21" t="s">
        <v>34</v>
      </c>
      <c r="E137" s="21" t="s">
        <v>38</v>
      </c>
      <c r="F137" s="22">
        <v>0.008402777777777778</v>
      </c>
      <c r="G137" s="21" t="s">
        <v>33</v>
      </c>
      <c r="H137" s="24"/>
      <c r="I137" s="25"/>
      <c r="J137" s="26"/>
      <c r="K137" s="21"/>
      <c r="L137" s="27">
        <v>46044.0</v>
      </c>
      <c r="M137" s="28">
        <v>0.01597222222222222</v>
      </c>
      <c r="N137" s="29" t="s">
        <v>49</v>
      </c>
      <c r="O137" s="29" t="s">
        <v>35</v>
      </c>
      <c r="P137" s="34" t="s">
        <v>53</v>
      </c>
      <c r="Q137" s="34">
        <v>1.1952659E7</v>
      </c>
      <c r="R137" s="35">
        <v>46046.0</v>
      </c>
      <c r="S137" s="32" t="s">
        <v>29</v>
      </c>
      <c r="T137" s="33"/>
      <c r="U137" s="33"/>
    </row>
    <row r="138" ht="15.75" customHeight="1">
      <c r="A138" s="20">
        <v>46045.0</v>
      </c>
      <c r="B138" s="20">
        <v>46045.0</v>
      </c>
      <c r="C138" s="20" t="s">
        <v>25</v>
      </c>
      <c r="D138" s="21" t="s">
        <v>39</v>
      </c>
      <c r="E138" s="21" t="s">
        <v>40</v>
      </c>
      <c r="F138" s="22">
        <v>0.019328703703703702</v>
      </c>
      <c r="G138" s="21" t="s">
        <v>33</v>
      </c>
      <c r="H138" s="24"/>
      <c r="I138" s="25"/>
      <c r="J138" s="26"/>
      <c r="K138" s="21"/>
      <c r="L138" s="27">
        <v>46048.0</v>
      </c>
      <c r="M138" s="28">
        <v>0.06666666666666667</v>
      </c>
      <c r="N138" s="29" t="s">
        <v>49</v>
      </c>
      <c r="O138" s="29" t="s">
        <v>35</v>
      </c>
      <c r="P138" s="34" t="s">
        <v>53</v>
      </c>
      <c r="Q138" s="34" t="s">
        <v>163</v>
      </c>
      <c r="R138" s="35">
        <v>46046.0</v>
      </c>
      <c r="S138" s="32" t="s">
        <v>29</v>
      </c>
      <c r="T138" s="33"/>
      <c r="U138" s="33"/>
    </row>
    <row r="139" ht="15.75" customHeight="1">
      <c r="A139" s="20">
        <v>46045.0</v>
      </c>
      <c r="B139" s="20">
        <v>46045.0</v>
      </c>
      <c r="C139" s="20"/>
      <c r="D139" s="21"/>
      <c r="E139" s="21" t="s">
        <v>43</v>
      </c>
      <c r="F139" s="22"/>
      <c r="G139" s="21"/>
      <c r="H139" s="53"/>
      <c r="I139" s="25"/>
      <c r="J139" s="26"/>
      <c r="K139" s="21"/>
      <c r="L139" s="27">
        <v>46219.0</v>
      </c>
      <c r="M139" s="28">
        <v>0.03819444444444445</v>
      </c>
      <c r="N139" s="29" t="s">
        <v>59</v>
      </c>
      <c r="O139" s="29" t="s">
        <v>35</v>
      </c>
      <c r="P139" s="30" t="s">
        <v>28</v>
      </c>
      <c r="Q139" s="30" t="s">
        <v>28</v>
      </c>
      <c r="R139" s="31" t="s">
        <v>28</v>
      </c>
      <c r="S139" s="32" t="s">
        <v>29</v>
      </c>
      <c r="T139" s="33"/>
      <c r="U139" s="33"/>
    </row>
    <row r="140" ht="15.75" customHeight="1">
      <c r="A140" s="55">
        <v>46046.0</v>
      </c>
      <c r="B140" s="55">
        <v>46046.0</v>
      </c>
      <c r="C140" s="55" t="s">
        <v>25</v>
      </c>
      <c r="D140" s="56" t="s">
        <v>57</v>
      </c>
      <c r="E140" s="56" t="s">
        <v>32</v>
      </c>
      <c r="F140" s="57">
        <v>0.05082175925925926</v>
      </c>
      <c r="G140" s="56" t="s">
        <v>33</v>
      </c>
      <c r="H140" s="24"/>
      <c r="I140" s="25"/>
      <c r="J140" s="26"/>
      <c r="K140" s="21"/>
      <c r="L140" s="27">
        <v>46048.0</v>
      </c>
      <c r="M140" s="28">
        <v>0.11805555555555555</v>
      </c>
      <c r="N140" s="29" t="s">
        <v>34</v>
      </c>
      <c r="O140" s="29" t="s">
        <v>35</v>
      </c>
      <c r="P140" s="34" t="s">
        <v>36</v>
      </c>
      <c r="Q140" s="34" t="s">
        <v>164</v>
      </c>
      <c r="R140" s="35">
        <v>46048.0</v>
      </c>
      <c r="S140" s="32" t="s">
        <v>29</v>
      </c>
      <c r="T140" s="33"/>
      <c r="U140" s="33"/>
    </row>
    <row r="141" ht="15.75" customHeight="1">
      <c r="A141" s="55">
        <v>46046.0</v>
      </c>
      <c r="B141" s="55">
        <v>46046.0</v>
      </c>
      <c r="C141" s="55" t="s">
        <v>25</v>
      </c>
      <c r="D141" s="56" t="s">
        <v>59</v>
      </c>
      <c r="E141" s="56" t="s">
        <v>40</v>
      </c>
      <c r="F141" s="57">
        <v>0.017766203703703704</v>
      </c>
      <c r="G141" s="56" t="s">
        <v>33</v>
      </c>
      <c r="H141" s="24"/>
      <c r="I141" s="25"/>
      <c r="J141" s="26"/>
      <c r="K141" s="21"/>
      <c r="L141" s="27">
        <v>46048.0</v>
      </c>
      <c r="M141" s="28">
        <v>0.06597222222222222</v>
      </c>
      <c r="N141" s="29" t="s">
        <v>57</v>
      </c>
      <c r="O141" s="29" t="s">
        <v>35</v>
      </c>
      <c r="P141" s="34" t="s">
        <v>36</v>
      </c>
      <c r="Q141" s="34" t="s">
        <v>165</v>
      </c>
      <c r="R141" s="35">
        <v>46048.0</v>
      </c>
      <c r="S141" s="32" t="s">
        <v>29</v>
      </c>
      <c r="T141" s="33"/>
      <c r="U141" s="33"/>
    </row>
    <row r="142" ht="15.75" customHeight="1">
      <c r="A142" s="55">
        <v>46046.0</v>
      </c>
      <c r="B142" s="55">
        <v>46046.0</v>
      </c>
      <c r="C142" s="55"/>
      <c r="D142" s="56"/>
      <c r="E142" s="56" t="s">
        <v>43</v>
      </c>
      <c r="F142" s="57"/>
      <c r="G142" s="56"/>
      <c r="H142" s="24"/>
      <c r="I142" s="25"/>
      <c r="J142" s="26"/>
      <c r="K142" s="21"/>
      <c r="L142" s="27"/>
      <c r="M142" s="28"/>
      <c r="N142" s="29"/>
      <c r="O142" s="29"/>
      <c r="P142" s="30" t="s">
        <v>28</v>
      </c>
      <c r="Q142" s="30" t="s">
        <v>28</v>
      </c>
      <c r="R142" s="31" t="s">
        <v>28</v>
      </c>
      <c r="S142" s="32" t="s">
        <v>29</v>
      </c>
      <c r="T142" s="33"/>
      <c r="U142" s="33"/>
    </row>
    <row r="143" ht="15.75" customHeight="1">
      <c r="A143" s="55">
        <v>46046.0</v>
      </c>
      <c r="B143" s="55">
        <v>46046.0</v>
      </c>
      <c r="C143" s="55"/>
      <c r="D143" s="56"/>
      <c r="E143" s="56" t="s">
        <v>61</v>
      </c>
      <c r="F143" s="57"/>
      <c r="G143" s="59" t="s">
        <v>27</v>
      </c>
      <c r="H143" s="24"/>
      <c r="I143" s="25"/>
      <c r="J143" s="26"/>
      <c r="K143" s="21"/>
      <c r="L143" s="27"/>
      <c r="M143" s="28"/>
      <c r="N143" s="29"/>
      <c r="O143" s="29"/>
      <c r="P143" s="34" t="s">
        <v>28</v>
      </c>
      <c r="Q143" s="34" t="s">
        <v>28</v>
      </c>
      <c r="R143" s="34" t="s">
        <v>28</v>
      </c>
      <c r="S143" s="32" t="s">
        <v>29</v>
      </c>
      <c r="T143" s="33"/>
      <c r="U143" s="33"/>
    </row>
    <row r="144" ht="15.75" customHeight="1">
      <c r="A144" s="55">
        <v>46046.0</v>
      </c>
      <c r="B144" s="55">
        <v>46046.0</v>
      </c>
      <c r="C144" s="55"/>
      <c r="D144" s="56"/>
      <c r="E144" s="56" t="s">
        <v>62</v>
      </c>
      <c r="F144" s="57"/>
      <c r="G144" s="59" t="s">
        <v>27</v>
      </c>
      <c r="H144" s="24"/>
      <c r="I144" s="25"/>
      <c r="J144" s="26"/>
      <c r="K144" s="21"/>
      <c r="L144" s="27"/>
      <c r="M144" s="28"/>
      <c r="N144" s="29"/>
      <c r="O144" s="29"/>
      <c r="P144" s="34" t="s">
        <v>28</v>
      </c>
      <c r="Q144" s="34" t="s">
        <v>28</v>
      </c>
      <c r="R144" s="34" t="s">
        <v>28</v>
      </c>
      <c r="S144" s="32" t="s">
        <v>29</v>
      </c>
      <c r="T144" s="33"/>
      <c r="U144" s="33"/>
    </row>
    <row r="145" ht="15.75" customHeight="1">
      <c r="A145" s="55">
        <v>46046.0</v>
      </c>
      <c r="B145" s="55">
        <v>46046.0</v>
      </c>
      <c r="C145" s="55"/>
      <c r="D145" s="56"/>
      <c r="E145" s="56" t="s">
        <v>63</v>
      </c>
      <c r="F145" s="57"/>
      <c r="G145" s="59" t="s">
        <v>27</v>
      </c>
      <c r="H145" s="24"/>
      <c r="I145" s="25"/>
      <c r="J145" s="26"/>
      <c r="K145" s="21"/>
      <c r="L145" s="27"/>
      <c r="M145" s="28"/>
      <c r="N145" s="29"/>
      <c r="O145" s="29"/>
      <c r="P145" s="34" t="s">
        <v>28</v>
      </c>
      <c r="Q145" s="34" t="s">
        <v>28</v>
      </c>
      <c r="R145" s="34" t="s">
        <v>28</v>
      </c>
      <c r="S145" s="32" t="s">
        <v>29</v>
      </c>
      <c r="T145" s="33"/>
      <c r="U145" s="33"/>
    </row>
    <row r="146" ht="15.75" customHeight="1">
      <c r="A146" s="60">
        <v>46047.0</v>
      </c>
      <c r="B146" s="60">
        <v>46047.0</v>
      </c>
      <c r="C146" s="60" t="s">
        <v>42</v>
      </c>
      <c r="D146" s="61" t="s">
        <v>39</v>
      </c>
      <c r="E146" s="61" t="s">
        <v>64</v>
      </c>
      <c r="F146" s="62">
        <v>0.012951388888888889</v>
      </c>
      <c r="G146" s="61" t="s">
        <v>33</v>
      </c>
      <c r="H146" s="24"/>
      <c r="I146" s="25"/>
      <c r="J146" s="26"/>
      <c r="K146" s="21"/>
      <c r="L146" s="27"/>
      <c r="M146" s="28"/>
      <c r="N146" s="29"/>
      <c r="O146" s="29"/>
      <c r="P146" s="34" t="s">
        <v>101</v>
      </c>
      <c r="Q146" s="34">
        <v>1.1962023E7</v>
      </c>
      <c r="R146" s="35">
        <v>46050.0</v>
      </c>
      <c r="S146" s="32"/>
      <c r="T146" s="33"/>
      <c r="U146" s="33"/>
    </row>
    <row r="147" ht="15.75" customHeight="1">
      <c r="A147" s="60">
        <v>46047.0</v>
      </c>
      <c r="B147" s="60">
        <v>46047.0</v>
      </c>
      <c r="C147" s="60"/>
      <c r="D147" s="61"/>
      <c r="E147" s="61" t="s">
        <v>66</v>
      </c>
      <c r="F147" s="62"/>
      <c r="G147" s="63" t="s">
        <v>102</v>
      </c>
      <c r="H147" s="24"/>
      <c r="I147" s="25"/>
      <c r="J147" s="26"/>
      <c r="K147" s="21"/>
      <c r="L147" s="27"/>
      <c r="M147" s="28"/>
      <c r="N147" s="29"/>
      <c r="O147" s="29"/>
      <c r="P147" s="34" t="s">
        <v>28</v>
      </c>
      <c r="Q147" s="34" t="s">
        <v>28</v>
      </c>
      <c r="R147" s="34" t="s">
        <v>28</v>
      </c>
      <c r="S147" s="32" t="s">
        <v>29</v>
      </c>
      <c r="T147" s="33"/>
      <c r="U147" s="33"/>
    </row>
    <row r="148" ht="15.75" customHeight="1">
      <c r="A148" s="20">
        <v>46048.0</v>
      </c>
      <c r="B148" s="20">
        <v>46048.0</v>
      </c>
      <c r="C148" s="20" t="s">
        <v>25</v>
      </c>
      <c r="D148" s="21" t="s">
        <v>49</v>
      </c>
      <c r="E148" s="21" t="s">
        <v>26</v>
      </c>
      <c r="F148" s="22">
        <v>0.10158564814814815</v>
      </c>
      <c r="G148" s="21" t="s">
        <v>33</v>
      </c>
      <c r="H148" s="24"/>
      <c r="I148" s="25"/>
      <c r="J148" s="26"/>
      <c r="K148" s="21"/>
      <c r="L148" s="27">
        <v>46049.0</v>
      </c>
      <c r="M148" s="28">
        <v>0.21875</v>
      </c>
      <c r="N148" s="29" t="s">
        <v>34</v>
      </c>
      <c r="O148" s="29" t="s">
        <v>35</v>
      </c>
      <c r="P148" s="34" t="s">
        <v>36</v>
      </c>
      <c r="Q148" s="34" t="s">
        <v>166</v>
      </c>
      <c r="R148" s="35">
        <v>46049.0</v>
      </c>
      <c r="S148" s="32" t="s">
        <v>29</v>
      </c>
      <c r="T148" s="33"/>
      <c r="U148" s="33"/>
    </row>
    <row r="149" ht="15.75" customHeight="1">
      <c r="A149" s="20">
        <v>46048.0</v>
      </c>
      <c r="B149" s="20">
        <v>46048.0</v>
      </c>
      <c r="C149" s="20" t="s">
        <v>25</v>
      </c>
      <c r="D149" s="21" t="s">
        <v>31</v>
      </c>
      <c r="E149" s="21" t="s">
        <v>30</v>
      </c>
      <c r="F149" s="22">
        <v>0.007847222222222222</v>
      </c>
      <c r="G149" s="21" t="s">
        <v>33</v>
      </c>
      <c r="H149" s="24"/>
      <c r="I149" s="25"/>
      <c r="J149" s="26"/>
      <c r="K149" s="21"/>
      <c r="L149" s="27">
        <v>46048.0</v>
      </c>
      <c r="M149" s="28">
        <v>0.020833333333333332</v>
      </c>
      <c r="N149" s="29" t="s">
        <v>31</v>
      </c>
      <c r="O149" s="29" t="s">
        <v>35</v>
      </c>
      <c r="P149" s="34" t="s">
        <v>36</v>
      </c>
      <c r="Q149" s="34" t="s">
        <v>167</v>
      </c>
      <c r="R149" s="35">
        <v>46049.0</v>
      </c>
      <c r="S149" s="32" t="s">
        <v>29</v>
      </c>
      <c r="T149" s="33"/>
      <c r="U149" s="33"/>
    </row>
    <row r="150" ht="15.75" customHeight="1">
      <c r="A150" s="20">
        <v>46048.0</v>
      </c>
      <c r="B150" s="20">
        <v>46048.0</v>
      </c>
      <c r="C150" s="20" t="s">
        <v>25</v>
      </c>
      <c r="D150" s="21" t="s">
        <v>39</v>
      </c>
      <c r="E150" s="21" t="s">
        <v>32</v>
      </c>
      <c r="F150" s="22">
        <v>0.050972222222222224</v>
      </c>
      <c r="G150" s="21" t="s">
        <v>33</v>
      </c>
      <c r="H150" s="24"/>
      <c r="I150" s="25"/>
      <c r="J150" s="26"/>
      <c r="K150" s="21" t="s">
        <v>168</v>
      </c>
      <c r="L150" s="27">
        <v>46049.0</v>
      </c>
      <c r="M150" s="28">
        <v>0.1388888888888889</v>
      </c>
      <c r="N150" s="29" t="s">
        <v>57</v>
      </c>
      <c r="O150" s="29" t="s">
        <v>35</v>
      </c>
      <c r="P150" s="34" t="s">
        <v>36</v>
      </c>
      <c r="Q150" s="34" t="s">
        <v>169</v>
      </c>
      <c r="R150" s="35">
        <v>46050.0</v>
      </c>
      <c r="S150" s="32" t="s">
        <v>29</v>
      </c>
      <c r="T150" s="33"/>
      <c r="U150" s="33"/>
    </row>
    <row r="151" ht="15.75" customHeight="1">
      <c r="A151" s="20">
        <v>46048.0</v>
      </c>
      <c r="B151" s="20">
        <v>46048.0</v>
      </c>
      <c r="C151" s="20" t="s">
        <v>25</v>
      </c>
      <c r="D151" s="21" t="s">
        <v>39</v>
      </c>
      <c r="E151" s="21" t="s">
        <v>38</v>
      </c>
      <c r="F151" s="22">
        <v>0.00974537037037037</v>
      </c>
      <c r="G151" s="21" t="s">
        <v>33</v>
      </c>
      <c r="H151" s="24"/>
      <c r="I151" s="25"/>
      <c r="J151" s="26"/>
      <c r="K151" s="21"/>
      <c r="L151" s="27">
        <v>46049.0</v>
      </c>
      <c r="M151" s="28">
        <v>0.020833333333333332</v>
      </c>
      <c r="N151" s="29" t="s">
        <v>31</v>
      </c>
      <c r="O151" s="29" t="s">
        <v>35</v>
      </c>
      <c r="P151" s="34" t="s">
        <v>36</v>
      </c>
      <c r="Q151" s="34">
        <v>1.195266E7</v>
      </c>
      <c r="R151" s="35">
        <v>46049.0</v>
      </c>
      <c r="S151" s="32" t="s">
        <v>29</v>
      </c>
      <c r="T151" s="33"/>
      <c r="U151" s="33"/>
    </row>
    <row r="152" ht="15.75" customHeight="1">
      <c r="A152" s="20">
        <v>46048.0</v>
      </c>
      <c r="B152" s="20">
        <v>46048.0</v>
      </c>
      <c r="C152" s="20" t="s">
        <v>25</v>
      </c>
      <c r="D152" s="21" t="s">
        <v>34</v>
      </c>
      <c r="E152" s="21" t="s">
        <v>40</v>
      </c>
      <c r="F152" s="22">
        <v>0.017962962962962962</v>
      </c>
      <c r="G152" s="21" t="s">
        <v>33</v>
      </c>
      <c r="H152" s="24"/>
      <c r="I152" s="25"/>
      <c r="J152" s="26"/>
      <c r="K152" s="21"/>
      <c r="L152" s="27">
        <v>46049.0</v>
      </c>
      <c r="M152" s="28">
        <v>0.06597222222222222</v>
      </c>
      <c r="N152" s="29" t="s">
        <v>49</v>
      </c>
      <c r="O152" s="29" t="s">
        <v>35</v>
      </c>
      <c r="P152" s="34" t="s">
        <v>36</v>
      </c>
      <c r="Q152" s="34" t="s">
        <v>170</v>
      </c>
      <c r="R152" s="35">
        <v>46049.0</v>
      </c>
      <c r="S152" s="32" t="s">
        <v>29</v>
      </c>
      <c r="T152" s="33"/>
      <c r="U152" s="33"/>
    </row>
    <row r="153" ht="15.75" customHeight="1">
      <c r="A153" s="20">
        <v>46048.0</v>
      </c>
      <c r="B153" s="20">
        <v>46048.0</v>
      </c>
      <c r="C153" s="20"/>
      <c r="D153" s="21"/>
      <c r="E153" s="21" t="s">
        <v>43</v>
      </c>
      <c r="F153" s="22"/>
      <c r="G153" s="21"/>
      <c r="H153" s="24"/>
      <c r="I153" s="25"/>
      <c r="J153" s="26"/>
      <c r="K153" s="21"/>
      <c r="L153" s="27"/>
      <c r="M153" s="28"/>
      <c r="N153" s="29"/>
      <c r="O153" s="29"/>
      <c r="P153" s="30" t="s">
        <v>28</v>
      </c>
      <c r="Q153" s="30" t="s">
        <v>28</v>
      </c>
      <c r="R153" s="31" t="s">
        <v>28</v>
      </c>
      <c r="S153" s="32" t="s">
        <v>29</v>
      </c>
      <c r="T153" s="33"/>
      <c r="U153" s="33"/>
    </row>
    <row r="154" ht="15.75" customHeight="1">
      <c r="A154" s="20">
        <v>46048.0</v>
      </c>
      <c r="B154" s="20">
        <v>46048.0</v>
      </c>
      <c r="C154" s="20" t="s">
        <v>25</v>
      </c>
      <c r="D154" s="21" t="s">
        <v>39</v>
      </c>
      <c r="E154" s="21" t="s">
        <v>87</v>
      </c>
      <c r="F154" s="22">
        <v>0.0024305555555555556</v>
      </c>
      <c r="G154" s="21" t="s">
        <v>33</v>
      </c>
      <c r="H154" s="24" t="s">
        <v>171</v>
      </c>
      <c r="I154" s="25" t="s">
        <v>46</v>
      </c>
      <c r="J154" s="26">
        <v>46048.0</v>
      </c>
      <c r="K154" s="21" t="s">
        <v>172</v>
      </c>
      <c r="L154" s="27"/>
      <c r="M154" s="28"/>
      <c r="N154" s="29"/>
      <c r="O154" s="29"/>
      <c r="P154" s="34" t="s">
        <v>36</v>
      </c>
      <c r="Q154" s="34">
        <v>1.1964187E7</v>
      </c>
      <c r="R154" s="35">
        <v>46049.0</v>
      </c>
      <c r="S154" s="32"/>
      <c r="T154" s="33"/>
      <c r="U154" s="33"/>
    </row>
    <row r="155" ht="15.75" customHeight="1">
      <c r="A155" s="20">
        <v>46049.0</v>
      </c>
      <c r="B155" s="20">
        <v>46049.0</v>
      </c>
      <c r="C155" s="20" t="s">
        <v>25</v>
      </c>
      <c r="D155" s="21" t="s">
        <v>49</v>
      </c>
      <c r="E155" s="21" t="s">
        <v>26</v>
      </c>
      <c r="F155" s="22">
        <v>0.10046296296296296</v>
      </c>
      <c r="G155" s="21" t="s">
        <v>33</v>
      </c>
      <c r="H155" s="24"/>
      <c r="I155" s="25"/>
      <c r="J155" s="26"/>
      <c r="K155" s="21"/>
      <c r="L155" s="27">
        <v>46050.0</v>
      </c>
      <c r="M155" s="28">
        <v>0.20833333333333334</v>
      </c>
      <c r="N155" s="29" t="s">
        <v>59</v>
      </c>
      <c r="O155" s="29" t="s">
        <v>35</v>
      </c>
      <c r="P155" s="34" t="s">
        <v>36</v>
      </c>
      <c r="Q155" s="34" t="s">
        <v>173</v>
      </c>
      <c r="R155" s="35">
        <v>46050.0</v>
      </c>
      <c r="S155" s="32" t="s">
        <v>29</v>
      </c>
      <c r="T155" s="33"/>
      <c r="U155" s="33"/>
    </row>
    <row r="156" ht="15.75" customHeight="1">
      <c r="A156" s="20">
        <v>46049.0</v>
      </c>
      <c r="B156" s="20">
        <v>46049.0</v>
      </c>
      <c r="C156" s="20" t="s">
        <v>25</v>
      </c>
      <c r="D156" s="21" t="s">
        <v>34</v>
      </c>
      <c r="E156" s="21" t="s">
        <v>30</v>
      </c>
      <c r="F156" s="22">
        <v>0.0026041666666666665</v>
      </c>
      <c r="G156" s="21" t="s">
        <v>33</v>
      </c>
      <c r="H156" s="24"/>
      <c r="I156" s="25"/>
      <c r="J156" s="26"/>
      <c r="K156" s="21"/>
      <c r="L156" s="27">
        <v>46049.0</v>
      </c>
      <c r="M156" s="28">
        <v>0.005555555555555556</v>
      </c>
      <c r="N156" s="29" t="s">
        <v>34</v>
      </c>
      <c r="O156" s="29" t="s">
        <v>35</v>
      </c>
      <c r="P156" s="34" t="s">
        <v>36</v>
      </c>
      <c r="Q156" s="34" t="s">
        <v>174</v>
      </c>
      <c r="R156" s="35">
        <v>46050.0</v>
      </c>
      <c r="S156" s="32" t="s">
        <v>29</v>
      </c>
      <c r="T156" s="33"/>
      <c r="U156" s="33"/>
    </row>
    <row r="157" ht="15.75" customHeight="1">
      <c r="A157" s="20">
        <v>46049.0</v>
      </c>
      <c r="B157" s="20">
        <v>46049.0</v>
      </c>
      <c r="C157" s="20" t="s">
        <v>25</v>
      </c>
      <c r="D157" s="21" t="s">
        <v>69</v>
      </c>
      <c r="E157" s="21" t="s">
        <v>32</v>
      </c>
      <c r="F157" s="22">
        <v>0.04908564814814815</v>
      </c>
      <c r="G157" s="21" t="s">
        <v>33</v>
      </c>
      <c r="H157" s="24"/>
      <c r="I157" s="25"/>
      <c r="J157" s="26"/>
      <c r="K157" s="21"/>
      <c r="L157" s="27">
        <v>46050.0</v>
      </c>
      <c r="M157" s="28">
        <v>0.11319444444444444</v>
      </c>
      <c r="N157" s="29" t="s">
        <v>34</v>
      </c>
      <c r="O157" s="29" t="s">
        <v>35</v>
      </c>
      <c r="P157" s="34" t="s">
        <v>36</v>
      </c>
      <c r="Q157" s="34" t="s">
        <v>175</v>
      </c>
      <c r="R157" s="35">
        <v>46050.0</v>
      </c>
      <c r="S157" s="32" t="s">
        <v>29</v>
      </c>
      <c r="T157" s="33"/>
      <c r="U157" s="33"/>
    </row>
    <row r="158" ht="15.75" customHeight="1">
      <c r="A158" s="20">
        <v>46049.0</v>
      </c>
      <c r="B158" s="20">
        <v>46049.0</v>
      </c>
      <c r="C158" s="20" t="s">
        <v>25</v>
      </c>
      <c r="D158" s="21" t="s">
        <v>59</v>
      </c>
      <c r="E158" s="21" t="s">
        <v>38</v>
      </c>
      <c r="F158" s="22">
        <v>0.008402777777777778</v>
      </c>
      <c r="G158" s="21" t="s">
        <v>33</v>
      </c>
      <c r="H158" s="24"/>
      <c r="I158" s="25"/>
      <c r="J158" s="26"/>
      <c r="K158" s="21"/>
      <c r="L158" s="27">
        <v>46050.0</v>
      </c>
      <c r="M158" s="28">
        <v>0.017361111111111112</v>
      </c>
      <c r="N158" s="29" t="s">
        <v>31</v>
      </c>
      <c r="O158" s="29" t="s">
        <v>35</v>
      </c>
      <c r="P158" s="34" t="s">
        <v>36</v>
      </c>
      <c r="Q158" s="34">
        <v>1.1952662E7</v>
      </c>
      <c r="R158" s="35">
        <v>46050.0</v>
      </c>
      <c r="S158" s="32" t="s">
        <v>29</v>
      </c>
      <c r="T158" s="33"/>
      <c r="U158" s="33"/>
    </row>
    <row r="159" ht="15.75" customHeight="1">
      <c r="A159" s="20">
        <v>46049.0</v>
      </c>
      <c r="B159" s="20">
        <v>46049.0</v>
      </c>
      <c r="C159" s="20" t="s">
        <v>25</v>
      </c>
      <c r="D159" s="21" t="s">
        <v>39</v>
      </c>
      <c r="E159" s="21" t="s">
        <v>40</v>
      </c>
      <c r="F159" s="22">
        <v>0.019247685185185184</v>
      </c>
      <c r="G159" s="21" t="s">
        <v>33</v>
      </c>
      <c r="H159" s="24"/>
      <c r="I159" s="25"/>
      <c r="J159" s="26"/>
      <c r="K159" s="21"/>
      <c r="L159" s="27">
        <v>46050.0</v>
      </c>
      <c r="M159" s="28">
        <v>0.07291666666666667</v>
      </c>
      <c r="N159" s="29" t="s">
        <v>57</v>
      </c>
      <c r="O159" s="29" t="s">
        <v>35</v>
      </c>
      <c r="P159" s="34" t="s">
        <v>36</v>
      </c>
      <c r="Q159" s="34" t="s">
        <v>176</v>
      </c>
      <c r="R159" s="35">
        <v>46050.0</v>
      </c>
      <c r="S159" s="32" t="s">
        <v>29</v>
      </c>
      <c r="T159" s="33"/>
      <c r="U159" s="33"/>
    </row>
    <row r="160" ht="15.75" customHeight="1">
      <c r="A160" s="20">
        <v>46049.0</v>
      </c>
      <c r="B160" s="20">
        <v>46049.0</v>
      </c>
      <c r="C160" s="20"/>
      <c r="D160" s="21"/>
      <c r="E160" s="21" t="s">
        <v>43</v>
      </c>
      <c r="F160" s="22"/>
      <c r="G160" s="21"/>
      <c r="H160" s="24"/>
      <c r="I160" s="25"/>
      <c r="J160" s="26"/>
      <c r="K160" s="21"/>
      <c r="L160" s="27"/>
      <c r="M160" s="28"/>
      <c r="N160" s="29"/>
      <c r="O160" s="29"/>
      <c r="P160" s="30" t="s">
        <v>28</v>
      </c>
      <c r="Q160" s="30" t="s">
        <v>28</v>
      </c>
      <c r="R160" s="31" t="s">
        <v>28</v>
      </c>
      <c r="S160" s="32" t="s">
        <v>29</v>
      </c>
      <c r="T160" s="33"/>
      <c r="U160" s="33"/>
    </row>
    <row r="161" ht="15.75" customHeight="1">
      <c r="A161" s="36">
        <v>46050.0</v>
      </c>
      <c r="B161" s="36">
        <v>46050.0</v>
      </c>
      <c r="C161" s="36" t="s">
        <v>25</v>
      </c>
      <c r="D161" s="37" t="s">
        <v>49</v>
      </c>
      <c r="E161" s="37" t="s">
        <v>26</v>
      </c>
      <c r="F161" s="38">
        <v>0.10157407407407408</v>
      </c>
      <c r="G161" s="37" t="s">
        <v>33</v>
      </c>
      <c r="H161" s="69" t="s">
        <v>177</v>
      </c>
      <c r="I161" s="40" t="s">
        <v>178</v>
      </c>
      <c r="J161" s="41">
        <v>46050.77013888889</v>
      </c>
      <c r="K161" s="37" t="s">
        <v>179</v>
      </c>
      <c r="L161" s="42">
        <v>46051.0</v>
      </c>
      <c r="M161" s="43">
        <v>0.24305555555555555</v>
      </c>
      <c r="N161" s="44" t="s">
        <v>39</v>
      </c>
      <c r="O161" s="44" t="s">
        <v>35</v>
      </c>
      <c r="P161" s="45" t="s">
        <v>36</v>
      </c>
      <c r="Q161" s="45" t="s">
        <v>180</v>
      </c>
      <c r="R161" s="46">
        <v>46051.0</v>
      </c>
      <c r="S161" s="54" t="s">
        <v>29</v>
      </c>
      <c r="T161" s="48"/>
      <c r="U161" s="48"/>
    </row>
    <row r="162" ht="15.75" customHeight="1">
      <c r="A162" s="20">
        <v>46050.0</v>
      </c>
      <c r="B162" s="20">
        <v>46050.0</v>
      </c>
      <c r="C162" s="20" t="s">
        <v>25</v>
      </c>
      <c r="D162" s="70" t="s">
        <v>59</v>
      </c>
      <c r="E162" s="21" t="s">
        <v>30</v>
      </c>
      <c r="F162" s="71">
        <v>0.004247685185185185</v>
      </c>
      <c r="G162" s="70" t="s">
        <v>33</v>
      </c>
      <c r="H162" s="72"/>
      <c r="I162" s="73"/>
      <c r="J162" s="74"/>
      <c r="K162" s="70"/>
      <c r="L162" s="27">
        <v>46050.0</v>
      </c>
      <c r="M162" s="28">
        <v>0.010416666666666666</v>
      </c>
      <c r="N162" s="75" t="s">
        <v>59</v>
      </c>
      <c r="O162" s="75" t="s">
        <v>35</v>
      </c>
      <c r="P162" s="76" t="s">
        <v>36</v>
      </c>
      <c r="Q162" s="76" t="s">
        <v>181</v>
      </c>
      <c r="R162" s="77">
        <v>46051.0</v>
      </c>
      <c r="S162" s="32" t="s">
        <v>29</v>
      </c>
      <c r="T162" s="78"/>
      <c r="U162" s="78"/>
    </row>
    <row r="163" ht="15.75" customHeight="1">
      <c r="A163" s="20">
        <v>46050.0</v>
      </c>
      <c r="B163" s="20">
        <v>46050.0</v>
      </c>
      <c r="C163" s="20" t="s">
        <v>25</v>
      </c>
      <c r="D163" s="21" t="s">
        <v>69</v>
      </c>
      <c r="E163" s="21" t="s">
        <v>32</v>
      </c>
      <c r="F163" s="22">
        <v>0.04721064814814815</v>
      </c>
      <c r="G163" s="21" t="s">
        <v>33</v>
      </c>
      <c r="H163" s="24"/>
      <c r="I163" s="25"/>
      <c r="J163" s="26"/>
      <c r="K163" s="21"/>
      <c r="L163" s="27">
        <v>46051.0</v>
      </c>
      <c r="M163" s="28">
        <v>0.1076388888888889</v>
      </c>
      <c r="N163" s="29" t="s">
        <v>34</v>
      </c>
      <c r="O163" s="29" t="s">
        <v>35</v>
      </c>
      <c r="P163" s="34" t="s">
        <v>36</v>
      </c>
      <c r="Q163" s="34" t="s">
        <v>182</v>
      </c>
      <c r="R163" s="35">
        <v>46051.0</v>
      </c>
      <c r="S163" s="32" t="s">
        <v>29</v>
      </c>
      <c r="T163" s="33"/>
      <c r="U163" s="33"/>
    </row>
    <row r="164" ht="15.75" customHeight="1">
      <c r="A164" s="20">
        <v>46050.0</v>
      </c>
      <c r="B164" s="20">
        <v>46050.0</v>
      </c>
      <c r="C164" s="20" t="s">
        <v>25</v>
      </c>
      <c r="D164" s="21" t="s">
        <v>39</v>
      </c>
      <c r="E164" s="21" t="s">
        <v>38</v>
      </c>
      <c r="F164" s="22">
        <v>0.009108796296296297</v>
      </c>
      <c r="G164" s="21" t="s">
        <v>33</v>
      </c>
      <c r="H164" s="24"/>
      <c r="I164" s="25"/>
      <c r="J164" s="26"/>
      <c r="K164" s="21"/>
      <c r="L164" s="27">
        <v>46051.0</v>
      </c>
      <c r="M164" s="28">
        <v>0.019444444444444445</v>
      </c>
      <c r="N164" s="29" t="s">
        <v>59</v>
      </c>
      <c r="O164" s="29" t="s">
        <v>35</v>
      </c>
      <c r="P164" s="34" t="s">
        <v>36</v>
      </c>
      <c r="Q164" s="34">
        <v>1.1952663E7</v>
      </c>
      <c r="R164" s="35">
        <v>46051.0</v>
      </c>
      <c r="S164" s="32" t="s">
        <v>29</v>
      </c>
      <c r="T164" s="33"/>
      <c r="U164" s="33"/>
    </row>
    <row r="165" ht="15.75" customHeight="1">
      <c r="A165" s="20">
        <v>46050.0</v>
      </c>
      <c r="B165" s="20">
        <v>46050.0</v>
      </c>
      <c r="C165" s="20" t="s">
        <v>25</v>
      </c>
      <c r="D165" s="21" t="s">
        <v>39</v>
      </c>
      <c r="E165" s="21" t="s">
        <v>40</v>
      </c>
      <c r="F165" s="22">
        <v>0.01863425925925926</v>
      </c>
      <c r="G165" s="21" t="s">
        <v>33</v>
      </c>
      <c r="H165" s="24"/>
      <c r="I165" s="25"/>
      <c r="J165" s="26"/>
      <c r="K165" s="21"/>
      <c r="L165" s="27">
        <v>46051.0</v>
      </c>
      <c r="M165" s="28">
        <v>0.06944444444444445</v>
      </c>
      <c r="N165" s="29" t="s">
        <v>57</v>
      </c>
      <c r="O165" s="29" t="s">
        <v>35</v>
      </c>
      <c r="P165" s="34" t="s">
        <v>36</v>
      </c>
      <c r="Q165" s="34" t="s">
        <v>183</v>
      </c>
      <c r="R165" s="35">
        <v>46051.0</v>
      </c>
      <c r="S165" s="32" t="s">
        <v>29</v>
      </c>
      <c r="T165" s="33"/>
      <c r="U165" s="33"/>
    </row>
    <row r="166" ht="15.75" customHeight="1">
      <c r="A166" s="20">
        <v>46050.0</v>
      </c>
      <c r="B166" s="20">
        <v>46050.0</v>
      </c>
      <c r="C166" s="20"/>
      <c r="D166" s="21"/>
      <c r="E166" s="21" t="s">
        <v>43</v>
      </c>
      <c r="F166" s="22"/>
      <c r="G166" s="21"/>
      <c r="H166" s="24"/>
      <c r="I166" s="25"/>
      <c r="J166" s="26"/>
      <c r="K166" s="21"/>
      <c r="L166" s="27"/>
      <c r="M166" s="28"/>
      <c r="N166" s="29"/>
      <c r="O166" s="29"/>
      <c r="P166" s="30" t="s">
        <v>28</v>
      </c>
      <c r="Q166" s="30" t="s">
        <v>28</v>
      </c>
      <c r="R166" s="31" t="s">
        <v>28</v>
      </c>
      <c r="S166" s="32" t="s">
        <v>29</v>
      </c>
      <c r="T166" s="33"/>
      <c r="U166" s="33"/>
    </row>
    <row r="167" ht="15.75" customHeight="1">
      <c r="A167" s="20">
        <v>46050.0</v>
      </c>
      <c r="B167" s="20">
        <v>46050.0</v>
      </c>
      <c r="C167" s="20" t="s">
        <v>25</v>
      </c>
      <c r="D167" s="21" t="s">
        <v>39</v>
      </c>
      <c r="E167" s="21" t="s">
        <v>87</v>
      </c>
      <c r="F167" s="22">
        <v>0.0019444444444444444</v>
      </c>
      <c r="G167" s="21" t="s">
        <v>88</v>
      </c>
      <c r="H167" s="24" t="s">
        <v>184</v>
      </c>
      <c r="I167" s="25" t="s">
        <v>46</v>
      </c>
      <c r="J167" s="26">
        <v>46050.0</v>
      </c>
      <c r="K167" s="21" t="s">
        <v>185</v>
      </c>
      <c r="L167" s="27">
        <v>46094.0</v>
      </c>
      <c r="M167" s="28">
        <v>0.006944444444444444</v>
      </c>
      <c r="N167" s="29" t="s">
        <v>39</v>
      </c>
      <c r="O167" s="29" t="s">
        <v>35</v>
      </c>
      <c r="P167" s="34" t="s">
        <v>53</v>
      </c>
      <c r="Q167" s="34">
        <v>1.1964701E7</v>
      </c>
      <c r="R167" s="35">
        <v>46051.0</v>
      </c>
      <c r="S167" s="32"/>
      <c r="T167" s="33"/>
      <c r="U167" s="33"/>
    </row>
    <row r="168" ht="15.75" customHeight="1">
      <c r="A168" s="20">
        <v>46050.0</v>
      </c>
      <c r="B168" s="20">
        <v>46050.0</v>
      </c>
      <c r="C168" s="20" t="s">
        <v>25</v>
      </c>
      <c r="D168" s="21" t="s">
        <v>39</v>
      </c>
      <c r="E168" s="21" t="s">
        <v>87</v>
      </c>
      <c r="F168" s="22">
        <v>0.0028587962962962963</v>
      </c>
      <c r="G168" s="21" t="s">
        <v>88</v>
      </c>
      <c r="H168" s="24" t="s">
        <v>186</v>
      </c>
      <c r="I168" s="25" t="s">
        <v>46</v>
      </c>
      <c r="J168" s="26">
        <v>46050.0</v>
      </c>
      <c r="K168" s="21" t="s">
        <v>187</v>
      </c>
      <c r="L168" s="27">
        <v>46094.0</v>
      </c>
      <c r="M168" s="28">
        <v>0.008333333333333333</v>
      </c>
      <c r="N168" s="29" t="s">
        <v>39</v>
      </c>
      <c r="O168" s="29" t="s">
        <v>35</v>
      </c>
      <c r="P168" s="34" t="s">
        <v>53</v>
      </c>
      <c r="Q168" s="34">
        <v>1.1964702E7</v>
      </c>
      <c r="R168" s="35">
        <v>46051.0</v>
      </c>
      <c r="S168" s="32"/>
      <c r="T168" s="33"/>
      <c r="U168" s="33"/>
    </row>
    <row r="169" ht="15.75" customHeight="1">
      <c r="A169" s="20">
        <v>46051.0</v>
      </c>
      <c r="B169" s="20">
        <v>46051.0</v>
      </c>
      <c r="C169" s="20" t="s">
        <v>25</v>
      </c>
      <c r="D169" s="21" t="s">
        <v>49</v>
      </c>
      <c r="E169" s="21" t="s">
        <v>26</v>
      </c>
      <c r="F169" s="22">
        <v>0.1008912037037037</v>
      </c>
      <c r="G169" s="21" t="s">
        <v>33</v>
      </c>
      <c r="H169" s="24"/>
      <c r="I169" s="25"/>
      <c r="J169" s="26"/>
      <c r="K169" s="21"/>
      <c r="L169" s="27">
        <v>46052.0</v>
      </c>
      <c r="M169" s="28">
        <v>0.20833333333333334</v>
      </c>
      <c r="N169" s="29" t="s">
        <v>57</v>
      </c>
      <c r="O169" s="29" t="s">
        <v>35</v>
      </c>
      <c r="P169" s="34" t="s">
        <v>36</v>
      </c>
      <c r="Q169" s="34" t="s">
        <v>188</v>
      </c>
      <c r="R169" s="35">
        <v>46052.0</v>
      </c>
      <c r="S169" s="32" t="s">
        <v>29</v>
      </c>
      <c r="T169" s="33"/>
      <c r="U169" s="33"/>
    </row>
    <row r="170" ht="15.75" customHeight="1">
      <c r="A170" s="20">
        <v>46051.0</v>
      </c>
      <c r="B170" s="20">
        <v>46051.0</v>
      </c>
      <c r="C170" s="20" t="s">
        <v>25</v>
      </c>
      <c r="D170" s="21" t="s">
        <v>39</v>
      </c>
      <c r="E170" s="21" t="s">
        <v>30</v>
      </c>
      <c r="F170" s="22">
        <v>0.0024074074074074076</v>
      </c>
      <c r="G170" s="21" t="s">
        <v>33</v>
      </c>
      <c r="H170" s="24"/>
      <c r="I170" s="25"/>
      <c r="J170" s="26"/>
      <c r="K170" s="21"/>
      <c r="L170" s="27">
        <v>46051.0</v>
      </c>
      <c r="M170" s="28">
        <v>0.00625</v>
      </c>
      <c r="N170" s="29" t="s">
        <v>39</v>
      </c>
      <c r="O170" s="29" t="s">
        <v>35</v>
      </c>
      <c r="P170" s="34" t="s">
        <v>36</v>
      </c>
      <c r="Q170" s="34" t="s">
        <v>189</v>
      </c>
      <c r="R170" s="35">
        <v>46052.0</v>
      </c>
      <c r="S170" s="32" t="s">
        <v>29</v>
      </c>
      <c r="T170" s="33"/>
      <c r="U170" s="33"/>
    </row>
    <row r="171" ht="15.75" customHeight="1">
      <c r="A171" s="20">
        <v>46051.0</v>
      </c>
      <c r="B171" s="20">
        <v>46051.0</v>
      </c>
      <c r="C171" s="20" t="s">
        <v>25</v>
      </c>
      <c r="D171" s="21" t="s">
        <v>69</v>
      </c>
      <c r="E171" s="21" t="s">
        <v>32</v>
      </c>
      <c r="F171" s="22">
        <v>0.04914351851851852</v>
      </c>
      <c r="G171" s="21" t="s">
        <v>33</v>
      </c>
      <c r="H171" s="24"/>
      <c r="I171" s="25"/>
      <c r="J171" s="26"/>
      <c r="K171" s="21"/>
      <c r="L171" s="27">
        <v>46052.0</v>
      </c>
      <c r="M171" s="28">
        <v>0.1111111111111111</v>
      </c>
      <c r="N171" s="29" t="s">
        <v>34</v>
      </c>
      <c r="O171" s="29" t="s">
        <v>35</v>
      </c>
      <c r="P171" s="34" t="s">
        <v>36</v>
      </c>
      <c r="Q171" s="34" t="s">
        <v>190</v>
      </c>
      <c r="R171" s="35">
        <v>46052.0</v>
      </c>
      <c r="S171" s="32" t="s">
        <v>29</v>
      </c>
      <c r="T171" s="33"/>
      <c r="U171" s="33"/>
    </row>
    <row r="172" ht="15.75" customHeight="1">
      <c r="A172" s="20">
        <v>46051.0</v>
      </c>
      <c r="B172" s="20">
        <v>46051.0</v>
      </c>
      <c r="C172" s="20" t="s">
        <v>25</v>
      </c>
      <c r="D172" s="21" t="s">
        <v>39</v>
      </c>
      <c r="E172" s="21" t="s">
        <v>38</v>
      </c>
      <c r="F172" s="22">
        <v>0.00837962962962963</v>
      </c>
      <c r="G172" s="21" t="s">
        <v>33</v>
      </c>
      <c r="H172" s="24"/>
      <c r="I172" s="25"/>
      <c r="J172" s="26"/>
      <c r="K172" s="21"/>
      <c r="L172" s="27">
        <v>46052.0</v>
      </c>
      <c r="M172" s="28">
        <v>0.02013888888888889</v>
      </c>
      <c r="N172" s="29" t="s">
        <v>59</v>
      </c>
      <c r="O172" s="29" t="s">
        <v>35</v>
      </c>
      <c r="P172" s="34" t="s">
        <v>36</v>
      </c>
      <c r="Q172" s="34">
        <v>1.1952682E7</v>
      </c>
      <c r="R172" s="35">
        <v>46052.0</v>
      </c>
      <c r="S172" s="32" t="s">
        <v>29</v>
      </c>
      <c r="T172" s="33"/>
      <c r="U172" s="33"/>
    </row>
    <row r="173" ht="15.75" customHeight="1">
      <c r="A173" s="20">
        <v>46051.0</v>
      </c>
      <c r="B173" s="20">
        <v>46051.0</v>
      </c>
      <c r="C173" s="20" t="s">
        <v>25</v>
      </c>
      <c r="D173" s="21" t="s">
        <v>39</v>
      </c>
      <c r="E173" s="21" t="s">
        <v>40</v>
      </c>
      <c r="F173" s="22">
        <v>0.019270833333333334</v>
      </c>
      <c r="G173" s="21" t="s">
        <v>33</v>
      </c>
      <c r="H173" s="24"/>
      <c r="I173" s="25"/>
      <c r="J173" s="26"/>
      <c r="K173" s="21"/>
      <c r="L173" s="27">
        <v>46052.0</v>
      </c>
      <c r="M173" s="28">
        <v>0.06180555555555556</v>
      </c>
      <c r="N173" s="29" t="s">
        <v>49</v>
      </c>
      <c r="O173" s="29" t="s">
        <v>35</v>
      </c>
      <c r="P173" s="34" t="s">
        <v>36</v>
      </c>
      <c r="Q173" s="34" t="s">
        <v>191</v>
      </c>
      <c r="R173" s="35">
        <v>46052.0</v>
      </c>
      <c r="S173" s="32" t="s">
        <v>29</v>
      </c>
      <c r="T173" s="33"/>
      <c r="U173" s="33"/>
    </row>
    <row r="174" ht="15.75" customHeight="1">
      <c r="A174" s="20">
        <v>46051.0</v>
      </c>
      <c r="B174" s="20">
        <v>46051.0</v>
      </c>
      <c r="C174" s="20"/>
      <c r="D174" s="21"/>
      <c r="E174" s="21" t="s">
        <v>43</v>
      </c>
      <c r="F174" s="22"/>
      <c r="G174" s="21"/>
      <c r="H174" s="24"/>
      <c r="I174" s="25"/>
      <c r="J174" s="26"/>
      <c r="K174" s="21"/>
      <c r="L174" s="27"/>
      <c r="M174" s="28"/>
      <c r="N174" s="29"/>
      <c r="O174" s="29"/>
      <c r="P174" s="30" t="s">
        <v>28</v>
      </c>
      <c r="Q174" s="30" t="s">
        <v>28</v>
      </c>
      <c r="R174" s="31" t="s">
        <v>28</v>
      </c>
      <c r="S174" s="32" t="s">
        <v>29</v>
      </c>
      <c r="T174" s="33"/>
      <c r="U174" s="33"/>
    </row>
    <row r="175" ht="15.75" customHeight="1">
      <c r="A175" s="20">
        <v>46052.0</v>
      </c>
      <c r="B175" s="20">
        <v>46052.0</v>
      </c>
      <c r="C175" s="20" t="s">
        <v>25</v>
      </c>
      <c r="D175" s="21" t="s">
        <v>49</v>
      </c>
      <c r="E175" s="21" t="s">
        <v>26</v>
      </c>
      <c r="F175" s="22">
        <v>0.09962962962962962</v>
      </c>
      <c r="G175" s="21" t="s">
        <v>33</v>
      </c>
      <c r="H175" s="24"/>
      <c r="I175" s="25"/>
      <c r="J175" s="26"/>
      <c r="K175" s="21"/>
      <c r="L175" s="27">
        <v>46055.0</v>
      </c>
      <c r="M175" s="28">
        <v>0.22569444444444445</v>
      </c>
      <c r="N175" s="29" t="s">
        <v>34</v>
      </c>
      <c r="O175" s="29" t="s">
        <v>35</v>
      </c>
      <c r="P175" s="34" t="s">
        <v>36</v>
      </c>
      <c r="Q175" s="34" t="s">
        <v>192</v>
      </c>
      <c r="R175" s="35">
        <v>46055.0</v>
      </c>
      <c r="S175" s="32" t="s">
        <v>29</v>
      </c>
      <c r="T175" s="33"/>
      <c r="U175" s="33"/>
    </row>
    <row r="176" ht="15.75" customHeight="1">
      <c r="A176" s="20">
        <v>46052.0</v>
      </c>
      <c r="B176" s="20">
        <v>46052.0</v>
      </c>
      <c r="C176" s="20" t="s">
        <v>25</v>
      </c>
      <c r="D176" s="21" t="s">
        <v>57</v>
      </c>
      <c r="E176" s="21" t="s">
        <v>30</v>
      </c>
      <c r="F176" s="22">
        <v>0.0035185185185185185</v>
      </c>
      <c r="G176" s="21" t="s">
        <v>33</v>
      </c>
      <c r="H176" s="24" t="s">
        <v>193</v>
      </c>
      <c r="I176" s="25" t="s">
        <v>194</v>
      </c>
      <c r="J176" s="26" t="s">
        <v>195</v>
      </c>
      <c r="K176" s="21"/>
      <c r="L176" s="27">
        <v>46052.0</v>
      </c>
      <c r="M176" s="28">
        <v>0.006944444444444444</v>
      </c>
      <c r="N176" s="29" t="s">
        <v>57</v>
      </c>
      <c r="O176" s="29" t="s">
        <v>35</v>
      </c>
      <c r="P176" s="34" t="s">
        <v>36</v>
      </c>
      <c r="Q176" s="34" t="s">
        <v>196</v>
      </c>
      <c r="R176" s="35">
        <v>46055.0</v>
      </c>
      <c r="S176" s="32" t="s">
        <v>29</v>
      </c>
      <c r="T176" s="33"/>
      <c r="U176" s="33"/>
    </row>
    <row r="177" ht="15.75" customHeight="1">
      <c r="A177" s="20">
        <v>46052.0</v>
      </c>
      <c r="B177" s="20">
        <v>46052.0</v>
      </c>
      <c r="C177" s="20" t="s">
        <v>25</v>
      </c>
      <c r="D177" s="21" t="s">
        <v>69</v>
      </c>
      <c r="E177" s="21" t="s">
        <v>32</v>
      </c>
      <c r="F177" s="22">
        <v>0.04850694444444444</v>
      </c>
      <c r="G177" s="21" t="s">
        <v>33</v>
      </c>
      <c r="H177" s="24"/>
      <c r="I177" s="25"/>
      <c r="J177" s="26"/>
      <c r="K177" s="21"/>
      <c r="L177" s="27">
        <v>46053.0</v>
      </c>
      <c r="M177" s="28">
        <v>0.1076388888888889</v>
      </c>
      <c r="N177" s="29" t="s">
        <v>59</v>
      </c>
      <c r="O177" s="29" t="s">
        <v>35</v>
      </c>
      <c r="P177" s="34" t="s">
        <v>36</v>
      </c>
      <c r="Q177" s="34" t="s">
        <v>197</v>
      </c>
      <c r="R177" s="35">
        <v>46055.0</v>
      </c>
      <c r="S177" s="32" t="s">
        <v>29</v>
      </c>
      <c r="T177" s="33"/>
      <c r="U177" s="33"/>
    </row>
    <row r="178" ht="15.75" customHeight="1">
      <c r="A178" s="36">
        <v>46052.0</v>
      </c>
      <c r="B178" s="36">
        <v>46052.0</v>
      </c>
      <c r="C178" s="36" t="s">
        <v>25</v>
      </c>
      <c r="D178" s="37" t="s">
        <v>59</v>
      </c>
      <c r="E178" s="37" t="s">
        <v>38</v>
      </c>
      <c r="F178" s="38">
        <v>0.008564814814814815</v>
      </c>
      <c r="G178" s="37" t="s">
        <v>33</v>
      </c>
      <c r="H178" s="39"/>
      <c r="I178" s="40"/>
      <c r="J178" s="41"/>
      <c r="K178" s="37"/>
      <c r="L178" s="42">
        <v>46055.0</v>
      </c>
      <c r="M178" s="43">
        <v>0.017361111111111112</v>
      </c>
      <c r="N178" s="44" t="s">
        <v>49</v>
      </c>
      <c r="O178" s="44" t="s">
        <v>35</v>
      </c>
      <c r="P178" s="45" t="s">
        <v>36</v>
      </c>
      <c r="Q178" s="45">
        <v>1.1952683E7</v>
      </c>
      <c r="R178" s="46">
        <v>46055.0</v>
      </c>
      <c r="S178" s="54" t="s">
        <v>29</v>
      </c>
      <c r="T178" s="33"/>
      <c r="U178" s="33"/>
    </row>
    <row r="179" ht="15.75" customHeight="1">
      <c r="A179" s="20">
        <v>46052.0</v>
      </c>
      <c r="B179" s="20">
        <v>46052.0</v>
      </c>
      <c r="C179" s="20" t="s">
        <v>25</v>
      </c>
      <c r="D179" s="21" t="s">
        <v>34</v>
      </c>
      <c r="E179" s="21" t="s">
        <v>40</v>
      </c>
      <c r="F179" s="22">
        <v>0.021087962962962965</v>
      </c>
      <c r="G179" s="21" t="s">
        <v>33</v>
      </c>
      <c r="H179" s="24"/>
      <c r="I179" s="25"/>
      <c r="J179" s="26"/>
      <c r="K179" s="21"/>
      <c r="L179" s="27">
        <v>46055.0</v>
      </c>
      <c r="M179" s="28">
        <v>0.05763888888888889</v>
      </c>
      <c r="N179" s="29" t="s">
        <v>49</v>
      </c>
      <c r="O179" s="29" t="s">
        <v>35</v>
      </c>
      <c r="P179" s="34" t="s">
        <v>36</v>
      </c>
      <c r="Q179" s="34" t="s">
        <v>198</v>
      </c>
      <c r="R179" s="35">
        <v>46056.0</v>
      </c>
      <c r="S179" s="32" t="s">
        <v>29</v>
      </c>
      <c r="T179" s="33"/>
      <c r="U179" s="33"/>
    </row>
    <row r="180" ht="15.75" customHeight="1">
      <c r="A180" s="20">
        <v>46052.0</v>
      </c>
      <c r="B180" s="20">
        <v>46052.0</v>
      </c>
      <c r="C180" s="20"/>
      <c r="D180" s="21"/>
      <c r="E180" s="21" t="s">
        <v>43</v>
      </c>
      <c r="F180" s="22"/>
      <c r="G180" s="21"/>
      <c r="H180" s="24"/>
      <c r="I180" s="25"/>
      <c r="J180" s="26"/>
      <c r="K180" s="21"/>
      <c r="L180" s="27"/>
      <c r="M180" s="28"/>
      <c r="N180" s="29"/>
      <c r="O180" s="29"/>
      <c r="P180" s="30" t="s">
        <v>28</v>
      </c>
      <c r="Q180" s="30" t="s">
        <v>28</v>
      </c>
      <c r="R180" s="31" t="s">
        <v>28</v>
      </c>
      <c r="S180" s="32" t="s">
        <v>29</v>
      </c>
      <c r="T180" s="33"/>
      <c r="U180" s="33"/>
    </row>
    <row r="181" ht="15.75" customHeight="1">
      <c r="A181" s="20">
        <v>46052.0</v>
      </c>
      <c r="B181" s="20">
        <v>46052.0</v>
      </c>
      <c r="C181" s="20" t="s">
        <v>25</v>
      </c>
      <c r="D181" s="21" t="s">
        <v>39</v>
      </c>
      <c r="E181" s="21" t="s">
        <v>87</v>
      </c>
      <c r="F181" s="22">
        <v>0.0039004629629629628</v>
      </c>
      <c r="G181" s="21" t="s">
        <v>88</v>
      </c>
      <c r="H181" s="24" t="s">
        <v>199</v>
      </c>
      <c r="I181" s="25" t="s">
        <v>194</v>
      </c>
      <c r="J181" s="26">
        <v>46052.0</v>
      </c>
      <c r="K181" s="21" t="s">
        <v>200</v>
      </c>
      <c r="L181" s="27">
        <v>46104.0</v>
      </c>
      <c r="M181" s="28">
        <v>0.011111111111111112</v>
      </c>
      <c r="N181" s="29" t="s">
        <v>39</v>
      </c>
      <c r="O181" s="29" t="s">
        <v>35</v>
      </c>
      <c r="P181" s="34" t="s">
        <v>53</v>
      </c>
      <c r="Q181" s="34">
        <v>1.1965003E7</v>
      </c>
      <c r="R181" s="35">
        <v>46055.0</v>
      </c>
      <c r="S181" s="32"/>
      <c r="T181" s="33"/>
      <c r="U181" s="33"/>
    </row>
    <row r="182" ht="15.75" customHeight="1">
      <c r="A182" s="55">
        <v>46053.0</v>
      </c>
      <c r="B182" s="55">
        <v>46053.0</v>
      </c>
      <c r="C182" s="55" t="s">
        <v>25</v>
      </c>
      <c r="D182" s="56" t="s">
        <v>59</v>
      </c>
      <c r="E182" s="56" t="s">
        <v>32</v>
      </c>
      <c r="F182" s="57">
        <v>0.0506712962962963</v>
      </c>
      <c r="G182" s="56" t="s">
        <v>33</v>
      </c>
      <c r="H182" s="24"/>
      <c r="I182" s="25"/>
      <c r="J182" s="26"/>
      <c r="K182" s="21" t="s">
        <v>201</v>
      </c>
      <c r="L182" s="27">
        <v>46055.0</v>
      </c>
      <c r="M182" s="28">
        <v>0.11458333333333333</v>
      </c>
      <c r="N182" s="29" t="s">
        <v>59</v>
      </c>
      <c r="O182" s="29" t="s">
        <v>35</v>
      </c>
      <c r="P182" s="34" t="s">
        <v>36</v>
      </c>
      <c r="Q182" s="34" t="s">
        <v>202</v>
      </c>
      <c r="R182" s="35">
        <v>46056.0</v>
      </c>
      <c r="S182" s="32" t="s">
        <v>29</v>
      </c>
      <c r="T182" s="33"/>
      <c r="U182" s="33"/>
    </row>
    <row r="183" ht="15.75" customHeight="1">
      <c r="A183" s="55">
        <v>46053.0</v>
      </c>
      <c r="B183" s="55">
        <v>46053.0</v>
      </c>
      <c r="C183" s="55" t="s">
        <v>25</v>
      </c>
      <c r="D183" s="56" t="s">
        <v>57</v>
      </c>
      <c r="E183" s="56" t="s">
        <v>40</v>
      </c>
      <c r="F183" s="57">
        <v>0.015983796296296298</v>
      </c>
      <c r="G183" s="56" t="s">
        <v>33</v>
      </c>
      <c r="H183" s="24"/>
      <c r="I183" s="25"/>
      <c r="J183" s="26"/>
      <c r="K183" s="21"/>
      <c r="L183" s="27">
        <v>46055.0</v>
      </c>
      <c r="M183" s="28">
        <v>0.0625</v>
      </c>
      <c r="N183" s="29" t="s">
        <v>57</v>
      </c>
      <c r="O183" s="29" t="s">
        <v>35</v>
      </c>
      <c r="P183" s="34" t="s">
        <v>36</v>
      </c>
      <c r="Q183" s="34" t="s">
        <v>203</v>
      </c>
      <c r="R183" s="35">
        <v>46055.0</v>
      </c>
      <c r="S183" s="32" t="s">
        <v>29</v>
      </c>
      <c r="T183" s="33"/>
      <c r="U183" s="33"/>
    </row>
    <row r="184" ht="15.75" customHeight="1">
      <c r="A184" s="55">
        <v>46053.0</v>
      </c>
      <c r="B184" s="55">
        <v>46053.0</v>
      </c>
      <c r="C184" s="55"/>
      <c r="D184" s="56"/>
      <c r="E184" s="56" t="s">
        <v>43</v>
      </c>
      <c r="F184" s="57"/>
      <c r="G184" s="56"/>
      <c r="H184" s="24"/>
      <c r="I184" s="25"/>
      <c r="J184" s="26"/>
      <c r="K184" s="21"/>
      <c r="L184" s="27"/>
      <c r="M184" s="28"/>
      <c r="N184" s="29"/>
      <c r="O184" s="29"/>
      <c r="P184" s="30" t="s">
        <v>28</v>
      </c>
      <c r="Q184" s="30" t="s">
        <v>28</v>
      </c>
      <c r="R184" s="31" t="s">
        <v>28</v>
      </c>
      <c r="S184" s="32" t="s">
        <v>29</v>
      </c>
      <c r="T184" s="33"/>
      <c r="U184" s="33"/>
    </row>
    <row r="185" ht="15.75" customHeight="1">
      <c r="A185" s="55">
        <v>46053.0</v>
      </c>
      <c r="B185" s="55">
        <v>46053.0</v>
      </c>
      <c r="C185" s="55"/>
      <c r="D185" s="56"/>
      <c r="E185" s="56" t="s">
        <v>61</v>
      </c>
      <c r="F185" s="57"/>
      <c r="G185" s="56" t="s">
        <v>27</v>
      </c>
      <c r="H185" s="24"/>
      <c r="I185" s="25"/>
      <c r="J185" s="26"/>
      <c r="K185" s="21"/>
      <c r="L185" s="27"/>
      <c r="M185" s="28"/>
      <c r="N185" s="29"/>
      <c r="O185" s="29"/>
      <c r="P185" s="34" t="s">
        <v>28</v>
      </c>
      <c r="Q185" s="34" t="s">
        <v>28</v>
      </c>
      <c r="R185" s="35" t="s">
        <v>28</v>
      </c>
      <c r="S185" s="32" t="s">
        <v>29</v>
      </c>
      <c r="T185" s="33"/>
      <c r="U185" s="33"/>
    </row>
    <row r="186" ht="15.75" customHeight="1">
      <c r="A186" s="55">
        <v>46053.0</v>
      </c>
      <c r="B186" s="55">
        <v>46053.0</v>
      </c>
      <c r="C186" s="55"/>
      <c r="D186" s="56"/>
      <c r="E186" s="56" t="s">
        <v>62</v>
      </c>
      <c r="F186" s="57"/>
      <c r="G186" s="56" t="s">
        <v>27</v>
      </c>
      <c r="H186" s="24"/>
      <c r="I186" s="25"/>
      <c r="J186" s="26"/>
      <c r="K186" s="21"/>
      <c r="L186" s="27"/>
      <c r="M186" s="28"/>
      <c r="N186" s="29"/>
      <c r="O186" s="29"/>
      <c r="P186" s="34" t="s">
        <v>28</v>
      </c>
      <c r="Q186" s="34" t="s">
        <v>28</v>
      </c>
      <c r="R186" s="35" t="s">
        <v>28</v>
      </c>
      <c r="S186" s="32" t="s">
        <v>29</v>
      </c>
      <c r="T186" s="33"/>
      <c r="U186" s="33"/>
    </row>
    <row r="187" ht="15.75" customHeight="1">
      <c r="A187" s="55">
        <v>46053.0</v>
      </c>
      <c r="B187" s="55">
        <v>46053.0</v>
      </c>
      <c r="C187" s="55"/>
      <c r="D187" s="56"/>
      <c r="E187" s="56" t="s">
        <v>63</v>
      </c>
      <c r="F187" s="57"/>
      <c r="G187" s="56" t="s">
        <v>27</v>
      </c>
      <c r="H187" s="24"/>
      <c r="I187" s="25"/>
      <c r="J187" s="26"/>
      <c r="K187" s="21"/>
      <c r="L187" s="27"/>
      <c r="M187" s="28"/>
      <c r="N187" s="29"/>
      <c r="O187" s="29"/>
      <c r="P187" s="34" t="s">
        <v>28</v>
      </c>
      <c r="Q187" s="34" t="s">
        <v>28</v>
      </c>
      <c r="R187" s="35" t="s">
        <v>28</v>
      </c>
      <c r="S187" s="32" t="s">
        <v>29</v>
      </c>
      <c r="T187" s="33"/>
      <c r="U187" s="33"/>
    </row>
    <row r="188" ht="15.75" customHeight="1">
      <c r="A188" s="60">
        <v>46054.0</v>
      </c>
      <c r="B188" s="60">
        <v>46054.0</v>
      </c>
      <c r="C188" s="60" t="s">
        <v>42</v>
      </c>
      <c r="D188" s="61" t="s">
        <v>39</v>
      </c>
      <c r="E188" s="61" t="s">
        <v>64</v>
      </c>
      <c r="F188" s="62">
        <v>0.020335648148148148</v>
      </c>
      <c r="G188" s="61" t="s">
        <v>33</v>
      </c>
      <c r="H188" s="24"/>
      <c r="I188" s="25"/>
      <c r="J188" s="26"/>
      <c r="K188" s="21"/>
      <c r="L188" s="27"/>
      <c r="M188" s="28"/>
      <c r="N188" s="29"/>
      <c r="O188" s="29"/>
      <c r="P188" s="34" t="s">
        <v>101</v>
      </c>
      <c r="Q188" s="34">
        <v>1.1963526E7</v>
      </c>
      <c r="R188" s="35">
        <v>46056.0</v>
      </c>
      <c r="S188" s="32" t="s">
        <v>29</v>
      </c>
      <c r="T188" s="33"/>
      <c r="U188" s="33"/>
    </row>
    <row r="189" ht="15.75" customHeight="1">
      <c r="A189" s="60">
        <v>46054.0</v>
      </c>
      <c r="B189" s="60">
        <v>46054.0</v>
      </c>
      <c r="C189" s="60"/>
      <c r="D189" s="61"/>
      <c r="E189" s="61" t="s">
        <v>66</v>
      </c>
      <c r="F189" s="62"/>
      <c r="G189" s="63" t="s">
        <v>102</v>
      </c>
      <c r="H189" s="24"/>
      <c r="I189" s="25"/>
      <c r="J189" s="26"/>
      <c r="K189" s="21"/>
      <c r="L189" s="29"/>
      <c r="M189" s="28"/>
      <c r="N189" s="29"/>
      <c r="O189" s="29"/>
      <c r="P189" s="34" t="s">
        <v>28</v>
      </c>
      <c r="Q189" s="34" t="s">
        <v>28</v>
      </c>
      <c r="R189" s="35" t="s">
        <v>28</v>
      </c>
      <c r="S189" s="32" t="s">
        <v>29</v>
      </c>
      <c r="T189" s="33"/>
      <c r="U189" s="33"/>
    </row>
    <row r="190" ht="15.75" customHeight="1">
      <c r="A190" s="20">
        <v>46055.0</v>
      </c>
      <c r="B190" s="20">
        <v>46055.0</v>
      </c>
      <c r="C190" s="20" t="s">
        <v>25</v>
      </c>
      <c r="D190" s="21" t="s">
        <v>49</v>
      </c>
      <c r="E190" s="21" t="s">
        <v>26</v>
      </c>
      <c r="F190" s="22">
        <v>0.10101851851851852</v>
      </c>
      <c r="G190" s="21" t="s">
        <v>33</v>
      </c>
      <c r="H190" s="24"/>
      <c r="I190" s="25"/>
      <c r="J190" s="26"/>
      <c r="K190" s="21"/>
      <c r="L190" s="27">
        <v>46056.0</v>
      </c>
      <c r="M190" s="28">
        <v>0.2326388888888889</v>
      </c>
      <c r="N190" s="29" t="s">
        <v>34</v>
      </c>
      <c r="O190" s="29" t="s">
        <v>35</v>
      </c>
      <c r="P190" s="34" t="s">
        <v>36</v>
      </c>
      <c r="Q190" s="34" t="s">
        <v>204</v>
      </c>
      <c r="R190" s="35">
        <v>46056.0</v>
      </c>
      <c r="S190" s="32" t="s">
        <v>29</v>
      </c>
      <c r="T190" s="33"/>
      <c r="U190" s="79"/>
    </row>
    <row r="191" ht="15.75" customHeight="1">
      <c r="A191" s="20">
        <v>46055.0</v>
      </c>
      <c r="B191" s="20">
        <v>46055.0</v>
      </c>
      <c r="C191" s="20" t="s">
        <v>25</v>
      </c>
      <c r="D191" s="21" t="s">
        <v>34</v>
      </c>
      <c r="E191" s="21" t="s">
        <v>30</v>
      </c>
      <c r="F191" s="22">
        <v>0.005717592592592593</v>
      </c>
      <c r="G191" s="21" t="s">
        <v>33</v>
      </c>
      <c r="H191" s="24"/>
      <c r="I191" s="25"/>
      <c r="J191" s="26"/>
      <c r="K191" s="21"/>
      <c r="L191" s="27">
        <v>46056.0</v>
      </c>
      <c r="M191" s="28">
        <v>0.013888888888888888</v>
      </c>
      <c r="N191" s="29" t="s">
        <v>34</v>
      </c>
      <c r="O191" s="29" t="s">
        <v>35</v>
      </c>
      <c r="P191" s="34" t="s">
        <v>36</v>
      </c>
      <c r="Q191" s="34" t="s">
        <v>205</v>
      </c>
      <c r="R191" s="35">
        <v>46056.0</v>
      </c>
      <c r="S191" s="32" t="s">
        <v>29</v>
      </c>
      <c r="T191" s="33"/>
      <c r="U191" s="33"/>
    </row>
    <row r="192" ht="15.75" customHeight="1">
      <c r="A192" s="20">
        <v>46055.0</v>
      </c>
      <c r="B192" s="20">
        <v>46055.0</v>
      </c>
      <c r="C192" s="20" t="s">
        <v>25</v>
      </c>
      <c r="D192" s="21" t="s">
        <v>39</v>
      </c>
      <c r="E192" s="21" t="s">
        <v>32</v>
      </c>
      <c r="F192" s="22">
        <v>0.049699074074074076</v>
      </c>
      <c r="G192" s="21" t="s">
        <v>33</v>
      </c>
      <c r="H192" s="24"/>
      <c r="I192" s="25"/>
      <c r="J192" s="26"/>
      <c r="K192" s="21"/>
      <c r="L192" s="27">
        <v>46056.0</v>
      </c>
      <c r="M192" s="28">
        <v>0.11805555555555555</v>
      </c>
      <c r="N192" s="29" t="s">
        <v>59</v>
      </c>
      <c r="O192" s="29" t="s">
        <v>35</v>
      </c>
      <c r="P192" s="34" t="s">
        <v>36</v>
      </c>
      <c r="Q192" s="34" t="s">
        <v>206</v>
      </c>
      <c r="R192" s="35">
        <v>46056.0</v>
      </c>
      <c r="S192" s="32" t="s">
        <v>29</v>
      </c>
      <c r="T192" s="33"/>
      <c r="U192" s="79"/>
    </row>
    <row r="193" ht="15.75" customHeight="1">
      <c r="A193" s="20">
        <v>46055.0</v>
      </c>
      <c r="B193" s="20">
        <v>46055.0</v>
      </c>
      <c r="C193" s="20" t="s">
        <v>25</v>
      </c>
      <c r="D193" s="21" t="s">
        <v>39</v>
      </c>
      <c r="E193" s="21" t="s">
        <v>38</v>
      </c>
      <c r="F193" s="22">
        <v>0.008460648148148148</v>
      </c>
      <c r="G193" s="21" t="s">
        <v>33</v>
      </c>
      <c r="H193" s="24"/>
      <c r="I193" s="25"/>
      <c r="J193" s="26"/>
      <c r="K193" s="21"/>
      <c r="L193" s="27">
        <v>46056.0</v>
      </c>
      <c r="M193" s="28">
        <v>0.017361111111111112</v>
      </c>
      <c r="N193" s="29" t="s">
        <v>49</v>
      </c>
      <c r="O193" s="29" t="s">
        <v>35</v>
      </c>
      <c r="P193" s="34" t="s">
        <v>36</v>
      </c>
      <c r="Q193" s="34">
        <v>1.1964206E7</v>
      </c>
      <c r="R193" s="35">
        <v>46056.0</v>
      </c>
      <c r="S193" s="32" t="s">
        <v>29</v>
      </c>
      <c r="T193" s="33"/>
      <c r="U193" s="33"/>
    </row>
    <row r="194" ht="15.75" customHeight="1">
      <c r="A194" s="20">
        <v>46055.0</v>
      </c>
      <c r="B194" s="20">
        <v>46055.0</v>
      </c>
      <c r="C194" s="20" t="s">
        <v>25</v>
      </c>
      <c r="D194" s="21" t="s">
        <v>39</v>
      </c>
      <c r="E194" s="21" t="s">
        <v>40</v>
      </c>
      <c r="F194" s="22">
        <v>0.02</v>
      </c>
      <c r="G194" s="21" t="s">
        <v>33</v>
      </c>
      <c r="H194" s="24"/>
      <c r="I194" s="25"/>
      <c r="J194" s="26"/>
      <c r="K194" s="21"/>
      <c r="L194" s="27">
        <v>46056.0</v>
      </c>
      <c r="M194" s="28">
        <v>0.05486111111111111</v>
      </c>
      <c r="N194" s="29" t="s">
        <v>49</v>
      </c>
      <c r="O194" s="29" t="s">
        <v>35</v>
      </c>
      <c r="P194" s="34" t="s">
        <v>36</v>
      </c>
      <c r="Q194" s="34" t="s">
        <v>207</v>
      </c>
      <c r="R194" s="35">
        <v>46056.0</v>
      </c>
      <c r="S194" s="32" t="s">
        <v>29</v>
      </c>
      <c r="T194" s="33"/>
      <c r="U194" s="33"/>
    </row>
    <row r="195" ht="15.75" customHeight="1">
      <c r="A195" s="20">
        <v>46055.0</v>
      </c>
      <c r="B195" s="20">
        <v>46055.0</v>
      </c>
      <c r="C195" s="20"/>
      <c r="D195" s="21"/>
      <c r="E195" s="21" t="s">
        <v>43</v>
      </c>
      <c r="F195" s="22">
        <v>0.015405092592592592</v>
      </c>
      <c r="G195" s="21"/>
      <c r="H195" s="39" t="s">
        <v>208</v>
      </c>
      <c r="I195" s="40" t="s">
        <v>46</v>
      </c>
      <c r="J195" s="41">
        <v>46056.44861111111</v>
      </c>
      <c r="K195" s="37" t="s">
        <v>209</v>
      </c>
      <c r="L195" s="27">
        <v>46057.0</v>
      </c>
      <c r="M195" s="28">
        <v>0.04861111111111111</v>
      </c>
      <c r="N195" s="29" t="s">
        <v>57</v>
      </c>
      <c r="O195" s="29" t="s">
        <v>35</v>
      </c>
      <c r="P195" s="30" t="s">
        <v>28</v>
      </c>
      <c r="Q195" s="30" t="s">
        <v>28</v>
      </c>
      <c r="R195" s="31" t="s">
        <v>28</v>
      </c>
      <c r="S195" s="32" t="s">
        <v>29</v>
      </c>
      <c r="T195" s="33"/>
      <c r="U195" s="33"/>
    </row>
    <row r="196" ht="15.75" customHeight="1">
      <c r="A196" s="36">
        <v>46056.0</v>
      </c>
      <c r="B196" s="36">
        <v>46056.0</v>
      </c>
      <c r="C196" s="36" t="s">
        <v>25</v>
      </c>
      <c r="D196" s="37" t="s">
        <v>49</v>
      </c>
      <c r="E196" s="37" t="s">
        <v>26</v>
      </c>
      <c r="F196" s="38">
        <v>0.10140046296296296</v>
      </c>
      <c r="G196" s="37" t="s">
        <v>33</v>
      </c>
      <c r="H196" s="39"/>
      <c r="I196" s="40"/>
      <c r="J196" s="41"/>
      <c r="K196" s="37"/>
      <c r="L196" s="42">
        <v>46057.0</v>
      </c>
      <c r="M196" s="43">
        <v>0.24583333333333332</v>
      </c>
      <c r="N196" s="44" t="s">
        <v>39</v>
      </c>
      <c r="O196" s="44" t="s">
        <v>35</v>
      </c>
      <c r="P196" s="45" t="s">
        <v>36</v>
      </c>
      <c r="Q196" s="45" t="s">
        <v>210</v>
      </c>
      <c r="R196" s="46">
        <v>46057.0</v>
      </c>
      <c r="S196" s="54" t="s">
        <v>29</v>
      </c>
      <c r="T196" s="33"/>
      <c r="U196" s="33"/>
    </row>
    <row r="197" ht="15.75" customHeight="1">
      <c r="A197" s="20">
        <v>46056.0</v>
      </c>
      <c r="B197" s="20">
        <v>46056.0</v>
      </c>
      <c r="C197" s="20" t="s">
        <v>25</v>
      </c>
      <c r="D197" s="21" t="s">
        <v>34</v>
      </c>
      <c r="E197" s="21" t="s">
        <v>30</v>
      </c>
      <c r="F197" s="22">
        <v>0.006678240740740741</v>
      </c>
      <c r="G197" s="21" t="s">
        <v>33</v>
      </c>
      <c r="H197" s="24"/>
      <c r="I197" s="25"/>
      <c r="J197" s="26"/>
      <c r="K197" s="21"/>
      <c r="L197" s="27">
        <v>46056.0</v>
      </c>
      <c r="M197" s="28">
        <v>0.017361111111111112</v>
      </c>
      <c r="N197" s="29" t="s">
        <v>34</v>
      </c>
      <c r="O197" s="29" t="s">
        <v>35</v>
      </c>
      <c r="P197" s="34" t="s">
        <v>36</v>
      </c>
      <c r="Q197" s="34" t="s">
        <v>211</v>
      </c>
      <c r="R197" s="35">
        <v>46057.0</v>
      </c>
      <c r="S197" s="32" t="s">
        <v>29</v>
      </c>
      <c r="T197" s="33"/>
      <c r="U197" s="33"/>
    </row>
    <row r="198" ht="15.75" customHeight="1">
      <c r="A198" s="20">
        <v>46056.0</v>
      </c>
      <c r="B198" s="20">
        <v>46056.0</v>
      </c>
      <c r="C198" s="20" t="s">
        <v>25</v>
      </c>
      <c r="D198" s="21" t="s">
        <v>69</v>
      </c>
      <c r="E198" s="21" t="s">
        <v>32</v>
      </c>
      <c r="F198" s="22">
        <v>0.04997685185185185</v>
      </c>
      <c r="G198" s="21" t="s">
        <v>33</v>
      </c>
      <c r="H198" s="24"/>
      <c r="I198" s="25"/>
      <c r="J198" s="26"/>
      <c r="K198" s="21"/>
      <c r="L198" s="27">
        <v>46057.0</v>
      </c>
      <c r="M198" s="28">
        <v>0.11458333333333333</v>
      </c>
      <c r="N198" s="29" t="s">
        <v>59</v>
      </c>
      <c r="O198" s="29" t="s">
        <v>35</v>
      </c>
      <c r="P198" s="34" t="s">
        <v>36</v>
      </c>
      <c r="Q198" s="34" t="s">
        <v>212</v>
      </c>
      <c r="R198" s="35">
        <v>46057.0</v>
      </c>
      <c r="S198" s="32" t="s">
        <v>29</v>
      </c>
      <c r="T198" s="33"/>
      <c r="U198" s="33"/>
    </row>
    <row r="199" ht="15.75" customHeight="1">
      <c r="A199" s="36">
        <v>46056.0</v>
      </c>
      <c r="B199" s="36">
        <v>46056.0</v>
      </c>
      <c r="C199" s="36" t="s">
        <v>25</v>
      </c>
      <c r="D199" s="37" t="s">
        <v>59</v>
      </c>
      <c r="E199" s="37" t="s">
        <v>38</v>
      </c>
      <c r="F199" s="38">
        <v>0.008402777777777778</v>
      </c>
      <c r="G199" s="37" t="s">
        <v>33</v>
      </c>
      <c r="H199" s="39"/>
      <c r="I199" s="40"/>
      <c r="J199" s="41"/>
      <c r="K199" s="37"/>
      <c r="L199" s="42">
        <v>46057.0</v>
      </c>
      <c r="M199" s="43">
        <v>0.020833333333333332</v>
      </c>
      <c r="N199" s="44" t="s">
        <v>49</v>
      </c>
      <c r="O199" s="44" t="s">
        <v>35</v>
      </c>
      <c r="P199" s="45" t="s">
        <v>36</v>
      </c>
      <c r="Q199" s="45">
        <v>1.1964207E7</v>
      </c>
      <c r="R199" s="46">
        <v>46057.0</v>
      </c>
      <c r="S199" s="54" t="s">
        <v>29</v>
      </c>
      <c r="T199" s="48"/>
      <c r="U199" s="48"/>
    </row>
    <row r="200" ht="15.75" customHeight="1">
      <c r="A200" s="20">
        <v>46056.0</v>
      </c>
      <c r="B200" s="20">
        <v>46056.0</v>
      </c>
      <c r="C200" s="20" t="s">
        <v>25</v>
      </c>
      <c r="D200" s="21" t="s">
        <v>39</v>
      </c>
      <c r="E200" s="21" t="s">
        <v>40</v>
      </c>
      <c r="F200" s="22">
        <v>0.018055555555555554</v>
      </c>
      <c r="G200" s="21" t="s">
        <v>33</v>
      </c>
      <c r="H200" s="24"/>
      <c r="I200" s="25"/>
      <c r="J200" s="26"/>
      <c r="K200" s="21"/>
      <c r="L200" s="27">
        <v>46057.0</v>
      </c>
      <c r="M200" s="28">
        <v>0.06666666666666667</v>
      </c>
      <c r="N200" s="29" t="s">
        <v>49</v>
      </c>
      <c r="O200" s="29" t="s">
        <v>35</v>
      </c>
      <c r="P200" s="34" t="s">
        <v>36</v>
      </c>
      <c r="Q200" s="34" t="s">
        <v>213</v>
      </c>
      <c r="R200" s="35">
        <v>46057.0</v>
      </c>
      <c r="S200" s="32" t="s">
        <v>29</v>
      </c>
      <c r="T200" s="33"/>
      <c r="U200" s="33"/>
    </row>
    <row r="201" ht="15.75" customHeight="1">
      <c r="A201" s="20">
        <v>46056.0</v>
      </c>
      <c r="B201" s="20">
        <v>46056.0</v>
      </c>
      <c r="C201" s="20"/>
      <c r="D201" s="21"/>
      <c r="E201" s="21" t="s">
        <v>43</v>
      </c>
      <c r="F201" s="22">
        <v>0.014675925925925926</v>
      </c>
      <c r="G201" s="21" t="s">
        <v>33</v>
      </c>
      <c r="H201" s="24"/>
      <c r="I201" s="25"/>
      <c r="J201" s="26"/>
      <c r="K201" s="21"/>
      <c r="L201" s="27">
        <v>46057.0</v>
      </c>
      <c r="M201" s="28">
        <v>0.03125</v>
      </c>
      <c r="N201" s="29" t="s">
        <v>57</v>
      </c>
      <c r="O201" s="29" t="s">
        <v>35</v>
      </c>
      <c r="P201" s="30" t="s">
        <v>28</v>
      </c>
      <c r="Q201" s="30" t="s">
        <v>28</v>
      </c>
      <c r="R201" s="31" t="s">
        <v>28</v>
      </c>
      <c r="S201" s="32" t="s">
        <v>29</v>
      </c>
      <c r="T201" s="33"/>
      <c r="U201" s="33"/>
    </row>
    <row r="202" ht="15.75" customHeight="1">
      <c r="A202" s="36">
        <v>46057.0</v>
      </c>
      <c r="B202" s="36">
        <v>46057.0</v>
      </c>
      <c r="C202" s="36" t="s">
        <v>25</v>
      </c>
      <c r="D202" s="37" t="s">
        <v>49</v>
      </c>
      <c r="E202" s="37" t="s">
        <v>26</v>
      </c>
      <c r="F202" s="38">
        <v>0.10143518518518518</v>
      </c>
      <c r="G202" s="37" t="s">
        <v>33</v>
      </c>
      <c r="H202" s="39"/>
      <c r="I202" s="40"/>
      <c r="J202" s="41"/>
      <c r="K202" s="37" t="s">
        <v>214</v>
      </c>
      <c r="L202" s="42">
        <v>46058.0</v>
      </c>
      <c r="M202" s="43">
        <v>0.21180555555555555</v>
      </c>
      <c r="N202" s="44" t="s">
        <v>59</v>
      </c>
      <c r="O202" s="44" t="s">
        <v>35</v>
      </c>
      <c r="P202" s="45" t="s">
        <v>36</v>
      </c>
      <c r="Q202" s="45" t="s">
        <v>215</v>
      </c>
      <c r="R202" s="46">
        <v>46059.0</v>
      </c>
      <c r="S202" s="54" t="s">
        <v>29</v>
      </c>
      <c r="T202" s="33"/>
      <c r="U202" s="33"/>
    </row>
    <row r="203" ht="15.75" customHeight="1">
      <c r="A203" s="20">
        <v>46057.0</v>
      </c>
      <c r="B203" s="20">
        <v>46057.0</v>
      </c>
      <c r="C203" s="20" t="s">
        <v>25</v>
      </c>
      <c r="D203" s="70" t="s">
        <v>39</v>
      </c>
      <c r="E203" s="21" t="s">
        <v>30</v>
      </c>
      <c r="F203" s="71">
        <v>0.004618055555555556</v>
      </c>
      <c r="G203" s="70" t="s">
        <v>33</v>
      </c>
      <c r="H203" s="24"/>
      <c r="I203" s="25"/>
      <c r="J203" s="26"/>
      <c r="K203" s="21"/>
      <c r="L203" s="27">
        <v>46057.0</v>
      </c>
      <c r="M203" s="28">
        <v>0.013194444444444444</v>
      </c>
      <c r="N203" s="29" t="s">
        <v>39</v>
      </c>
      <c r="O203" s="29" t="s">
        <v>35</v>
      </c>
      <c r="P203" s="34" t="s">
        <v>36</v>
      </c>
      <c r="Q203" s="34" t="s">
        <v>216</v>
      </c>
      <c r="R203" s="35">
        <v>46058.0</v>
      </c>
      <c r="S203" s="32" t="s">
        <v>29</v>
      </c>
      <c r="T203" s="33"/>
      <c r="U203" s="33"/>
    </row>
    <row r="204" ht="15.75" customHeight="1">
      <c r="A204" s="20">
        <v>46057.0</v>
      </c>
      <c r="B204" s="20">
        <v>46057.0</v>
      </c>
      <c r="C204" s="20" t="s">
        <v>25</v>
      </c>
      <c r="D204" s="21" t="s">
        <v>69</v>
      </c>
      <c r="E204" s="21" t="s">
        <v>32</v>
      </c>
      <c r="F204" s="22">
        <v>0.04539351851851852</v>
      </c>
      <c r="G204" s="21" t="s">
        <v>33</v>
      </c>
      <c r="H204" s="24"/>
      <c r="I204" s="25"/>
      <c r="J204" s="26"/>
      <c r="K204" s="21"/>
      <c r="L204" s="27">
        <v>46058.0</v>
      </c>
      <c r="M204" s="28">
        <v>0.09375</v>
      </c>
      <c r="N204" s="29" t="s">
        <v>34</v>
      </c>
      <c r="O204" s="29" t="s">
        <v>35</v>
      </c>
      <c r="P204" s="34" t="s">
        <v>36</v>
      </c>
      <c r="Q204" s="34" t="s">
        <v>217</v>
      </c>
      <c r="R204" s="35">
        <v>46058.0</v>
      </c>
      <c r="S204" s="32" t="s">
        <v>29</v>
      </c>
      <c r="T204" s="33"/>
      <c r="U204" s="33"/>
    </row>
    <row r="205" ht="15.75" customHeight="1">
      <c r="A205" s="20">
        <v>46057.0</v>
      </c>
      <c r="B205" s="20">
        <v>46057.0</v>
      </c>
      <c r="C205" s="20" t="s">
        <v>25</v>
      </c>
      <c r="D205" s="21" t="s">
        <v>34</v>
      </c>
      <c r="E205" s="21" t="s">
        <v>38</v>
      </c>
      <c r="F205" s="22">
        <v>0.008402777777777778</v>
      </c>
      <c r="G205" s="21" t="s">
        <v>33</v>
      </c>
      <c r="H205" s="24"/>
      <c r="I205" s="25"/>
      <c r="J205" s="26"/>
      <c r="K205" s="21"/>
      <c r="L205" s="27">
        <v>46058.0</v>
      </c>
      <c r="M205" s="28">
        <v>0.017361111111111112</v>
      </c>
      <c r="N205" s="29" t="s">
        <v>49</v>
      </c>
      <c r="O205" s="29" t="s">
        <v>35</v>
      </c>
      <c r="P205" s="34" t="s">
        <v>36</v>
      </c>
      <c r="Q205" s="34">
        <v>1.1964208E7</v>
      </c>
      <c r="R205" s="35">
        <v>46058.0</v>
      </c>
      <c r="S205" s="32" t="s">
        <v>29</v>
      </c>
      <c r="T205" s="33"/>
      <c r="U205" s="33"/>
    </row>
    <row r="206" ht="15.75" customHeight="1">
      <c r="A206" s="20">
        <v>46057.0</v>
      </c>
      <c r="B206" s="20">
        <v>46057.0</v>
      </c>
      <c r="C206" s="20" t="s">
        <v>25</v>
      </c>
      <c r="D206" s="21" t="s">
        <v>34</v>
      </c>
      <c r="E206" s="21" t="s">
        <v>40</v>
      </c>
      <c r="F206" s="22">
        <v>0.019143518518518518</v>
      </c>
      <c r="G206" s="21" t="s">
        <v>33</v>
      </c>
      <c r="H206" s="24"/>
      <c r="I206" s="25"/>
      <c r="J206" s="26"/>
      <c r="K206" s="21"/>
      <c r="L206" s="27">
        <v>46058.0</v>
      </c>
      <c r="M206" s="28">
        <v>0.06875</v>
      </c>
      <c r="N206" s="29" t="s">
        <v>49</v>
      </c>
      <c r="O206" s="29" t="s">
        <v>35</v>
      </c>
      <c r="P206" s="34" t="s">
        <v>36</v>
      </c>
      <c r="Q206" s="34" t="s">
        <v>218</v>
      </c>
      <c r="R206" s="35">
        <v>46058.0</v>
      </c>
      <c r="S206" s="32" t="s">
        <v>29</v>
      </c>
      <c r="T206" s="33"/>
      <c r="U206" s="33"/>
    </row>
    <row r="207" ht="15.75" customHeight="1">
      <c r="A207" s="20">
        <v>46057.0</v>
      </c>
      <c r="B207" s="20">
        <v>46057.0</v>
      </c>
      <c r="C207" s="20"/>
      <c r="D207" s="21"/>
      <c r="E207" s="21" t="s">
        <v>43</v>
      </c>
      <c r="F207" s="22">
        <v>0.016863425925925928</v>
      </c>
      <c r="G207" s="21" t="s">
        <v>33</v>
      </c>
      <c r="H207" s="24"/>
      <c r="I207" s="25"/>
      <c r="J207" s="26"/>
      <c r="K207" s="21"/>
      <c r="L207" s="27">
        <v>46058.0</v>
      </c>
      <c r="M207" s="28">
        <v>0.06597222222222222</v>
      </c>
      <c r="N207" s="29" t="s">
        <v>57</v>
      </c>
      <c r="O207" s="29" t="s">
        <v>35</v>
      </c>
      <c r="P207" s="30" t="s">
        <v>28</v>
      </c>
      <c r="Q207" s="30" t="s">
        <v>28</v>
      </c>
      <c r="R207" s="31" t="s">
        <v>28</v>
      </c>
      <c r="S207" s="32" t="s">
        <v>29</v>
      </c>
      <c r="T207" s="33"/>
      <c r="U207" s="33"/>
    </row>
    <row r="208" ht="15.75" customHeight="1">
      <c r="A208" s="36">
        <v>46058.0</v>
      </c>
      <c r="B208" s="36">
        <v>46058.0</v>
      </c>
      <c r="C208" s="36" t="s">
        <v>25</v>
      </c>
      <c r="D208" s="37" t="s">
        <v>49</v>
      </c>
      <c r="E208" s="37" t="s">
        <v>26</v>
      </c>
      <c r="F208" s="38">
        <v>0.10152777777777777</v>
      </c>
      <c r="G208" s="37" t="s">
        <v>33</v>
      </c>
      <c r="H208" s="39" t="s">
        <v>219</v>
      </c>
      <c r="I208" s="40" t="s">
        <v>220</v>
      </c>
      <c r="J208" s="41">
        <v>46058.61597222222</v>
      </c>
      <c r="K208" s="37" t="s">
        <v>221</v>
      </c>
      <c r="L208" s="42">
        <v>46059.0</v>
      </c>
      <c r="M208" s="43">
        <v>0.20833333333333334</v>
      </c>
      <c r="N208" s="44" t="s">
        <v>57</v>
      </c>
      <c r="O208" s="44" t="s">
        <v>35</v>
      </c>
      <c r="P208" s="45" t="s">
        <v>36</v>
      </c>
      <c r="Q208" s="45" t="s">
        <v>222</v>
      </c>
      <c r="R208" s="46">
        <v>46059.0</v>
      </c>
      <c r="S208" s="54" t="s">
        <v>29</v>
      </c>
      <c r="T208" s="33"/>
      <c r="U208" s="33"/>
    </row>
    <row r="209" ht="15.75" customHeight="1">
      <c r="A209" s="20">
        <v>46058.0</v>
      </c>
      <c r="B209" s="20">
        <v>46058.0</v>
      </c>
      <c r="C209" s="20" t="s">
        <v>25</v>
      </c>
      <c r="D209" s="21" t="s">
        <v>59</v>
      </c>
      <c r="E209" s="21" t="s">
        <v>30</v>
      </c>
      <c r="F209" s="22">
        <v>0.006307870370370371</v>
      </c>
      <c r="G209" s="21" t="s">
        <v>33</v>
      </c>
      <c r="H209" s="24"/>
      <c r="I209" s="25"/>
      <c r="J209" s="26"/>
      <c r="K209" s="21"/>
      <c r="L209" s="27">
        <v>46058.0</v>
      </c>
      <c r="M209" s="28">
        <v>0.011805555555555555</v>
      </c>
      <c r="N209" s="29" t="s">
        <v>59</v>
      </c>
      <c r="O209" s="29" t="s">
        <v>35</v>
      </c>
      <c r="P209" s="34" t="s">
        <v>36</v>
      </c>
      <c r="Q209" s="34" t="s">
        <v>223</v>
      </c>
      <c r="R209" s="35">
        <v>46059.0</v>
      </c>
      <c r="S209" s="32" t="s">
        <v>29</v>
      </c>
      <c r="T209" s="33"/>
      <c r="U209" s="33"/>
    </row>
    <row r="210" ht="15.75" customHeight="1">
      <c r="A210" s="20">
        <v>46058.0</v>
      </c>
      <c r="B210" s="20">
        <v>46058.0</v>
      </c>
      <c r="C210" s="20" t="s">
        <v>25</v>
      </c>
      <c r="D210" s="21" t="s">
        <v>69</v>
      </c>
      <c r="E210" s="21" t="s">
        <v>32</v>
      </c>
      <c r="F210" s="22">
        <v>0.047094907407407405</v>
      </c>
      <c r="G210" s="21" t="s">
        <v>33</v>
      </c>
      <c r="H210" s="24"/>
      <c r="I210" s="25"/>
      <c r="J210" s="26"/>
      <c r="K210" s="21"/>
      <c r="L210" s="27">
        <v>46059.0</v>
      </c>
      <c r="M210" s="28">
        <v>0.09027777777777778</v>
      </c>
      <c r="N210" s="29" t="s">
        <v>59</v>
      </c>
      <c r="O210" s="29" t="s">
        <v>35</v>
      </c>
      <c r="P210" s="34" t="s">
        <v>36</v>
      </c>
      <c r="Q210" s="34" t="s">
        <v>224</v>
      </c>
      <c r="R210" s="35">
        <v>46059.0</v>
      </c>
      <c r="S210" s="32" t="s">
        <v>29</v>
      </c>
      <c r="T210" s="33"/>
      <c r="U210" s="33"/>
    </row>
    <row r="211" ht="15.75" customHeight="1">
      <c r="A211" s="20">
        <v>46058.0</v>
      </c>
      <c r="B211" s="20">
        <v>46058.0</v>
      </c>
      <c r="C211" s="20" t="s">
        <v>25</v>
      </c>
      <c r="D211" s="21" t="s">
        <v>39</v>
      </c>
      <c r="E211" s="21" t="s">
        <v>38</v>
      </c>
      <c r="F211" s="22">
        <v>0.008622685185185185</v>
      </c>
      <c r="G211" s="21" t="s">
        <v>33</v>
      </c>
      <c r="H211" s="24"/>
      <c r="I211" s="25"/>
      <c r="J211" s="26"/>
      <c r="K211" s="21"/>
      <c r="L211" s="27">
        <v>46058.0</v>
      </c>
      <c r="M211" s="28">
        <v>0.0625</v>
      </c>
      <c r="N211" s="29" t="s">
        <v>49</v>
      </c>
      <c r="O211" s="29" t="s">
        <v>35</v>
      </c>
      <c r="P211" s="34" t="s">
        <v>36</v>
      </c>
      <c r="Q211" s="34">
        <v>1.1964209E7</v>
      </c>
      <c r="R211" s="35">
        <v>46059.0</v>
      </c>
      <c r="S211" s="32" t="s">
        <v>29</v>
      </c>
      <c r="T211" s="33"/>
      <c r="U211" s="33"/>
    </row>
    <row r="212" ht="15.75" customHeight="1">
      <c r="A212" s="20">
        <v>46058.0</v>
      </c>
      <c r="B212" s="20">
        <v>46058.0</v>
      </c>
      <c r="C212" s="20" t="s">
        <v>25</v>
      </c>
      <c r="D212" s="21" t="s">
        <v>34</v>
      </c>
      <c r="E212" s="21" t="s">
        <v>40</v>
      </c>
      <c r="F212" s="22">
        <v>0.018622685185185187</v>
      </c>
      <c r="G212" s="21" t="s">
        <v>33</v>
      </c>
      <c r="H212" s="24"/>
      <c r="I212" s="25"/>
      <c r="J212" s="26"/>
      <c r="K212" s="21"/>
      <c r="L212" s="27">
        <v>46058.0</v>
      </c>
      <c r="M212" s="28">
        <v>0.06388888888888888</v>
      </c>
      <c r="N212" s="29" t="s">
        <v>49</v>
      </c>
      <c r="O212" s="29" t="s">
        <v>35</v>
      </c>
      <c r="P212" s="34" t="s">
        <v>36</v>
      </c>
      <c r="Q212" s="34" t="s">
        <v>225</v>
      </c>
      <c r="R212" s="35">
        <v>46059.0</v>
      </c>
      <c r="S212" s="32" t="s">
        <v>29</v>
      </c>
      <c r="T212" s="33"/>
      <c r="U212" s="33"/>
    </row>
    <row r="213" ht="15.75" customHeight="1">
      <c r="A213" s="20">
        <v>46058.0</v>
      </c>
      <c r="B213" s="20">
        <v>46058.0</v>
      </c>
      <c r="C213" s="20" t="s">
        <v>42</v>
      </c>
      <c r="D213" s="21" t="s">
        <v>34</v>
      </c>
      <c r="E213" s="21" t="s">
        <v>43</v>
      </c>
      <c r="F213" s="22">
        <v>0.01287037037037037</v>
      </c>
      <c r="G213" s="21" t="s">
        <v>33</v>
      </c>
      <c r="H213" s="24"/>
      <c r="I213" s="25"/>
      <c r="J213" s="26"/>
      <c r="K213" s="21"/>
      <c r="L213" s="27">
        <v>46059.0</v>
      </c>
      <c r="M213" s="28">
        <v>0.027777777777777776</v>
      </c>
      <c r="N213" s="29" t="s">
        <v>34</v>
      </c>
      <c r="O213" s="29" t="s">
        <v>35</v>
      </c>
      <c r="P213" s="30" t="s">
        <v>28</v>
      </c>
      <c r="Q213" s="30" t="s">
        <v>28</v>
      </c>
      <c r="R213" s="31" t="s">
        <v>28</v>
      </c>
      <c r="S213" s="32" t="s">
        <v>29</v>
      </c>
      <c r="T213" s="33"/>
      <c r="U213" s="33"/>
    </row>
    <row r="214" ht="15.75" customHeight="1">
      <c r="A214" s="20">
        <v>46059.0</v>
      </c>
      <c r="B214" s="20">
        <v>46059.0</v>
      </c>
      <c r="C214" s="20" t="s">
        <v>25</v>
      </c>
      <c r="D214" s="21" t="s">
        <v>49</v>
      </c>
      <c r="E214" s="21" t="s">
        <v>26</v>
      </c>
      <c r="F214" s="22">
        <v>0.10101851851851852</v>
      </c>
      <c r="G214" s="21" t="s">
        <v>33</v>
      </c>
      <c r="H214" s="24"/>
      <c r="I214" s="25"/>
      <c r="J214" s="26"/>
      <c r="K214" s="21"/>
      <c r="L214" s="27">
        <v>46062.0</v>
      </c>
      <c r="M214" s="28">
        <v>0.1875</v>
      </c>
      <c r="N214" s="29" t="s">
        <v>31</v>
      </c>
      <c r="O214" s="29" t="s">
        <v>35</v>
      </c>
      <c r="P214" s="34" t="s">
        <v>36</v>
      </c>
      <c r="Q214" s="34" t="s">
        <v>226</v>
      </c>
      <c r="R214" s="35">
        <v>46063.0</v>
      </c>
      <c r="S214" s="32" t="s">
        <v>29</v>
      </c>
      <c r="T214" s="33"/>
      <c r="U214" s="33"/>
    </row>
    <row r="215" ht="15.75" customHeight="1">
      <c r="A215" s="20">
        <v>46059.0</v>
      </c>
      <c r="B215" s="20">
        <v>46059.0</v>
      </c>
      <c r="C215" s="20" t="s">
        <v>25</v>
      </c>
      <c r="D215" s="21" t="s">
        <v>57</v>
      </c>
      <c r="E215" s="21" t="s">
        <v>30</v>
      </c>
      <c r="F215" s="22">
        <v>0.00587962962962963</v>
      </c>
      <c r="G215" s="21"/>
      <c r="H215" s="24" t="s">
        <v>227</v>
      </c>
      <c r="I215" s="25" t="s">
        <v>46</v>
      </c>
      <c r="J215" s="26">
        <v>46059.0</v>
      </c>
      <c r="K215" s="21" t="s">
        <v>228</v>
      </c>
      <c r="L215" s="27">
        <v>46063.0</v>
      </c>
      <c r="M215" s="28">
        <v>0.019444444444444445</v>
      </c>
      <c r="N215" s="29" t="s">
        <v>57</v>
      </c>
      <c r="O215" s="29" t="s">
        <v>35</v>
      </c>
      <c r="P215" s="34" t="s">
        <v>36</v>
      </c>
      <c r="Q215" s="34" t="s">
        <v>229</v>
      </c>
      <c r="R215" s="35">
        <v>46063.0</v>
      </c>
      <c r="S215" s="32" t="s">
        <v>29</v>
      </c>
      <c r="T215" s="33"/>
      <c r="U215" s="33"/>
    </row>
    <row r="216" ht="15.75" customHeight="1">
      <c r="A216" s="20">
        <v>46059.0</v>
      </c>
      <c r="B216" s="20">
        <v>46059.0</v>
      </c>
      <c r="C216" s="20" t="s">
        <v>25</v>
      </c>
      <c r="D216" s="21" t="s">
        <v>69</v>
      </c>
      <c r="E216" s="21" t="s">
        <v>32</v>
      </c>
      <c r="F216" s="22">
        <v>0.047233796296296295</v>
      </c>
      <c r="G216" s="21" t="s">
        <v>33</v>
      </c>
      <c r="H216" s="24"/>
      <c r="I216" s="25"/>
      <c r="J216" s="26"/>
      <c r="K216" s="21"/>
      <c r="L216" s="27">
        <v>46060.0</v>
      </c>
      <c r="M216" s="28">
        <v>0.09722222222222222</v>
      </c>
      <c r="N216" s="29" t="s">
        <v>34</v>
      </c>
      <c r="O216" s="29" t="s">
        <v>35</v>
      </c>
      <c r="P216" s="34" t="s">
        <v>36</v>
      </c>
      <c r="Q216" s="34" t="s">
        <v>230</v>
      </c>
      <c r="R216" s="35">
        <v>46062.0</v>
      </c>
      <c r="S216" s="32" t="s">
        <v>29</v>
      </c>
      <c r="T216" s="33"/>
      <c r="U216" s="33"/>
    </row>
    <row r="217" ht="15.75" customHeight="1">
      <c r="A217" s="20">
        <v>46059.0</v>
      </c>
      <c r="B217" s="20">
        <v>46059.0</v>
      </c>
      <c r="C217" s="20" t="s">
        <v>25</v>
      </c>
      <c r="D217" s="21" t="s">
        <v>34</v>
      </c>
      <c r="E217" s="21" t="s">
        <v>38</v>
      </c>
      <c r="F217" s="22"/>
      <c r="G217" s="23" t="s">
        <v>27</v>
      </c>
      <c r="H217" s="24"/>
      <c r="I217" s="25"/>
      <c r="J217" s="26"/>
      <c r="K217" s="21"/>
      <c r="L217" s="27"/>
      <c r="M217" s="28"/>
      <c r="N217" s="29"/>
      <c r="O217" s="29"/>
      <c r="P217" s="34" t="s">
        <v>28</v>
      </c>
      <c r="Q217" s="34" t="s">
        <v>28</v>
      </c>
      <c r="R217" s="35" t="s">
        <v>28</v>
      </c>
      <c r="S217" s="32" t="s">
        <v>29</v>
      </c>
      <c r="T217" s="33"/>
      <c r="U217" s="33"/>
    </row>
    <row r="218" ht="15.75" customHeight="1">
      <c r="A218" s="20">
        <v>46059.0</v>
      </c>
      <c r="B218" s="20">
        <v>46059.0</v>
      </c>
      <c r="C218" s="20" t="s">
        <v>25</v>
      </c>
      <c r="D218" s="21" t="s">
        <v>34</v>
      </c>
      <c r="E218" s="21" t="s">
        <v>40</v>
      </c>
      <c r="F218" s="22">
        <v>0.008900462962962962</v>
      </c>
      <c r="G218" s="21" t="s">
        <v>33</v>
      </c>
      <c r="H218" s="24"/>
      <c r="I218" s="25"/>
      <c r="J218" s="26"/>
      <c r="K218" s="21"/>
      <c r="L218" s="27">
        <v>46062.0</v>
      </c>
      <c r="M218" s="28">
        <v>0.03125</v>
      </c>
      <c r="N218" s="29" t="s">
        <v>49</v>
      </c>
      <c r="O218" s="29" t="s">
        <v>35</v>
      </c>
      <c r="P218" s="34" t="s">
        <v>36</v>
      </c>
      <c r="Q218" s="34" t="s">
        <v>231</v>
      </c>
      <c r="R218" s="35">
        <v>46062.0</v>
      </c>
      <c r="S218" s="32" t="s">
        <v>29</v>
      </c>
      <c r="T218" s="33"/>
      <c r="U218" s="33"/>
    </row>
    <row r="219" ht="15.75" customHeight="1">
      <c r="A219" s="20">
        <v>46059.0</v>
      </c>
      <c r="B219" s="20">
        <v>46059.0</v>
      </c>
      <c r="C219" s="20"/>
      <c r="D219" s="21"/>
      <c r="E219" s="21" t="s">
        <v>43</v>
      </c>
      <c r="F219" s="22">
        <v>0.012719907407407407</v>
      </c>
      <c r="G219" s="21" t="s">
        <v>33</v>
      </c>
      <c r="H219" s="24"/>
      <c r="I219" s="25"/>
      <c r="J219" s="26"/>
      <c r="K219" s="21"/>
      <c r="L219" s="27">
        <v>46062.0</v>
      </c>
      <c r="M219" s="28">
        <v>0.03819444444444445</v>
      </c>
      <c r="N219" s="29" t="s">
        <v>59</v>
      </c>
      <c r="O219" s="29" t="s">
        <v>35</v>
      </c>
      <c r="P219" s="30" t="s">
        <v>28</v>
      </c>
      <c r="Q219" s="30" t="s">
        <v>28</v>
      </c>
      <c r="R219" s="31" t="s">
        <v>28</v>
      </c>
      <c r="S219" s="32" t="s">
        <v>29</v>
      </c>
      <c r="T219" s="33"/>
      <c r="U219" s="33"/>
    </row>
    <row r="220" ht="15.75" customHeight="1">
      <c r="A220" s="55">
        <v>46060.0</v>
      </c>
      <c r="B220" s="55">
        <v>46060.0</v>
      </c>
      <c r="C220" s="55" t="s">
        <v>25</v>
      </c>
      <c r="D220" s="56" t="s">
        <v>34</v>
      </c>
      <c r="E220" s="56" t="s">
        <v>32</v>
      </c>
      <c r="F220" s="57">
        <v>0.05071759259259259</v>
      </c>
      <c r="G220" s="56" t="s">
        <v>33</v>
      </c>
      <c r="H220" s="24"/>
      <c r="I220" s="25"/>
      <c r="J220" s="26"/>
      <c r="K220" s="21"/>
      <c r="L220" s="27">
        <v>46062.0</v>
      </c>
      <c r="M220" s="28">
        <v>0.125</v>
      </c>
      <c r="N220" s="29" t="s">
        <v>57</v>
      </c>
      <c r="O220" s="29" t="s">
        <v>35</v>
      </c>
      <c r="P220" s="34" t="s">
        <v>36</v>
      </c>
      <c r="Q220" s="34" t="s">
        <v>232</v>
      </c>
      <c r="R220" s="35">
        <v>46062.0</v>
      </c>
      <c r="S220" s="32" t="s">
        <v>29</v>
      </c>
      <c r="T220" s="33"/>
      <c r="U220" s="33"/>
    </row>
    <row r="221" ht="15.75" customHeight="1">
      <c r="A221" s="55">
        <v>46060.0</v>
      </c>
      <c r="B221" s="55">
        <v>46060.0</v>
      </c>
      <c r="C221" s="55" t="s">
        <v>25</v>
      </c>
      <c r="D221" s="56" t="s">
        <v>59</v>
      </c>
      <c r="E221" s="56" t="s">
        <v>40</v>
      </c>
      <c r="F221" s="57">
        <v>0.011238425925925926</v>
      </c>
      <c r="G221" s="56" t="s">
        <v>33</v>
      </c>
      <c r="H221" s="24"/>
      <c r="I221" s="25"/>
      <c r="J221" s="26"/>
      <c r="K221" s="21"/>
      <c r="L221" s="27">
        <v>46062.0</v>
      </c>
      <c r="M221" s="28">
        <v>0.024305555555555556</v>
      </c>
      <c r="N221" s="29" t="s">
        <v>34</v>
      </c>
      <c r="O221" s="29" t="s">
        <v>35</v>
      </c>
      <c r="P221" s="34" t="s">
        <v>36</v>
      </c>
      <c r="Q221" s="34" t="s">
        <v>233</v>
      </c>
      <c r="R221" s="35">
        <v>46062.0</v>
      </c>
      <c r="S221" s="32" t="s">
        <v>29</v>
      </c>
      <c r="T221" s="33"/>
      <c r="U221" s="33"/>
    </row>
    <row r="222" ht="15.75" customHeight="1">
      <c r="A222" s="55">
        <v>46060.0</v>
      </c>
      <c r="B222" s="55">
        <v>46060.0</v>
      </c>
      <c r="C222" s="55"/>
      <c r="D222" s="56"/>
      <c r="E222" s="56" t="s">
        <v>43</v>
      </c>
      <c r="F222" s="57"/>
      <c r="G222" s="56"/>
      <c r="H222" s="24"/>
      <c r="I222" s="25"/>
      <c r="J222" s="26"/>
      <c r="K222" s="21"/>
      <c r="L222" s="27">
        <v>46064.0</v>
      </c>
      <c r="M222" s="28">
        <v>0.041666666666666664</v>
      </c>
      <c r="N222" s="29" t="s">
        <v>59</v>
      </c>
      <c r="O222" s="29" t="s">
        <v>35</v>
      </c>
      <c r="P222" s="30" t="s">
        <v>28</v>
      </c>
      <c r="Q222" s="30" t="s">
        <v>28</v>
      </c>
      <c r="R222" s="31" t="s">
        <v>28</v>
      </c>
      <c r="S222" s="32" t="s">
        <v>29</v>
      </c>
      <c r="T222" s="33"/>
      <c r="U222" s="33"/>
    </row>
    <row r="223" ht="15.75" customHeight="1">
      <c r="A223" s="55">
        <v>46060.0</v>
      </c>
      <c r="B223" s="55">
        <v>46060.0</v>
      </c>
      <c r="C223" s="55" t="s">
        <v>25</v>
      </c>
      <c r="D223" s="56" t="s">
        <v>39</v>
      </c>
      <c r="E223" s="56" t="s">
        <v>234</v>
      </c>
      <c r="F223" s="57">
        <v>0.0403125</v>
      </c>
      <c r="G223" s="56" t="s">
        <v>33</v>
      </c>
      <c r="H223" s="24" t="s">
        <v>235</v>
      </c>
      <c r="I223" s="25" t="s">
        <v>46</v>
      </c>
      <c r="J223" s="26">
        <v>46055.0</v>
      </c>
      <c r="K223" s="21" t="s">
        <v>236</v>
      </c>
      <c r="L223" s="27">
        <v>46065.0</v>
      </c>
      <c r="M223" s="28">
        <v>0.09722222222222222</v>
      </c>
      <c r="N223" s="29" t="s">
        <v>49</v>
      </c>
      <c r="O223" s="29" t="s">
        <v>35</v>
      </c>
      <c r="P223" s="34" t="s">
        <v>36</v>
      </c>
      <c r="Q223" s="34" t="s">
        <v>237</v>
      </c>
      <c r="R223" s="35">
        <v>46058.0</v>
      </c>
      <c r="S223" s="32"/>
      <c r="T223" s="33"/>
      <c r="U223" s="33"/>
    </row>
    <row r="224" ht="15.75" customHeight="1">
      <c r="A224" s="55">
        <v>46060.0</v>
      </c>
      <c r="B224" s="55">
        <v>46060.0</v>
      </c>
      <c r="C224" s="55"/>
      <c r="D224" s="56"/>
      <c r="E224" s="56" t="s">
        <v>61</v>
      </c>
      <c r="F224" s="57"/>
      <c r="G224" s="59" t="s">
        <v>27</v>
      </c>
      <c r="H224" s="24"/>
      <c r="I224" s="25"/>
      <c r="J224" s="26"/>
      <c r="K224" s="21"/>
      <c r="L224" s="27"/>
      <c r="M224" s="28"/>
      <c r="N224" s="29"/>
      <c r="O224" s="29"/>
      <c r="P224" s="34" t="s">
        <v>28</v>
      </c>
      <c r="Q224" s="34" t="s">
        <v>28</v>
      </c>
      <c r="R224" s="35" t="s">
        <v>28</v>
      </c>
      <c r="S224" s="32" t="s">
        <v>29</v>
      </c>
      <c r="T224" s="33"/>
      <c r="U224" s="33"/>
    </row>
    <row r="225" ht="15.75" customHeight="1">
      <c r="A225" s="55">
        <v>46060.0</v>
      </c>
      <c r="B225" s="55">
        <v>46060.0</v>
      </c>
      <c r="C225" s="55"/>
      <c r="D225" s="56"/>
      <c r="E225" s="56" t="s">
        <v>62</v>
      </c>
      <c r="F225" s="57"/>
      <c r="G225" s="59" t="s">
        <v>27</v>
      </c>
      <c r="H225" s="24"/>
      <c r="I225" s="25"/>
      <c r="J225" s="26"/>
      <c r="K225" s="21"/>
      <c r="L225" s="27"/>
      <c r="M225" s="28"/>
      <c r="N225" s="29"/>
      <c r="O225" s="29"/>
      <c r="P225" s="34" t="s">
        <v>28</v>
      </c>
      <c r="Q225" s="34" t="s">
        <v>28</v>
      </c>
      <c r="R225" s="35" t="s">
        <v>28</v>
      </c>
      <c r="S225" s="32" t="s">
        <v>29</v>
      </c>
      <c r="T225" s="33"/>
      <c r="U225" s="33"/>
    </row>
    <row r="226" ht="15.75" customHeight="1">
      <c r="A226" s="55">
        <v>46060.0</v>
      </c>
      <c r="B226" s="55">
        <v>46060.0</v>
      </c>
      <c r="C226" s="55"/>
      <c r="D226" s="56"/>
      <c r="E226" s="56" t="s">
        <v>63</v>
      </c>
      <c r="F226" s="57"/>
      <c r="G226" s="59" t="s">
        <v>27</v>
      </c>
      <c r="H226" s="24"/>
      <c r="I226" s="25"/>
      <c r="J226" s="26"/>
      <c r="K226" s="21"/>
      <c r="L226" s="27"/>
      <c r="M226" s="28"/>
      <c r="N226" s="29"/>
      <c r="O226" s="29"/>
      <c r="P226" s="34" t="s">
        <v>28</v>
      </c>
      <c r="Q226" s="34" t="s">
        <v>28</v>
      </c>
      <c r="R226" s="35" t="s">
        <v>28</v>
      </c>
      <c r="S226" s="32" t="s">
        <v>29</v>
      </c>
      <c r="T226" s="33"/>
      <c r="U226" s="33"/>
    </row>
    <row r="227" ht="15.75" customHeight="1">
      <c r="A227" s="60">
        <v>46061.0</v>
      </c>
      <c r="B227" s="60">
        <v>46061.0</v>
      </c>
      <c r="C227" s="60" t="s">
        <v>42</v>
      </c>
      <c r="D227" s="61" t="s">
        <v>34</v>
      </c>
      <c r="E227" s="61" t="s">
        <v>64</v>
      </c>
      <c r="F227" s="62">
        <v>0.013703703703703704</v>
      </c>
      <c r="G227" s="61" t="s">
        <v>33</v>
      </c>
      <c r="H227" s="24"/>
      <c r="I227" s="25"/>
      <c r="J227" s="26"/>
      <c r="K227" s="21"/>
      <c r="L227" s="27"/>
      <c r="M227" s="28"/>
      <c r="N227" s="29"/>
      <c r="O227" s="29"/>
      <c r="P227" s="34" t="s">
        <v>101</v>
      </c>
      <c r="Q227" s="34">
        <v>1.1964882E7</v>
      </c>
      <c r="R227" s="35">
        <v>46066.0</v>
      </c>
      <c r="S227" s="32" t="s">
        <v>29</v>
      </c>
      <c r="T227" s="33"/>
      <c r="U227" s="33"/>
    </row>
    <row r="228" ht="15.75" customHeight="1">
      <c r="A228" s="60">
        <v>46061.0</v>
      </c>
      <c r="B228" s="60">
        <v>46061.0</v>
      </c>
      <c r="C228" s="60"/>
      <c r="D228" s="61"/>
      <c r="E228" s="61" t="s">
        <v>66</v>
      </c>
      <c r="F228" s="62"/>
      <c r="G228" s="63" t="s">
        <v>102</v>
      </c>
      <c r="H228" s="24"/>
      <c r="I228" s="25"/>
      <c r="J228" s="26"/>
      <c r="K228" s="21"/>
      <c r="L228" s="27"/>
      <c r="M228" s="28"/>
      <c r="N228" s="29"/>
      <c r="O228" s="29"/>
      <c r="P228" s="34" t="s">
        <v>28</v>
      </c>
      <c r="Q228" s="34" t="s">
        <v>28</v>
      </c>
      <c r="R228" s="35" t="s">
        <v>28</v>
      </c>
      <c r="S228" s="32" t="s">
        <v>29</v>
      </c>
      <c r="T228" s="33"/>
      <c r="U228" s="33"/>
    </row>
    <row r="229" ht="15.75" customHeight="1">
      <c r="A229" s="20">
        <v>46062.0</v>
      </c>
      <c r="B229" s="20">
        <v>46062.0</v>
      </c>
      <c r="C229" s="20" t="s">
        <v>25</v>
      </c>
      <c r="D229" s="21" t="s">
        <v>49</v>
      </c>
      <c r="E229" s="21" t="s">
        <v>26</v>
      </c>
      <c r="F229" s="22">
        <v>0.10119212962962963</v>
      </c>
      <c r="G229" s="21" t="s">
        <v>33</v>
      </c>
      <c r="H229" s="24"/>
      <c r="I229" s="25"/>
      <c r="J229" s="26"/>
      <c r="K229" s="21"/>
      <c r="L229" s="27">
        <v>46063.0</v>
      </c>
      <c r="M229" s="28">
        <v>0.2361111111111111</v>
      </c>
      <c r="N229" s="29" t="s">
        <v>34</v>
      </c>
      <c r="O229" s="29" t="s">
        <v>35</v>
      </c>
      <c r="P229" s="34" t="s">
        <v>36</v>
      </c>
      <c r="Q229" s="34" t="s">
        <v>238</v>
      </c>
      <c r="R229" s="35">
        <v>46063.0</v>
      </c>
      <c r="S229" s="32" t="s">
        <v>29</v>
      </c>
      <c r="T229" s="33"/>
      <c r="U229" s="33"/>
    </row>
    <row r="230" ht="15.75" customHeight="1">
      <c r="A230" s="20">
        <v>46062.0</v>
      </c>
      <c r="B230" s="20">
        <v>46062.0</v>
      </c>
      <c r="C230" s="20" t="s">
        <v>25</v>
      </c>
      <c r="D230" s="21" t="s">
        <v>31</v>
      </c>
      <c r="E230" s="21" t="s">
        <v>30</v>
      </c>
      <c r="F230" s="22">
        <v>0.004027777777777778</v>
      </c>
      <c r="G230" s="21" t="s">
        <v>33</v>
      </c>
      <c r="H230" s="24"/>
      <c r="I230" s="25"/>
      <c r="J230" s="26"/>
      <c r="K230" s="21"/>
      <c r="L230" s="27">
        <v>46062.0</v>
      </c>
      <c r="M230" s="28">
        <v>0.010416666666666666</v>
      </c>
      <c r="N230" s="29" t="s">
        <v>31</v>
      </c>
      <c r="O230" s="29" t="s">
        <v>35</v>
      </c>
      <c r="P230" s="34" t="s">
        <v>36</v>
      </c>
      <c r="Q230" s="34" t="s">
        <v>239</v>
      </c>
      <c r="R230" s="35">
        <v>46063.0</v>
      </c>
      <c r="S230" s="32" t="s">
        <v>29</v>
      </c>
      <c r="T230" s="33"/>
      <c r="U230" s="33"/>
    </row>
    <row r="231" ht="15.75" customHeight="1">
      <c r="A231" s="20">
        <v>46062.0</v>
      </c>
      <c r="B231" s="20">
        <v>46062.0</v>
      </c>
      <c r="C231" s="20" t="s">
        <v>25</v>
      </c>
      <c r="D231" s="21" t="s">
        <v>39</v>
      </c>
      <c r="E231" s="21" t="s">
        <v>240</v>
      </c>
      <c r="F231" s="22">
        <v>0.04945601851851852</v>
      </c>
      <c r="G231" s="21" t="s">
        <v>33</v>
      </c>
      <c r="H231" s="24"/>
      <c r="I231" s="25"/>
      <c r="J231" s="26"/>
      <c r="K231" s="21"/>
      <c r="L231" s="27">
        <v>46063.0</v>
      </c>
      <c r="M231" s="28">
        <v>0.125</v>
      </c>
      <c r="N231" s="29" t="s">
        <v>57</v>
      </c>
      <c r="O231" s="29" t="s">
        <v>35</v>
      </c>
      <c r="P231" s="34" t="s">
        <v>36</v>
      </c>
      <c r="Q231" s="34" t="s">
        <v>241</v>
      </c>
      <c r="R231" s="35">
        <v>46063.0</v>
      </c>
      <c r="S231" s="32" t="s">
        <v>29</v>
      </c>
      <c r="T231" s="33"/>
      <c r="U231" s="33"/>
    </row>
    <row r="232" ht="15.75" customHeight="1">
      <c r="A232" s="20">
        <v>46062.0</v>
      </c>
      <c r="B232" s="20">
        <v>46062.0</v>
      </c>
      <c r="C232" s="20"/>
      <c r="D232" s="21"/>
      <c r="E232" s="21" t="s">
        <v>38</v>
      </c>
      <c r="F232" s="22"/>
      <c r="G232" s="23" t="s">
        <v>27</v>
      </c>
      <c r="H232" s="24"/>
      <c r="I232" s="25"/>
      <c r="J232" s="26"/>
      <c r="K232" s="65"/>
      <c r="L232" s="27"/>
      <c r="M232" s="28"/>
      <c r="N232" s="29"/>
      <c r="O232" s="29"/>
      <c r="P232" s="34" t="s">
        <v>28</v>
      </c>
      <c r="Q232" s="34" t="s">
        <v>28</v>
      </c>
      <c r="R232" s="35" t="s">
        <v>28</v>
      </c>
      <c r="S232" s="32" t="s">
        <v>29</v>
      </c>
      <c r="T232" s="33"/>
      <c r="U232" s="79"/>
    </row>
    <row r="233" ht="15.75" customHeight="1">
      <c r="A233" s="20">
        <v>46062.0</v>
      </c>
      <c r="B233" s="20">
        <v>46062.0</v>
      </c>
      <c r="C233" s="20" t="s">
        <v>25</v>
      </c>
      <c r="D233" s="21" t="s">
        <v>39</v>
      </c>
      <c r="E233" s="21" t="s">
        <v>40</v>
      </c>
      <c r="F233" s="22">
        <v>0.01949074074074074</v>
      </c>
      <c r="G233" s="21" t="s">
        <v>33</v>
      </c>
      <c r="H233" s="24"/>
      <c r="I233" s="25"/>
      <c r="J233" s="26"/>
      <c r="K233" s="65"/>
      <c r="L233" s="27">
        <v>46063.0</v>
      </c>
      <c r="M233" s="28">
        <v>0.06388888888888888</v>
      </c>
      <c r="N233" s="29" t="s">
        <v>49</v>
      </c>
      <c r="O233" s="29" t="s">
        <v>35</v>
      </c>
      <c r="P233" s="34" t="s">
        <v>36</v>
      </c>
      <c r="Q233" s="34" t="s">
        <v>242</v>
      </c>
      <c r="R233" s="35">
        <v>46063.0</v>
      </c>
      <c r="S233" s="32" t="s">
        <v>29</v>
      </c>
      <c r="T233" s="33"/>
      <c r="U233" s="79"/>
    </row>
    <row r="234" ht="15.75" customHeight="1">
      <c r="A234" s="20">
        <v>46062.0</v>
      </c>
      <c r="B234" s="20">
        <v>46062.0</v>
      </c>
      <c r="C234" s="20"/>
      <c r="D234" s="21"/>
      <c r="E234" s="21" t="s">
        <v>43</v>
      </c>
      <c r="F234" s="22">
        <v>0.01545138888888889</v>
      </c>
      <c r="G234" s="21" t="s">
        <v>33</v>
      </c>
      <c r="H234" s="24"/>
      <c r="I234" s="25"/>
      <c r="J234" s="26"/>
      <c r="K234" s="21"/>
      <c r="L234" s="27">
        <v>46064.0</v>
      </c>
      <c r="M234" s="28">
        <v>0.041666666666666664</v>
      </c>
      <c r="N234" s="29" t="s">
        <v>31</v>
      </c>
      <c r="O234" s="29" t="s">
        <v>35</v>
      </c>
      <c r="P234" s="30" t="s">
        <v>28</v>
      </c>
      <c r="Q234" s="30" t="s">
        <v>28</v>
      </c>
      <c r="R234" s="31" t="s">
        <v>28</v>
      </c>
      <c r="S234" s="32" t="s">
        <v>29</v>
      </c>
      <c r="T234" s="33"/>
      <c r="U234" s="33"/>
    </row>
    <row r="235" ht="15.75" customHeight="1">
      <c r="A235" s="20">
        <v>46063.0</v>
      </c>
      <c r="B235" s="20">
        <v>46063.0</v>
      </c>
      <c r="C235" s="20" t="s">
        <v>25</v>
      </c>
      <c r="D235" s="21" t="s">
        <v>49</v>
      </c>
      <c r="E235" s="21" t="s">
        <v>26</v>
      </c>
      <c r="F235" s="22">
        <v>0.10121527777777778</v>
      </c>
      <c r="G235" s="21" t="s">
        <v>33</v>
      </c>
      <c r="H235" s="24"/>
      <c r="I235" s="25"/>
      <c r="J235" s="26"/>
      <c r="K235" s="65"/>
      <c r="L235" s="27"/>
      <c r="M235" s="28">
        <v>0.22569444444444445</v>
      </c>
      <c r="N235" s="29" t="s">
        <v>59</v>
      </c>
      <c r="O235" s="29" t="s">
        <v>35</v>
      </c>
      <c r="P235" s="34" t="s">
        <v>36</v>
      </c>
      <c r="Q235" s="34" t="s">
        <v>243</v>
      </c>
      <c r="R235" s="35">
        <v>46064.0</v>
      </c>
      <c r="S235" s="32" t="s">
        <v>29</v>
      </c>
      <c r="T235" s="33"/>
      <c r="U235" s="79"/>
    </row>
    <row r="236" ht="15.75" customHeight="1">
      <c r="A236" s="20">
        <v>46063.0</v>
      </c>
      <c r="B236" s="20">
        <v>46063.0</v>
      </c>
      <c r="C236" s="20" t="s">
        <v>25</v>
      </c>
      <c r="D236" s="21" t="s">
        <v>34</v>
      </c>
      <c r="E236" s="21" t="s">
        <v>30</v>
      </c>
      <c r="F236" s="22">
        <v>0.0036689814814814814</v>
      </c>
      <c r="G236" s="21" t="s">
        <v>33</v>
      </c>
      <c r="H236" s="24"/>
      <c r="I236" s="25"/>
      <c r="J236" s="26"/>
      <c r="K236" s="65"/>
      <c r="L236" s="27">
        <v>46063.0</v>
      </c>
      <c r="M236" s="28">
        <v>0.008333333333333333</v>
      </c>
      <c r="N236" s="29" t="s">
        <v>34</v>
      </c>
      <c r="O236" s="29" t="s">
        <v>35</v>
      </c>
      <c r="P236" s="34" t="s">
        <v>36</v>
      </c>
      <c r="Q236" s="34" t="s">
        <v>244</v>
      </c>
      <c r="R236" s="35">
        <v>46064.0</v>
      </c>
      <c r="S236" s="32" t="s">
        <v>29</v>
      </c>
      <c r="T236" s="33"/>
      <c r="U236" s="33"/>
    </row>
    <row r="237" ht="15.75" customHeight="1">
      <c r="A237" s="20">
        <v>46063.0</v>
      </c>
      <c r="B237" s="20">
        <v>46063.0</v>
      </c>
      <c r="C237" s="20" t="s">
        <v>25</v>
      </c>
      <c r="D237" s="21" t="s">
        <v>69</v>
      </c>
      <c r="E237" s="21" t="s">
        <v>32</v>
      </c>
      <c r="F237" s="22">
        <v>0.05122685185185185</v>
      </c>
      <c r="G237" s="21" t="s">
        <v>33</v>
      </c>
      <c r="H237" s="24"/>
      <c r="I237" s="25"/>
      <c r="J237" s="26"/>
      <c r="K237" s="21"/>
      <c r="L237" s="27">
        <v>46064.0</v>
      </c>
      <c r="M237" s="28">
        <v>0.125</v>
      </c>
      <c r="N237" s="29" t="s">
        <v>57</v>
      </c>
      <c r="O237" s="29" t="s">
        <v>35</v>
      </c>
      <c r="P237" s="34" t="s">
        <v>36</v>
      </c>
      <c r="Q237" s="34" t="s">
        <v>245</v>
      </c>
      <c r="R237" s="35">
        <v>46064.0</v>
      </c>
      <c r="S237" s="32" t="s">
        <v>29</v>
      </c>
      <c r="T237" s="33"/>
      <c r="U237" s="33"/>
    </row>
    <row r="238" ht="15.75" customHeight="1">
      <c r="A238" s="20">
        <v>46063.0</v>
      </c>
      <c r="B238" s="20">
        <v>46063.0</v>
      </c>
      <c r="C238" s="20" t="s">
        <v>25</v>
      </c>
      <c r="D238" s="21" t="s">
        <v>34</v>
      </c>
      <c r="E238" s="21" t="s">
        <v>38</v>
      </c>
      <c r="F238" s="22"/>
      <c r="G238" s="23" t="s">
        <v>27</v>
      </c>
      <c r="H238" s="24"/>
      <c r="I238" s="25"/>
      <c r="J238" s="26"/>
      <c r="K238" s="65"/>
      <c r="L238" s="27"/>
      <c r="M238" s="28"/>
      <c r="N238" s="29"/>
      <c r="O238" s="29"/>
      <c r="P238" s="34" t="s">
        <v>28</v>
      </c>
      <c r="Q238" s="34" t="s">
        <v>28</v>
      </c>
      <c r="R238" s="35" t="s">
        <v>28</v>
      </c>
      <c r="S238" s="32" t="s">
        <v>29</v>
      </c>
      <c r="T238" s="33"/>
      <c r="U238" s="33"/>
    </row>
    <row r="239" ht="15.75" customHeight="1">
      <c r="A239" s="20">
        <v>46063.0</v>
      </c>
      <c r="B239" s="20">
        <v>46063.0</v>
      </c>
      <c r="C239" s="20" t="s">
        <v>25</v>
      </c>
      <c r="D239" s="21" t="s">
        <v>34</v>
      </c>
      <c r="E239" s="21" t="s">
        <v>40</v>
      </c>
      <c r="F239" s="22">
        <v>0.020497685185185185</v>
      </c>
      <c r="G239" s="21" t="s">
        <v>33</v>
      </c>
      <c r="H239" s="24"/>
      <c r="I239" s="25"/>
      <c r="J239" s="26"/>
      <c r="K239" s="21"/>
      <c r="L239" s="27">
        <v>46064.0</v>
      </c>
      <c r="M239" s="28">
        <v>0.04513888888888889</v>
      </c>
      <c r="N239" s="29" t="s">
        <v>34</v>
      </c>
      <c r="O239" s="29" t="s">
        <v>35</v>
      </c>
      <c r="P239" s="34" t="s">
        <v>36</v>
      </c>
      <c r="Q239" s="34" t="s">
        <v>246</v>
      </c>
      <c r="R239" s="35">
        <v>46064.0</v>
      </c>
      <c r="S239" s="32" t="s">
        <v>29</v>
      </c>
      <c r="T239" s="33"/>
      <c r="U239" s="33"/>
    </row>
    <row r="240" ht="15.75" customHeight="1">
      <c r="A240" s="20">
        <v>46063.0</v>
      </c>
      <c r="B240" s="20">
        <v>46063.0</v>
      </c>
      <c r="C240" s="20"/>
      <c r="D240" s="21"/>
      <c r="E240" s="21" t="s">
        <v>43</v>
      </c>
      <c r="F240" s="22">
        <v>0.015219907407407408</v>
      </c>
      <c r="G240" s="21" t="s">
        <v>33</v>
      </c>
      <c r="H240" s="24"/>
      <c r="I240" s="25"/>
      <c r="J240" s="26"/>
      <c r="K240" s="21"/>
      <c r="L240" s="27">
        <v>46065.0</v>
      </c>
      <c r="M240" s="28">
        <v>0.034722222222222224</v>
      </c>
      <c r="N240" s="29" t="s">
        <v>31</v>
      </c>
      <c r="O240" s="29" t="s">
        <v>35</v>
      </c>
      <c r="P240" s="30" t="s">
        <v>28</v>
      </c>
      <c r="Q240" s="30" t="s">
        <v>28</v>
      </c>
      <c r="R240" s="31" t="s">
        <v>28</v>
      </c>
      <c r="S240" s="32" t="s">
        <v>29</v>
      </c>
      <c r="T240" s="33"/>
      <c r="U240" s="33"/>
    </row>
    <row r="241" ht="15.75" customHeight="1">
      <c r="A241" s="36">
        <v>46064.0</v>
      </c>
      <c r="B241" s="36">
        <v>46064.0</v>
      </c>
      <c r="C241" s="36" t="s">
        <v>25</v>
      </c>
      <c r="D241" s="37" t="s">
        <v>49</v>
      </c>
      <c r="E241" s="37" t="s">
        <v>26</v>
      </c>
      <c r="F241" s="38">
        <v>0.10046296296296296</v>
      </c>
      <c r="G241" s="37" t="s">
        <v>33</v>
      </c>
      <c r="H241" s="39" t="s">
        <v>247</v>
      </c>
      <c r="I241" s="40" t="s">
        <v>178</v>
      </c>
      <c r="J241" s="41">
        <v>46064.623611111114</v>
      </c>
      <c r="K241" s="37"/>
      <c r="L241" s="42">
        <v>46065.0</v>
      </c>
      <c r="M241" s="43">
        <v>0.24305555555555555</v>
      </c>
      <c r="N241" s="44" t="s">
        <v>39</v>
      </c>
      <c r="O241" s="44" t="s">
        <v>35</v>
      </c>
      <c r="P241" s="45" t="s">
        <v>36</v>
      </c>
      <c r="Q241" s="45" t="s">
        <v>248</v>
      </c>
      <c r="R241" s="46">
        <v>46066.0</v>
      </c>
      <c r="S241" s="54" t="s">
        <v>29</v>
      </c>
      <c r="T241" s="48"/>
      <c r="U241" s="48"/>
    </row>
    <row r="242" ht="15.75" customHeight="1">
      <c r="A242" s="20">
        <v>46064.0</v>
      </c>
      <c r="B242" s="20">
        <v>46064.0</v>
      </c>
      <c r="C242" s="20" t="s">
        <v>25</v>
      </c>
      <c r="D242" s="70" t="s">
        <v>59</v>
      </c>
      <c r="E242" s="21" t="s">
        <v>30</v>
      </c>
      <c r="F242" s="71">
        <v>0.003935185185185185</v>
      </c>
      <c r="G242" s="70" t="s">
        <v>33</v>
      </c>
      <c r="H242" s="24"/>
      <c r="I242" s="25"/>
      <c r="J242" s="26"/>
      <c r="K242" s="21"/>
      <c r="L242" s="27">
        <v>46064.0</v>
      </c>
      <c r="M242" s="28">
        <v>0.007638888888888889</v>
      </c>
      <c r="N242" s="29" t="s">
        <v>59</v>
      </c>
      <c r="O242" s="29" t="s">
        <v>35</v>
      </c>
      <c r="P242" s="34" t="s">
        <v>36</v>
      </c>
      <c r="Q242" s="34" t="s">
        <v>249</v>
      </c>
      <c r="R242" s="35">
        <v>46065.0</v>
      </c>
      <c r="S242" s="32" t="s">
        <v>29</v>
      </c>
      <c r="T242" s="33"/>
      <c r="U242" s="33"/>
    </row>
    <row r="243" ht="15.75" customHeight="1">
      <c r="A243" s="20">
        <v>46064.0</v>
      </c>
      <c r="B243" s="20">
        <v>46064.0</v>
      </c>
      <c r="C243" s="20" t="s">
        <v>25</v>
      </c>
      <c r="D243" s="21" t="s">
        <v>69</v>
      </c>
      <c r="E243" s="21" t="s">
        <v>32</v>
      </c>
      <c r="F243" s="22">
        <v>0.04756944444444444</v>
      </c>
      <c r="G243" s="21" t="s">
        <v>33</v>
      </c>
      <c r="H243" s="24"/>
      <c r="I243" s="25"/>
      <c r="J243" s="26"/>
      <c r="K243" s="21"/>
      <c r="L243" s="27">
        <v>46065.0</v>
      </c>
      <c r="M243" s="28">
        <v>0.125</v>
      </c>
      <c r="N243" s="29" t="s">
        <v>57</v>
      </c>
      <c r="O243" s="29" t="s">
        <v>35</v>
      </c>
      <c r="P243" s="34" t="s">
        <v>36</v>
      </c>
      <c r="Q243" s="34" t="s">
        <v>250</v>
      </c>
      <c r="R243" s="35">
        <v>46065.0</v>
      </c>
      <c r="S243" s="32" t="s">
        <v>29</v>
      </c>
      <c r="T243" s="33"/>
      <c r="U243" s="33"/>
    </row>
    <row r="244" ht="15.75" customHeight="1">
      <c r="A244" s="20">
        <v>46064.0</v>
      </c>
      <c r="B244" s="20">
        <v>46064.0</v>
      </c>
      <c r="C244" s="20" t="s">
        <v>25</v>
      </c>
      <c r="D244" s="21" t="s">
        <v>34</v>
      </c>
      <c r="E244" s="21" t="s">
        <v>38</v>
      </c>
      <c r="F244" s="22"/>
      <c r="G244" s="23" t="s">
        <v>27</v>
      </c>
      <c r="H244" s="24"/>
      <c r="I244" s="25"/>
      <c r="J244" s="26"/>
      <c r="K244" s="21"/>
      <c r="L244" s="27"/>
      <c r="M244" s="28"/>
      <c r="N244" s="29"/>
      <c r="O244" s="29"/>
      <c r="P244" s="34" t="s">
        <v>28</v>
      </c>
      <c r="Q244" s="34" t="s">
        <v>28</v>
      </c>
      <c r="R244" s="35" t="s">
        <v>28</v>
      </c>
      <c r="S244" s="32" t="s">
        <v>29</v>
      </c>
      <c r="T244" s="33"/>
      <c r="U244" s="33"/>
    </row>
    <row r="245" ht="15.75" customHeight="1">
      <c r="A245" s="20">
        <v>46064.0</v>
      </c>
      <c r="B245" s="20">
        <v>46064.0</v>
      </c>
      <c r="C245" s="20" t="s">
        <v>25</v>
      </c>
      <c r="D245" s="21" t="s">
        <v>34</v>
      </c>
      <c r="E245" s="21" t="s">
        <v>40</v>
      </c>
      <c r="F245" s="22">
        <v>0.018912037037037036</v>
      </c>
      <c r="G245" s="21" t="s">
        <v>33</v>
      </c>
      <c r="H245" s="24"/>
      <c r="I245" s="25"/>
      <c r="J245" s="26"/>
      <c r="K245" s="21"/>
      <c r="L245" s="27">
        <v>46065.0</v>
      </c>
      <c r="M245" s="28">
        <v>0.041666666666666664</v>
      </c>
      <c r="N245" s="29" t="s">
        <v>34</v>
      </c>
      <c r="O245" s="29" t="s">
        <v>35</v>
      </c>
      <c r="P245" s="34" t="s">
        <v>36</v>
      </c>
      <c r="Q245" s="34" t="s">
        <v>251</v>
      </c>
      <c r="R245" s="35">
        <v>46065.0</v>
      </c>
      <c r="S245" s="32" t="s">
        <v>29</v>
      </c>
      <c r="T245" s="33"/>
      <c r="U245" s="33"/>
    </row>
    <row r="246" ht="15.75" customHeight="1">
      <c r="A246" s="20">
        <v>46064.0</v>
      </c>
      <c r="B246" s="20">
        <v>46064.0</v>
      </c>
      <c r="C246" s="20" t="s">
        <v>25</v>
      </c>
      <c r="D246" s="21" t="s">
        <v>39</v>
      </c>
      <c r="E246" s="21" t="s">
        <v>87</v>
      </c>
      <c r="F246" s="22">
        <v>0.0028587962962962963</v>
      </c>
      <c r="G246" s="21" t="s">
        <v>88</v>
      </c>
      <c r="H246" s="24" t="s">
        <v>252</v>
      </c>
      <c r="I246" s="25" t="s">
        <v>46</v>
      </c>
      <c r="J246" s="26">
        <v>46064.0</v>
      </c>
      <c r="K246" s="21" t="s">
        <v>253</v>
      </c>
      <c r="L246" s="27">
        <v>46104.0</v>
      </c>
      <c r="M246" s="28">
        <v>0.008333333333333333</v>
      </c>
      <c r="N246" s="29" t="s">
        <v>39</v>
      </c>
      <c r="O246" s="29" t="s">
        <v>35</v>
      </c>
      <c r="P246" s="34" t="s">
        <v>53</v>
      </c>
      <c r="Q246" s="34">
        <v>1.1972858E7</v>
      </c>
      <c r="R246" s="35">
        <v>46065.0</v>
      </c>
      <c r="S246" s="32"/>
      <c r="T246" s="33"/>
      <c r="U246" s="33"/>
    </row>
    <row r="247" ht="15.75" customHeight="1">
      <c r="A247" s="20">
        <v>46064.0</v>
      </c>
      <c r="B247" s="20">
        <v>46064.0</v>
      </c>
      <c r="C247" s="20" t="s">
        <v>25</v>
      </c>
      <c r="D247" s="21" t="s">
        <v>39</v>
      </c>
      <c r="E247" s="21" t="s">
        <v>87</v>
      </c>
      <c r="F247" s="22">
        <v>0.003726851851851852</v>
      </c>
      <c r="G247" s="21" t="s">
        <v>88</v>
      </c>
      <c r="H247" s="24" t="s">
        <v>254</v>
      </c>
      <c r="I247" s="25" t="s">
        <v>46</v>
      </c>
      <c r="J247" s="26">
        <v>46064.0</v>
      </c>
      <c r="K247" s="21" t="s">
        <v>255</v>
      </c>
      <c r="L247" s="27">
        <v>46104.0</v>
      </c>
      <c r="M247" s="28">
        <v>0.010416666666666666</v>
      </c>
      <c r="N247" s="29" t="s">
        <v>39</v>
      </c>
      <c r="O247" s="29" t="s">
        <v>35</v>
      </c>
      <c r="P247" s="34" t="s">
        <v>53</v>
      </c>
      <c r="Q247" s="34">
        <v>1.1972859E7</v>
      </c>
      <c r="R247" s="35">
        <v>46065.0</v>
      </c>
      <c r="S247" s="32"/>
      <c r="T247" s="33"/>
      <c r="U247" s="33"/>
    </row>
    <row r="248" ht="15.75" customHeight="1">
      <c r="A248" s="20">
        <v>46064.0</v>
      </c>
      <c r="B248" s="20">
        <v>46064.0</v>
      </c>
      <c r="C248" s="20" t="s">
        <v>25</v>
      </c>
      <c r="D248" s="21" t="s">
        <v>39</v>
      </c>
      <c r="E248" s="21" t="s">
        <v>87</v>
      </c>
      <c r="F248" s="22">
        <v>0.004652777777777777</v>
      </c>
      <c r="G248" s="21" t="s">
        <v>88</v>
      </c>
      <c r="H248" s="24" t="s">
        <v>256</v>
      </c>
      <c r="I248" s="25" t="s">
        <v>46</v>
      </c>
      <c r="J248" s="26">
        <v>46064.0</v>
      </c>
      <c r="K248" s="21" t="s">
        <v>257</v>
      </c>
      <c r="L248" s="27">
        <v>46105.0</v>
      </c>
      <c r="M248" s="28">
        <v>0.0125</v>
      </c>
      <c r="N248" s="29" t="s">
        <v>39</v>
      </c>
      <c r="O248" s="29" t="s">
        <v>35</v>
      </c>
      <c r="P248" s="34" t="s">
        <v>53</v>
      </c>
      <c r="Q248" s="34">
        <v>1.197286E7</v>
      </c>
      <c r="R248" s="35">
        <v>46065.0</v>
      </c>
      <c r="S248" s="32"/>
      <c r="T248" s="33"/>
      <c r="U248" s="33"/>
    </row>
    <row r="249" ht="15.75" customHeight="1">
      <c r="A249" s="20">
        <v>46064.0</v>
      </c>
      <c r="B249" s="20">
        <v>46064.0</v>
      </c>
      <c r="C249" s="20" t="s">
        <v>25</v>
      </c>
      <c r="D249" s="21" t="s">
        <v>39</v>
      </c>
      <c r="E249" s="21" t="s">
        <v>87</v>
      </c>
      <c r="F249" s="22">
        <v>0.001990740740740741</v>
      </c>
      <c r="G249" s="21" t="s">
        <v>88</v>
      </c>
      <c r="H249" s="24" t="s">
        <v>258</v>
      </c>
      <c r="I249" s="25" t="s">
        <v>46</v>
      </c>
      <c r="J249" s="26">
        <v>46064.0</v>
      </c>
      <c r="K249" s="21" t="s">
        <v>259</v>
      </c>
      <c r="L249" s="27">
        <v>46134.0</v>
      </c>
      <c r="M249" s="28">
        <v>0.004166666666666667</v>
      </c>
      <c r="N249" s="29" t="s">
        <v>39</v>
      </c>
      <c r="O249" s="29" t="s">
        <v>35</v>
      </c>
      <c r="P249" s="34" t="s">
        <v>53</v>
      </c>
      <c r="Q249" s="34">
        <v>1.1972861E7</v>
      </c>
      <c r="R249" s="35">
        <v>46065.0</v>
      </c>
      <c r="S249" s="32"/>
      <c r="T249" s="33"/>
      <c r="U249" s="33"/>
    </row>
    <row r="250" ht="15.75" customHeight="1">
      <c r="A250" s="20">
        <v>46064.0</v>
      </c>
      <c r="B250" s="20">
        <v>46064.0</v>
      </c>
      <c r="C250" s="20" t="s">
        <v>25</v>
      </c>
      <c r="D250" s="21" t="s">
        <v>39</v>
      </c>
      <c r="E250" s="21" t="s">
        <v>87</v>
      </c>
      <c r="F250" s="22">
        <v>0.0019097222222222222</v>
      </c>
      <c r="G250" s="21" t="s">
        <v>88</v>
      </c>
      <c r="H250" s="80" t="s">
        <v>260</v>
      </c>
      <c r="I250" s="25" t="s">
        <v>46</v>
      </c>
      <c r="J250" s="26">
        <v>46064.0</v>
      </c>
      <c r="K250" s="21"/>
      <c r="L250" s="27">
        <v>46134.0</v>
      </c>
      <c r="M250" s="28">
        <v>0.004861111111111111</v>
      </c>
      <c r="N250" s="29" t="s">
        <v>39</v>
      </c>
      <c r="O250" s="29" t="s">
        <v>35</v>
      </c>
      <c r="P250" s="34" t="s">
        <v>53</v>
      </c>
      <c r="Q250" s="34">
        <v>1.1972862E7</v>
      </c>
      <c r="R250" s="35">
        <v>46065.0</v>
      </c>
      <c r="S250" s="32"/>
      <c r="T250" s="33"/>
      <c r="U250" s="33"/>
    </row>
    <row r="251" ht="15.75" customHeight="1">
      <c r="A251" s="20">
        <v>46064.0</v>
      </c>
      <c r="B251" s="20">
        <v>46064.0</v>
      </c>
      <c r="C251" s="20"/>
      <c r="D251" s="21"/>
      <c r="E251" s="21" t="s">
        <v>43</v>
      </c>
      <c r="F251" s="22">
        <v>0.016527777777777777</v>
      </c>
      <c r="G251" s="21" t="s">
        <v>33</v>
      </c>
      <c r="H251" s="80"/>
      <c r="I251" s="25"/>
      <c r="J251" s="26"/>
      <c r="K251" s="21"/>
      <c r="L251" s="27">
        <v>46065.0</v>
      </c>
      <c r="M251" s="28">
        <v>0.03819444444444445</v>
      </c>
      <c r="N251" s="29" t="s">
        <v>31</v>
      </c>
      <c r="O251" s="29" t="s">
        <v>35</v>
      </c>
      <c r="P251" s="30" t="s">
        <v>28</v>
      </c>
      <c r="Q251" s="30" t="s">
        <v>28</v>
      </c>
      <c r="R251" s="31" t="s">
        <v>28</v>
      </c>
      <c r="S251" s="32" t="s">
        <v>29</v>
      </c>
      <c r="T251" s="33"/>
      <c r="U251" s="33"/>
    </row>
    <row r="252" ht="15.75" customHeight="1">
      <c r="A252" s="20">
        <v>46065.0</v>
      </c>
      <c r="B252" s="20">
        <v>46065.0</v>
      </c>
      <c r="C252" s="20" t="s">
        <v>25</v>
      </c>
      <c r="D252" s="21" t="s">
        <v>49</v>
      </c>
      <c r="E252" s="21" t="s">
        <v>26</v>
      </c>
      <c r="F252" s="22">
        <v>0.09944444444444445</v>
      </c>
      <c r="G252" s="21" t="s">
        <v>33</v>
      </c>
      <c r="H252" s="80"/>
      <c r="I252" s="25"/>
      <c r="J252" s="26"/>
      <c r="K252" s="21"/>
      <c r="L252" s="27">
        <v>46066.0</v>
      </c>
      <c r="M252" s="28">
        <v>0.20833333333333334</v>
      </c>
      <c r="N252" s="29" t="s">
        <v>57</v>
      </c>
      <c r="O252" s="29" t="s">
        <v>35</v>
      </c>
      <c r="P252" s="34" t="s">
        <v>36</v>
      </c>
      <c r="Q252" s="34" t="s">
        <v>261</v>
      </c>
      <c r="R252" s="35">
        <v>46066.0</v>
      </c>
      <c r="S252" s="32" t="s">
        <v>29</v>
      </c>
      <c r="T252" s="33"/>
      <c r="U252" s="33"/>
    </row>
    <row r="253" ht="15.75" customHeight="1">
      <c r="A253" s="20">
        <v>46065.0</v>
      </c>
      <c r="B253" s="20">
        <v>46065.0</v>
      </c>
      <c r="C253" s="20" t="s">
        <v>25</v>
      </c>
      <c r="D253" s="21" t="s">
        <v>39</v>
      </c>
      <c r="E253" s="21" t="s">
        <v>30</v>
      </c>
      <c r="F253" s="22">
        <v>0.0061574074074074074</v>
      </c>
      <c r="G253" s="21" t="s">
        <v>33</v>
      </c>
      <c r="H253" s="80"/>
      <c r="I253" s="25"/>
      <c r="J253" s="26"/>
      <c r="K253" s="21"/>
      <c r="L253" s="27">
        <v>46065.0</v>
      </c>
      <c r="M253" s="28">
        <v>0.020833333333333332</v>
      </c>
      <c r="N253" s="29" t="s">
        <v>39</v>
      </c>
      <c r="O253" s="29" t="s">
        <v>35</v>
      </c>
      <c r="P253" s="34" t="s">
        <v>36</v>
      </c>
      <c r="Q253" s="34" t="s">
        <v>262</v>
      </c>
      <c r="R253" s="35">
        <v>46066.0</v>
      </c>
      <c r="S253" s="32" t="s">
        <v>29</v>
      </c>
      <c r="T253" s="33"/>
      <c r="U253" s="33"/>
    </row>
    <row r="254" ht="15.75" customHeight="1">
      <c r="A254" s="20">
        <v>46065.0</v>
      </c>
      <c r="B254" s="20">
        <v>46065.0</v>
      </c>
      <c r="C254" s="20" t="s">
        <v>25</v>
      </c>
      <c r="D254" s="21" t="s">
        <v>69</v>
      </c>
      <c r="E254" s="21" t="s">
        <v>32</v>
      </c>
      <c r="F254" s="22">
        <v>0.048553240740740744</v>
      </c>
      <c r="G254" s="21" t="s">
        <v>33</v>
      </c>
      <c r="H254" s="80"/>
      <c r="I254" s="25"/>
      <c r="J254" s="26"/>
      <c r="K254" s="21"/>
      <c r="L254" s="27">
        <v>46066.0</v>
      </c>
      <c r="M254" s="28">
        <v>0.12152777777777778</v>
      </c>
      <c r="N254" s="29" t="s">
        <v>34</v>
      </c>
      <c r="O254" s="29" t="s">
        <v>35</v>
      </c>
      <c r="P254" s="34" t="s">
        <v>36</v>
      </c>
      <c r="Q254" s="34" t="s">
        <v>263</v>
      </c>
      <c r="R254" s="35">
        <v>46066.0</v>
      </c>
      <c r="S254" s="32" t="s">
        <v>29</v>
      </c>
      <c r="T254" s="33"/>
      <c r="U254" s="33"/>
    </row>
    <row r="255" ht="15.75" customHeight="1">
      <c r="A255" s="20">
        <v>46065.0</v>
      </c>
      <c r="B255" s="20">
        <v>46065.0</v>
      </c>
      <c r="C255" s="20" t="s">
        <v>25</v>
      </c>
      <c r="D255" s="21" t="s">
        <v>34</v>
      </c>
      <c r="E255" s="21" t="s">
        <v>38</v>
      </c>
      <c r="F255" s="22"/>
      <c r="G255" s="23" t="s">
        <v>27</v>
      </c>
      <c r="H255" s="80"/>
      <c r="I255" s="25"/>
      <c r="J255" s="26"/>
      <c r="K255" s="21"/>
      <c r="L255" s="29"/>
      <c r="M255" s="28"/>
      <c r="N255" s="29"/>
      <c r="O255" s="29"/>
      <c r="P255" s="34" t="s">
        <v>28</v>
      </c>
      <c r="Q255" s="34" t="s">
        <v>28</v>
      </c>
      <c r="R255" s="35" t="s">
        <v>28</v>
      </c>
      <c r="S255" s="32" t="s">
        <v>29</v>
      </c>
      <c r="T255" s="33"/>
      <c r="U255" s="79"/>
    </row>
    <row r="256" ht="15.75" customHeight="1">
      <c r="A256" s="20">
        <v>46065.0</v>
      </c>
      <c r="B256" s="20">
        <v>46065.0</v>
      </c>
      <c r="C256" s="20" t="s">
        <v>25</v>
      </c>
      <c r="D256" s="21" t="s">
        <v>34</v>
      </c>
      <c r="E256" s="21" t="s">
        <v>40</v>
      </c>
      <c r="F256" s="22">
        <v>0.019131944444444444</v>
      </c>
      <c r="G256" s="21" t="s">
        <v>33</v>
      </c>
      <c r="H256" s="80"/>
      <c r="I256" s="25"/>
      <c r="J256" s="26"/>
      <c r="K256" s="21" t="s">
        <v>264</v>
      </c>
      <c r="L256" s="27">
        <v>46066.0</v>
      </c>
      <c r="M256" s="28">
        <v>0.059722222222222225</v>
      </c>
      <c r="N256" s="29" t="s">
        <v>49</v>
      </c>
      <c r="O256" s="29" t="s">
        <v>35</v>
      </c>
      <c r="P256" s="34" t="s">
        <v>36</v>
      </c>
      <c r="Q256" s="34" t="s">
        <v>265</v>
      </c>
      <c r="R256" s="35">
        <v>46066.0</v>
      </c>
      <c r="S256" s="32" t="s">
        <v>29</v>
      </c>
      <c r="T256" s="33"/>
      <c r="U256" s="33"/>
    </row>
    <row r="257" ht="15.75" customHeight="1">
      <c r="A257" s="20">
        <v>46065.0</v>
      </c>
      <c r="B257" s="20">
        <v>46065.0</v>
      </c>
      <c r="C257" s="20"/>
      <c r="D257" s="21"/>
      <c r="E257" s="21" t="s">
        <v>43</v>
      </c>
      <c r="F257" s="22">
        <v>0.017453703703703704</v>
      </c>
      <c r="G257" s="21" t="s">
        <v>33</v>
      </c>
      <c r="H257" s="80"/>
      <c r="I257" s="25"/>
      <c r="J257" s="26"/>
      <c r="K257" s="21"/>
      <c r="L257" s="27">
        <v>46066.0</v>
      </c>
      <c r="M257" s="28">
        <v>0.04027777777777778</v>
      </c>
      <c r="N257" s="29" t="s">
        <v>59</v>
      </c>
      <c r="O257" s="29" t="s">
        <v>35</v>
      </c>
      <c r="P257" s="30" t="s">
        <v>28</v>
      </c>
      <c r="Q257" s="30" t="s">
        <v>28</v>
      </c>
      <c r="R257" s="31" t="s">
        <v>28</v>
      </c>
      <c r="S257" s="32" t="s">
        <v>29</v>
      </c>
      <c r="T257" s="33"/>
      <c r="U257" s="33"/>
    </row>
    <row r="258" ht="15.75" customHeight="1">
      <c r="A258" s="36">
        <v>46066.0</v>
      </c>
      <c r="B258" s="36">
        <v>46066.0</v>
      </c>
      <c r="C258" s="36" t="s">
        <v>25</v>
      </c>
      <c r="D258" s="37" t="s">
        <v>49</v>
      </c>
      <c r="E258" s="37" t="s">
        <v>26</v>
      </c>
      <c r="F258" s="38">
        <v>0.10039351851851852</v>
      </c>
      <c r="G258" s="37" t="s">
        <v>33</v>
      </c>
      <c r="H258" s="81" t="s">
        <v>266</v>
      </c>
      <c r="I258" s="40" t="s">
        <v>178</v>
      </c>
      <c r="J258" s="41">
        <v>46066.61666666667</v>
      </c>
      <c r="K258" s="37" t="s">
        <v>267</v>
      </c>
      <c r="L258" s="42">
        <v>46069.0</v>
      </c>
      <c r="M258" s="43">
        <v>0.1875</v>
      </c>
      <c r="N258" s="44" t="s">
        <v>31</v>
      </c>
      <c r="O258" s="44" t="s">
        <v>35</v>
      </c>
      <c r="P258" s="45" t="s">
        <v>36</v>
      </c>
      <c r="Q258" s="45" t="s">
        <v>268</v>
      </c>
      <c r="R258" s="46">
        <v>46072.0</v>
      </c>
      <c r="S258" s="54" t="s">
        <v>29</v>
      </c>
      <c r="T258" s="33"/>
      <c r="U258" s="33"/>
    </row>
    <row r="259" ht="15.75" customHeight="1">
      <c r="A259" s="20">
        <v>46066.0</v>
      </c>
      <c r="B259" s="20">
        <v>46066.0</v>
      </c>
      <c r="C259" s="20" t="s">
        <v>25</v>
      </c>
      <c r="D259" s="21" t="s">
        <v>57</v>
      </c>
      <c r="E259" s="21" t="s">
        <v>30</v>
      </c>
      <c r="F259" s="22">
        <v>0.002627314814814815</v>
      </c>
      <c r="G259" s="21" t="s">
        <v>33</v>
      </c>
      <c r="H259" s="80"/>
      <c r="I259" s="25"/>
      <c r="J259" s="26"/>
      <c r="K259" s="21"/>
      <c r="L259" s="27">
        <v>46066.0</v>
      </c>
      <c r="M259" s="28">
        <v>0.006944444444444444</v>
      </c>
      <c r="N259" s="29" t="s">
        <v>57</v>
      </c>
      <c r="O259" s="29" t="s">
        <v>35</v>
      </c>
      <c r="P259" s="34" t="s">
        <v>53</v>
      </c>
      <c r="Q259" s="34" t="s">
        <v>269</v>
      </c>
      <c r="R259" s="35">
        <v>46068.0</v>
      </c>
      <c r="S259" s="32" t="s">
        <v>29</v>
      </c>
      <c r="T259" s="33"/>
      <c r="U259" s="33"/>
    </row>
    <row r="260" ht="15.75" customHeight="1">
      <c r="A260" s="20">
        <v>46066.0</v>
      </c>
      <c r="B260" s="20">
        <v>46066.0</v>
      </c>
      <c r="C260" s="20" t="s">
        <v>25</v>
      </c>
      <c r="D260" s="21" t="s">
        <v>31</v>
      </c>
      <c r="E260" s="21" t="s">
        <v>32</v>
      </c>
      <c r="F260" s="22">
        <v>0.048136574074074075</v>
      </c>
      <c r="G260" s="21" t="s">
        <v>33</v>
      </c>
      <c r="H260" s="24" t="s">
        <v>270</v>
      </c>
      <c r="I260" s="25"/>
      <c r="J260" s="26"/>
      <c r="K260" s="21" t="s">
        <v>271</v>
      </c>
      <c r="L260" s="27">
        <v>46066.0</v>
      </c>
      <c r="M260" s="28">
        <v>0.1388888888888889</v>
      </c>
      <c r="N260" s="29" t="s">
        <v>39</v>
      </c>
      <c r="O260" s="29" t="s">
        <v>35</v>
      </c>
      <c r="P260" s="34" t="s">
        <v>36</v>
      </c>
      <c r="Q260" s="34" t="s">
        <v>272</v>
      </c>
      <c r="R260" s="35">
        <v>46072.0</v>
      </c>
      <c r="S260" s="32" t="s">
        <v>29</v>
      </c>
      <c r="T260" s="33"/>
      <c r="U260" s="33"/>
    </row>
    <row r="261" ht="15.75" customHeight="1">
      <c r="A261" s="20">
        <v>46066.0</v>
      </c>
      <c r="B261" s="20">
        <v>46066.0</v>
      </c>
      <c r="C261" s="20"/>
      <c r="D261" s="21"/>
      <c r="E261" s="21" t="s">
        <v>38</v>
      </c>
      <c r="F261" s="22"/>
      <c r="G261" s="23" t="s">
        <v>27</v>
      </c>
      <c r="H261" s="24"/>
      <c r="I261" s="25"/>
      <c r="J261" s="26"/>
      <c r="K261" s="21"/>
      <c r="L261" s="27"/>
      <c r="M261" s="28"/>
      <c r="N261" s="29"/>
      <c r="O261" s="29"/>
      <c r="P261" s="30" t="s">
        <v>28</v>
      </c>
      <c r="Q261" s="30" t="s">
        <v>28</v>
      </c>
      <c r="R261" s="31" t="s">
        <v>28</v>
      </c>
      <c r="S261" s="32" t="s">
        <v>29</v>
      </c>
      <c r="T261" s="33"/>
      <c r="U261" s="33"/>
    </row>
    <row r="262" ht="15.75" customHeight="1">
      <c r="A262" s="20">
        <v>46066.0</v>
      </c>
      <c r="B262" s="20">
        <v>46066.0</v>
      </c>
      <c r="C262" s="20" t="s">
        <v>25</v>
      </c>
      <c r="D262" s="21" t="s">
        <v>39</v>
      </c>
      <c r="E262" s="21" t="s">
        <v>40</v>
      </c>
      <c r="F262" s="22">
        <v>0.020266203703703703</v>
      </c>
      <c r="G262" s="21" t="s">
        <v>33</v>
      </c>
      <c r="H262" s="24"/>
      <c r="I262" s="25"/>
      <c r="J262" s="26"/>
      <c r="K262" s="21"/>
      <c r="L262" s="27">
        <v>46069.0</v>
      </c>
      <c r="M262" s="28">
        <v>0.06041666666666667</v>
      </c>
      <c r="N262" s="29" t="s">
        <v>49</v>
      </c>
      <c r="O262" s="29" t="s">
        <v>35</v>
      </c>
      <c r="P262" s="34" t="s">
        <v>53</v>
      </c>
      <c r="Q262" s="34" t="s">
        <v>273</v>
      </c>
      <c r="R262" s="35">
        <v>46068.0</v>
      </c>
      <c r="S262" s="32" t="s">
        <v>29</v>
      </c>
      <c r="T262" s="33"/>
      <c r="U262" s="33"/>
    </row>
    <row r="263" ht="15.75" customHeight="1">
      <c r="A263" s="20">
        <v>46066.0</v>
      </c>
      <c r="B263" s="20">
        <v>46066.0</v>
      </c>
      <c r="C263" s="20"/>
      <c r="D263" s="21"/>
      <c r="E263" s="21" t="s">
        <v>43</v>
      </c>
      <c r="F263" s="22">
        <v>0.016655092592592593</v>
      </c>
      <c r="G263" s="21" t="s">
        <v>33</v>
      </c>
      <c r="H263" s="24"/>
      <c r="I263" s="25"/>
      <c r="J263" s="26"/>
      <c r="K263" s="21"/>
      <c r="L263" s="27">
        <v>46071.0</v>
      </c>
      <c r="M263" s="28">
        <v>0.03819444444444445</v>
      </c>
      <c r="N263" s="29" t="s">
        <v>34</v>
      </c>
      <c r="O263" s="29" t="s">
        <v>35</v>
      </c>
      <c r="P263" s="30" t="s">
        <v>28</v>
      </c>
      <c r="Q263" s="30" t="s">
        <v>28</v>
      </c>
      <c r="R263" s="31" t="s">
        <v>28</v>
      </c>
      <c r="S263" s="32" t="s">
        <v>29</v>
      </c>
      <c r="T263" s="33"/>
      <c r="U263" s="33"/>
    </row>
    <row r="264" ht="15.75" customHeight="1">
      <c r="A264" s="55">
        <v>46067.0</v>
      </c>
      <c r="B264" s="55">
        <v>46067.0</v>
      </c>
      <c r="C264" s="55" t="s">
        <v>25</v>
      </c>
      <c r="D264" s="56" t="s">
        <v>31</v>
      </c>
      <c r="E264" s="82" t="s">
        <v>274</v>
      </c>
      <c r="F264" s="57">
        <v>0.14474537037037036</v>
      </c>
      <c r="G264" s="56" t="s">
        <v>33</v>
      </c>
      <c r="H264" s="24" t="s">
        <v>275</v>
      </c>
      <c r="I264" s="25" t="s">
        <v>46</v>
      </c>
      <c r="J264" s="26">
        <v>46067.52361111111</v>
      </c>
      <c r="K264" s="21" t="s">
        <v>276</v>
      </c>
      <c r="L264" s="27">
        <v>46107.0</v>
      </c>
      <c r="M264" s="28">
        <v>0.16666666666666666</v>
      </c>
      <c r="N264" s="29" t="s">
        <v>31</v>
      </c>
      <c r="O264" s="29" t="s">
        <v>35</v>
      </c>
      <c r="P264" s="34" t="s">
        <v>53</v>
      </c>
      <c r="Q264" s="34" t="s">
        <v>277</v>
      </c>
      <c r="R264" s="35">
        <v>46068.0</v>
      </c>
      <c r="S264" s="32"/>
      <c r="T264" s="33"/>
      <c r="U264" s="33"/>
    </row>
    <row r="265" ht="15.75" customHeight="1">
      <c r="A265" s="55">
        <v>46067.0</v>
      </c>
      <c r="B265" s="55">
        <v>46067.0</v>
      </c>
      <c r="C265" s="55" t="s">
        <v>25</v>
      </c>
      <c r="D265" s="56" t="s">
        <v>31</v>
      </c>
      <c r="E265" s="56" t="s">
        <v>32</v>
      </c>
      <c r="F265" s="57">
        <v>0.06164351851851852</v>
      </c>
      <c r="G265" s="56" t="s">
        <v>33</v>
      </c>
      <c r="H265" s="24"/>
      <c r="I265" s="25"/>
      <c r="J265" s="26"/>
      <c r="K265" s="21"/>
      <c r="L265" s="27">
        <v>46069.0</v>
      </c>
      <c r="M265" s="28">
        <v>0.14583333333333334</v>
      </c>
      <c r="N265" s="29" t="s">
        <v>59</v>
      </c>
      <c r="O265" s="29" t="s">
        <v>35</v>
      </c>
      <c r="P265" s="34" t="s">
        <v>36</v>
      </c>
      <c r="Q265" s="34" t="s">
        <v>278</v>
      </c>
      <c r="R265" s="35">
        <v>46071.0</v>
      </c>
      <c r="S265" s="32" t="s">
        <v>29</v>
      </c>
      <c r="T265" s="33"/>
      <c r="U265" s="33"/>
    </row>
    <row r="266" ht="15.75" customHeight="1">
      <c r="A266" s="55">
        <v>46067.0</v>
      </c>
      <c r="B266" s="55">
        <v>46067.0</v>
      </c>
      <c r="C266" s="55" t="s">
        <v>25</v>
      </c>
      <c r="D266" s="56" t="s">
        <v>31</v>
      </c>
      <c r="E266" s="82" t="s">
        <v>274</v>
      </c>
      <c r="F266" s="57">
        <v>0.11159722222222222</v>
      </c>
      <c r="G266" s="56" t="s">
        <v>33</v>
      </c>
      <c r="H266" s="24" t="s">
        <v>279</v>
      </c>
      <c r="I266" s="25" t="s">
        <v>46</v>
      </c>
      <c r="J266" s="26">
        <v>46069.243055555555</v>
      </c>
      <c r="K266" s="21" t="s">
        <v>280</v>
      </c>
      <c r="L266" s="27">
        <v>46104.0</v>
      </c>
      <c r="M266" s="28">
        <v>0.1875</v>
      </c>
      <c r="N266" s="29" t="s">
        <v>57</v>
      </c>
      <c r="O266" s="29" t="s">
        <v>35</v>
      </c>
      <c r="P266" s="34" t="s">
        <v>36</v>
      </c>
      <c r="Q266" s="34" t="s">
        <v>281</v>
      </c>
      <c r="R266" s="35">
        <v>46072.0</v>
      </c>
      <c r="S266" s="32"/>
      <c r="T266" s="33"/>
      <c r="U266" s="33"/>
    </row>
    <row r="267" ht="15.75" customHeight="1">
      <c r="A267" s="55">
        <v>46067.0</v>
      </c>
      <c r="B267" s="55">
        <v>46067.0</v>
      </c>
      <c r="C267" s="55" t="s">
        <v>25</v>
      </c>
      <c r="D267" s="56" t="s">
        <v>31</v>
      </c>
      <c r="E267" s="56" t="s">
        <v>40</v>
      </c>
      <c r="F267" s="57">
        <v>0.013171296296296296</v>
      </c>
      <c r="G267" s="56" t="s">
        <v>33</v>
      </c>
      <c r="H267" s="24"/>
      <c r="I267" s="25"/>
      <c r="J267" s="26"/>
      <c r="K267" s="21"/>
      <c r="L267" s="27">
        <v>46069.0</v>
      </c>
      <c r="M267" s="28">
        <v>0.05555555555555555</v>
      </c>
      <c r="N267" s="29" t="s">
        <v>39</v>
      </c>
      <c r="O267" s="29" t="s">
        <v>35</v>
      </c>
      <c r="P267" s="34" t="s">
        <v>36</v>
      </c>
      <c r="Q267" s="34" t="s">
        <v>282</v>
      </c>
      <c r="R267" s="35">
        <v>46071.0</v>
      </c>
      <c r="S267" s="32" t="s">
        <v>29</v>
      </c>
      <c r="T267" s="33"/>
      <c r="U267" s="33"/>
    </row>
    <row r="268" ht="15.75" customHeight="1">
      <c r="A268" s="55">
        <v>46067.0</v>
      </c>
      <c r="B268" s="55">
        <v>46067.0</v>
      </c>
      <c r="C268" s="55"/>
      <c r="D268" s="56"/>
      <c r="E268" s="56" t="s">
        <v>43</v>
      </c>
      <c r="F268" s="57">
        <v>0.012939814814814815</v>
      </c>
      <c r="G268" s="56" t="s">
        <v>33</v>
      </c>
      <c r="H268" s="24"/>
      <c r="I268" s="25"/>
      <c r="J268" s="26"/>
      <c r="K268" s="21"/>
      <c r="L268" s="27">
        <v>46071.0</v>
      </c>
      <c r="M268" s="28">
        <v>0.027777777777777776</v>
      </c>
      <c r="N268" s="29" t="s">
        <v>34</v>
      </c>
      <c r="O268" s="29" t="s">
        <v>35</v>
      </c>
      <c r="P268" s="30" t="s">
        <v>28</v>
      </c>
      <c r="Q268" s="30" t="s">
        <v>28</v>
      </c>
      <c r="R268" s="31" t="s">
        <v>28</v>
      </c>
      <c r="S268" s="32" t="s">
        <v>29</v>
      </c>
      <c r="T268" s="33"/>
      <c r="U268" s="33"/>
    </row>
    <row r="269" ht="15.75" customHeight="1">
      <c r="A269" s="55">
        <v>46067.0</v>
      </c>
      <c r="B269" s="55">
        <v>46067.0</v>
      </c>
      <c r="C269" s="55"/>
      <c r="D269" s="56"/>
      <c r="E269" s="56" t="s">
        <v>61</v>
      </c>
      <c r="F269" s="57"/>
      <c r="G269" s="59" t="s">
        <v>27</v>
      </c>
      <c r="H269" s="24"/>
      <c r="I269" s="25"/>
      <c r="J269" s="26"/>
      <c r="K269" s="21"/>
      <c r="L269" s="27"/>
      <c r="M269" s="28"/>
      <c r="N269" s="29"/>
      <c r="O269" s="29"/>
      <c r="P269" s="34" t="s">
        <v>28</v>
      </c>
      <c r="Q269" s="34" t="s">
        <v>28</v>
      </c>
      <c r="R269" s="34" t="s">
        <v>28</v>
      </c>
      <c r="S269" s="32" t="s">
        <v>29</v>
      </c>
      <c r="T269" s="33"/>
      <c r="U269" s="79"/>
    </row>
    <row r="270" ht="15.75" customHeight="1">
      <c r="A270" s="55">
        <v>46067.0</v>
      </c>
      <c r="B270" s="55">
        <v>46067.0</v>
      </c>
      <c r="C270" s="55"/>
      <c r="D270" s="56"/>
      <c r="E270" s="56" t="s">
        <v>62</v>
      </c>
      <c r="F270" s="57"/>
      <c r="G270" s="59" t="s">
        <v>27</v>
      </c>
      <c r="H270" s="24"/>
      <c r="I270" s="25"/>
      <c r="J270" s="26"/>
      <c r="K270" s="21"/>
      <c r="L270" s="27"/>
      <c r="M270" s="28"/>
      <c r="N270" s="29"/>
      <c r="O270" s="29"/>
      <c r="P270" s="34" t="s">
        <v>28</v>
      </c>
      <c r="Q270" s="34" t="s">
        <v>28</v>
      </c>
      <c r="R270" s="34" t="s">
        <v>28</v>
      </c>
      <c r="S270" s="32" t="s">
        <v>29</v>
      </c>
      <c r="T270" s="33"/>
      <c r="U270" s="79"/>
    </row>
    <row r="271" ht="15.75" customHeight="1">
      <c r="A271" s="55">
        <v>46067.0</v>
      </c>
      <c r="B271" s="55">
        <v>46067.0</v>
      </c>
      <c r="C271" s="55"/>
      <c r="D271" s="56"/>
      <c r="E271" s="56" t="s">
        <v>63</v>
      </c>
      <c r="F271" s="57"/>
      <c r="G271" s="59" t="s">
        <v>27</v>
      </c>
      <c r="H271" s="24"/>
      <c r="I271" s="25"/>
      <c r="J271" s="26"/>
      <c r="K271" s="21"/>
      <c r="L271" s="27"/>
      <c r="M271" s="28"/>
      <c r="N271" s="29"/>
      <c r="O271" s="29"/>
      <c r="P271" s="34" t="s">
        <v>28</v>
      </c>
      <c r="Q271" s="34" t="s">
        <v>28</v>
      </c>
      <c r="R271" s="34" t="s">
        <v>28</v>
      </c>
      <c r="S271" s="32" t="s">
        <v>29</v>
      </c>
      <c r="T271" s="33"/>
      <c r="U271" s="33"/>
    </row>
    <row r="272" ht="15.75" customHeight="1">
      <c r="A272" s="60">
        <v>46068.0</v>
      </c>
      <c r="B272" s="60">
        <v>46068.0</v>
      </c>
      <c r="C272" s="60" t="s">
        <v>42</v>
      </c>
      <c r="D272" s="61" t="s">
        <v>39</v>
      </c>
      <c r="E272" s="61" t="s">
        <v>64</v>
      </c>
      <c r="F272" s="62">
        <v>0.016805555555555556</v>
      </c>
      <c r="G272" s="61" t="s">
        <v>33</v>
      </c>
      <c r="H272" s="24"/>
      <c r="I272" s="25"/>
      <c r="J272" s="26"/>
      <c r="K272" s="21"/>
      <c r="L272" s="27"/>
      <c r="M272" s="28"/>
      <c r="N272" s="29"/>
      <c r="O272" s="29"/>
      <c r="P272" s="34" t="s">
        <v>101</v>
      </c>
      <c r="Q272" s="34">
        <v>1.1972147E7</v>
      </c>
      <c r="R272" s="35">
        <v>46070.0</v>
      </c>
      <c r="S272" s="32" t="s">
        <v>29</v>
      </c>
      <c r="T272" s="33"/>
      <c r="U272" s="33"/>
    </row>
    <row r="273" ht="15.75" customHeight="1">
      <c r="A273" s="60">
        <v>46068.0</v>
      </c>
      <c r="B273" s="60">
        <v>46069.0</v>
      </c>
      <c r="C273" s="60" t="s">
        <v>25</v>
      </c>
      <c r="D273" s="61" t="s">
        <v>59</v>
      </c>
      <c r="E273" s="61" t="s">
        <v>274</v>
      </c>
      <c r="F273" s="62">
        <v>0.03418981481481481</v>
      </c>
      <c r="G273" s="61" t="s">
        <v>33</v>
      </c>
      <c r="H273" s="24" t="s">
        <v>283</v>
      </c>
      <c r="I273" s="25" t="s">
        <v>46</v>
      </c>
      <c r="J273" s="26">
        <v>46069.4625</v>
      </c>
      <c r="K273" s="21" t="s">
        <v>284</v>
      </c>
      <c r="L273" s="27">
        <v>46142.0</v>
      </c>
      <c r="M273" s="28">
        <v>0.0763888888888889</v>
      </c>
      <c r="N273" s="29" t="s">
        <v>34</v>
      </c>
      <c r="O273" s="29" t="s">
        <v>35</v>
      </c>
      <c r="P273" s="34" t="s">
        <v>36</v>
      </c>
      <c r="Q273" s="45" t="s">
        <v>285</v>
      </c>
      <c r="R273" s="35">
        <v>46072.0</v>
      </c>
      <c r="S273" s="32"/>
      <c r="T273" s="33"/>
      <c r="U273" s="33"/>
    </row>
    <row r="274" ht="15.75" customHeight="1">
      <c r="A274" s="60">
        <v>46068.0</v>
      </c>
      <c r="B274" s="60">
        <v>46068.0</v>
      </c>
      <c r="C274" s="60"/>
      <c r="D274" s="61"/>
      <c r="E274" s="61" t="s">
        <v>66</v>
      </c>
      <c r="F274" s="62"/>
      <c r="G274" s="63" t="s">
        <v>27</v>
      </c>
      <c r="H274" s="24"/>
      <c r="I274" s="25"/>
      <c r="J274" s="26"/>
      <c r="K274" s="21"/>
      <c r="L274" s="27"/>
      <c r="M274" s="28"/>
      <c r="N274" s="29"/>
      <c r="O274" s="29"/>
      <c r="P274" s="34" t="s">
        <v>28</v>
      </c>
      <c r="Q274" s="34" t="s">
        <v>28</v>
      </c>
      <c r="R274" s="35" t="s">
        <v>28</v>
      </c>
      <c r="S274" s="32" t="s">
        <v>29</v>
      </c>
      <c r="T274" s="33"/>
      <c r="U274" s="79"/>
    </row>
    <row r="275" ht="15.75" customHeight="1">
      <c r="A275" s="83">
        <v>46068.0</v>
      </c>
      <c r="B275" s="83">
        <v>46070.0</v>
      </c>
      <c r="C275" s="83" t="s">
        <v>25</v>
      </c>
      <c r="D275" s="84" t="s">
        <v>59</v>
      </c>
      <c r="E275" s="84" t="s">
        <v>274</v>
      </c>
      <c r="F275" s="85">
        <v>0.16770833333333332</v>
      </c>
      <c r="G275" s="84" t="s">
        <v>33</v>
      </c>
      <c r="H275" s="39" t="s">
        <v>286</v>
      </c>
      <c r="I275" s="40"/>
      <c r="J275" s="41"/>
      <c r="K275" s="86" t="s">
        <v>287</v>
      </c>
      <c r="L275" s="42">
        <v>46076.0</v>
      </c>
      <c r="M275" s="43">
        <v>0.14930555555555555</v>
      </c>
      <c r="N275" s="44" t="s">
        <v>59</v>
      </c>
      <c r="O275" s="44" t="s">
        <v>35</v>
      </c>
      <c r="P275" s="45" t="s">
        <v>36</v>
      </c>
      <c r="Q275" s="45" t="s">
        <v>288</v>
      </c>
      <c r="R275" s="35">
        <v>46072.0</v>
      </c>
      <c r="S275" s="47"/>
      <c r="T275" s="48"/>
      <c r="U275" s="87"/>
    </row>
    <row r="276" ht="15.75" customHeight="1">
      <c r="A276" s="20">
        <v>46069.0</v>
      </c>
      <c r="B276" s="20">
        <v>46069.0</v>
      </c>
      <c r="C276" s="20" t="s">
        <v>25</v>
      </c>
      <c r="D276" s="21" t="s">
        <v>49</v>
      </c>
      <c r="E276" s="21" t="s">
        <v>26</v>
      </c>
      <c r="F276" s="22">
        <v>0.09186342592592593</v>
      </c>
      <c r="G276" s="21" t="s">
        <v>33</v>
      </c>
      <c r="H276" s="24"/>
      <c r="I276" s="25"/>
      <c r="J276" s="26"/>
      <c r="K276" s="21"/>
      <c r="L276" s="27">
        <v>46070.0</v>
      </c>
      <c r="M276" s="28">
        <v>0.20833333333333334</v>
      </c>
      <c r="N276" s="29" t="s">
        <v>59</v>
      </c>
      <c r="O276" s="29" t="s">
        <v>35</v>
      </c>
      <c r="P276" s="34" t="s">
        <v>36</v>
      </c>
      <c r="Q276" s="34" t="s">
        <v>289</v>
      </c>
      <c r="R276" s="35">
        <v>46071.0</v>
      </c>
      <c r="S276" s="32" t="s">
        <v>29</v>
      </c>
      <c r="T276" s="33"/>
      <c r="U276" s="79"/>
    </row>
    <row r="277" ht="15.75" customHeight="1">
      <c r="A277" s="20">
        <v>46069.0</v>
      </c>
      <c r="B277" s="20">
        <v>46069.0</v>
      </c>
      <c r="C277" s="20" t="s">
        <v>25</v>
      </c>
      <c r="D277" s="21" t="s">
        <v>31</v>
      </c>
      <c r="E277" s="21" t="s">
        <v>30</v>
      </c>
      <c r="F277" s="22">
        <v>0.004525462962962963</v>
      </c>
      <c r="G277" s="21" t="s">
        <v>33</v>
      </c>
      <c r="H277" s="24"/>
      <c r="I277" s="25"/>
      <c r="J277" s="26"/>
      <c r="K277" s="21"/>
      <c r="L277" s="27">
        <v>46069.0</v>
      </c>
      <c r="M277" s="28">
        <v>0.013888888888888888</v>
      </c>
      <c r="N277" s="29" t="s">
        <v>31</v>
      </c>
      <c r="O277" s="29" t="s">
        <v>35</v>
      </c>
      <c r="P277" s="34" t="s">
        <v>36</v>
      </c>
      <c r="Q277" s="34" t="s">
        <v>290</v>
      </c>
      <c r="R277" s="35">
        <v>46071.0</v>
      </c>
      <c r="S277" s="32" t="s">
        <v>29</v>
      </c>
      <c r="T277" s="33"/>
      <c r="U277" s="79"/>
    </row>
    <row r="278" ht="15.75" customHeight="1">
      <c r="A278" s="88">
        <v>46069.0</v>
      </c>
      <c r="B278" s="88">
        <v>46069.0</v>
      </c>
      <c r="C278" s="88" t="s">
        <v>25</v>
      </c>
      <c r="D278" s="89" t="s">
        <v>59</v>
      </c>
      <c r="E278" s="89" t="s">
        <v>32</v>
      </c>
      <c r="F278" s="90">
        <v>0.050034722222222223</v>
      </c>
      <c r="G278" s="89" t="s">
        <v>33</v>
      </c>
      <c r="H278" s="91"/>
      <c r="I278" s="92"/>
      <c r="J278" s="93"/>
      <c r="K278" s="89" t="s">
        <v>291</v>
      </c>
      <c r="L278" s="94">
        <v>46070.0</v>
      </c>
      <c r="M278" s="95">
        <v>0.125</v>
      </c>
      <c r="N278" s="96" t="s">
        <v>31</v>
      </c>
      <c r="O278" s="96" t="s">
        <v>35</v>
      </c>
      <c r="P278" s="97" t="s">
        <v>36</v>
      </c>
      <c r="Q278" s="97" t="s">
        <v>292</v>
      </c>
      <c r="R278" s="98">
        <v>46072.0</v>
      </c>
      <c r="S278" s="32" t="s">
        <v>29</v>
      </c>
      <c r="T278" s="99"/>
      <c r="U278" s="99"/>
    </row>
    <row r="279" ht="15.75" customHeight="1">
      <c r="A279" s="20">
        <v>46069.0</v>
      </c>
      <c r="B279" s="20">
        <v>46069.0</v>
      </c>
      <c r="C279" s="20"/>
      <c r="D279" s="21"/>
      <c r="E279" s="21" t="s">
        <v>38</v>
      </c>
      <c r="F279" s="22"/>
      <c r="G279" s="23" t="s">
        <v>27</v>
      </c>
      <c r="H279" s="24"/>
      <c r="I279" s="25"/>
      <c r="J279" s="26"/>
      <c r="K279" s="21"/>
      <c r="L279" s="27"/>
      <c r="M279" s="28"/>
      <c r="N279" s="29"/>
      <c r="O279" s="29"/>
      <c r="P279" s="34" t="s">
        <v>28</v>
      </c>
      <c r="Q279" s="34" t="s">
        <v>28</v>
      </c>
      <c r="R279" s="35" t="s">
        <v>28</v>
      </c>
      <c r="S279" s="32" t="s">
        <v>29</v>
      </c>
      <c r="T279" s="33"/>
      <c r="U279" s="33"/>
    </row>
    <row r="280" ht="15.75" customHeight="1">
      <c r="A280" s="20">
        <v>46069.0</v>
      </c>
      <c r="B280" s="20">
        <v>46069.0</v>
      </c>
      <c r="C280" s="20" t="s">
        <v>25</v>
      </c>
      <c r="D280" s="21" t="s">
        <v>39</v>
      </c>
      <c r="E280" s="21" t="s">
        <v>40</v>
      </c>
      <c r="F280" s="22">
        <v>0.017916666666666668</v>
      </c>
      <c r="G280" s="21" t="s">
        <v>33</v>
      </c>
      <c r="H280" s="24"/>
      <c r="I280" s="25"/>
      <c r="J280" s="26"/>
      <c r="K280" s="21"/>
      <c r="L280" s="27">
        <v>46070.0</v>
      </c>
      <c r="M280" s="28">
        <v>0.0763888888888889</v>
      </c>
      <c r="N280" s="29" t="s">
        <v>39</v>
      </c>
      <c r="O280" s="29" t="s">
        <v>35</v>
      </c>
      <c r="P280" s="34" t="s">
        <v>36</v>
      </c>
      <c r="Q280" s="34" t="s">
        <v>293</v>
      </c>
      <c r="R280" s="35">
        <v>46071.0</v>
      </c>
      <c r="S280" s="32" t="s">
        <v>29</v>
      </c>
      <c r="T280" s="33"/>
      <c r="U280" s="33"/>
    </row>
    <row r="281" ht="15.75" customHeight="1">
      <c r="A281" s="20">
        <v>46069.0</v>
      </c>
      <c r="B281" s="20">
        <v>46069.0</v>
      </c>
      <c r="C281" s="20"/>
      <c r="D281" s="21"/>
      <c r="E281" s="21" t="s">
        <v>43</v>
      </c>
      <c r="F281" s="22">
        <v>0.015694444444444445</v>
      </c>
      <c r="G281" s="21" t="s">
        <v>33</v>
      </c>
      <c r="H281" s="24"/>
      <c r="I281" s="25"/>
      <c r="J281" s="26"/>
      <c r="K281" s="21"/>
      <c r="L281" s="27">
        <v>46072.0</v>
      </c>
      <c r="M281" s="28">
        <v>0.03819444444444445</v>
      </c>
      <c r="N281" s="29" t="s">
        <v>34</v>
      </c>
      <c r="O281" s="29" t="s">
        <v>35</v>
      </c>
      <c r="P281" s="34" t="s">
        <v>28</v>
      </c>
      <c r="Q281" s="34"/>
      <c r="R281" s="35"/>
      <c r="S281" s="32" t="s">
        <v>29</v>
      </c>
      <c r="T281" s="33"/>
      <c r="U281" s="33"/>
    </row>
    <row r="282" ht="15.75" customHeight="1">
      <c r="A282" s="36">
        <v>46069.0</v>
      </c>
      <c r="B282" s="36">
        <v>46069.0</v>
      </c>
      <c r="C282" s="36" t="s">
        <v>25</v>
      </c>
      <c r="D282" s="37" t="s">
        <v>59</v>
      </c>
      <c r="E282" s="37" t="s">
        <v>274</v>
      </c>
      <c r="F282" s="38">
        <v>0.0671875</v>
      </c>
      <c r="G282" s="37" t="s">
        <v>33</v>
      </c>
      <c r="H282" s="39" t="s">
        <v>294</v>
      </c>
      <c r="I282" s="40"/>
      <c r="J282" s="41"/>
      <c r="K282" s="37" t="s">
        <v>295</v>
      </c>
      <c r="L282" s="42">
        <v>46211.0</v>
      </c>
      <c r="M282" s="43">
        <v>0.10416666666666667</v>
      </c>
      <c r="N282" s="44" t="s">
        <v>34</v>
      </c>
      <c r="O282" s="44" t="s">
        <v>35</v>
      </c>
      <c r="P282" s="45" t="s">
        <v>36</v>
      </c>
      <c r="Q282" s="45" t="s">
        <v>296</v>
      </c>
      <c r="R282" s="46">
        <v>46072.0</v>
      </c>
      <c r="S282" s="54"/>
      <c r="T282" s="33"/>
      <c r="U282" s="33"/>
    </row>
    <row r="283" ht="15.75" customHeight="1">
      <c r="A283" s="36">
        <v>46069.0</v>
      </c>
      <c r="B283" s="36">
        <v>46069.0</v>
      </c>
      <c r="C283" s="36" t="s">
        <v>25</v>
      </c>
      <c r="D283" s="37" t="s">
        <v>39</v>
      </c>
      <c r="E283" s="37" t="s">
        <v>87</v>
      </c>
      <c r="F283" s="38">
        <v>0.0038773148148148148</v>
      </c>
      <c r="G283" s="37" t="s">
        <v>88</v>
      </c>
      <c r="H283" s="39" t="s">
        <v>297</v>
      </c>
      <c r="I283" s="40" t="s">
        <v>46</v>
      </c>
      <c r="J283" s="41">
        <v>46069.0</v>
      </c>
      <c r="K283" s="37" t="s">
        <v>298</v>
      </c>
      <c r="L283" s="42">
        <v>46134.0</v>
      </c>
      <c r="M283" s="43">
        <v>0.008333333333333333</v>
      </c>
      <c r="N283" s="44" t="s">
        <v>39</v>
      </c>
      <c r="O283" s="44" t="s">
        <v>35</v>
      </c>
      <c r="P283" s="45" t="s">
        <v>53</v>
      </c>
      <c r="Q283" s="45">
        <v>1.1974404E7</v>
      </c>
      <c r="R283" s="46">
        <v>46072.0</v>
      </c>
      <c r="S283" s="54"/>
      <c r="T283" s="33"/>
      <c r="U283" s="33"/>
    </row>
    <row r="284" ht="15.75" customHeight="1">
      <c r="A284" s="36">
        <v>46069.0</v>
      </c>
      <c r="B284" s="36">
        <v>46069.0</v>
      </c>
      <c r="C284" s="36" t="s">
        <v>25</v>
      </c>
      <c r="D284" s="37" t="s">
        <v>39</v>
      </c>
      <c r="E284" s="37" t="s">
        <v>87</v>
      </c>
      <c r="F284" s="38">
        <v>0.003912037037037037</v>
      </c>
      <c r="G284" s="37" t="s">
        <v>88</v>
      </c>
      <c r="H284" s="69" t="s">
        <v>299</v>
      </c>
      <c r="I284" s="40" t="s">
        <v>46</v>
      </c>
      <c r="J284" s="41">
        <v>46069.0</v>
      </c>
      <c r="K284" s="37" t="s">
        <v>300</v>
      </c>
      <c r="L284" s="42">
        <v>46134.0</v>
      </c>
      <c r="M284" s="43">
        <v>0.009027777777777777</v>
      </c>
      <c r="N284" s="44" t="s">
        <v>39</v>
      </c>
      <c r="O284" s="44" t="s">
        <v>35</v>
      </c>
      <c r="P284" s="45" t="s">
        <v>53</v>
      </c>
      <c r="Q284" s="45">
        <v>1.1974405E7</v>
      </c>
      <c r="R284" s="46">
        <v>46072.0</v>
      </c>
      <c r="S284" s="54"/>
      <c r="T284" s="33"/>
      <c r="U284" s="33"/>
    </row>
    <row r="285" ht="15.75" customHeight="1">
      <c r="A285" s="36">
        <v>46069.0</v>
      </c>
      <c r="B285" s="36">
        <v>46069.0</v>
      </c>
      <c r="C285" s="36" t="s">
        <v>25</v>
      </c>
      <c r="D285" s="37" t="s">
        <v>39</v>
      </c>
      <c r="E285" s="37" t="s">
        <v>87</v>
      </c>
      <c r="F285" s="38">
        <v>0.0035069444444444445</v>
      </c>
      <c r="G285" s="37" t="s">
        <v>88</v>
      </c>
      <c r="H285" s="39" t="s">
        <v>301</v>
      </c>
      <c r="I285" s="40" t="s">
        <v>46</v>
      </c>
      <c r="J285" s="41">
        <v>46069.0</v>
      </c>
      <c r="K285" s="37" t="s">
        <v>302</v>
      </c>
      <c r="L285" s="42">
        <v>46136.0</v>
      </c>
      <c r="M285" s="43">
        <v>0.010416666666666666</v>
      </c>
      <c r="N285" s="44" t="s">
        <v>39</v>
      </c>
      <c r="O285" s="44" t="s">
        <v>35</v>
      </c>
      <c r="P285" s="45" t="s">
        <v>53</v>
      </c>
      <c r="Q285" s="45">
        <v>1.1974406E7</v>
      </c>
      <c r="R285" s="46">
        <v>46072.0</v>
      </c>
      <c r="S285" s="54"/>
      <c r="T285" s="33"/>
      <c r="U285" s="33"/>
    </row>
    <row r="286" ht="15.75" customHeight="1">
      <c r="A286" s="36">
        <v>46069.0</v>
      </c>
      <c r="B286" s="36">
        <v>46069.0</v>
      </c>
      <c r="C286" s="36" t="s">
        <v>25</v>
      </c>
      <c r="D286" s="37" t="s">
        <v>39</v>
      </c>
      <c r="E286" s="37" t="s">
        <v>87</v>
      </c>
      <c r="F286" s="38">
        <v>0.005752314814814815</v>
      </c>
      <c r="G286" s="37" t="s">
        <v>88</v>
      </c>
      <c r="H286" s="39" t="s">
        <v>303</v>
      </c>
      <c r="I286" s="40" t="s">
        <v>46</v>
      </c>
      <c r="J286" s="41">
        <v>46069.0</v>
      </c>
      <c r="K286" s="37" t="s">
        <v>304</v>
      </c>
      <c r="L286" s="42">
        <v>46136.0</v>
      </c>
      <c r="M286" s="43">
        <v>0.011805555555555555</v>
      </c>
      <c r="N286" s="44" t="s">
        <v>39</v>
      </c>
      <c r="O286" s="44" t="s">
        <v>35</v>
      </c>
      <c r="P286" s="45" t="s">
        <v>53</v>
      </c>
      <c r="Q286" s="45">
        <v>1.1974407E7</v>
      </c>
      <c r="R286" s="46">
        <v>46072.0</v>
      </c>
      <c r="S286" s="54"/>
      <c r="T286" s="33"/>
      <c r="U286" s="33"/>
    </row>
    <row r="287" ht="15.75" customHeight="1">
      <c r="A287" s="20">
        <v>46070.0</v>
      </c>
      <c r="B287" s="20">
        <v>46070.0</v>
      </c>
      <c r="C287" s="20" t="s">
        <v>25</v>
      </c>
      <c r="D287" s="21" t="s">
        <v>31</v>
      </c>
      <c r="E287" s="21" t="s">
        <v>26</v>
      </c>
      <c r="F287" s="22">
        <v>0.09408564814814815</v>
      </c>
      <c r="G287" s="21" t="s">
        <v>33</v>
      </c>
      <c r="H287" s="24"/>
      <c r="I287" s="25"/>
      <c r="J287" s="26"/>
      <c r="K287" s="21"/>
      <c r="L287" s="27">
        <v>46071.0</v>
      </c>
      <c r="M287" s="28">
        <v>0.21875</v>
      </c>
      <c r="N287" s="29" t="s">
        <v>59</v>
      </c>
      <c r="O287" s="29" t="s">
        <v>35</v>
      </c>
      <c r="P287" s="34" t="s">
        <v>36</v>
      </c>
      <c r="Q287" s="34">
        <v>1.1974408E7</v>
      </c>
      <c r="R287" s="35">
        <v>46071.0</v>
      </c>
      <c r="S287" s="32" t="s">
        <v>29</v>
      </c>
      <c r="T287" s="33"/>
      <c r="U287" s="79"/>
    </row>
    <row r="288" ht="15.75" customHeight="1">
      <c r="A288" s="20">
        <v>46070.0</v>
      </c>
      <c r="B288" s="20">
        <v>46070.0</v>
      </c>
      <c r="C288" s="20" t="s">
        <v>25</v>
      </c>
      <c r="D288" s="21" t="s">
        <v>31</v>
      </c>
      <c r="E288" s="21" t="s">
        <v>30</v>
      </c>
      <c r="F288" s="22">
        <v>0.0017708333333333332</v>
      </c>
      <c r="G288" s="21" t="s">
        <v>33</v>
      </c>
      <c r="H288" s="24"/>
      <c r="I288" s="25"/>
      <c r="J288" s="26"/>
      <c r="K288" s="21"/>
      <c r="L288" s="27">
        <v>46071.0</v>
      </c>
      <c r="M288" s="28">
        <v>0.003472222222222222</v>
      </c>
      <c r="N288" s="29" t="s">
        <v>59</v>
      </c>
      <c r="O288" s="29" t="s">
        <v>35</v>
      </c>
      <c r="P288" s="34" t="s">
        <v>36</v>
      </c>
      <c r="Q288" s="34">
        <v>1.1974409E7</v>
      </c>
      <c r="R288" s="35">
        <v>46071.0</v>
      </c>
      <c r="S288" s="32" t="s">
        <v>29</v>
      </c>
      <c r="T288" s="33"/>
      <c r="U288" s="33"/>
    </row>
    <row r="289" ht="15.75" customHeight="1">
      <c r="A289" s="20">
        <v>46070.0</v>
      </c>
      <c r="B289" s="20">
        <v>46070.0</v>
      </c>
      <c r="C289" s="20" t="s">
        <v>25</v>
      </c>
      <c r="D289" s="21" t="s">
        <v>59</v>
      </c>
      <c r="E289" s="21" t="s">
        <v>32</v>
      </c>
      <c r="F289" s="22">
        <v>0.050034722222222223</v>
      </c>
      <c r="G289" s="21" t="s">
        <v>33</v>
      </c>
      <c r="H289" s="24"/>
      <c r="I289" s="25"/>
      <c r="J289" s="26"/>
      <c r="K289" s="21" t="s">
        <v>305</v>
      </c>
      <c r="L289" s="27">
        <v>46071.0</v>
      </c>
      <c r="M289" s="28">
        <v>0.125</v>
      </c>
      <c r="N289" s="29" t="s">
        <v>31</v>
      </c>
      <c r="O289" s="29" t="s">
        <v>35</v>
      </c>
      <c r="P289" s="34" t="s">
        <v>36</v>
      </c>
      <c r="Q289" s="34">
        <v>1.197441E7</v>
      </c>
      <c r="R289" s="35">
        <v>46072.0</v>
      </c>
      <c r="S289" s="32" t="s">
        <v>29</v>
      </c>
      <c r="T289" s="33"/>
      <c r="U289" s="33"/>
    </row>
    <row r="290" ht="15.75" customHeight="1">
      <c r="A290" s="20">
        <v>46070.0</v>
      </c>
      <c r="B290" s="20">
        <v>46070.0</v>
      </c>
      <c r="C290" s="20"/>
      <c r="D290" s="21"/>
      <c r="E290" s="21" t="s">
        <v>38</v>
      </c>
      <c r="F290" s="22"/>
      <c r="G290" s="23" t="s">
        <v>27</v>
      </c>
      <c r="H290" s="24"/>
      <c r="I290" s="25"/>
      <c r="J290" s="26"/>
      <c r="K290" s="21"/>
      <c r="L290" s="27"/>
      <c r="M290" s="28"/>
      <c r="N290" s="29"/>
      <c r="O290" s="29"/>
      <c r="P290" s="34" t="s">
        <v>28</v>
      </c>
      <c r="Q290" s="34" t="s">
        <v>28</v>
      </c>
      <c r="R290" s="35" t="s">
        <v>28</v>
      </c>
      <c r="S290" s="32" t="s">
        <v>29</v>
      </c>
      <c r="T290" s="33"/>
      <c r="U290" s="33"/>
    </row>
    <row r="291" ht="15.75" customHeight="1">
      <c r="A291" s="20">
        <v>46070.0</v>
      </c>
      <c r="B291" s="20">
        <v>46070.0</v>
      </c>
      <c r="C291" s="20" t="s">
        <v>25</v>
      </c>
      <c r="D291" s="21" t="s">
        <v>39</v>
      </c>
      <c r="E291" s="21" t="s">
        <v>40</v>
      </c>
      <c r="F291" s="22">
        <v>0.015381944444444445</v>
      </c>
      <c r="G291" s="21" t="s">
        <v>33</v>
      </c>
      <c r="H291" s="24"/>
      <c r="I291" s="25"/>
      <c r="J291" s="26"/>
      <c r="K291" s="21"/>
      <c r="L291" s="27">
        <v>46071.0</v>
      </c>
      <c r="M291" s="28">
        <v>0.05763888888888889</v>
      </c>
      <c r="N291" s="29" t="s">
        <v>49</v>
      </c>
      <c r="O291" s="29" t="s">
        <v>35</v>
      </c>
      <c r="P291" s="34" t="s">
        <v>36</v>
      </c>
      <c r="Q291" s="34" t="s">
        <v>306</v>
      </c>
      <c r="R291" s="35">
        <v>46071.0</v>
      </c>
      <c r="S291" s="32" t="s">
        <v>29</v>
      </c>
      <c r="T291" s="33"/>
      <c r="U291" s="33"/>
    </row>
    <row r="292" ht="15.75" customHeight="1">
      <c r="A292" s="20">
        <v>46070.0</v>
      </c>
      <c r="B292" s="20">
        <v>46070.0</v>
      </c>
      <c r="C292" s="20"/>
      <c r="D292" s="21"/>
      <c r="E292" s="21" t="s">
        <v>43</v>
      </c>
      <c r="F292" s="22">
        <v>0.016724537037037038</v>
      </c>
      <c r="G292" s="21" t="s">
        <v>33</v>
      </c>
      <c r="H292" s="24"/>
      <c r="I292" s="25"/>
      <c r="J292" s="26"/>
      <c r="K292" s="21"/>
      <c r="L292" s="27">
        <v>46072.0</v>
      </c>
      <c r="M292" s="28">
        <v>0.034722222222222224</v>
      </c>
      <c r="N292" s="29" t="s">
        <v>34</v>
      </c>
      <c r="O292" s="29" t="s">
        <v>35</v>
      </c>
      <c r="P292" s="34" t="s">
        <v>28</v>
      </c>
      <c r="Q292" s="34"/>
      <c r="R292" s="35"/>
      <c r="S292" s="32" t="s">
        <v>29</v>
      </c>
      <c r="T292" s="33"/>
      <c r="U292" s="33"/>
    </row>
    <row r="293" ht="15.75" customHeight="1">
      <c r="A293" s="36">
        <v>46070.0</v>
      </c>
      <c r="B293" s="36">
        <v>46070.0</v>
      </c>
      <c r="C293" s="36" t="s">
        <v>25</v>
      </c>
      <c r="D293" s="37" t="s">
        <v>39</v>
      </c>
      <c r="E293" s="37" t="s">
        <v>274</v>
      </c>
      <c r="F293" s="38">
        <v>0.0795949074074074</v>
      </c>
      <c r="G293" s="37" t="s">
        <v>33</v>
      </c>
      <c r="H293" s="39" t="s">
        <v>307</v>
      </c>
      <c r="I293" s="40" t="s">
        <v>46</v>
      </c>
      <c r="J293" s="41">
        <v>46070.87708333333</v>
      </c>
      <c r="K293" s="21" t="s">
        <v>308</v>
      </c>
      <c r="L293" s="27"/>
      <c r="M293" s="28"/>
      <c r="N293" s="29" t="s">
        <v>39</v>
      </c>
      <c r="O293" s="29"/>
      <c r="P293" s="34" t="s">
        <v>36</v>
      </c>
      <c r="Q293" s="34" t="s">
        <v>309</v>
      </c>
      <c r="R293" s="35">
        <v>46071.0</v>
      </c>
      <c r="S293" s="32"/>
      <c r="T293" s="33"/>
      <c r="U293" s="33"/>
    </row>
    <row r="294" ht="15.75" customHeight="1">
      <c r="A294" s="36">
        <v>46070.0</v>
      </c>
      <c r="B294" s="36">
        <v>46070.0</v>
      </c>
      <c r="C294" s="36" t="s">
        <v>25</v>
      </c>
      <c r="D294" s="37" t="s">
        <v>39</v>
      </c>
      <c r="E294" s="37" t="s">
        <v>87</v>
      </c>
      <c r="F294" s="38">
        <v>0.0013078703703703703</v>
      </c>
      <c r="G294" s="37" t="s">
        <v>88</v>
      </c>
      <c r="H294" s="39" t="s">
        <v>310</v>
      </c>
      <c r="I294" s="40" t="s">
        <v>46</v>
      </c>
      <c r="J294" s="41">
        <v>46070.0</v>
      </c>
      <c r="K294" s="37" t="s">
        <v>311</v>
      </c>
      <c r="L294" s="42">
        <v>46136.0</v>
      </c>
      <c r="M294" s="43">
        <v>0.004166666666666667</v>
      </c>
      <c r="N294" s="44" t="s">
        <v>39</v>
      </c>
      <c r="O294" s="44" t="s">
        <v>35</v>
      </c>
      <c r="P294" s="45" t="s">
        <v>53</v>
      </c>
      <c r="Q294" s="34">
        <v>1.1974408E7</v>
      </c>
      <c r="R294" s="46">
        <v>46072.0</v>
      </c>
      <c r="S294" s="32"/>
      <c r="T294" s="33"/>
      <c r="U294" s="33"/>
    </row>
    <row r="295" ht="15.75" customHeight="1">
      <c r="A295" s="36">
        <v>46070.0</v>
      </c>
      <c r="B295" s="36">
        <v>46070.0</v>
      </c>
      <c r="C295" s="36" t="s">
        <v>25</v>
      </c>
      <c r="D295" s="37" t="s">
        <v>39</v>
      </c>
      <c r="E295" s="37" t="s">
        <v>87</v>
      </c>
      <c r="F295" s="38">
        <v>0.0025462962962962965</v>
      </c>
      <c r="G295" s="37" t="s">
        <v>88</v>
      </c>
      <c r="H295" s="69" t="s">
        <v>312</v>
      </c>
      <c r="I295" s="40" t="s">
        <v>46</v>
      </c>
      <c r="J295" s="41">
        <v>46070.0</v>
      </c>
      <c r="K295" s="21" t="s">
        <v>313</v>
      </c>
      <c r="L295" s="42">
        <v>46136.0</v>
      </c>
      <c r="M295" s="43">
        <v>0.005555555555555556</v>
      </c>
      <c r="N295" s="44" t="s">
        <v>39</v>
      </c>
      <c r="O295" s="44" t="s">
        <v>35</v>
      </c>
      <c r="P295" s="45" t="s">
        <v>53</v>
      </c>
      <c r="Q295" s="34">
        <v>1.1974409E7</v>
      </c>
      <c r="R295" s="46">
        <v>46072.0</v>
      </c>
      <c r="S295" s="32"/>
      <c r="T295" s="33"/>
      <c r="U295" s="33"/>
    </row>
    <row r="296" ht="15.75" customHeight="1">
      <c r="A296" s="36">
        <v>46070.0</v>
      </c>
      <c r="B296" s="36">
        <v>46070.0</v>
      </c>
      <c r="C296" s="36" t="s">
        <v>25</v>
      </c>
      <c r="D296" s="37" t="s">
        <v>39</v>
      </c>
      <c r="E296" s="37" t="s">
        <v>87</v>
      </c>
      <c r="F296" s="38">
        <v>0.002939814814814815</v>
      </c>
      <c r="G296" s="37" t="s">
        <v>88</v>
      </c>
      <c r="H296" s="39" t="s">
        <v>314</v>
      </c>
      <c r="I296" s="40" t="s">
        <v>46</v>
      </c>
      <c r="J296" s="41">
        <v>46070.0</v>
      </c>
      <c r="K296" s="100" t="s">
        <v>315</v>
      </c>
      <c r="L296" s="42">
        <v>46136.0</v>
      </c>
      <c r="M296" s="43">
        <v>0.011111111111111112</v>
      </c>
      <c r="N296" s="44" t="s">
        <v>39</v>
      </c>
      <c r="O296" s="44" t="s">
        <v>35</v>
      </c>
      <c r="P296" s="45" t="s">
        <v>53</v>
      </c>
      <c r="Q296" s="34">
        <v>1.197441E7</v>
      </c>
      <c r="R296" s="46">
        <v>46072.0</v>
      </c>
      <c r="S296" s="32"/>
      <c r="T296" s="33"/>
      <c r="U296" s="33"/>
    </row>
    <row r="297" ht="15.75" customHeight="1">
      <c r="A297" s="20">
        <v>46071.0</v>
      </c>
      <c r="B297" s="20">
        <v>46071.0</v>
      </c>
      <c r="C297" s="20" t="s">
        <v>25</v>
      </c>
      <c r="D297" s="21" t="s">
        <v>49</v>
      </c>
      <c r="E297" s="21" t="s">
        <v>26</v>
      </c>
      <c r="F297" s="22">
        <v>0.09346064814814815</v>
      </c>
      <c r="G297" s="21" t="s">
        <v>33</v>
      </c>
      <c r="H297" s="24"/>
      <c r="I297" s="25"/>
      <c r="J297" s="26"/>
      <c r="K297" s="21"/>
      <c r="L297" s="27">
        <v>46072.0</v>
      </c>
      <c r="M297" s="28">
        <v>0.2465277777777778</v>
      </c>
      <c r="N297" s="29" t="s">
        <v>39</v>
      </c>
      <c r="O297" s="29" t="s">
        <v>35</v>
      </c>
      <c r="P297" s="34" t="s">
        <v>36</v>
      </c>
      <c r="Q297" s="34" t="s">
        <v>316</v>
      </c>
      <c r="R297" s="35">
        <v>46072.0</v>
      </c>
      <c r="S297" s="32" t="s">
        <v>29</v>
      </c>
      <c r="T297" s="33"/>
      <c r="U297" s="33"/>
    </row>
    <row r="298" ht="15.75" customHeight="1">
      <c r="A298" s="20">
        <v>46071.0</v>
      </c>
      <c r="B298" s="20">
        <v>46071.0</v>
      </c>
      <c r="C298" s="20" t="s">
        <v>25</v>
      </c>
      <c r="D298" s="70" t="s">
        <v>59</v>
      </c>
      <c r="E298" s="21" t="s">
        <v>30</v>
      </c>
      <c r="F298" s="71">
        <v>0.003125</v>
      </c>
      <c r="G298" s="70" t="s">
        <v>33</v>
      </c>
      <c r="H298" s="24"/>
      <c r="I298" s="25"/>
      <c r="J298" s="26"/>
      <c r="K298" s="21"/>
      <c r="L298" s="27">
        <v>46071.0</v>
      </c>
      <c r="M298" s="28">
        <v>0.006944444444444444</v>
      </c>
      <c r="N298" s="29" t="s">
        <v>59</v>
      </c>
      <c r="O298" s="29" t="s">
        <v>35</v>
      </c>
      <c r="P298" s="34" t="s">
        <v>36</v>
      </c>
      <c r="Q298" s="34" t="s">
        <v>317</v>
      </c>
      <c r="R298" s="35">
        <v>46071.0</v>
      </c>
      <c r="S298" s="32" t="s">
        <v>29</v>
      </c>
      <c r="T298" s="33"/>
      <c r="U298" s="33"/>
    </row>
    <row r="299" ht="15.75" customHeight="1">
      <c r="A299" s="20">
        <v>46071.0</v>
      </c>
      <c r="B299" s="20">
        <v>46071.0</v>
      </c>
      <c r="C299" s="20" t="s">
        <v>25</v>
      </c>
      <c r="D299" s="21" t="s">
        <v>69</v>
      </c>
      <c r="E299" s="21" t="s">
        <v>32</v>
      </c>
      <c r="F299" s="22">
        <v>0.050277777777777775</v>
      </c>
      <c r="G299" s="21" t="s">
        <v>33</v>
      </c>
      <c r="H299" s="24"/>
      <c r="I299" s="25"/>
      <c r="J299" s="26"/>
      <c r="K299" s="21"/>
      <c r="L299" s="27">
        <v>46072.0</v>
      </c>
      <c r="M299" s="28">
        <v>0.125</v>
      </c>
      <c r="N299" s="29" t="s">
        <v>31</v>
      </c>
      <c r="O299" s="29" t="s">
        <v>35</v>
      </c>
      <c r="P299" s="34" t="s">
        <v>36</v>
      </c>
      <c r="Q299" s="34" t="s">
        <v>318</v>
      </c>
      <c r="R299" s="35">
        <v>46072.0</v>
      </c>
      <c r="S299" s="32" t="s">
        <v>29</v>
      </c>
      <c r="T299" s="33"/>
      <c r="U299" s="33"/>
    </row>
    <row r="300" ht="15.75" customHeight="1">
      <c r="A300" s="20">
        <v>46071.0</v>
      </c>
      <c r="B300" s="20">
        <v>46071.0</v>
      </c>
      <c r="C300" s="20" t="s">
        <v>25</v>
      </c>
      <c r="D300" s="21" t="s">
        <v>34</v>
      </c>
      <c r="E300" s="21" t="s">
        <v>38</v>
      </c>
      <c r="F300" s="22"/>
      <c r="G300" s="23" t="s">
        <v>27</v>
      </c>
      <c r="H300" s="24"/>
      <c r="I300" s="25"/>
      <c r="J300" s="26"/>
      <c r="K300" s="21"/>
      <c r="L300" s="27"/>
      <c r="M300" s="28"/>
      <c r="N300" s="29"/>
      <c r="O300" s="29"/>
      <c r="P300" s="34" t="s">
        <v>28</v>
      </c>
      <c r="Q300" s="34" t="s">
        <v>28</v>
      </c>
      <c r="R300" s="35" t="s">
        <v>28</v>
      </c>
      <c r="S300" s="32" t="s">
        <v>29</v>
      </c>
      <c r="T300" s="33"/>
      <c r="U300" s="33"/>
    </row>
    <row r="301" ht="15.75" customHeight="1">
      <c r="A301" s="20">
        <v>46071.0</v>
      </c>
      <c r="B301" s="20">
        <v>46071.0</v>
      </c>
      <c r="C301" s="20" t="s">
        <v>25</v>
      </c>
      <c r="D301" s="21" t="s">
        <v>34</v>
      </c>
      <c r="E301" s="21" t="s">
        <v>40</v>
      </c>
      <c r="F301" s="22">
        <v>0.02042824074074074</v>
      </c>
      <c r="G301" s="21" t="s">
        <v>33</v>
      </c>
      <c r="H301" s="24"/>
      <c r="I301" s="25"/>
      <c r="J301" s="26"/>
      <c r="K301" s="21"/>
      <c r="L301" s="27">
        <v>46072.0</v>
      </c>
      <c r="M301" s="28">
        <v>0.07291666666666667</v>
      </c>
      <c r="N301" s="29" t="s">
        <v>59</v>
      </c>
      <c r="O301" s="29" t="s">
        <v>35</v>
      </c>
      <c r="P301" s="34" t="s">
        <v>36</v>
      </c>
      <c r="Q301" s="34" t="s">
        <v>319</v>
      </c>
      <c r="R301" s="35">
        <v>46072.0</v>
      </c>
      <c r="S301" s="32" t="s">
        <v>29</v>
      </c>
      <c r="T301" s="33"/>
      <c r="U301" s="79"/>
    </row>
    <row r="302" ht="15.75" customHeight="1">
      <c r="A302" s="20">
        <v>46071.0</v>
      </c>
      <c r="B302" s="20">
        <v>46071.0</v>
      </c>
      <c r="C302" s="20"/>
      <c r="D302" s="21"/>
      <c r="E302" s="21" t="s">
        <v>43</v>
      </c>
      <c r="F302" s="22">
        <v>0.014456018518518519</v>
      </c>
      <c r="G302" s="21" t="s">
        <v>33</v>
      </c>
      <c r="H302" s="24"/>
      <c r="I302" s="25"/>
      <c r="J302" s="26"/>
      <c r="K302" s="21"/>
      <c r="L302" s="27">
        <v>46073.0</v>
      </c>
      <c r="M302" s="28">
        <v>0.034722222222222224</v>
      </c>
      <c r="N302" s="29" t="s">
        <v>34</v>
      </c>
      <c r="O302" s="29" t="s">
        <v>35</v>
      </c>
      <c r="P302" s="34" t="s">
        <v>28</v>
      </c>
      <c r="Q302" s="34"/>
      <c r="R302" s="35"/>
      <c r="S302" s="32" t="s">
        <v>29</v>
      </c>
      <c r="T302" s="33"/>
      <c r="U302" s="79"/>
    </row>
    <row r="303" ht="15.75" customHeight="1">
      <c r="A303" s="20">
        <v>46072.0</v>
      </c>
      <c r="B303" s="20">
        <v>46072.0</v>
      </c>
      <c r="C303" s="36" t="s">
        <v>25</v>
      </c>
      <c r="D303" s="37" t="s">
        <v>31</v>
      </c>
      <c r="E303" s="37" t="s">
        <v>26</v>
      </c>
      <c r="F303" s="38">
        <v>0.10143518518518518</v>
      </c>
      <c r="G303" s="37" t="s">
        <v>33</v>
      </c>
      <c r="H303" s="24"/>
      <c r="I303" s="25"/>
      <c r="J303" s="26"/>
      <c r="K303" s="21"/>
      <c r="L303" s="27">
        <v>46073.0</v>
      </c>
      <c r="M303" s="28">
        <v>0.20833333333333334</v>
      </c>
      <c r="N303" s="29" t="s">
        <v>31</v>
      </c>
      <c r="O303" s="29" t="s">
        <v>35</v>
      </c>
      <c r="P303" s="34" t="s">
        <v>36</v>
      </c>
      <c r="Q303" s="45" t="s">
        <v>320</v>
      </c>
      <c r="R303" s="35">
        <v>46076.0</v>
      </c>
      <c r="S303" s="32" t="s">
        <v>29</v>
      </c>
      <c r="T303" s="33"/>
      <c r="U303" s="33"/>
    </row>
    <row r="304" ht="15.75" customHeight="1">
      <c r="A304" s="20">
        <v>46072.0</v>
      </c>
      <c r="B304" s="20">
        <v>46072.0</v>
      </c>
      <c r="C304" s="20" t="s">
        <v>25</v>
      </c>
      <c r="D304" s="21" t="s">
        <v>39</v>
      </c>
      <c r="E304" s="21" t="s">
        <v>30</v>
      </c>
      <c r="F304" s="22">
        <v>0.00525462962962963</v>
      </c>
      <c r="G304" s="21" t="s">
        <v>33</v>
      </c>
      <c r="H304" s="24"/>
      <c r="I304" s="25"/>
      <c r="J304" s="26"/>
      <c r="K304" s="21"/>
      <c r="L304" s="27">
        <v>46072.0</v>
      </c>
      <c r="M304" s="28">
        <v>0.017361111111111112</v>
      </c>
      <c r="N304" s="29" t="s">
        <v>39</v>
      </c>
      <c r="O304" s="29" t="s">
        <v>35</v>
      </c>
      <c r="P304" s="34" t="s">
        <v>36</v>
      </c>
      <c r="Q304" s="34" t="s">
        <v>321</v>
      </c>
      <c r="R304" s="35">
        <v>46073.0</v>
      </c>
      <c r="S304" s="32" t="s">
        <v>29</v>
      </c>
      <c r="T304" s="33"/>
      <c r="U304" s="79"/>
    </row>
    <row r="305" ht="15.75" customHeight="1">
      <c r="A305" s="20">
        <v>46072.0</v>
      </c>
      <c r="B305" s="20">
        <v>46072.0</v>
      </c>
      <c r="C305" s="20" t="s">
        <v>25</v>
      </c>
      <c r="D305" s="21" t="s">
        <v>69</v>
      </c>
      <c r="E305" s="21" t="s">
        <v>32</v>
      </c>
      <c r="F305" s="22">
        <v>0.050694444444444445</v>
      </c>
      <c r="G305" s="21" t="s">
        <v>33</v>
      </c>
      <c r="H305" s="24"/>
      <c r="I305" s="25"/>
      <c r="J305" s="26"/>
      <c r="K305" s="21"/>
      <c r="L305" s="27">
        <v>46073.0</v>
      </c>
      <c r="M305" s="28">
        <v>0.13194444444444445</v>
      </c>
      <c r="N305" s="29" t="s">
        <v>59</v>
      </c>
      <c r="O305" s="29" t="s">
        <v>35</v>
      </c>
      <c r="P305" s="34" t="s">
        <v>36</v>
      </c>
      <c r="Q305" s="34" t="s">
        <v>322</v>
      </c>
      <c r="R305" s="35">
        <v>46073.0</v>
      </c>
      <c r="S305" s="32" t="s">
        <v>29</v>
      </c>
      <c r="T305" s="33"/>
      <c r="U305" s="33"/>
    </row>
    <row r="306" ht="15.75" customHeight="1">
      <c r="A306" s="20">
        <v>46072.0</v>
      </c>
      <c r="B306" s="20">
        <v>46072.0</v>
      </c>
      <c r="C306" s="20" t="s">
        <v>25</v>
      </c>
      <c r="D306" s="21" t="s">
        <v>34</v>
      </c>
      <c r="E306" s="21" t="s">
        <v>38</v>
      </c>
      <c r="F306" s="22"/>
      <c r="G306" s="23" t="s">
        <v>27</v>
      </c>
      <c r="H306" s="24"/>
      <c r="I306" s="25"/>
      <c r="J306" s="26"/>
      <c r="K306" s="21"/>
      <c r="L306" s="27"/>
      <c r="M306" s="28"/>
      <c r="N306" s="29"/>
      <c r="O306" s="29"/>
      <c r="P306" s="34" t="s">
        <v>28</v>
      </c>
      <c r="Q306" s="34" t="s">
        <v>28</v>
      </c>
      <c r="R306" s="35" t="s">
        <v>28</v>
      </c>
      <c r="S306" s="32" t="s">
        <v>29</v>
      </c>
      <c r="T306" s="33"/>
      <c r="U306" s="33"/>
    </row>
    <row r="307" ht="15.75" customHeight="1">
      <c r="A307" s="20">
        <v>46072.0</v>
      </c>
      <c r="B307" s="20">
        <v>46072.0</v>
      </c>
      <c r="C307" s="20" t="s">
        <v>25</v>
      </c>
      <c r="D307" s="21" t="s">
        <v>34</v>
      </c>
      <c r="E307" s="21" t="s">
        <v>40</v>
      </c>
      <c r="F307" s="22">
        <v>0.01835648148148148</v>
      </c>
      <c r="G307" s="21" t="s">
        <v>33</v>
      </c>
      <c r="H307" s="24"/>
      <c r="I307" s="25"/>
      <c r="J307" s="26"/>
      <c r="K307" s="21"/>
      <c r="L307" s="27">
        <v>46073.0</v>
      </c>
      <c r="M307" s="28">
        <v>0.05555555555555555</v>
      </c>
      <c r="N307" s="29" t="s">
        <v>49</v>
      </c>
      <c r="O307" s="29" t="s">
        <v>35</v>
      </c>
      <c r="P307" s="34" t="s">
        <v>36</v>
      </c>
      <c r="Q307" s="34" t="s">
        <v>323</v>
      </c>
      <c r="R307" s="35">
        <v>46073.0</v>
      </c>
      <c r="S307" s="32" t="s">
        <v>29</v>
      </c>
      <c r="T307" s="33"/>
      <c r="U307" s="33"/>
    </row>
    <row r="308" ht="15.75" customHeight="1">
      <c r="A308" s="20">
        <v>46072.0</v>
      </c>
      <c r="B308" s="20">
        <v>46072.0</v>
      </c>
      <c r="C308" s="20"/>
      <c r="D308" s="21"/>
      <c r="E308" s="21" t="s">
        <v>43</v>
      </c>
      <c r="F308" s="22">
        <v>0.016446759259259258</v>
      </c>
      <c r="G308" s="21" t="s">
        <v>33</v>
      </c>
      <c r="H308" s="24"/>
      <c r="I308" s="25"/>
      <c r="J308" s="26"/>
      <c r="K308" s="21"/>
      <c r="L308" s="27">
        <v>46073.0</v>
      </c>
      <c r="M308" s="28">
        <v>0.03819444444444445</v>
      </c>
      <c r="N308" s="29" t="s">
        <v>34</v>
      </c>
      <c r="O308" s="29" t="s">
        <v>35</v>
      </c>
      <c r="P308" s="34" t="s">
        <v>28</v>
      </c>
      <c r="Q308" s="34"/>
      <c r="R308" s="35"/>
      <c r="S308" s="32" t="s">
        <v>29</v>
      </c>
      <c r="T308" s="33"/>
      <c r="U308" s="33"/>
    </row>
    <row r="309" ht="15.75" customHeight="1">
      <c r="A309" s="20">
        <v>46072.0</v>
      </c>
      <c r="B309" s="20">
        <v>46072.0</v>
      </c>
      <c r="C309" s="20" t="s">
        <v>25</v>
      </c>
      <c r="D309" s="21" t="s">
        <v>39</v>
      </c>
      <c r="E309" s="21" t="s">
        <v>87</v>
      </c>
      <c r="F309" s="22">
        <v>0.010729166666666666</v>
      </c>
      <c r="G309" s="21" t="s">
        <v>88</v>
      </c>
      <c r="H309" s="24" t="s">
        <v>324</v>
      </c>
      <c r="I309" s="25" t="s">
        <v>46</v>
      </c>
      <c r="J309" s="26">
        <v>46072.0</v>
      </c>
      <c r="K309" s="21" t="s">
        <v>325</v>
      </c>
      <c r="L309" s="42">
        <v>46136.0</v>
      </c>
      <c r="M309" s="43">
        <v>0.017361111111111112</v>
      </c>
      <c r="N309" s="44" t="s">
        <v>39</v>
      </c>
      <c r="O309" s="44" t="s">
        <v>35</v>
      </c>
      <c r="P309" s="34" t="s">
        <v>53</v>
      </c>
      <c r="Q309" s="34">
        <v>1.1974646E7</v>
      </c>
      <c r="R309" s="35">
        <v>46073.0</v>
      </c>
      <c r="S309" s="32"/>
      <c r="T309" s="33"/>
      <c r="U309" s="33"/>
    </row>
    <row r="310" ht="15.75" customHeight="1">
      <c r="A310" s="20">
        <v>46072.0</v>
      </c>
      <c r="B310" s="20">
        <v>46072.0</v>
      </c>
      <c r="C310" s="20" t="s">
        <v>25</v>
      </c>
      <c r="D310" s="21" t="s">
        <v>39</v>
      </c>
      <c r="E310" s="21" t="s">
        <v>87</v>
      </c>
      <c r="F310" s="22">
        <v>0.003298611111111111</v>
      </c>
      <c r="G310" s="21" t="s">
        <v>88</v>
      </c>
      <c r="H310" s="101" t="s">
        <v>326</v>
      </c>
      <c r="I310" s="25" t="s">
        <v>46</v>
      </c>
      <c r="J310" s="26">
        <v>46072.0</v>
      </c>
      <c r="K310" s="21" t="s">
        <v>327</v>
      </c>
      <c r="L310" s="42">
        <v>46140.0</v>
      </c>
      <c r="M310" s="43">
        <v>0.008333333333333333</v>
      </c>
      <c r="N310" s="44" t="s">
        <v>39</v>
      </c>
      <c r="O310" s="44" t="s">
        <v>35</v>
      </c>
      <c r="P310" s="34" t="s">
        <v>53</v>
      </c>
      <c r="Q310" s="34">
        <v>1.1974647E7</v>
      </c>
      <c r="R310" s="35">
        <v>46073.0</v>
      </c>
      <c r="S310" s="32"/>
      <c r="T310" s="33"/>
      <c r="U310" s="33"/>
    </row>
    <row r="311" ht="15.75" customHeight="1">
      <c r="A311" s="20">
        <v>46072.0</v>
      </c>
      <c r="B311" s="20">
        <v>46072.0</v>
      </c>
      <c r="C311" s="20" t="s">
        <v>25</v>
      </c>
      <c r="D311" s="21" t="s">
        <v>39</v>
      </c>
      <c r="E311" s="21" t="s">
        <v>87</v>
      </c>
      <c r="F311" s="22">
        <v>0.004201388888888889</v>
      </c>
      <c r="G311" s="21" t="s">
        <v>88</v>
      </c>
      <c r="H311" s="24" t="s">
        <v>328</v>
      </c>
      <c r="I311" s="25" t="s">
        <v>46</v>
      </c>
      <c r="J311" s="26">
        <v>46072.0</v>
      </c>
      <c r="K311" s="21" t="s">
        <v>329</v>
      </c>
      <c r="L311" s="42">
        <v>46140.0</v>
      </c>
      <c r="M311" s="43">
        <v>0.011805555555555555</v>
      </c>
      <c r="N311" s="44" t="s">
        <v>39</v>
      </c>
      <c r="O311" s="44" t="s">
        <v>35</v>
      </c>
      <c r="P311" s="34" t="s">
        <v>53</v>
      </c>
      <c r="Q311" s="34">
        <v>1.1974648E7</v>
      </c>
      <c r="R311" s="35">
        <v>46073.0</v>
      </c>
      <c r="S311" s="32"/>
      <c r="T311" s="33"/>
      <c r="U311" s="33"/>
    </row>
    <row r="312" ht="15.75" customHeight="1">
      <c r="A312" s="20">
        <v>46072.0</v>
      </c>
      <c r="B312" s="20">
        <v>46072.0</v>
      </c>
      <c r="C312" s="20" t="s">
        <v>25</v>
      </c>
      <c r="D312" s="21" t="s">
        <v>39</v>
      </c>
      <c r="E312" s="21" t="s">
        <v>87</v>
      </c>
      <c r="F312" s="22">
        <v>0.003981481481481482</v>
      </c>
      <c r="G312" s="21" t="s">
        <v>88</v>
      </c>
      <c r="H312" s="24" t="s">
        <v>330</v>
      </c>
      <c r="I312" s="25" t="s">
        <v>46</v>
      </c>
      <c r="J312" s="26">
        <v>46072.0</v>
      </c>
      <c r="K312" s="21" t="s">
        <v>331</v>
      </c>
      <c r="L312" s="42">
        <v>46154.0</v>
      </c>
      <c r="M312" s="43">
        <v>0.009027777777777777</v>
      </c>
      <c r="N312" s="44" t="s">
        <v>39</v>
      </c>
      <c r="O312" s="44" t="s">
        <v>35</v>
      </c>
      <c r="P312" s="34" t="s">
        <v>53</v>
      </c>
      <c r="Q312" s="34">
        <v>1.1974649E7</v>
      </c>
      <c r="R312" s="35">
        <v>46073.0</v>
      </c>
      <c r="S312" s="32"/>
      <c r="T312" s="33"/>
      <c r="U312" s="33"/>
    </row>
    <row r="313" ht="15.75" customHeight="1">
      <c r="A313" s="20">
        <v>46072.0</v>
      </c>
      <c r="B313" s="20">
        <v>46072.0</v>
      </c>
      <c r="C313" s="20" t="s">
        <v>25</v>
      </c>
      <c r="D313" s="21" t="s">
        <v>39</v>
      </c>
      <c r="E313" s="21" t="s">
        <v>87</v>
      </c>
      <c r="F313" s="22">
        <v>0.002199074074074074</v>
      </c>
      <c r="G313" s="21" t="s">
        <v>88</v>
      </c>
      <c r="H313" s="101" t="s">
        <v>332</v>
      </c>
      <c r="I313" s="25" t="s">
        <v>46</v>
      </c>
      <c r="J313" s="26">
        <v>46072.0</v>
      </c>
      <c r="K313" s="21" t="s">
        <v>333</v>
      </c>
      <c r="L313" s="42">
        <v>46154.0</v>
      </c>
      <c r="M313" s="43">
        <v>0.006944444444444444</v>
      </c>
      <c r="N313" s="44" t="s">
        <v>39</v>
      </c>
      <c r="O313" s="44" t="s">
        <v>35</v>
      </c>
      <c r="P313" s="34" t="s">
        <v>53</v>
      </c>
      <c r="Q313" s="34">
        <v>1.197465E7</v>
      </c>
      <c r="R313" s="35">
        <v>46073.0</v>
      </c>
      <c r="S313" s="32"/>
      <c r="T313" s="33"/>
      <c r="U313" s="33"/>
    </row>
    <row r="314" ht="15.75" customHeight="1">
      <c r="A314" s="20">
        <v>46072.0</v>
      </c>
      <c r="B314" s="20">
        <v>46072.0</v>
      </c>
      <c r="C314" s="20" t="s">
        <v>25</v>
      </c>
      <c r="D314" s="21" t="s">
        <v>39</v>
      </c>
      <c r="E314" s="21" t="s">
        <v>87</v>
      </c>
      <c r="F314" s="22">
        <v>0.00880787037037037</v>
      </c>
      <c r="G314" s="21" t="s">
        <v>88</v>
      </c>
      <c r="H314" s="24" t="s">
        <v>334</v>
      </c>
      <c r="I314" s="25" t="s">
        <v>46</v>
      </c>
      <c r="J314" s="26">
        <v>46072.0</v>
      </c>
      <c r="K314" s="21" t="s">
        <v>335</v>
      </c>
      <c r="L314" s="42">
        <v>46154.0</v>
      </c>
      <c r="M314" s="43">
        <v>0.0125</v>
      </c>
      <c r="N314" s="44" t="s">
        <v>39</v>
      </c>
      <c r="O314" s="44" t="s">
        <v>35</v>
      </c>
      <c r="P314" s="34" t="s">
        <v>53</v>
      </c>
      <c r="Q314" s="34">
        <v>1.1974651E7</v>
      </c>
      <c r="R314" s="35">
        <v>46073.0</v>
      </c>
      <c r="S314" s="32"/>
      <c r="T314" s="33"/>
      <c r="U314" s="33"/>
    </row>
    <row r="315" ht="15.75" customHeight="1">
      <c r="A315" s="20">
        <v>46072.0</v>
      </c>
      <c r="B315" s="20">
        <v>46072.0</v>
      </c>
      <c r="C315" s="20" t="s">
        <v>25</v>
      </c>
      <c r="D315" s="21" t="s">
        <v>39</v>
      </c>
      <c r="E315" s="21" t="s">
        <v>87</v>
      </c>
      <c r="F315" s="22">
        <v>0.00400462962962963</v>
      </c>
      <c r="G315" s="21" t="s">
        <v>88</v>
      </c>
      <c r="H315" s="24" t="s">
        <v>336</v>
      </c>
      <c r="I315" s="25" t="s">
        <v>46</v>
      </c>
      <c r="J315" s="26">
        <v>46072.0</v>
      </c>
      <c r="K315" s="21" t="s">
        <v>337</v>
      </c>
      <c r="L315" s="42">
        <v>46154.0</v>
      </c>
      <c r="M315" s="43">
        <v>0.010416666666666666</v>
      </c>
      <c r="N315" s="44" t="s">
        <v>39</v>
      </c>
      <c r="O315" s="44" t="s">
        <v>35</v>
      </c>
      <c r="P315" s="34" t="s">
        <v>53</v>
      </c>
      <c r="Q315" s="34">
        <v>1.1974652E7</v>
      </c>
      <c r="R315" s="35">
        <v>46073.0</v>
      </c>
      <c r="S315" s="32"/>
      <c r="T315" s="33"/>
      <c r="U315" s="33"/>
    </row>
    <row r="316" ht="15.75" customHeight="1">
      <c r="A316" s="20">
        <v>46072.0</v>
      </c>
      <c r="B316" s="20">
        <v>46072.0</v>
      </c>
      <c r="C316" s="20" t="s">
        <v>25</v>
      </c>
      <c r="D316" s="21" t="s">
        <v>39</v>
      </c>
      <c r="E316" s="21" t="s">
        <v>87</v>
      </c>
      <c r="F316" s="22">
        <v>0.007962962962962963</v>
      </c>
      <c r="G316" s="21" t="s">
        <v>88</v>
      </c>
      <c r="H316" s="24" t="s">
        <v>338</v>
      </c>
      <c r="I316" s="25" t="s">
        <v>46</v>
      </c>
      <c r="J316" s="26">
        <v>46072.0</v>
      </c>
      <c r="K316" s="21" t="s">
        <v>339</v>
      </c>
      <c r="L316" s="42">
        <v>46154.0</v>
      </c>
      <c r="M316" s="43">
        <v>0.0125</v>
      </c>
      <c r="N316" s="44" t="s">
        <v>39</v>
      </c>
      <c r="O316" s="44" t="s">
        <v>35</v>
      </c>
      <c r="P316" s="34" t="s">
        <v>53</v>
      </c>
      <c r="Q316" s="34">
        <v>1.1974653E7</v>
      </c>
      <c r="R316" s="35">
        <v>46073.0</v>
      </c>
      <c r="S316" s="32"/>
      <c r="T316" s="33"/>
      <c r="U316" s="33"/>
    </row>
    <row r="317" ht="15.75" customHeight="1">
      <c r="A317" s="36">
        <v>46073.0</v>
      </c>
      <c r="B317" s="36">
        <v>46073.0</v>
      </c>
      <c r="C317" s="36" t="s">
        <v>25</v>
      </c>
      <c r="D317" s="37" t="s">
        <v>49</v>
      </c>
      <c r="E317" s="37" t="s">
        <v>26</v>
      </c>
      <c r="F317" s="38">
        <v>0.10083333333333333</v>
      </c>
      <c r="G317" s="37" t="s">
        <v>33</v>
      </c>
      <c r="H317" s="39" t="s">
        <v>340</v>
      </c>
      <c r="I317" s="40" t="s">
        <v>46</v>
      </c>
      <c r="J317" s="41">
        <v>46073.64849537037</v>
      </c>
      <c r="K317" s="37" t="s">
        <v>341</v>
      </c>
      <c r="L317" s="42">
        <v>46076.0</v>
      </c>
      <c r="M317" s="43">
        <v>0.1875</v>
      </c>
      <c r="N317" s="44" t="s">
        <v>31</v>
      </c>
      <c r="O317" s="44" t="s">
        <v>35</v>
      </c>
      <c r="P317" s="45" t="s">
        <v>36</v>
      </c>
      <c r="Q317" s="45" t="s">
        <v>342</v>
      </c>
      <c r="R317" s="46">
        <v>46076.0</v>
      </c>
      <c r="S317" s="47" t="s">
        <v>29</v>
      </c>
      <c r="T317" s="48"/>
      <c r="U317" s="48"/>
    </row>
    <row r="318" ht="15.75" customHeight="1">
      <c r="A318" s="20">
        <v>46073.0</v>
      </c>
      <c r="B318" s="20">
        <v>46073.0</v>
      </c>
      <c r="C318" s="20" t="s">
        <v>25</v>
      </c>
      <c r="D318" s="21" t="s">
        <v>31</v>
      </c>
      <c r="E318" s="21" t="s">
        <v>30</v>
      </c>
      <c r="F318" s="22">
        <v>0.008275462962962964</v>
      </c>
      <c r="G318" s="21" t="s">
        <v>33</v>
      </c>
      <c r="H318" s="24"/>
      <c r="I318" s="25"/>
      <c r="J318" s="26"/>
      <c r="K318" s="21"/>
      <c r="L318" s="27">
        <v>46073.0</v>
      </c>
      <c r="M318" s="28">
        <v>0.018055555555555554</v>
      </c>
      <c r="N318" s="29" t="s">
        <v>31</v>
      </c>
      <c r="O318" s="29" t="s">
        <v>35</v>
      </c>
      <c r="P318" s="34" t="s">
        <v>36</v>
      </c>
      <c r="Q318" s="34" t="s">
        <v>343</v>
      </c>
      <c r="R318" s="35">
        <v>46076.0</v>
      </c>
      <c r="S318" s="32" t="s">
        <v>29</v>
      </c>
      <c r="T318" s="33"/>
      <c r="U318" s="33"/>
    </row>
    <row r="319" ht="15.75" customHeight="1">
      <c r="A319" s="20">
        <v>46073.0</v>
      </c>
      <c r="B319" s="20">
        <v>46073.0</v>
      </c>
      <c r="C319" s="20" t="s">
        <v>25</v>
      </c>
      <c r="D319" s="21" t="s">
        <v>69</v>
      </c>
      <c r="E319" s="21" t="s">
        <v>32</v>
      </c>
      <c r="F319" s="22">
        <v>0.048171296296296295</v>
      </c>
      <c r="G319" s="21" t="s">
        <v>33</v>
      </c>
      <c r="H319" s="24" t="s">
        <v>344</v>
      </c>
      <c r="I319" s="40" t="s">
        <v>46</v>
      </c>
      <c r="J319" s="41">
        <v>46073.88391203704</v>
      </c>
      <c r="K319" s="21" t="s">
        <v>345</v>
      </c>
      <c r="L319" s="27">
        <v>46074.0</v>
      </c>
      <c r="M319" s="28">
        <v>0.1597222222222222</v>
      </c>
      <c r="N319" s="29" t="s">
        <v>39</v>
      </c>
      <c r="O319" s="29" t="s">
        <v>35</v>
      </c>
      <c r="P319" s="34" t="s">
        <v>36</v>
      </c>
      <c r="Q319" s="34" t="s">
        <v>346</v>
      </c>
      <c r="R319" s="35">
        <v>46076.0</v>
      </c>
      <c r="S319" s="32" t="s">
        <v>29</v>
      </c>
      <c r="T319" s="33"/>
      <c r="U319" s="33"/>
    </row>
    <row r="320" ht="15.75" customHeight="1">
      <c r="A320" s="20">
        <v>46073.0</v>
      </c>
      <c r="B320" s="20">
        <v>46073.0</v>
      </c>
      <c r="C320" s="20"/>
      <c r="D320" s="21"/>
      <c r="E320" s="21" t="s">
        <v>38</v>
      </c>
      <c r="F320" s="22"/>
      <c r="G320" s="23" t="s">
        <v>27</v>
      </c>
      <c r="H320" s="24"/>
      <c r="I320" s="25"/>
      <c r="J320" s="26"/>
      <c r="K320" s="21"/>
      <c r="L320" s="27"/>
      <c r="M320" s="28"/>
      <c r="N320" s="29"/>
      <c r="O320" s="29"/>
      <c r="P320" s="34" t="s">
        <v>28</v>
      </c>
      <c r="Q320" s="34" t="s">
        <v>28</v>
      </c>
      <c r="R320" s="35" t="s">
        <v>28</v>
      </c>
      <c r="S320" s="32" t="s">
        <v>29</v>
      </c>
      <c r="T320" s="33"/>
      <c r="U320" s="33"/>
    </row>
    <row r="321" ht="15.75" customHeight="1">
      <c r="A321" s="20">
        <v>46073.0</v>
      </c>
      <c r="B321" s="20">
        <v>46073.0</v>
      </c>
      <c r="C321" s="20" t="s">
        <v>25</v>
      </c>
      <c r="D321" s="21" t="s">
        <v>34</v>
      </c>
      <c r="E321" s="21" t="s">
        <v>40</v>
      </c>
      <c r="F321" s="22">
        <v>0.01880787037037037</v>
      </c>
      <c r="G321" s="21" t="s">
        <v>33</v>
      </c>
      <c r="H321" s="24"/>
      <c r="I321" s="25"/>
      <c r="J321" s="26"/>
      <c r="K321" s="21"/>
      <c r="L321" s="27">
        <v>46076.0</v>
      </c>
      <c r="M321" s="28">
        <v>0.059722222222222225</v>
      </c>
      <c r="N321" s="29" t="s">
        <v>49</v>
      </c>
      <c r="O321" s="29" t="s">
        <v>35</v>
      </c>
      <c r="P321" s="34" t="s">
        <v>36</v>
      </c>
      <c r="Q321" s="34" t="s">
        <v>347</v>
      </c>
      <c r="R321" s="35">
        <v>46076.0</v>
      </c>
      <c r="S321" s="32" t="s">
        <v>29</v>
      </c>
      <c r="T321" s="33"/>
      <c r="U321" s="33"/>
    </row>
    <row r="322" ht="15.75" customHeight="1">
      <c r="A322" s="20">
        <v>46073.0</v>
      </c>
      <c r="B322" s="20">
        <v>46073.0</v>
      </c>
      <c r="C322" s="20"/>
      <c r="D322" s="21"/>
      <c r="E322" s="21" t="s">
        <v>43</v>
      </c>
      <c r="F322" s="22"/>
      <c r="G322" s="21"/>
      <c r="H322" s="24"/>
      <c r="I322" s="25"/>
      <c r="J322" s="26"/>
      <c r="K322" s="21"/>
      <c r="L322" s="27">
        <v>46077.0</v>
      </c>
      <c r="M322" s="28">
        <v>0.041666666666666664</v>
      </c>
      <c r="N322" s="29" t="s">
        <v>59</v>
      </c>
      <c r="O322" s="29" t="s">
        <v>35</v>
      </c>
      <c r="P322" s="34" t="s">
        <v>28</v>
      </c>
      <c r="Q322" s="34"/>
      <c r="R322" s="35"/>
      <c r="S322" s="32" t="s">
        <v>29</v>
      </c>
      <c r="T322" s="33"/>
      <c r="U322" s="33"/>
    </row>
    <row r="323" ht="15.75" customHeight="1">
      <c r="A323" s="55">
        <v>46074.0</v>
      </c>
      <c r="B323" s="55">
        <v>46074.0</v>
      </c>
      <c r="C323" s="55" t="s">
        <v>25</v>
      </c>
      <c r="D323" s="56" t="s">
        <v>39</v>
      </c>
      <c r="E323" s="56" t="s">
        <v>32</v>
      </c>
      <c r="F323" s="57">
        <v>0.05206018518518519</v>
      </c>
      <c r="G323" s="56" t="s">
        <v>33</v>
      </c>
      <c r="H323" s="24"/>
      <c r="I323" s="25"/>
      <c r="J323" s="26"/>
      <c r="K323" s="21"/>
      <c r="L323" s="27">
        <v>46076.0</v>
      </c>
      <c r="M323" s="28">
        <v>0.12152777777777778</v>
      </c>
      <c r="N323" s="29" t="s">
        <v>34</v>
      </c>
      <c r="O323" s="29" t="s">
        <v>35</v>
      </c>
      <c r="P323" s="34" t="s">
        <v>36</v>
      </c>
      <c r="Q323" s="34" t="s">
        <v>348</v>
      </c>
      <c r="R323" s="35">
        <v>46076.0</v>
      </c>
      <c r="S323" s="32" t="s">
        <v>29</v>
      </c>
      <c r="T323" s="33"/>
      <c r="U323" s="33"/>
    </row>
    <row r="324" ht="15.75" customHeight="1">
      <c r="A324" s="55">
        <v>46074.0</v>
      </c>
      <c r="B324" s="55">
        <v>46074.0</v>
      </c>
      <c r="C324" s="55" t="s">
        <v>25</v>
      </c>
      <c r="D324" s="56" t="s">
        <v>59</v>
      </c>
      <c r="E324" s="56" t="s">
        <v>40</v>
      </c>
      <c r="F324" s="57">
        <v>0.014525462962962962</v>
      </c>
      <c r="G324" s="56" t="s">
        <v>33</v>
      </c>
      <c r="H324" s="102"/>
      <c r="I324" s="103"/>
      <c r="J324" s="104"/>
      <c r="K324" s="102"/>
      <c r="L324" s="27">
        <v>46079.0</v>
      </c>
      <c r="M324" s="28">
        <v>0.041666666666666664</v>
      </c>
      <c r="N324" s="29" t="s">
        <v>31</v>
      </c>
      <c r="O324" s="29" t="s">
        <v>35</v>
      </c>
      <c r="P324" s="103" t="s">
        <v>36</v>
      </c>
      <c r="Q324" s="103" t="s">
        <v>349</v>
      </c>
      <c r="R324" s="105">
        <v>46076.0</v>
      </c>
      <c r="S324" s="32" t="s">
        <v>29</v>
      </c>
      <c r="T324" s="33"/>
      <c r="U324" s="33"/>
    </row>
    <row r="325" ht="15.75" customHeight="1">
      <c r="A325" s="55">
        <v>46074.0</v>
      </c>
      <c r="B325" s="55">
        <v>46074.0</v>
      </c>
      <c r="C325" s="55"/>
      <c r="D325" s="56"/>
      <c r="E325" s="56" t="s">
        <v>43</v>
      </c>
      <c r="F325" s="57"/>
      <c r="G325" s="56"/>
      <c r="H325" s="24"/>
      <c r="I325" s="25"/>
      <c r="J325" s="26"/>
      <c r="K325" s="21"/>
      <c r="L325" s="27">
        <v>46078.0</v>
      </c>
      <c r="M325" s="28">
        <v>0.041666666666666664</v>
      </c>
      <c r="N325" s="29" t="s">
        <v>59</v>
      </c>
      <c r="O325" s="29" t="s">
        <v>35</v>
      </c>
      <c r="P325" s="34" t="s">
        <v>28</v>
      </c>
      <c r="Q325" s="34"/>
      <c r="R325" s="35"/>
      <c r="S325" s="32" t="s">
        <v>29</v>
      </c>
      <c r="T325" s="33"/>
      <c r="U325" s="33"/>
    </row>
    <row r="326" ht="15.75" customHeight="1">
      <c r="A326" s="55">
        <v>46074.0</v>
      </c>
      <c r="B326" s="55">
        <v>46074.0</v>
      </c>
      <c r="C326" s="55" t="s">
        <v>25</v>
      </c>
      <c r="D326" s="56" t="s">
        <v>39</v>
      </c>
      <c r="E326" s="56" t="s">
        <v>61</v>
      </c>
      <c r="F326" s="57">
        <v>0.04377314814814815</v>
      </c>
      <c r="G326" s="56" t="s">
        <v>33</v>
      </c>
      <c r="H326" s="24" t="s">
        <v>350</v>
      </c>
      <c r="I326" s="25" t="s">
        <v>46</v>
      </c>
      <c r="J326" s="26">
        <v>46074.0</v>
      </c>
      <c r="K326" s="21" t="s">
        <v>351</v>
      </c>
      <c r="L326" s="27">
        <v>46079.0</v>
      </c>
      <c r="M326" s="28">
        <v>0.09722222222222222</v>
      </c>
      <c r="N326" s="44" t="s">
        <v>31</v>
      </c>
      <c r="O326" s="44" t="s">
        <v>35</v>
      </c>
      <c r="P326" s="34" t="s">
        <v>36</v>
      </c>
      <c r="Q326" s="34" t="s">
        <v>352</v>
      </c>
      <c r="R326" s="35">
        <v>46076.0</v>
      </c>
      <c r="S326" s="32" t="s">
        <v>29</v>
      </c>
      <c r="T326" s="33"/>
      <c r="U326" s="33"/>
    </row>
    <row r="327" ht="15.75" customHeight="1">
      <c r="A327" s="55">
        <v>46074.0</v>
      </c>
      <c r="B327" s="55">
        <v>46074.0</v>
      </c>
      <c r="C327" s="55" t="s">
        <v>25</v>
      </c>
      <c r="D327" s="56" t="s">
        <v>39</v>
      </c>
      <c r="E327" s="56" t="s">
        <v>62</v>
      </c>
      <c r="F327" s="57">
        <v>0.043738425925925924</v>
      </c>
      <c r="G327" s="56" t="s">
        <v>33</v>
      </c>
      <c r="H327" s="24" t="s">
        <v>353</v>
      </c>
      <c r="I327" s="40" t="s">
        <v>46</v>
      </c>
      <c r="J327" s="26">
        <v>46074.0</v>
      </c>
      <c r="K327" s="106" t="s">
        <v>354</v>
      </c>
      <c r="L327" s="27">
        <v>46079.0</v>
      </c>
      <c r="M327" s="28">
        <v>0.003472222222222222</v>
      </c>
      <c r="N327" s="44" t="s">
        <v>31</v>
      </c>
      <c r="O327" s="44" t="s">
        <v>355</v>
      </c>
      <c r="P327" s="34" t="s">
        <v>36</v>
      </c>
      <c r="Q327" s="34" t="s">
        <v>356</v>
      </c>
      <c r="R327" s="35">
        <v>46076.0</v>
      </c>
      <c r="S327" s="32" t="s">
        <v>29</v>
      </c>
      <c r="T327" s="33"/>
      <c r="U327" s="33"/>
    </row>
    <row r="328" ht="15.75" customHeight="1">
      <c r="A328" s="55">
        <v>46074.0</v>
      </c>
      <c r="B328" s="55">
        <v>46074.0</v>
      </c>
      <c r="C328" s="55" t="s">
        <v>25</v>
      </c>
      <c r="D328" s="56" t="s">
        <v>39</v>
      </c>
      <c r="E328" s="56" t="s">
        <v>61</v>
      </c>
      <c r="F328" s="57">
        <v>0.004085648148148148</v>
      </c>
      <c r="G328" s="56" t="s">
        <v>357</v>
      </c>
      <c r="H328" s="24" t="s">
        <v>358</v>
      </c>
      <c r="I328" s="40" t="s">
        <v>46</v>
      </c>
      <c r="J328" s="26">
        <v>46080.0</v>
      </c>
      <c r="K328" s="106" t="s">
        <v>359</v>
      </c>
      <c r="L328" s="27">
        <v>46083.0</v>
      </c>
      <c r="M328" s="28">
        <v>0.005555555555555556</v>
      </c>
      <c r="N328" s="44" t="s">
        <v>39</v>
      </c>
      <c r="O328" s="44" t="s">
        <v>35</v>
      </c>
      <c r="P328" s="34" t="s">
        <v>36</v>
      </c>
      <c r="Q328" s="34">
        <v>1.1996616E7</v>
      </c>
      <c r="R328" s="35">
        <v>46084.0</v>
      </c>
      <c r="S328" s="32"/>
      <c r="T328" s="33"/>
      <c r="U328" s="33"/>
    </row>
    <row r="329" ht="15.75" customHeight="1">
      <c r="A329" s="55">
        <v>46074.0</v>
      </c>
      <c r="B329" s="55">
        <v>46074.0</v>
      </c>
      <c r="C329" s="55" t="s">
        <v>25</v>
      </c>
      <c r="D329" s="56" t="s">
        <v>39</v>
      </c>
      <c r="E329" s="56" t="s">
        <v>61</v>
      </c>
      <c r="F329" s="57">
        <v>0.004386574074074074</v>
      </c>
      <c r="G329" s="56" t="s">
        <v>357</v>
      </c>
      <c r="H329" s="24" t="s">
        <v>360</v>
      </c>
      <c r="I329" s="40" t="s">
        <v>46</v>
      </c>
      <c r="J329" s="26">
        <v>46080.0</v>
      </c>
      <c r="K329" s="106" t="s">
        <v>361</v>
      </c>
      <c r="L329" s="27">
        <v>46083.0</v>
      </c>
      <c r="M329" s="28">
        <v>0.008333333333333333</v>
      </c>
      <c r="N329" s="44" t="s">
        <v>39</v>
      </c>
      <c r="O329" s="44" t="s">
        <v>35</v>
      </c>
      <c r="P329" s="34" t="s">
        <v>36</v>
      </c>
      <c r="Q329" s="34">
        <v>1.1996617E7</v>
      </c>
      <c r="R329" s="35">
        <v>46084.0</v>
      </c>
      <c r="S329" s="32"/>
      <c r="T329" s="33"/>
      <c r="U329" s="33"/>
    </row>
    <row r="330" ht="15.75" customHeight="1">
      <c r="A330" s="55">
        <v>46074.0</v>
      </c>
      <c r="B330" s="55">
        <v>46074.0</v>
      </c>
      <c r="C330" s="55" t="s">
        <v>25</v>
      </c>
      <c r="D330" s="56" t="s">
        <v>39</v>
      </c>
      <c r="E330" s="56" t="s">
        <v>61</v>
      </c>
      <c r="F330" s="57">
        <v>0.004039351851851852</v>
      </c>
      <c r="G330" s="56" t="s">
        <v>357</v>
      </c>
      <c r="H330" s="24" t="s">
        <v>362</v>
      </c>
      <c r="I330" s="40" t="s">
        <v>46</v>
      </c>
      <c r="J330" s="26">
        <v>46080.0</v>
      </c>
      <c r="K330" s="106" t="s">
        <v>363</v>
      </c>
      <c r="L330" s="27">
        <v>46083.0</v>
      </c>
      <c r="M330" s="28">
        <v>0.006944444444444444</v>
      </c>
      <c r="N330" s="44" t="s">
        <v>39</v>
      </c>
      <c r="O330" s="44" t="s">
        <v>35</v>
      </c>
      <c r="P330" s="34" t="s">
        <v>36</v>
      </c>
      <c r="Q330" s="34">
        <v>1.1996618E7</v>
      </c>
      <c r="R330" s="35">
        <v>46084.0</v>
      </c>
      <c r="S330" s="32"/>
      <c r="T330" s="33"/>
      <c r="U330" s="33"/>
    </row>
    <row r="331" ht="15.75" customHeight="1">
      <c r="A331" s="55">
        <v>46074.0</v>
      </c>
      <c r="B331" s="55">
        <v>46074.0</v>
      </c>
      <c r="C331" s="55" t="s">
        <v>25</v>
      </c>
      <c r="D331" s="56" t="s">
        <v>39</v>
      </c>
      <c r="E331" s="56" t="s">
        <v>61</v>
      </c>
      <c r="F331" s="57">
        <v>0.002939814814814815</v>
      </c>
      <c r="G331" s="56" t="s">
        <v>357</v>
      </c>
      <c r="H331" s="24" t="s">
        <v>364</v>
      </c>
      <c r="I331" s="40" t="s">
        <v>46</v>
      </c>
      <c r="J331" s="26">
        <v>46080.0</v>
      </c>
      <c r="K331" s="106" t="s">
        <v>365</v>
      </c>
      <c r="L331" s="27">
        <v>46083.0</v>
      </c>
      <c r="M331" s="28">
        <v>0.00625</v>
      </c>
      <c r="N331" s="44" t="s">
        <v>39</v>
      </c>
      <c r="O331" s="44" t="s">
        <v>35</v>
      </c>
      <c r="P331" s="34" t="s">
        <v>36</v>
      </c>
      <c r="Q331" s="34">
        <v>1.1996619E7</v>
      </c>
      <c r="R331" s="35">
        <v>46084.0</v>
      </c>
      <c r="S331" s="32"/>
      <c r="T331" s="33"/>
      <c r="U331" s="33"/>
    </row>
    <row r="332" ht="15.75" customHeight="1">
      <c r="A332" s="55">
        <v>46074.0</v>
      </c>
      <c r="B332" s="55">
        <v>46074.0</v>
      </c>
      <c r="C332" s="55" t="s">
        <v>25</v>
      </c>
      <c r="D332" s="56" t="s">
        <v>39</v>
      </c>
      <c r="E332" s="56" t="s">
        <v>61</v>
      </c>
      <c r="F332" s="57">
        <v>0.0027546296296296294</v>
      </c>
      <c r="G332" s="56" t="s">
        <v>357</v>
      </c>
      <c r="H332" s="24" t="s">
        <v>366</v>
      </c>
      <c r="I332" s="40" t="s">
        <v>46</v>
      </c>
      <c r="J332" s="26">
        <v>46080.0</v>
      </c>
      <c r="K332" s="106" t="s">
        <v>367</v>
      </c>
      <c r="L332" s="27">
        <v>46083.0</v>
      </c>
      <c r="M332" s="28">
        <v>0.006944444444444444</v>
      </c>
      <c r="N332" s="44" t="s">
        <v>39</v>
      </c>
      <c r="O332" s="44" t="s">
        <v>35</v>
      </c>
      <c r="P332" s="34" t="s">
        <v>36</v>
      </c>
      <c r="Q332" s="34">
        <v>1.199662E7</v>
      </c>
      <c r="R332" s="35">
        <v>46084.0</v>
      </c>
      <c r="S332" s="32"/>
      <c r="T332" s="33"/>
      <c r="U332" s="33"/>
    </row>
    <row r="333" ht="15.75" customHeight="1">
      <c r="A333" s="55">
        <v>46074.0</v>
      </c>
      <c r="B333" s="55">
        <v>46074.0</v>
      </c>
      <c r="C333" s="55" t="s">
        <v>25</v>
      </c>
      <c r="D333" s="56" t="s">
        <v>39</v>
      </c>
      <c r="E333" s="56" t="s">
        <v>61</v>
      </c>
      <c r="F333" s="57">
        <v>0.0025925925925925925</v>
      </c>
      <c r="G333" s="56" t="s">
        <v>357</v>
      </c>
      <c r="H333" s="24" t="s">
        <v>368</v>
      </c>
      <c r="I333" s="40" t="s">
        <v>46</v>
      </c>
      <c r="J333" s="26">
        <v>46080.0</v>
      </c>
      <c r="K333" s="106" t="s">
        <v>369</v>
      </c>
      <c r="L333" s="27">
        <v>46083.0</v>
      </c>
      <c r="M333" s="28">
        <v>0.007638888888888889</v>
      </c>
      <c r="N333" s="44" t="s">
        <v>39</v>
      </c>
      <c r="O333" s="44" t="s">
        <v>35</v>
      </c>
      <c r="P333" s="34" t="s">
        <v>36</v>
      </c>
      <c r="Q333" s="34">
        <v>1.1996621E7</v>
      </c>
      <c r="R333" s="35">
        <v>46084.0</v>
      </c>
      <c r="S333" s="32"/>
      <c r="T333" s="33"/>
      <c r="U333" s="33"/>
    </row>
    <row r="334" ht="15.75" customHeight="1">
      <c r="A334" s="55">
        <v>46074.0</v>
      </c>
      <c r="B334" s="55">
        <v>46074.0</v>
      </c>
      <c r="C334" s="55" t="s">
        <v>25</v>
      </c>
      <c r="D334" s="56" t="s">
        <v>39</v>
      </c>
      <c r="E334" s="56" t="s">
        <v>61</v>
      </c>
      <c r="F334" s="57">
        <v>0.0022800925925925927</v>
      </c>
      <c r="G334" s="56" t="s">
        <v>357</v>
      </c>
      <c r="H334" s="24" t="s">
        <v>370</v>
      </c>
      <c r="I334" s="40" t="s">
        <v>46</v>
      </c>
      <c r="J334" s="26">
        <v>46080.0</v>
      </c>
      <c r="K334" s="106" t="s">
        <v>371</v>
      </c>
      <c r="L334" s="27">
        <v>46083.0</v>
      </c>
      <c r="M334" s="28">
        <v>0.00625</v>
      </c>
      <c r="N334" s="44" t="s">
        <v>39</v>
      </c>
      <c r="O334" s="44" t="s">
        <v>35</v>
      </c>
      <c r="P334" s="34" t="s">
        <v>36</v>
      </c>
      <c r="Q334" s="34">
        <v>1.1996622E7</v>
      </c>
      <c r="R334" s="35">
        <v>46084.0</v>
      </c>
      <c r="S334" s="32"/>
      <c r="T334" s="33"/>
      <c r="U334" s="33"/>
    </row>
    <row r="335" ht="15.75" customHeight="1">
      <c r="A335" s="55">
        <v>46074.0</v>
      </c>
      <c r="B335" s="55">
        <v>46074.0</v>
      </c>
      <c r="C335" s="55" t="s">
        <v>25</v>
      </c>
      <c r="D335" s="56" t="s">
        <v>34</v>
      </c>
      <c r="E335" s="82" t="s">
        <v>63</v>
      </c>
      <c r="F335" s="57">
        <v>0.021527777777777778</v>
      </c>
      <c r="G335" s="56" t="s">
        <v>33</v>
      </c>
      <c r="H335" s="24" t="s">
        <v>372</v>
      </c>
      <c r="I335" s="25" t="s">
        <v>46</v>
      </c>
      <c r="J335" s="26">
        <v>46076.643645833334</v>
      </c>
      <c r="K335" s="21" t="s">
        <v>373</v>
      </c>
      <c r="L335" s="27">
        <v>46079.0</v>
      </c>
      <c r="M335" s="28">
        <v>0.04861111111111111</v>
      </c>
      <c r="N335" s="29" t="s">
        <v>59</v>
      </c>
      <c r="O335" s="29" t="s">
        <v>35</v>
      </c>
      <c r="P335" s="34" t="s">
        <v>36</v>
      </c>
      <c r="Q335" s="34" t="s">
        <v>374</v>
      </c>
      <c r="R335" s="35">
        <v>46078.0</v>
      </c>
      <c r="S335" s="32" t="s">
        <v>29</v>
      </c>
      <c r="T335" s="33"/>
      <c r="U335" s="33"/>
    </row>
    <row r="336" ht="15.75" customHeight="1">
      <c r="A336" s="60">
        <v>46075.0</v>
      </c>
      <c r="B336" s="60">
        <v>46075.0</v>
      </c>
      <c r="C336" s="60" t="s">
        <v>42</v>
      </c>
      <c r="D336" s="61" t="s">
        <v>39</v>
      </c>
      <c r="E336" s="61" t="s">
        <v>64</v>
      </c>
      <c r="F336" s="62">
        <v>0.014976851851851852</v>
      </c>
      <c r="G336" s="61" t="s">
        <v>33</v>
      </c>
      <c r="H336" s="24"/>
      <c r="I336" s="25"/>
      <c r="J336" s="26"/>
      <c r="K336" s="21"/>
      <c r="L336" s="27"/>
      <c r="M336" s="28"/>
      <c r="N336" s="29"/>
      <c r="O336" s="29"/>
      <c r="P336" s="34" t="s">
        <v>101</v>
      </c>
      <c r="Q336" s="34">
        <v>1.1973561E7</v>
      </c>
      <c r="R336" s="35">
        <v>46078.0</v>
      </c>
      <c r="S336" s="32" t="s">
        <v>29</v>
      </c>
      <c r="T336" s="33"/>
      <c r="U336" s="33"/>
    </row>
    <row r="337" ht="15.75" customHeight="1">
      <c r="A337" s="60">
        <v>46075.0</v>
      </c>
      <c r="B337" s="60">
        <v>46075.0</v>
      </c>
      <c r="C337" s="60"/>
      <c r="D337" s="61"/>
      <c r="E337" s="61" t="s">
        <v>66</v>
      </c>
      <c r="F337" s="62"/>
      <c r="G337" s="63" t="s">
        <v>102</v>
      </c>
      <c r="H337" s="24"/>
      <c r="I337" s="25"/>
      <c r="J337" s="26"/>
      <c r="K337" s="21"/>
      <c r="L337" s="27"/>
      <c r="M337" s="28"/>
      <c r="N337" s="29"/>
      <c r="O337" s="29"/>
      <c r="P337" s="34" t="s">
        <v>28</v>
      </c>
      <c r="Q337" s="34" t="s">
        <v>28</v>
      </c>
      <c r="R337" s="35" t="s">
        <v>28</v>
      </c>
      <c r="S337" s="32" t="s">
        <v>29</v>
      </c>
      <c r="T337" s="33"/>
      <c r="U337" s="33"/>
    </row>
    <row r="338" ht="15.75" customHeight="1">
      <c r="A338" s="20">
        <v>46076.0</v>
      </c>
      <c r="B338" s="20">
        <v>46076.0</v>
      </c>
      <c r="C338" s="20" t="s">
        <v>25</v>
      </c>
      <c r="D338" s="21" t="s">
        <v>49</v>
      </c>
      <c r="E338" s="21" t="s">
        <v>26</v>
      </c>
      <c r="F338" s="22">
        <v>0.10096064814814815</v>
      </c>
      <c r="G338" s="21" t="s">
        <v>33</v>
      </c>
      <c r="H338" s="24" t="s">
        <v>375</v>
      </c>
      <c r="I338" s="25" t="s">
        <v>178</v>
      </c>
      <c r="J338" s="26">
        <v>46076.55625</v>
      </c>
      <c r="K338" s="21" t="s">
        <v>376</v>
      </c>
      <c r="L338" s="27">
        <v>46077.0</v>
      </c>
      <c r="M338" s="28">
        <v>0.21875</v>
      </c>
      <c r="N338" s="29" t="s">
        <v>34</v>
      </c>
      <c r="O338" s="29" t="s">
        <v>35</v>
      </c>
      <c r="P338" s="34" t="s">
        <v>36</v>
      </c>
      <c r="Q338" s="34" t="s">
        <v>377</v>
      </c>
      <c r="R338" s="35">
        <v>46077.0</v>
      </c>
      <c r="S338" s="32" t="s">
        <v>29</v>
      </c>
      <c r="T338" s="33"/>
      <c r="U338" s="33"/>
    </row>
    <row r="339" ht="15.75" customHeight="1">
      <c r="A339" s="20">
        <v>46076.0</v>
      </c>
      <c r="B339" s="20">
        <v>46076.0</v>
      </c>
      <c r="C339" s="20" t="s">
        <v>25</v>
      </c>
      <c r="D339" s="21" t="s">
        <v>31</v>
      </c>
      <c r="E339" s="21" t="s">
        <v>30</v>
      </c>
      <c r="F339" s="22">
        <v>0.0036805555555555554</v>
      </c>
      <c r="G339" s="21" t="s">
        <v>33</v>
      </c>
      <c r="H339" s="24"/>
      <c r="I339" s="25"/>
      <c r="J339" s="26"/>
      <c r="K339" s="21"/>
      <c r="L339" s="27">
        <v>45711.0</v>
      </c>
      <c r="M339" s="28">
        <v>0.010416666666666666</v>
      </c>
      <c r="N339" s="29" t="s">
        <v>31</v>
      </c>
      <c r="O339" s="29" t="s">
        <v>35</v>
      </c>
      <c r="P339" s="34" t="s">
        <v>36</v>
      </c>
      <c r="Q339" s="34" t="s">
        <v>378</v>
      </c>
      <c r="R339" s="35">
        <v>46077.0</v>
      </c>
      <c r="S339" s="32" t="s">
        <v>29</v>
      </c>
      <c r="T339" s="33"/>
      <c r="U339" s="33"/>
    </row>
    <row r="340" ht="15.75" customHeight="1">
      <c r="A340" s="20">
        <v>46076.0</v>
      </c>
      <c r="B340" s="20">
        <v>46076.0</v>
      </c>
      <c r="C340" s="20" t="s">
        <v>25</v>
      </c>
      <c r="D340" s="21" t="s">
        <v>39</v>
      </c>
      <c r="E340" s="21" t="s">
        <v>32</v>
      </c>
      <c r="F340" s="22">
        <v>0.04953703703703704</v>
      </c>
      <c r="G340" s="21" t="s">
        <v>33</v>
      </c>
      <c r="H340" s="24"/>
      <c r="I340" s="25"/>
      <c r="J340" s="26"/>
      <c r="K340" s="21"/>
      <c r="L340" s="27">
        <v>45712.0</v>
      </c>
      <c r="M340" s="28">
        <v>0.125</v>
      </c>
      <c r="N340" s="29" t="s">
        <v>31</v>
      </c>
      <c r="O340" s="29" t="s">
        <v>35</v>
      </c>
      <c r="P340" s="34" t="s">
        <v>36</v>
      </c>
      <c r="Q340" s="34" t="s">
        <v>379</v>
      </c>
      <c r="R340" s="35">
        <v>46077.0</v>
      </c>
      <c r="S340" s="32" t="s">
        <v>29</v>
      </c>
      <c r="T340" s="33"/>
      <c r="U340" s="33"/>
    </row>
    <row r="341" ht="15.75" customHeight="1">
      <c r="A341" s="20">
        <v>46076.0</v>
      </c>
      <c r="B341" s="20">
        <v>46076.0</v>
      </c>
      <c r="C341" s="20" t="s">
        <v>25</v>
      </c>
      <c r="D341" s="21" t="s">
        <v>39</v>
      </c>
      <c r="E341" s="21" t="s">
        <v>38</v>
      </c>
      <c r="F341" s="22">
        <v>0.009456018518518518</v>
      </c>
      <c r="G341" s="21" t="s">
        <v>33</v>
      </c>
      <c r="H341" s="24"/>
      <c r="I341" s="25"/>
      <c r="J341" s="26"/>
      <c r="K341" s="21"/>
      <c r="L341" s="27">
        <v>46077.0</v>
      </c>
      <c r="M341" s="28">
        <v>0.018055555555555554</v>
      </c>
      <c r="N341" s="29" t="s">
        <v>49</v>
      </c>
      <c r="O341" s="29" t="s">
        <v>35</v>
      </c>
      <c r="P341" s="34" t="s">
        <v>36</v>
      </c>
      <c r="Q341" s="34">
        <v>1.1964221E7</v>
      </c>
      <c r="R341" s="35">
        <v>46077.0</v>
      </c>
      <c r="S341" s="32" t="s">
        <v>29</v>
      </c>
      <c r="T341" s="33"/>
      <c r="U341" s="33"/>
    </row>
    <row r="342" ht="15.75" customHeight="1">
      <c r="A342" s="20">
        <v>46076.0</v>
      </c>
      <c r="B342" s="20">
        <v>46076.0</v>
      </c>
      <c r="C342" s="20" t="s">
        <v>25</v>
      </c>
      <c r="D342" s="21" t="s">
        <v>39</v>
      </c>
      <c r="E342" s="21" t="s">
        <v>40</v>
      </c>
      <c r="F342" s="22">
        <v>0.02130787037037037</v>
      </c>
      <c r="G342" s="21" t="s">
        <v>33</v>
      </c>
      <c r="H342" s="24"/>
      <c r="I342" s="25"/>
      <c r="J342" s="26"/>
      <c r="K342" s="21"/>
      <c r="L342" s="27">
        <v>46077.0</v>
      </c>
      <c r="M342" s="28">
        <v>0.0625</v>
      </c>
      <c r="N342" s="29" t="s">
        <v>49</v>
      </c>
      <c r="O342" s="29" t="s">
        <v>35</v>
      </c>
      <c r="P342" s="34" t="s">
        <v>36</v>
      </c>
      <c r="Q342" s="34" t="s">
        <v>380</v>
      </c>
      <c r="R342" s="35">
        <v>46077.0</v>
      </c>
      <c r="S342" s="32" t="s">
        <v>29</v>
      </c>
      <c r="T342" s="33"/>
      <c r="U342" s="33"/>
    </row>
    <row r="343" ht="15.75" customHeight="1">
      <c r="A343" s="20">
        <v>46076.0</v>
      </c>
      <c r="B343" s="20">
        <v>46076.0</v>
      </c>
      <c r="C343" s="20"/>
      <c r="D343" s="21"/>
      <c r="E343" s="21" t="s">
        <v>43</v>
      </c>
      <c r="F343" s="22">
        <v>0.016064814814814816</v>
      </c>
      <c r="G343" s="21" t="s">
        <v>33</v>
      </c>
      <c r="H343" s="24"/>
      <c r="I343" s="25"/>
      <c r="J343" s="26"/>
      <c r="K343" s="21"/>
      <c r="L343" s="27">
        <v>46078.0</v>
      </c>
      <c r="M343" s="28">
        <v>0.041666666666666664</v>
      </c>
      <c r="N343" s="29" t="s">
        <v>31</v>
      </c>
      <c r="O343" s="29" t="s">
        <v>35</v>
      </c>
      <c r="P343" s="34" t="s">
        <v>28</v>
      </c>
      <c r="Q343" s="34"/>
      <c r="R343" s="35"/>
      <c r="S343" s="32" t="s">
        <v>29</v>
      </c>
      <c r="T343" s="33"/>
      <c r="U343" s="33"/>
    </row>
    <row r="344" ht="15.75" customHeight="1">
      <c r="A344" s="20">
        <v>46076.0</v>
      </c>
      <c r="B344" s="20">
        <v>46076.0</v>
      </c>
      <c r="C344" s="20" t="s">
        <v>25</v>
      </c>
      <c r="D344" s="21" t="s">
        <v>39</v>
      </c>
      <c r="E344" s="21" t="s">
        <v>87</v>
      </c>
      <c r="F344" s="22">
        <v>0.003935185185185185</v>
      </c>
      <c r="G344" s="21" t="s">
        <v>88</v>
      </c>
      <c r="H344" s="24" t="s">
        <v>381</v>
      </c>
      <c r="I344" s="25" t="s">
        <v>46</v>
      </c>
      <c r="J344" s="26">
        <v>46076.0</v>
      </c>
      <c r="K344" s="21" t="s">
        <v>382</v>
      </c>
      <c r="L344" s="27">
        <v>46155.0</v>
      </c>
      <c r="M344" s="28">
        <v>0.007638888888888889</v>
      </c>
      <c r="N344" s="29" t="s">
        <v>39</v>
      </c>
      <c r="O344" s="29" t="s">
        <v>35</v>
      </c>
      <c r="P344" s="34" t="s">
        <v>53</v>
      </c>
      <c r="Q344" s="34">
        <v>1.1980689E7</v>
      </c>
      <c r="R344" s="35">
        <v>46077.0</v>
      </c>
      <c r="S344" s="32"/>
      <c r="T344" s="33"/>
      <c r="U344" s="33"/>
    </row>
    <row r="345" ht="15.75" customHeight="1">
      <c r="A345" s="20">
        <v>46076.0</v>
      </c>
      <c r="B345" s="20">
        <v>46076.0</v>
      </c>
      <c r="C345" s="20" t="s">
        <v>25</v>
      </c>
      <c r="D345" s="21" t="s">
        <v>39</v>
      </c>
      <c r="E345" s="21" t="s">
        <v>87</v>
      </c>
      <c r="F345" s="22">
        <v>0.010636574074074074</v>
      </c>
      <c r="G345" s="21" t="s">
        <v>88</v>
      </c>
      <c r="H345" s="24" t="s">
        <v>383</v>
      </c>
      <c r="I345" s="25" t="s">
        <v>46</v>
      </c>
      <c r="J345" s="26">
        <v>46076.0</v>
      </c>
      <c r="K345" s="21" t="s">
        <v>384</v>
      </c>
      <c r="L345" s="27">
        <v>46164.0</v>
      </c>
      <c r="M345" s="28">
        <v>0.011805555555555555</v>
      </c>
      <c r="N345" s="29" t="s">
        <v>39</v>
      </c>
      <c r="O345" s="29" t="s">
        <v>35</v>
      </c>
      <c r="P345" s="34" t="s">
        <v>53</v>
      </c>
      <c r="Q345" s="34">
        <v>1.198069E7</v>
      </c>
      <c r="R345" s="35">
        <v>46077.0</v>
      </c>
      <c r="S345" s="32"/>
      <c r="T345" s="33"/>
      <c r="U345" s="33"/>
    </row>
    <row r="346" ht="15.75" customHeight="1">
      <c r="A346" s="20">
        <v>46076.0</v>
      </c>
      <c r="B346" s="20">
        <v>46076.0</v>
      </c>
      <c r="C346" s="20" t="s">
        <v>25</v>
      </c>
      <c r="D346" s="21" t="s">
        <v>39</v>
      </c>
      <c r="E346" s="21" t="s">
        <v>87</v>
      </c>
      <c r="F346" s="22">
        <v>0.006435185185185185</v>
      </c>
      <c r="G346" s="21" t="s">
        <v>88</v>
      </c>
      <c r="H346" s="24" t="s">
        <v>385</v>
      </c>
      <c r="I346" s="25" t="s">
        <v>46</v>
      </c>
      <c r="J346" s="26">
        <v>46076.0</v>
      </c>
      <c r="K346" s="21" t="s">
        <v>386</v>
      </c>
      <c r="L346" s="27">
        <v>46164.0</v>
      </c>
      <c r="M346" s="28">
        <v>0.010416666666666666</v>
      </c>
      <c r="N346" s="29" t="s">
        <v>39</v>
      </c>
      <c r="O346" s="29" t="s">
        <v>35</v>
      </c>
      <c r="P346" s="34" t="s">
        <v>53</v>
      </c>
      <c r="Q346" s="34">
        <v>1.1980691E7</v>
      </c>
      <c r="R346" s="35">
        <v>46077.0</v>
      </c>
      <c r="S346" s="32"/>
      <c r="T346" s="33"/>
      <c r="U346" s="33"/>
    </row>
    <row r="347" ht="15.75" customHeight="1">
      <c r="A347" s="20">
        <v>46076.0</v>
      </c>
      <c r="B347" s="20">
        <v>46076.0</v>
      </c>
      <c r="C347" s="20" t="s">
        <v>25</v>
      </c>
      <c r="D347" s="21" t="s">
        <v>39</v>
      </c>
      <c r="E347" s="21" t="s">
        <v>87</v>
      </c>
      <c r="F347" s="22">
        <v>0.02962962962962963</v>
      </c>
      <c r="G347" s="21" t="s">
        <v>88</v>
      </c>
      <c r="H347" s="24" t="s">
        <v>387</v>
      </c>
      <c r="I347" s="25" t="s">
        <v>46</v>
      </c>
      <c r="J347" s="26">
        <v>46076.0</v>
      </c>
      <c r="K347" s="21" t="s">
        <v>388</v>
      </c>
      <c r="L347" s="27">
        <v>46164.0</v>
      </c>
      <c r="M347" s="28">
        <v>0.013888888888888888</v>
      </c>
      <c r="N347" s="29" t="s">
        <v>39</v>
      </c>
      <c r="O347" s="29" t="s">
        <v>35</v>
      </c>
      <c r="P347" s="34" t="s">
        <v>53</v>
      </c>
      <c r="Q347" s="34">
        <v>1.1980692E7</v>
      </c>
      <c r="R347" s="35">
        <v>46077.0</v>
      </c>
      <c r="S347" s="32"/>
      <c r="T347" s="33"/>
      <c r="U347" s="33"/>
    </row>
    <row r="348" ht="15.75" customHeight="1">
      <c r="A348" s="20">
        <v>46076.0</v>
      </c>
      <c r="B348" s="20">
        <v>46076.0</v>
      </c>
      <c r="C348" s="20" t="s">
        <v>25</v>
      </c>
      <c r="D348" s="21" t="s">
        <v>39</v>
      </c>
      <c r="E348" s="21" t="s">
        <v>87</v>
      </c>
      <c r="F348" s="22">
        <v>0.002523148148148148</v>
      </c>
      <c r="G348" s="21" t="s">
        <v>88</v>
      </c>
      <c r="H348" s="24" t="s">
        <v>389</v>
      </c>
      <c r="I348" s="25" t="s">
        <v>46</v>
      </c>
      <c r="J348" s="26">
        <v>46076.0</v>
      </c>
      <c r="K348" s="21" t="s">
        <v>390</v>
      </c>
      <c r="L348" s="27">
        <v>46164.0</v>
      </c>
      <c r="M348" s="28">
        <v>0.005555555555555556</v>
      </c>
      <c r="N348" s="29" t="s">
        <v>39</v>
      </c>
      <c r="O348" s="29" t="s">
        <v>35</v>
      </c>
      <c r="P348" s="34" t="s">
        <v>53</v>
      </c>
      <c r="Q348" s="34">
        <v>1.1980693E7</v>
      </c>
      <c r="R348" s="35">
        <v>46077.0</v>
      </c>
      <c r="S348" s="32"/>
      <c r="T348" s="33"/>
      <c r="U348" s="33"/>
    </row>
    <row r="349" ht="15.75" customHeight="1">
      <c r="A349" s="20">
        <v>46076.0</v>
      </c>
      <c r="B349" s="20">
        <v>46076.0</v>
      </c>
      <c r="C349" s="20" t="s">
        <v>25</v>
      </c>
      <c r="D349" s="21" t="s">
        <v>39</v>
      </c>
      <c r="E349" s="21" t="s">
        <v>87</v>
      </c>
      <c r="F349" s="22">
        <v>0.00738425925925926</v>
      </c>
      <c r="G349" s="21" t="s">
        <v>88</v>
      </c>
      <c r="H349" s="24" t="s">
        <v>391</v>
      </c>
      <c r="I349" s="25" t="s">
        <v>46</v>
      </c>
      <c r="J349" s="26">
        <v>46076.0</v>
      </c>
      <c r="K349" s="21" t="s">
        <v>392</v>
      </c>
      <c r="L349" s="27">
        <v>46164.0</v>
      </c>
      <c r="M349" s="28">
        <v>0.009722222222222222</v>
      </c>
      <c r="N349" s="29" t="s">
        <v>39</v>
      </c>
      <c r="O349" s="29" t="s">
        <v>35</v>
      </c>
      <c r="P349" s="34" t="s">
        <v>53</v>
      </c>
      <c r="Q349" s="34">
        <v>1.1980694E7</v>
      </c>
      <c r="R349" s="35">
        <v>46077.0</v>
      </c>
      <c r="S349" s="32"/>
      <c r="T349" s="33"/>
      <c r="U349" s="33"/>
    </row>
    <row r="350" ht="15.75" customHeight="1">
      <c r="A350" s="20">
        <v>46076.0</v>
      </c>
      <c r="B350" s="20">
        <v>46076.0</v>
      </c>
      <c r="C350" s="20" t="s">
        <v>25</v>
      </c>
      <c r="D350" s="21" t="s">
        <v>39</v>
      </c>
      <c r="E350" s="21" t="s">
        <v>87</v>
      </c>
      <c r="F350" s="22">
        <v>0.002511574074074074</v>
      </c>
      <c r="G350" s="21" t="s">
        <v>88</v>
      </c>
      <c r="H350" s="24" t="s">
        <v>393</v>
      </c>
      <c r="I350" s="25" t="s">
        <v>46</v>
      </c>
      <c r="J350" s="26">
        <v>46076.0</v>
      </c>
      <c r="K350" s="21" t="s">
        <v>394</v>
      </c>
      <c r="L350" s="27">
        <v>46164.0</v>
      </c>
      <c r="M350" s="28">
        <v>0.00625</v>
      </c>
      <c r="N350" s="29" t="s">
        <v>39</v>
      </c>
      <c r="O350" s="29" t="s">
        <v>35</v>
      </c>
      <c r="P350" s="34" t="s">
        <v>53</v>
      </c>
      <c r="Q350" s="34">
        <v>1.1980695E7</v>
      </c>
      <c r="R350" s="35">
        <v>46077.0</v>
      </c>
      <c r="S350" s="32"/>
      <c r="T350" s="33"/>
      <c r="U350" s="33"/>
    </row>
    <row r="351" ht="15.75" customHeight="1">
      <c r="A351" s="20">
        <v>46076.0</v>
      </c>
      <c r="B351" s="20">
        <v>46076.0</v>
      </c>
      <c r="C351" s="20" t="s">
        <v>25</v>
      </c>
      <c r="D351" s="21" t="s">
        <v>39</v>
      </c>
      <c r="E351" s="21" t="s">
        <v>87</v>
      </c>
      <c r="F351" s="22">
        <v>0.0032291666666666666</v>
      </c>
      <c r="G351" s="21" t="s">
        <v>88</v>
      </c>
      <c r="H351" s="24" t="s">
        <v>395</v>
      </c>
      <c r="I351" s="25" t="s">
        <v>46</v>
      </c>
      <c r="J351" s="26">
        <v>46076.0</v>
      </c>
      <c r="K351" s="107" t="s">
        <v>396</v>
      </c>
      <c r="L351" s="27">
        <v>46176.0</v>
      </c>
      <c r="M351" s="28">
        <v>0.005555555555555556</v>
      </c>
      <c r="N351" s="29" t="s">
        <v>39</v>
      </c>
      <c r="O351" s="29" t="s">
        <v>35</v>
      </c>
      <c r="P351" s="34" t="s">
        <v>53</v>
      </c>
      <c r="Q351" s="34">
        <v>1.1980696E7</v>
      </c>
      <c r="R351" s="35">
        <v>46077.0</v>
      </c>
      <c r="S351" s="32"/>
      <c r="T351" s="33"/>
      <c r="U351" s="33"/>
    </row>
    <row r="352" ht="15.75" customHeight="1">
      <c r="A352" s="20">
        <v>46076.0</v>
      </c>
      <c r="B352" s="20">
        <v>46076.0</v>
      </c>
      <c r="C352" s="20" t="s">
        <v>25</v>
      </c>
      <c r="D352" s="21" t="s">
        <v>39</v>
      </c>
      <c r="E352" s="21" t="s">
        <v>87</v>
      </c>
      <c r="F352" s="22">
        <v>0.008101851851851851</v>
      </c>
      <c r="G352" s="21" t="s">
        <v>88</v>
      </c>
      <c r="H352" s="24" t="s">
        <v>397</v>
      </c>
      <c r="I352" s="25" t="s">
        <v>46</v>
      </c>
      <c r="J352" s="26">
        <v>46076.0</v>
      </c>
      <c r="K352" s="21" t="s">
        <v>398</v>
      </c>
      <c r="L352" s="27">
        <v>46176.0</v>
      </c>
      <c r="M352" s="28">
        <v>0.011111111111111112</v>
      </c>
      <c r="N352" s="29" t="s">
        <v>39</v>
      </c>
      <c r="O352" s="29" t="s">
        <v>35</v>
      </c>
      <c r="P352" s="34" t="s">
        <v>53</v>
      </c>
      <c r="Q352" s="34">
        <v>1.1980697E7</v>
      </c>
      <c r="R352" s="35">
        <v>46077.0</v>
      </c>
      <c r="S352" s="32"/>
      <c r="T352" s="33"/>
      <c r="U352" s="33"/>
    </row>
    <row r="353" ht="15.75" customHeight="1">
      <c r="A353" s="20">
        <v>46076.0</v>
      </c>
      <c r="B353" s="20">
        <v>46076.0</v>
      </c>
      <c r="C353" s="20" t="s">
        <v>25</v>
      </c>
      <c r="D353" s="21" t="s">
        <v>39</v>
      </c>
      <c r="E353" s="21" t="s">
        <v>87</v>
      </c>
      <c r="F353" s="22">
        <v>0.0023032407407407407</v>
      </c>
      <c r="G353" s="21" t="s">
        <v>88</v>
      </c>
      <c r="H353" s="101" t="s">
        <v>399</v>
      </c>
      <c r="I353" s="25" t="s">
        <v>46</v>
      </c>
      <c r="J353" s="26">
        <v>46076.0</v>
      </c>
      <c r="K353" s="21" t="s">
        <v>400</v>
      </c>
      <c r="L353" s="27">
        <v>46176.0</v>
      </c>
      <c r="M353" s="28">
        <v>0.006944444444444444</v>
      </c>
      <c r="N353" s="29" t="s">
        <v>39</v>
      </c>
      <c r="O353" s="29" t="s">
        <v>35</v>
      </c>
      <c r="P353" s="34" t="s">
        <v>53</v>
      </c>
      <c r="Q353" s="34">
        <v>1.1980698E7</v>
      </c>
      <c r="R353" s="35">
        <v>46077.0</v>
      </c>
      <c r="S353" s="32"/>
      <c r="T353" s="33"/>
      <c r="U353" s="33"/>
    </row>
    <row r="354" ht="15.75" customHeight="1">
      <c r="A354" s="20">
        <v>46076.0</v>
      </c>
      <c r="B354" s="20">
        <v>46076.0</v>
      </c>
      <c r="C354" s="20" t="s">
        <v>25</v>
      </c>
      <c r="D354" s="21" t="s">
        <v>39</v>
      </c>
      <c r="E354" s="21" t="s">
        <v>87</v>
      </c>
      <c r="F354" s="22">
        <v>0.00818287037037037</v>
      </c>
      <c r="G354" s="21" t="s">
        <v>88</v>
      </c>
      <c r="H354" s="24" t="s">
        <v>401</v>
      </c>
      <c r="I354" s="25" t="s">
        <v>46</v>
      </c>
      <c r="J354" s="26">
        <v>46076.0</v>
      </c>
      <c r="K354" s="21" t="s">
        <v>402</v>
      </c>
      <c r="L354" s="27">
        <v>46176.0</v>
      </c>
      <c r="M354" s="28">
        <v>0.011111111111111112</v>
      </c>
      <c r="N354" s="29" t="s">
        <v>39</v>
      </c>
      <c r="O354" s="29" t="s">
        <v>35</v>
      </c>
      <c r="P354" s="34" t="s">
        <v>53</v>
      </c>
      <c r="Q354" s="34">
        <v>1.1980699E7</v>
      </c>
      <c r="R354" s="35">
        <v>46077.0</v>
      </c>
      <c r="S354" s="32"/>
      <c r="T354" s="33"/>
      <c r="U354" s="33"/>
    </row>
    <row r="355" ht="15.75" customHeight="1">
      <c r="A355" s="20">
        <v>46076.0</v>
      </c>
      <c r="B355" s="20">
        <v>46076.0</v>
      </c>
      <c r="C355" s="20" t="s">
        <v>25</v>
      </c>
      <c r="D355" s="21" t="s">
        <v>39</v>
      </c>
      <c r="E355" s="21" t="s">
        <v>87</v>
      </c>
      <c r="F355" s="22">
        <v>0.004571759259259259</v>
      </c>
      <c r="G355" s="21" t="s">
        <v>88</v>
      </c>
      <c r="H355" s="24" t="s">
        <v>403</v>
      </c>
      <c r="I355" s="25" t="s">
        <v>46</v>
      </c>
      <c r="J355" s="26">
        <v>46076.0</v>
      </c>
      <c r="K355" s="21" t="s">
        <v>404</v>
      </c>
      <c r="L355" s="27">
        <v>46188.0</v>
      </c>
      <c r="M355" s="28">
        <v>0.006944444444444444</v>
      </c>
      <c r="N355" s="29" t="s">
        <v>39</v>
      </c>
      <c r="O355" s="29" t="s">
        <v>35</v>
      </c>
      <c r="P355" s="34" t="s">
        <v>53</v>
      </c>
      <c r="Q355" s="34">
        <v>1.19807E7</v>
      </c>
      <c r="R355" s="35">
        <v>46077.0</v>
      </c>
      <c r="S355" s="32"/>
      <c r="T355" s="33"/>
      <c r="U355" s="33"/>
    </row>
    <row r="356" ht="15.75" customHeight="1">
      <c r="A356" s="20">
        <v>46076.0</v>
      </c>
      <c r="B356" s="20">
        <v>46076.0</v>
      </c>
      <c r="C356" s="20" t="s">
        <v>25</v>
      </c>
      <c r="D356" s="21" t="s">
        <v>39</v>
      </c>
      <c r="E356" s="21" t="s">
        <v>87</v>
      </c>
      <c r="F356" s="22">
        <v>0.0029861111111111113</v>
      </c>
      <c r="G356" s="21" t="s">
        <v>88</v>
      </c>
      <c r="H356" s="24" t="s">
        <v>405</v>
      </c>
      <c r="I356" s="25" t="s">
        <v>46</v>
      </c>
      <c r="J356" s="26">
        <v>46076.0</v>
      </c>
      <c r="K356" s="21" t="s">
        <v>406</v>
      </c>
      <c r="L356" s="27">
        <v>46188.0</v>
      </c>
      <c r="M356" s="28">
        <v>0.007638888888888889</v>
      </c>
      <c r="N356" s="29" t="s">
        <v>39</v>
      </c>
      <c r="O356" s="29" t="s">
        <v>35</v>
      </c>
      <c r="P356" s="34" t="s">
        <v>53</v>
      </c>
      <c r="Q356" s="34">
        <v>1.1980701E7</v>
      </c>
      <c r="R356" s="35">
        <v>46077.0</v>
      </c>
      <c r="S356" s="32"/>
      <c r="T356" s="33"/>
      <c r="U356" s="33"/>
    </row>
    <row r="357" ht="15.75" customHeight="1">
      <c r="A357" s="20">
        <v>46076.0</v>
      </c>
      <c r="B357" s="20">
        <v>46076.0</v>
      </c>
      <c r="C357" s="20" t="s">
        <v>25</v>
      </c>
      <c r="D357" s="21" t="s">
        <v>39</v>
      </c>
      <c r="E357" s="21" t="s">
        <v>87</v>
      </c>
      <c r="F357" s="22">
        <v>0.006469907407407408</v>
      </c>
      <c r="G357" s="21" t="s">
        <v>88</v>
      </c>
      <c r="H357" s="24" t="s">
        <v>407</v>
      </c>
      <c r="I357" s="25" t="s">
        <v>46</v>
      </c>
      <c r="J357" s="26">
        <v>46076.0</v>
      </c>
      <c r="K357" s="21" t="s">
        <v>408</v>
      </c>
      <c r="L357" s="27">
        <v>46189.0</v>
      </c>
      <c r="M357" s="28">
        <v>0.010416666666666666</v>
      </c>
      <c r="N357" s="29" t="s">
        <v>39</v>
      </c>
      <c r="O357" s="29" t="s">
        <v>35</v>
      </c>
      <c r="P357" s="34" t="s">
        <v>53</v>
      </c>
      <c r="Q357" s="34">
        <v>1.1980702E7</v>
      </c>
      <c r="R357" s="35">
        <v>46077.0</v>
      </c>
      <c r="S357" s="32"/>
      <c r="T357" s="33"/>
      <c r="U357" s="33"/>
    </row>
    <row r="358" ht="15.75" customHeight="1">
      <c r="A358" s="20">
        <v>46076.0</v>
      </c>
      <c r="B358" s="20">
        <v>46076.0</v>
      </c>
      <c r="C358" s="20" t="s">
        <v>25</v>
      </c>
      <c r="D358" s="21" t="s">
        <v>39</v>
      </c>
      <c r="E358" s="21" t="s">
        <v>87</v>
      </c>
      <c r="F358" s="22">
        <v>0.005648148148148148</v>
      </c>
      <c r="G358" s="21" t="s">
        <v>88</v>
      </c>
      <c r="H358" s="24" t="s">
        <v>409</v>
      </c>
      <c r="I358" s="25" t="s">
        <v>46</v>
      </c>
      <c r="J358" s="26">
        <v>46076.0</v>
      </c>
      <c r="K358" s="21" t="s">
        <v>410</v>
      </c>
      <c r="L358" s="27">
        <v>46189.0</v>
      </c>
      <c r="M358" s="28">
        <v>0.011111111111111112</v>
      </c>
      <c r="N358" s="29" t="s">
        <v>39</v>
      </c>
      <c r="O358" s="29" t="s">
        <v>35</v>
      </c>
      <c r="P358" s="34" t="s">
        <v>53</v>
      </c>
      <c r="Q358" s="34">
        <v>1.1980703E7</v>
      </c>
      <c r="R358" s="35">
        <v>46077.0</v>
      </c>
      <c r="S358" s="32"/>
      <c r="T358" s="33"/>
      <c r="U358" s="33"/>
    </row>
    <row r="359" ht="15.75" customHeight="1">
      <c r="A359" s="20">
        <v>46077.0</v>
      </c>
      <c r="B359" s="20">
        <v>46077.0</v>
      </c>
      <c r="C359" s="20" t="s">
        <v>25</v>
      </c>
      <c r="D359" s="21" t="s">
        <v>49</v>
      </c>
      <c r="E359" s="21" t="s">
        <v>26</v>
      </c>
      <c r="F359" s="22">
        <v>0.10087962962962962</v>
      </c>
      <c r="G359" s="21" t="s">
        <v>33</v>
      </c>
      <c r="H359" s="24"/>
      <c r="I359" s="25"/>
      <c r="J359" s="26"/>
      <c r="K359" s="21"/>
      <c r="L359" s="27">
        <v>46078.0</v>
      </c>
      <c r="M359" s="28">
        <v>0.2152777777777778</v>
      </c>
      <c r="N359" s="29" t="s">
        <v>59</v>
      </c>
      <c r="O359" s="29" t="s">
        <v>35</v>
      </c>
      <c r="P359" s="34" t="s">
        <v>36</v>
      </c>
      <c r="Q359" s="34" t="s">
        <v>411</v>
      </c>
      <c r="R359" s="35">
        <v>46078.0</v>
      </c>
      <c r="S359" s="32" t="s">
        <v>29</v>
      </c>
      <c r="T359" s="33"/>
      <c r="U359" s="33"/>
    </row>
    <row r="360" ht="15.75" customHeight="1">
      <c r="A360" s="20">
        <v>46077.0</v>
      </c>
      <c r="B360" s="20">
        <v>46077.0</v>
      </c>
      <c r="C360" s="20" t="s">
        <v>25</v>
      </c>
      <c r="D360" s="21" t="s">
        <v>34</v>
      </c>
      <c r="E360" s="21" t="s">
        <v>30</v>
      </c>
      <c r="F360" s="22">
        <v>0.002025462962962963</v>
      </c>
      <c r="G360" s="21" t="s">
        <v>33</v>
      </c>
      <c r="H360" s="24"/>
      <c r="I360" s="25"/>
      <c r="J360" s="26"/>
      <c r="K360" s="21"/>
      <c r="L360" s="27">
        <v>46077.0</v>
      </c>
      <c r="M360" s="28">
        <v>0.004861111111111111</v>
      </c>
      <c r="N360" s="29" t="s">
        <v>34</v>
      </c>
      <c r="O360" s="29" t="s">
        <v>35</v>
      </c>
      <c r="P360" s="34" t="s">
        <v>36</v>
      </c>
      <c r="Q360" s="34" t="s">
        <v>412</v>
      </c>
      <c r="R360" s="35">
        <v>46078.0</v>
      </c>
      <c r="S360" s="32" t="s">
        <v>29</v>
      </c>
      <c r="T360" s="33"/>
      <c r="U360" s="33"/>
    </row>
    <row r="361" ht="15.75" customHeight="1">
      <c r="A361" s="36">
        <v>46077.0</v>
      </c>
      <c r="B361" s="36">
        <v>46077.0</v>
      </c>
      <c r="C361" s="36" t="s">
        <v>25</v>
      </c>
      <c r="D361" s="37" t="s">
        <v>69</v>
      </c>
      <c r="E361" s="37" t="s">
        <v>32</v>
      </c>
      <c r="F361" s="38">
        <v>0.07898148148148149</v>
      </c>
      <c r="G361" s="37" t="s">
        <v>33</v>
      </c>
      <c r="H361" s="39"/>
      <c r="I361" s="40"/>
      <c r="J361" s="41"/>
      <c r="K361" s="37"/>
      <c r="L361" s="42">
        <v>46078.0</v>
      </c>
      <c r="M361" s="43">
        <v>0.2048611111111111</v>
      </c>
      <c r="N361" s="44" t="s">
        <v>34</v>
      </c>
      <c r="O361" s="44" t="s">
        <v>35</v>
      </c>
      <c r="P361" s="45" t="s">
        <v>36</v>
      </c>
      <c r="Q361" s="45" t="s">
        <v>413</v>
      </c>
      <c r="R361" s="46">
        <v>46078.0</v>
      </c>
      <c r="S361" s="54" t="s">
        <v>29</v>
      </c>
      <c r="T361" s="33"/>
      <c r="U361" s="33"/>
    </row>
    <row r="362" ht="15.75" customHeight="1">
      <c r="A362" s="20">
        <v>46077.0</v>
      </c>
      <c r="B362" s="20">
        <v>46077.0</v>
      </c>
      <c r="C362" s="20" t="s">
        <v>25</v>
      </c>
      <c r="D362" s="21" t="s">
        <v>39</v>
      </c>
      <c r="E362" s="21" t="s">
        <v>38</v>
      </c>
      <c r="F362" s="22">
        <v>0.01050925925925926</v>
      </c>
      <c r="G362" s="21" t="s">
        <v>33</v>
      </c>
      <c r="H362" s="24"/>
      <c r="I362" s="25"/>
      <c r="J362" s="26"/>
      <c r="K362" s="108"/>
      <c r="L362" s="27">
        <v>46078.0</v>
      </c>
      <c r="M362" s="28">
        <v>0.014583333333333334</v>
      </c>
      <c r="N362" s="29" t="s">
        <v>49</v>
      </c>
      <c r="O362" s="29" t="s">
        <v>35</v>
      </c>
      <c r="P362" s="34" t="s">
        <v>36</v>
      </c>
      <c r="Q362" s="34">
        <v>1.1964222E7</v>
      </c>
      <c r="R362" s="35">
        <v>46078.0</v>
      </c>
      <c r="S362" s="32" t="s">
        <v>29</v>
      </c>
      <c r="T362" s="33"/>
      <c r="U362" s="79"/>
    </row>
    <row r="363" ht="15.75" customHeight="1">
      <c r="A363" s="20">
        <v>46077.0</v>
      </c>
      <c r="B363" s="20">
        <v>46077.0</v>
      </c>
      <c r="C363" s="20" t="s">
        <v>25</v>
      </c>
      <c r="D363" s="21" t="s">
        <v>34</v>
      </c>
      <c r="E363" s="21" t="s">
        <v>40</v>
      </c>
      <c r="F363" s="22">
        <v>0.025416666666666667</v>
      </c>
      <c r="G363" s="21" t="s">
        <v>33</v>
      </c>
      <c r="H363" s="24"/>
      <c r="I363" s="25"/>
      <c r="J363" s="26"/>
      <c r="K363" s="37"/>
      <c r="L363" s="27">
        <v>46078.0</v>
      </c>
      <c r="M363" s="28">
        <v>0.06666666666666667</v>
      </c>
      <c r="N363" s="29" t="s">
        <v>49</v>
      </c>
      <c r="O363" s="29" t="s">
        <v>35</v>
      </c>
      <c r="P363" s="34" t="s">
        <v>36</v>
      </c>
      <c r="Q363" s="34" t="s">
        <v>414</v>
      </c>
      <c r="R363" s="35">
        <v>46078.0</v>
      </c>
      <c r="S363" s="32" t="s">
        <v>29</v>
      </c>
      <c r="T363" s="33"/>
      <c r="U363" s="79"/>
    </row>
    <row r="364" ht="15.75" customHeight="1">
      <c r="A364" s="20">
        <v>46077.0</v>
      </c>
      <c r="B364" s="20">
        <v>46077.0</v>
      </c>
      <c r="C364" s="20" t="s">
        <v>42</v>
      </c>
      <c r="D364" s="21" t="s">
        <v>34</v>
      </c>
      <c r="E364" s="21" t="s">
        <v>43</v>
      </c>
      <c r="F364" s="22">
        <v>0.015266203703703704</v>
      </c>
      <c r="G364" s="21" t="s">
        <v>33</v>
      </c>
      <c r="H364" s="80" t="s">
        <v>415</v>
      </c>
      <c r="I364" s="25" t="s">
        <v>46</v>
      </c>
      <c r="J364" s="26">
        <v>46078.56736111111</v>
      </c>
      <c r="K364" s="108" t="s">
        <v>416</v>
      </c>
      <c r="L364" s="27">
        <v>46079.0</v>
      </c>
      <c r="M364" s="28">
        <v>0.041666666666666664</v>
      </c>
      <c r="N364" s="29" t="s">
        <v>31</v>
      </c>
      <c r="O364" s="29" t="s">
        <v>35</v>
      </c>
      <c r="P364" s="34" t="s">
        <v>28</v>
      </c>
      <c r="Q364" s="34"/>
      <c r="R364" s="35"/>
      <c r="S364" s="32" t="s">
        <v>29</v>
      </c>
      <c r="T364" s="33"/>
      <c r="U364" s="33"/>
    </row>
    <row r="365" ht="15.75" customHeight="1">
      <c r="A365" s="20">
        <v>46077.0</v>
      </c>
      <c r="B365" s="20">
        <v>46077.0</v>
      </c>
      <c r="C365" s="20" t="s">
        <v>25</v>
      </c>
      <c r="D365" s="21" t="s">
        <v>39</v>
      </c>
      <c r="E365" s="21" t="s">
        <v>87</v>
      </c>
      <c r="F365" s="22">
        <v>0.0075</v>
      </c>
      <c r="G365" s="21" t="s">
        <v>88</v>
      </c>
      <c r="H365" s="109" t="s">
        <v>417</v>
      </c>
      <c r="I365" s="25" t="s">
        <v>46</v>
      </c>
      <c r="J365" s="26">
        <v>46077.0</v>
      </c>
      <c r="K365" s="108" t="s">
        <v>418</v>
      </c>
      <c r="L365" s="27">
        <v>46192.0</v>
      </c>
      <c r="M365" s="28">
        <v>0.015277777777777777</v>
      </c>
      <c r="N365" s="29" t="s">
        <v>39</v>
      </c>
      <c r="O365" s="29" t="s">
        <v>35</v>
      </c>
      <c r="P365" s="34" t="s">
        <v>36</v>
      </c>
      <c r="Q365" s="34">
        <v>1.1981064E7</v>
      </c>
      <c r="R365" s="35">
        <v>46078.0</v>
      </c>
      <c r="S365" s="32"/>
      <c r="T365" s="33"/>
      <c r="U365" s="33"/>
    </row>
    <row r="366" ht="15.75" customHeight="1">
      <c r="A366" s="20">
        <v>46077.0</v>
      </c>
      <c r="B366" s="20">
        <v>46077.0</v>
      </c>
      <c r="C366" s="20" t="s">
        <v>25</v>
      </c>
      <c r="D366" s="21" t="s">
        <v>39</v>
      </c>
      <c r="E366" s="21" t="s">
        <v>87</v>
      </c>
      <c r="F366" s="22">
        <v>0.004930555555555555</v>
      </c>
      <c r="G366" s="21" t="s">
        <v>88</v>
      </c>
      <c r="H366" s="109" t="s">
        <v>419</v>
      </c>
      <c r="I366" s="25" t="s">
        <v>46</v>
      </c>
      <c r="J366" s="26">
        <v>46077.0</v>
      </c>
      <c r="K366" s="108" t="s">
        <v>420</v>
      </c>
      <c r="L366" s="27">
        <v>46192.0</v>
      </c>
      <c r="M366" s="28">
        <v>0.009722222222222222</v>
      </c>
      <c r="N366" s="29" t="s">
        <v>39</v>
      </c>
      <c r="O366" s="29" t="s">
        <v>35</v>
      </c>
      <c r="P366" s="34" t="s">
        <v>36</v>
      </c>
      <c r="Q366" s="34">
        <v>1.1981065E7</v>
      </c>
      <c r="R366" s="35">
        <v>46078.0</v>
      </c>
      <c r="S366" s="32"/>
      <c r="T366" s="33"/>
      <c r="U366" s="33"/>
    </row>
    <row r="367" ht="15.75" customHeight="1">
      <c r="A367" s="20">
        <v>46077.0</v>
      </c>
      <c r="B367" s="20">
        <v>46077.0</v>
      </c>
      <c r="C367" s="20" t="s">
        <v>25</v>
      </c>
      <c r="D367" s="21" t="s">
        <v>39</v>
      </c>
      <c r="E367" s="21" t="s">
        <v>87</v>
      </c>
      <c r="F367" s="22">
        <v>0.0023032407407407407</v>
      </c>
      <c r="G367" s="21" t="s">
        <v>88</v>
      </c>
      <c r="H367" s="109" t="s">
        <v>421</v>
      </c>
      <c r="I367" s="25" t="s">
        <v>46</v>
      </c>
      <c r="J367" s="26">
        <v>46077.0</v>
      </c>
      <c r="K367" s="108" t="s">
        <v>422</v>
      </c>
      <c r="L367" s="27">
        <v>46192.0</v>
      </c>
      <c r="M367" s="28">
        <v>0.00625</v>
      </c>
      <c r="N367" s="29" t="s">
        <v>39</v>
      </c>
      <c r="O367" s="29" t="s">
        <v>35</v>
      </c>
      <c r="P367" s="34" t="s">
        <v>36</v>
      </c>
      <c r="Q367" s="34">
        <v>1.1981066E7</v>
      </c>
      <c r="R367" s="35">
        <v>46078.0</v>
      </c>
      <c r="S367" s="32"/>
      <c r="T367" s="33"/>
      <c r="U367" s="33"/>
    </row>
    <row r="368" ht="15.75" customHeight="1">
      <c r="A368" s="20">
        <v>46077.0</v>
      </c>
      <c r="B368" s="20">
        <v>46077.0</v>
      </c>
      <c r="C368" s="20" t="s">
        <v>25</v>
      </c>
      <c r="D368" s="21" t="s">
        <v>39</v>
      </c>
      <c r="E368" s="21" t="s">
        <v>87</v>
      </c>
      <c r="F368" s="22">
        <v>0.054282407407407404</v>
      </c>
      <c r="G368" s="21" t="s">
        <v>88</v>
      </c>
      <c r="H368" s="110" t="s">
        <v>423</v>
      </c>
      <c r="I368" s="25" t="s">
        <v>46</v>
      </c>
      <c r="J368" s="26">
        <v>46077.0</v>
      </c>
      <c r="K368" s="108" t="s">
        <v>424</v>
      </c>
      <c r="L368" s="27">
        <v>46195.0</v>
      </c>
      <c r="M368" s="28">
        <v>0.013888888888888888</v>
      </c>
      <c r="N368" s="29" t="s">
        <v>39</v>
      </c>
      <c r="O368" s="29" t="s">
        <v>35</v>
      </c>
      <c r="P368" s="34" t="s">
        <v>36</v>
      </c>
      <c r="Q368" s="34">
        <v>1.1981067E7</v>
      </c>
      <c r="R368" s="35">
        <v>46078.0</v>
      </c>
      <c r="S368" s="32"/>
      <c r="T368" s="33"/>
      <c r="U368" s="33"/>
    </row>
    <row r="369" ht="15.75" customHeight="1">
      <c r="A369" s="20">
        <v>46077.0</v>
      </c>
      <c r="B369" s="20">
        <v>46077.0</v>
      </c>
      <c r="C369" s="20" t="s">
        <v>25</v>
      </c>
      <c r="D369" s="21" t="s">
        <v>39</v>
      </c>
      <c r="E369" s="21" t="s">
        <v>87</v>
      </c>
      <c r="F369" s="22">
        <v>0.02295138888888889</v>
      </c>
      <c r="G369" s="21" t="s">
        <v>88</v>
      </c>
      <c r="H369" s="110" t="s">
        <v>425</v>
      </c>
      <c r="I369" s="25" t="s">
        <v>46</v>
      </c>
      <c r="J369" s="26">
        <v>46077.0</v>
      </c>
      <c r="K369" s="21" t="s">
        <v>426</v>
      </c>
      <c r="L369" s="27">
        <v>46195.0</v>
      </c>
      <c r="M369" s="28">
        <v>0.017361111111111112</v>
      </c>
      <c r="N369" s="29" t="s">
        <v>39</v>
      </c>
      <c r="O369" s="29" t="s">
        <v>35</v>
      </c>
      <c r="P369" s="34" t="s">
        <v>36</v>
      </c>
      <c r="Q369" s="34">
        <v>1.1981068E7</v>
      </c>
      <c r="R369" s="35">
        <v>46078.0</v>
      </c>
      <c r="S369" s="32" t="s">
        <v>29</v>
      </c>
      <c r="T369" s="33"/>
      <c r="U369" s="79"/>
    </row>
    <row r="370" ht="15.75" customHeight="1">
      <c r="A370" s="20">
        <v>46077.0</v>
      </c>
      <c r="B370" s="20">
        <v>46077.0</v>
      </c>
      <c r="C370" s="20" t="s">
        <v>25</v>
      </c>
      <c r="D370" s="21" t="s">
        <v>39</v>
      </c>
      <c r="E370" s="21" t="s">
        <v>87</v>
      </c>
      <c r="F370" s="22">
        <v>0.0038541666666666668</v>
      </c>
      <c r="G370" s="21" t="s">
        <v>88</v>
      </c>
      <c r="H370" s="109" t="s">
        <v>427</v>
      </c>
      <c r="I370" s="25" t="s">
        <v>46</v>
      </c>
      <c r="J370" s="26">
        <v>46077.0</v>
      </c>
      <c r="K370" s="21" t="s">
        <v>428</v>
      </c>
      <c r="L370" s="27">
        <v>46196.0</v>
      </c>
      <c r="M370" s="28">
        <v>0.005555555555555556</v>
      </c>
      <c r="N370" s="29" t="s">
        <v>429</v>
      </c>
      <c r="O370" s="29" t="s">
        <v>35</v>
      </c>
      <c r="P370" s="34" t="s">
        <v>36</v>
      </c>
      <c r="Q370" s="34">
        <v>1.1981069E7</v>
      </c>
      <c r="R370" s="35">
        <v>46078.0</v>
      </c>
      <c r="S370" s="32"/>
      <c r="T370" s="33"/>
      <c r="U370" s="79"/>
    </row>
    <row r="371" ht="15.75" customHeight="1">
      <c r="A371" s="20">
        <v>46077.0</v>
      </c>
      <c r="B371" s="20">
        <v>46077.0</v>
      </c>
      <c r="C371" s="20" t="s">
        <v>25</v>
      </c>
      <c r="D371" s="21" t="s">
        <v>39</v>
      </c>
      <c r="E371" s="21" t="s">
        <v>87</v>
      </c>
      <c r="F371" s="22">
        <v>0.003275462962962963</v>
      </c>
      <c r="G371" s="21" t="s">
        <v>88</v>
      </c>
      <c r="H371" s="110" t="s">
        <v>430</v>
      </c>
      <c r="I371" s="25" t="s">
        <v>46</v>
      </c>
      <c r="J371" s="26">
        <v>46077.0</v>
      </c>
      <c r="K371" s="21" t="s">
        <v>431</v>
      </c>
      <c r="L371" s="27">
        <v>46196.0</v>
      </c>
      <c r="M371" s="28">
        <v>0.00625</v>
      </c>
      <c r="N371" s="29" t="s">
        <v>429</v>
      </c>
      <c r="O371" s="29" t="s">
        <v>35</v>
      </c>
      <c r="P371" s="34" t="s">
        <v>36</v>
      </c>
      <c r="Q371" s="34">
        <v>1.198107E7</v>
      </c>
      <c r="R371" s="35">
        <v>46078.0</v>
      </c>
      <c r="S371" s="32"/>
      <c r="T371" s="33"/>
      <c r="U371" s="79"/>
    </row>
    <row r="372" ht="15.75" customHeight="1">
      <c r="A372" s="20">
        <v>46077.0</v>
      </c>
      <c r="B372" s="20">
        <v>46077.0</v>
      </c>
      <c r="C372" s="20" t="s">
        <v>25</v>
      </c>
      <c r="D372" s="21" t="s">
        <v>39</v>
      </c>
      <c r="E372" s="21" t="s">
        <v>87</v>
      </c>
      <c r="F372" s="22">
        <v>0.005902777777777778</v>
      </c>
      <c r="G372" s="21" t="s">
        <v>88</v>
      </c>
      <c r="H372" s="110" t="s">
        <v>432</v>
      </c>
      <c r="I372" s="25" t="s">
        <v>46</v>
      </c>
      <c r="J372" s="26">
        <v>46077.0</v>
      </c>
      <c r="K372" s="21" t="s">
        <v>433</v>
      </c>
      <c r="L372" s="27">
        <v>46196.0</v>
      </c>
      <c r="M372" s="28">
        <v>0.009722222222222222</v>
      </c>
      <c r="N372" s="29" t="s">
        <v>429</v>
      </c>
      <c r="O372" s="29" t="s">
        <v>35</v>
      </c>
      <c r="P372" s="34" t="s">
        <v>36</v>
      </c>
      <c r="Q372" s="34">
        <v>1.1981071E7</v>
      </c>
      <c r="R372" s="35">
        <v>46078.0</v>
      </c>
      <c r="S372" s="32"/>
      <c r="T372" s="33"/>
      <c r="U372" s="79"/>
    </row>
    <row r="373" ht="15.75" customHeight="1">
      <c r="A373" s="20">
        <v>46077.0</v>
      </c>
      <c r="B373" s="20">
        <v>46077.0</v>
      </c>
      <c r="C373" s="20" t="s">
        <v>25</v>
      </c>
      <c r="D373" s="21" t="s">
        <v>39</v>
      </c>
      <c r="E373" s="21" t="s">
        <v>87</v>
      </c>
      <c r="F373" s="22">
        <v>0.00587962962962963</v>
      </c>
      <c r="G373" s="21" t="s">
        <v>88</v>
      </c>
      <c r="H373" s="110" t="s">
        <v>434</v>
      </c>
      <c r="I373" s="25" t="s">
        <v>46</v>
      </c>
      <c r="J373" s="26">
        <v>46077.0</v>
      </c>
      <c r="K373" s="21" t="s">
        <v>435</v>
      </c>
      <c r="L373" s="27">
        <v>46196.0</v>
      </c>
      <c r="M373" s="28">
        <v>0.010416666666666666</v>
      </c>
      <c r="N373" s="29" t="s">
        <v>429</v>
      </c>
      <c r="O373" s="29" t="s">
        <v>35</v>
      </c>
      <c r="P373" s="34" t="s">
        <v>36</v>
      </c>
      <c r="Q373" s="34">
        <v>1.1981072E7</v>
      </c>
      <c r="R373" s="35">
        <v>46078.0</v>
      </c>
      <c r="S373" s="32"/>
      <c r="T373" s="33"/>
      <c r="U373" s="79"/>
    </row>
    <row r="374" ht="15.75" customHeight="1">
      <c r="A374" s="20">
        <v>46077.0</v>
      </c>
      <c r="B374" s="20">
        <v>46077.0</v>
      </c>
      <c r="C374" s="20" t="s">
        <v>25</v>
      </c>
      <c r="D374" s="21" t="s">
        <v>39</v>
      </c>
      <c r="E374" s="21" t="s">
        <v>87</v>
      </c>
      <c r="F374" s="22">
        <v>0.005706018518518518</v>
      </c>
      <c r="G374" s="21" t="s">
        <v>88</v>
      </c>
      <c r="H374" s="109" t="s">
        <v>436</v>
      </c>
      <c r="I374" s="25" t="s">
        <v>46</v>
      </c>
      <c r="J374" s="26">
        <v>46077.0</v>
      </c>
      <c r="K374" s="21" t="s">
        <v>437</v>
      </c>
      <c r="L374" s="27">
        <v>46196.0</v>
      </c>
      <c r="M374" s="28">
        <v>0.006944444444444444</v>
      </c>
      <c r="N374" s="29" t="s">
        <v>429</v>
      </c>
      <c r="O374" s="29" t="s">
        <v>35</v>
      </c>
      <c r="P374" s="34" t="s">
        <v>36</v>
      </c>
      <c r="Q374" s="34">
        <v>1.1981073E7</v>
      </c>
      <c r="R374" s="35">
        <v>46078.0</v>
      </c>
      <c r="S374" s="32"/>
      <c r="T374" s="33"/>
      <c r="U374" s="79"/>
    </row>
    <row r="375" ht="15.75" customHeight="1">
      <c r="A375" s="20">
        <v>46078.0</v>
      </c>
      <c r="B375" s="20">
        <v>46078.0</v>
      </c>
      <c r="C375" s="20" t="s">
        <v>25</v>
      </c>
      <c r="D375" s="70" t="s">
        <v>49</v>
      </c>
      <c r="E375" s="21" t="s">
        <v>438</v>
      </c>
      <c r="F375" s="71">
        <v>0.10163194444444444</v>
      </c>
      <c r="G375" s="70" t="s">
        <v>33</v>
      </c>
      <c r="H375" s="24"/>
      <c r="I375" s="25"/>
      <c r="J375" s="26"/>
      <c r="K375" s="21"/>
      <c r="L375" s="27">
        <v>46079.0</v>
      </c>
      <c r="M375" s="28">
        <v>0.24305555555555555</v>
      </c>
      <c r="N375" s="29" t="s">
        <v>39</v>
      </c>
      <c r="O375" s="29" t="s">
        <v>35</v>
      </c>
      <c r="P375" s="34" t="s">
        <v>36</v>
      </c>
      <c r="Q375" s="34" t="s">
        <v>439</v>
      </c>
      <c r="R375" s="35">
        <v>46079.0</v>
      </c>
      <c r="S375" s="32"/>
      <c r="T375" s="33"/>
      <c r="U375" s="79"/>
    </row>
    <row r="376" ht="15.75" customHeight="1">
      <c r="A376" s="20">
        <v>46078.0</v>
      </c>
      <c r="B376" s="20">
        <v>46078.0</v>
      </c>
      <c r="C376" s="20" t="s">
        <v>25</v>
      </c>
      <c r="D376" s="70" t="s">
        <v>59</v>
      </c>
      <c r="E376" s="21" t="s">
        <v>30</v>
      </c>
      <c r="F376" s="71">
        <v>0.0012152777777777778</v>
      </c>
      <c r="G376" s="70" t="s">
        <v>33</v>
      </c>
      <c r="H376" s="24"/>
      <c r="I376" s="25"/>
      <c r="J376" s="26"/>
      <c r="K376" s="21"/>
      <c r="L376" s="27">
        <v>46078.0</v>
      </c>
      <c r="M376" s="28">
        <v>0.003472222222222222</v>
      </c>
      <c r="N376" s="29" t="s">
        <v>59</v>
      </c>
      <c r="O376" s="29" t="s">
        <v>35</v>
      </c>
      <c r="P376" s="34" t="s">
        <v>36</v>
      </c>
      <c r="Q376" s="34" t="s">
        <v>440</v>
      </c>
      <c r="R376" s="35">
        <v>46079.0</v>
      </c>
      <c r="S376" s="32" t="s">
        <v>29</v>
      </c>
      <c r="T376" s="33"/>
      <c r="U376" s="79"/>
    </row>
    <row r="377" ht="15.75" customHeight="1">
      <c r="A377" s="20">
        <v>46078.0</v>
      </c>
      <c r="B377" s="20">
        <v>46078.0</v>
      </c>
      <c r="C377" s="20" t="s">
        <v>25</v>
      </c>
      <c r="D377" s="21" t="s">
        <v>69</v>
      </c>
      <c r="E377" s="21" t="s">
        <v>32</v>
      </c>
      <c r="F377" s="22">
        <v>0.054641203703703706</v>
      </c>
      <c r="G377" s="21" t="s">
        <v>33</v>
      </c>
      <c r="H377" s="24"/>
      <c r="I377" s="25"/>
      <c r="J377" s="26"/>
      <c r="K377" s="21"/>
      <c r="L377" s="27">
        <v>46079.0</v>
      </c>
      <c r="M377" s="28">
        <v>0.125</v>
      </c>
      <c r="N377" s="29" t="s">
        <v>34</v>
      </c>
      <c r="O377" s="29" t="s">
        <v>35</v>
      </c>
      <c r="P377" s="34" t="s">
        <v>36</v>
      </c>
      <c r="Q377" s="34" t="s">
        <v>441</v>
      </c>
      <c r="R377" s="35">
        <v>46079.0</v>
      </c>
      <c r="S377" s="32" t="s">
        <v>29</v>
      </c>
      <c r="T377" s="33"/>
      <c r="U377" s="33"/>
    </row>
    <row r="378" ht="15.75" customHeight="1">
      <c r="A378" s="20">
        <v>46078.0</v>
      </c>
      <c r="B378" s="20">
        <v>46078.0</v>
      </c>
      <c r="C378" s="20" t="s">
        <v>25</v>
      </c>
      <c r="D378" s="21" t="s">
        <v>34</v>
      </c>
      <c r="E378" s="21" t="s">
        <v>38</v>
      </c>
      <c r="F378" s="22">
        <v>0.008287037037037037</v>
      </c>
      <c r="G378" s="21" t="s">
        <v>33</v>
      </c>
      <c r="H378" s="24"/>
      <c r="I378" s="25"/>
      <c r="J378" s="26"/>
      <c r="K378" s="21"/>
      <c r="L378" s="27">
        <v>46079.0</v>
      </c>
      <c r="M378" s="28">
        <v>0.01597222222222222</v>
      </c>
      <c r="N378" s="29" t="s">
        <v>49</v>
      </c>
      <c r="O378" s="29" t="s">
        <v>35</v>
      </c>
      <c r="P378" s="34" t="s">
        <v>36</v>
      </c>
      <c r="Q378" s="34">
        <v>1.1964223E7</v>
      </c>
      <c r="R378" s="35">
        <v>46079.0</v>
      </c>
      <c r="S378" s="32" t="s">
        <v>29</v>
      </c>
      <c r="T378" s="33"/>
      <c r="U378" s="33"/>
    </row>
    <row r="379" ht="15.75" customHeight="1">
      <c r="A379" s="20">
        <v>46078.0</v>
      </c>
      <c r="B379" s="20">
        <v>46078.0</v>
      </c>
      <c r="C379" s="20" t="s">
        <v>25</v>
      </c>
      <c r="D379" s="21" t="s">
        <v>34</v>
      </c>
      <c r="E379" s="21" t="s">
        <v>40</v>
      </c>
      <c r="F379" s="22">
        <v>0.017627314814814814</v>
      </c>
      <c r="G379" s="21" t="s">
        <v>33</v>
      </c>
      <c r="H379" s="24"/>
      <c r="I379" s="25"/>
      <c r="J379" s="26"/>
      <c r="K379" s="21"/>
      <c r="L379" s="27">
        <v>46079.0</v>
      </c>
      <c r="M379" s="28">
        <v>0.050694444444444445</v>
      </c>
      <c r="N379" s="29" t="s">
        <v>49</v>
      </c>
      <c r="O379" s="29" t="s">
        <v>35</v>
      </c>
      <c r="P379" s="34" t="s">
        <v>36</v>
      </c>
      <c r="Q379" s="34" t="s">
        <v>442</v>
      </c>
      <c r="R379" s="35">
        <v>46080.0</v>
      </c>
      <c r="S379" s="32" t="s">
        <v>29</v>
      </c>
      <c r="T379" s="33"/>
      <c r="U379" s="33"/>
    </row>
    <row r="380" ht="15.75" customHeight="1">
      <c r="A380" s="20">
        <v>46078.0</v>
      </c>
      <c r="B380" s="20">
        <v>46078.0</v>
      </c>
      <c r="C380" s="20" t="s">
        <v>42</v>
      </c>
      <c r="D380" s="21" t="s">
        <v>34</v>
      </c>
      <c r="E380" s="21" t="s">
        <v>43</v>
      </c>
      <c r="F380" s="22">
        <v>0.017002314814814814</v>
      </c>
      <c r="G380" s="21" t="s">
        <v>33</v>
      </c>
      <c r="H380" s="24" t="s">
        <v>443</v>
      </c>
      <c r="I380" s="25" t="s">
        <v>46</v>
      </c>
      <c r="J380" s="26">
        <v>46078.725694444445</v>
      </c>
      <c r="K380" s="21" t="s">
        <v>444</v>
      </c>
      <c r="L380" s="27">
        <v>46080.0</v>
      </c>
      <c r="M380" s="28">
        <v>0.041666666666666664</v>
      </c>
      <c r="N380" s="29" t="s">
        <v>31</v>
      </c>
      <c r="O380" s="29" t="s">
        <v>35</v>
      </c>
      <c r="P380" s="34" t="s">
        <v>28</v>
      </c>
      <c r="Q380" s="34"/>
      <c r="R380" s="35"/>
      <c r="S380" s="32" t="s">
        <v>29</v>
      </c>
      <c r="T380" s="33"/>
      <c r="U380" s="33"/>
    </row>
    <row r="381" ht="15.75" customHeight="1">
      <c r="A381" s="20">
        <v>46079.0</v>
      </c>
      <c r="B381" s="20">
        <v>46079.0</v>
      </c>
      <c r="C381" s="20" t="s">
        <v>25</v>
      </c>
      <c r="D381" s="21" t="s">
        <v>49</v>
      </c>
      <c r="E381" s="21" t="s">
        <v>26</v>
      </c>
      <c r="F381" s="22">
        <v>0.10100694444444444</v>
      </c>
      <c r="G381" s="21" t="s">
        <v>33</v>
      </c>
      <c r="H381" s="24"/>
      <c r="I381" s="25"/>
      <c r="J381" s="26"/>
      <c r="K381" s="21" t="s">
        <v>445</v>
      </c>
      <c r="L381" s="27"/>
      <c r="M381" s="28">
        <v>0.20833333333333334</v>
      </c>
      <c r="N381" s="29" t="s">
        <v>59</v>
      </c>
      <c r="O381" s="29" t="s">
        <v>35</v>
      </c>
      <c r="P381" s="34" t="s">
        <v>36</v>
      </c>
      <c r="Q381" s="34" t="s">
        <v>446</v>
      </c>
      <c r="R381" s="35">
        <v>46080.0</v>
      </c>
      <c r="S381" s="32" t="s">
        <v>29</v>
      </c>
      <c r="T381" s="33"/>
      <c r="U381" s="33"/>
    </row>
    <row r="382" ht="15.75" customHeight="1">
      <c r="A382" s="20">
        <v>46079.0</v>
      </c>
      <c r="B382" s="20">
        <v>46079.0</v>
      </c>
      <c r="C382" s="20" t="s">
        <v>25</v>
      </c>
      <c r="D382" s="21" t="s">
        <v>39</v>
      </c>
      <c r="E382" s="21" t="s">
        <v>30</v>
      </c>
      <c r="F382" s="22">
        <v>0.0024074074074074076</v>
      </c>
      <c r="G382" s="21" t="s">
        <v>33</v>
      </c>
      <c r="H382" s="24"/>
      <c r="I382" s="25"/>
      <c r="J382" s="26"/>
      <c r="K382" s="21"/>
      <c r="L382" s="27">
        <v>46079.0</v>
      </c>
      <c r="M382" s="28">
        <v>0.006944444444444444</v>
      </c>
      <c r="N382" s="29" t="s">
        <v>39</v>
      </c>
      <c r="O382" s="29" t="s">
        <v>35</v>
      </c>
      <c r="P382" s="34" t="s">
        <v>36</v>
      </c>
      <c r="Q382" s="34" t="s">
        <v>447</v>
      </c>
      <c r="R382" s="35">
        <v>46080.0</v>
      </c>
      <c r="S382" s="32" t="s">
        <v>29</v>
      </c>
      <c r="T382" s="33"/>
      <c r="U382" s="33"/>
    </row>
    <row r="383" ht="15.75" customHeight="1">
      <c r="A383" s="36">
        <v>46079.0</v>
      </c>
      <c r="B383" s="36">
        <v>46079.0</v>
      </c>
      <c r="C383" s="36" t="s">
        <v>25</v>
      </c>
      <c r="D383" s="37" t="s">
        <v>69</v>
      </c>
      <c r="E383" s="37" t="s">
        <v>32</v>
      </c>
      <c r="F383" s="38">
        <v>0.09472222222222222</v>
      </c>
      <c r="G383" s="37" t="s">
        <v>33</v>
      </c>
      <c r="H383" s="24"/>
      <c r="I383" s="25"/>
      <c r="J383" s="26"/>
      <c r="K383" s="21"/>
      <c r="L383" s="27">
        <v>46083.0</v>
      </c>
      <c r="M383" s="28">
        <v>0.2048611111111111</v>
      </c>
      <c r="N383" s="29" t="s">
        <v>34</v>
      </c>
      <c r="O383" s="29" t="s">
        <v>35</v>
      </c>
      <c r="P383" s="34" t="s">
        <v>36</v>
      </c>
      <c r="Q383" s="34" t="s">
        <v>448</v>
      </c>
      <c r="R383" s="35">
        <v>46083.0</v>
      </c>
      <c r="S383" s="32" t="s">
        <v>29</v>
      </c>
      <c r="T383" s="33"/>
      <c r="U383" s="33"/>
    </row>
    <row r="384" ht="15.75" customHeight="1">
      <c r="A384" s="20">
        <v>46079.0</v>
      </c>
      <c r="B384" s="20">
        <v>46079.0</v>
      </c>
      <c r="C384" s="20" t="s">
        <v>25</v>
      </c>
      <c r="D384" s="21" t="s">
        <v>39</v>
      </c>
      <c r="E384" s="21" t="s">
        <v>38</v>
      </c>
      <c r="F384" s="22">
        <v>0.0084375</v>
      </c>
      <c r="G384" s="21" t="s">
        <v>33</v>
      </c>
      <c r="H384" s="24"/>
      <c r="I384" s="25"/>
      <c r="J384" s="26"/>
      <c r="K384" s="21"/>
      <c r="L384" s="27">
        <v>46080.0</v>
      </c>
      <c r="M384" s="28">
        <v>0.017361111111111112</v>
      </c>
      <c r="N384" s="29" t="s">
        <v>49</v>
      </c>
      <c r="O384" s="29" t="s">
        <v>35</v>
      </c>
      <c r="P384" s="34" t="s">
        <v>36</v>
      </c>
      <c r="Q384" s="34">
        <v>1.1964224E7</v>
      </c>
      <c r="R384" s="35">
        <v>46080.0</v>
      </c>
      <c r="S384" s="32" t="s">
        <v>29</v>
      </c>
      <c r="T384" s="33"/>
      <c r="U384" s="33"/>
    </row>
    <row r="385" ht="15.75" customHeight="1">
      <c r="A385" s="20">
        <v>46079.0</v>
      </c>
      <c r="B385" s="20">
        <v>46079.0</v>
      </c>
      <c r="C385" s="20" t="s">
        <v>25</v>
      </c>
      <c r="D385" s="21" t="s">
        <v>39</v>
      </c>
      <c r="E385" s="21" t="s">
        <v>40</v>
      </c>
      <c r="F385" s="22">
        <v>0.025069444444444443</v>
      </c>
      <c r="G385" s="21" t="s">
        <v>33</v>
      </c>
      <c r="H385" s="24"/>
      <c r="I385" s="25"/>
      <c r="J385" s="26"/>
      <c r="K385" s="21"/>
      <c r="L385" s="27">
        <v>46080.0</v>
      </c>
      <c r="M385" s="28">
        <v>0.05555555555555555</v>
      </c>
      <c r="N385" s="29" t="s">
        <v>49</v>
      </c>
      <c r="O385" s="29" t="s">
        <v>35</v>
      </c>
      <c r="P385" s="34" t="s">
        <v>36</v>
      </c>
      <c r="Q385" s="34" t="s">
        <v>449</v>
      </c>
      <c r="R385" s="35">
        <v>46083.0</v>
      </c>
      <c r="S385" s="32" t="s">
        <v>29</v>
      </c>
      <c r="T385" s="33"/>
      <c r="U385" s="33"/>
    </row>
    <row r="386" ht="15.75" customHeight="1">
      <c r="A386" s="20">
        <v>46079.0</v>
      </c>
      <c r="B386" s="20">
        <v>46079.0</v>
      </c>
      <c r="C386" s="20"/>
      <c r="D386" s="21"/>
      <c r="E386" s="21" t="s">
        <v>43</v>
      </c>
      <c r="F386" s="22">
        <v>0.018483796296296297</v>
      </c>
      <c r="G386" s="21" t="s">
        <v>33</v>
      </c>
      <c r="H386" s="24"/>
      <c r="I386" s="25"/>
      <c r="J386" s="26"/>
      <c r="K386" s="21"/>
      <c r="L386" s="27">
        <v>46080.0</v>
      </c>
      <c r="M386" s="28">
        <v>0.034722222222222224</v>
      </c>
      <c r="N386" s="29" t="s">
        <v>59</v>
      </c>
      <c r="O386" s="29" t="s">
        <v>35</v>
      </c>
      <c r="P386" s="34" t="s">
        <v>28</v>
      </c>
      <c r="Q386" s="34"/>
      <c r="R386" s="46"/>
      <c r="S386" s="32" t="s">
        <v>29</v>
      </c>
      <c r="T386" s="33"/>
      <c r="U386" s="33"/>
    </row>
    <row r="387" ht="15.75" customHeight="1">
      <c r="A387" s="20">
        <v>46080.0</v>
      </c>
      <c r="B387" s="20">
        <v>46080.0</v>
      </c>
      <c r="C387" s="20" t="s">
        <v>25</v>
      </c>
      <c r="D387" s="21" t="s">
        <v>49</v>
      </c>
      <c r="E387" s="21" t="s">
        <v>26</v>
      </c>
      <c r="F387" s="22">
        <v>0.1009375</v>
      </c>
      <c r="G387" s="21" t="s">
        <v>33</v>
      </c>
      <c r="H387" s="24"/>
      <c r="I387" s="25"/>
      <c r="J387" s="26"/>
      <c r="K387" s="21"/>
      <c r="L387" s="27">
        <v>46083.0</v>
      </c>
      <c r="M387" s="28">
        <v>0.20833333333333334</v>
      </c>
      <c r="N387" s="29" t="s">
        <v>31</v>
      </c>
      <c r="O387" s="29" t="s">
        <v>35</v>
      </c>
      <c r="P387" s="34" t="s">
        <v>36</v>
      </c>
      <c r="Q387" s="34" t="s">
        <v>450</v>
      </c>
      <c r="R387" s="35">
        <v>46083.0</v>
      </c>
      <c r="S387" s="32" t="s">
        <v>29</v>
      </c>
      <c r="T387" s="33"/>
      <c r="U387" s="33"/>
    </row>
    <row r="388" ht="15.75" customHeight="1">
      <c r="A388" s="20">
        <v>46080.0</v>
      </c>
      <c r="B388" s="20">
        <v>46080.0</v>
      </c>
      <c r="C388" s="20" t="s">
        <v>25</v>
      </c>
      <c r="D388" s="21" t="s">
        <v>59</v>
      </c>
      <c r="E388" s="21" t="s">
        <v>30</v>
      </c>
      <c r="F388" s="22">
        <v>0.0033680555555555556</v>
      </c>
      <c r="G388" s="21" t="s">
        <v>33</v>
      </c>
      <c r="H388" s="24"/>
      <c r="I388" s="25"/>
      <c r="J388" s="26"/>
      <c r="K388" s="21"/>
      <c r="L388" s="27">
        <v>46080.0</v>
      </c>
      <c r="M388" s="28">
        <v>0.006944444444444444</v>
      </c>
      <c r="N388" s="29" t="s">
        <v>59</v>
      </c>
      <c r="O388" s="29" t="s">
        <v>35</v>
      </c>
      <c r="P388" s="34" t="s">
        <v>36</v>
      </c>
      <c r="Q388" s="34" t="s">
        <v>451</v>
      </c>
      <c r="R388" s="35">
        <v>46083.0</v>
      </c>
      <c r="S388" s="32" t="s">
        <v>29</v>
      </c>
      <c r="T388" s="33"/>
      <c r="U388" s="33"/>
    </row>
    <row r="389" ht="15.75" customHeight="1">
      <c r="A389" s="20">
        <v>46080.0</v>
      </c>
      <c r="B389" s="20">
        <v>46080.0</v>
      </c>
      <c r="C389" s="20" t="s">
        <v>25</v>
      </c>
      <c r="D389" s="21" t="s">
        <v>69</v>
      </c>
      <c r="E389" s="21" t="s">
        <v>32</v>
      </c>
      <c r="F389" s="22">
        <v>0.09717592592592593</v>
      </c>
      <c r="G389" s="21" t="s">
        <v>33</v>
      </c>
      <c r="H389" s="24"/>
      <c r="I389" s="25"/>
      <c r="J389" s="26"/>
      <c r="K389" s="21"/>
      <c r="L389" s="27">
        <v>46081.0</v>
      </c>
      <c r="M389" s="28">
        <v>0.1875</v>
      </c>
      <c r="N389" s="29" t="s">
        <v>31</v>
      </c>
      <c r="O389" s="29" t="s">
        <v>35</v>
      </c>
      <c r="P389" s="34" t="s">
        <v>36</v>
      </c>
      <c r="Q389" s="34" t="s">
        <v>452</v>
      </c>
      <c r="R389" s="35">
        <v>46083.0</v>
      </c>
      <c r="S389" s="32" t="s">
        <v>29</v>
      </c>
      <c r="T389" s="33"/>
      <c r="U389" s="33"/>
    </row>
    <row r="390" ht="15.75" customHeight="1">
      <c r="A390" s="20">
        <v>46080.0</v>
      </c>
      <c r="B390" s="20">
        <v>46080.0</v>
      </c>
      <c r="C390" s="20" t="s">
        <v>25</v>
      </c>
      <c r="D390" s="21" t="s">
        <v>39</v>
      </c>
      <c r="E390" s="21" t="s">
        <v>38</v>
      </c>
      <c r="F390" s="22">
        <v>0.00982638888888889</v>
      </c>
      <c r="G390" s="21" t="s">
        <v>33</v>
      </c>
      <c r="H390" s="24"/>
      <c r="I390" s="25"/>
      <c r="J390" s="26"/>
      <c r="K390" s="21"/>
      <c r="L390" s="27">
        <v>46083.0</v>
      </c>
      <c r="M390" s="28">
        <v>0.017361111111111112</v>
      </c>
      <c r="N390" s="29" t="s">
        <v>49</v>
      </c>
      <c r="O390" s="29" t="s">
        <v>35</v>
      </c>
      <c r="P390" s="34" t="s">
        <v>36</v>
      </c>
      <c r="Q390" s="34">
        <v>1.1964225E7</v>
      </c>
      <c r="R390" s="35">
        <v>46083.0</v>
      </c>
      <c r="S390" s="32" t="s">
        <v>29</v>
      </c>
      <c r="T390" s="33"/>
      <c r="U390" s="33"/>
    </row>
    <row r="391" ht="15.75" customHeight="1">
      <c r="A391" s="20">
        <v>46080.0</v>
      </c>
      <c r="B391" s="20">
        <v>46080.0</v>
      </c>
      <c r="C391" s="20" t="s">
        <v>25</v>
      </c>
      <c r="D391" s="21" t="s">
        <v>39</v>
      </c>
      <c r="E391" s="21" t="s">
        <v>40</v>
      </c>
      <c r="F391" s="22">
        <v>0.023229166666666665</v>
      </c>
      <c r="G391" s="21" t="s">
        <v>33</v>
      </c>
      <c r="H391" s="24"/>
      <c r="I391" s="25"/>
      <c r="J391" s="26"/>
      <c r="K391" s="21"/>
      <c r="L391" s="27">
        <v>46083.0</v>
      </c>
      <c r="M391" s="28">
        <v>0.06388888888888888</v>
      </c>
      <c r="N391" s="29" t="s">
        <v>49</v>
      </c>
      <c r="O391" s="29" t="s">
        <v>35</v>
      </c>
      <c r="P391" s="34" t="s">
        <v>36</v>
      </c>
      <c r="Q391" s="34" t="s">
        <v>453</v>
      </c>
      <c r="R391" s="35">
        <v>46083.0</v>
      </c>
      <c r="S391" s="32" t="s">
        <v>29</v>
      </c>
      <c r="T391" s="33"/>
      <c r="U391" s="33"/>
    </row>
    <row r="392" ht="15.75" customHeight="1">
      <c r="A392" s="20">
        <v>46080.0</v>
      </c>
      <c r="B392" s="20">
        <v>46080.0</v>
      </c>
      <c r="C392" s="20"/>
      <c r="D392" s="21"/>
      <c r="E392" s="21" t="s">
        <v>43</v>
      </c>
      <c r="F392" s="22">
        <v>0.016967592592592593</v>
      </c>
      <c r="G392" s="21" t="s">
        <v>33</v>
      </c>
      <c r="H392" s="24"/>
      <c r="I392" s="25"/>
      <c r="J392" s="26"/>
      <c r="K392" s="21"/>
      <c r="L392" s="27">
        <v>46083.0</v>
      </c>
      <c r="M392" s="28">
        <v>0.03819444444444445</v>
      </c>
      <c r="N392" s="29" t="s">
        <v>57</v>
      </c>
      <c r="O392" s="29" t="s">
        <v>35</v>
      </c>
      <c r="P392" s="34" t="s">
        <v>28</v>
      </c>
      <c r="Q392" s="34"/>
      <c r="R392" s="35"/>
      <c r="S392" s="32" t="s">
        <v>29</v>
      </c>
      <c r="T392" s="33"/>
      <c r="U392" s="33"/>
    </row>
    <row r="393" ht="15.75" customHeight="1">
      <c r="A393" s="55">
        <v>46081.0</v>
      </c>
      <c r="B393" s="55">
        <v>46081.0</v>
      </c>
      <c r="C393" s="55" t="s">
        <v>25</v>
      </c>
      <c r="D393" s="56" t="s">
        <v>31</v>
      </c>
      <c r="E393" s="56" t="s">
        <v>32</v>
      </c>
      <c r="F393" s="57">
        <v>0.05037037037037037</v>
      </c>
      <c r="G393" s="56" t="s">
        <v>33</v>
      </c>
      <c r="H393" s="24"/>
      <c r="I393" s="25"/>
      <c r="J393" s="26"/>
      <c r="K393" s="21"/>
      <c r="L393" s="27">
        <v>46083.0</v>
      </c>
      <c r="M393" s="28">
        <v>0.125</v>
      </c>
      <c r="N393" s="29" t="s">
        <v>59</v>
      </c>
      <c r="O393" s="29" t="s">
        <v>35</v>
      </c>
      <c r="P393" s="34" t="s">
        <v>36</v>
      </c>
      <c r="Q393" s="34" t="s">
        <v>454</v>
      </c>
      <c r="R393" s="35">
        <v>46083.0</v>
      </c>
      <c r="S393" s="32" t="s">
        <v>29</v>
      </c>
      <c r="T393" s="33"/>
      <c r="U393" s="33"/>
    </row>
    <row r="394" ht="15.75" customHeight="1">
      <c r="A394" s="55">
        <v>46081.0</v>
      </c>
      <c r="B394" s="55">
        <v>46081.0</v>
      </c>
      <c r="C394" s="55" t="s">
        <v>25</v>
      </c>
      <c r="D394" s="56" t="s">
        <v>34</v>
      </c>
      <c r="E394" s="56" t="s">
        <v>40</v>
      </c>
      <c r="F394" s="57">
        <v>0.012060185185185186</v>
      </c>
      <c r="G394" s="56" t="s">
        <v>33</v>
      </c>
      <c r="H394" s="24"/>
      <c r="I394" s="25"/>
      <c r="J394" s="26"/>
      <c r="K394" s="37"/>
      <c r="L394" s="27">
        <v>46085.0</v>
      </c>
      <c r="M394" s="28">
        <v>0.027777777777777776</v>
      </c>
      <c r="N394" s="29" t="s">
        <v>34</v>
      </c>
      <c r="O394" s="29" t="s">
        <v>35</v>
      </c>
      <c r="P394" s="34" t="s">
        <v>36</v>
      </c>
      <c r="Q394" s="34" t="s">
        <v>455</v>
      </c>
      <c r="R394" s="35">
        <v>46084.0</v>
      </c>
      <c r="S394" s="32" t="s">
        <v>29</v>
      </c>
      <c r="T394" s="33"/>
      <c r="U394" s="33"/>
    </row>
    <row r="395" ht="15.75" customHeight="1">
      <c r="A395" s="55">
        <v>46081.0</v>
      </c>
      <c r="B395" s="55">
        <v>46081.0</v>
      </c>
      <c r="C395" s="55" t="s">
        <v>42</v>
      </c>
      <c r="D395" s="56" t="s">
        <v>34</v>
      </c>
      <c r="E395" s="56" t="s">
        <v>43</v>
      </c>
      <c r="F395" s="57">
        <v>0.015370370370370371</v>
      </c>
      <c r="G395" s="56" t="s">
        <v>33</v>
      </c>
      <c r="H395" s="24" t="s">
        <v>456</v>
      </c>
      <c r="I395" s="25" t="s">
        <v>46</v>
      </c>
      <c r="J395" s="26">
        <v>46083.56458333333</v>
      </c>
      <c r="K395" s="21" t="s">
        <v>457</v>
      </c>
      <c r="L395" s="27">
        <v>46056.0</v>
      </c>
      <c r="M395" s="28">
        <v>0.04861111111111111</v>
      </c>
      <c r="N395" s="29" t="s">
        <v>57</v>
      </c>
      <c r="O395" s="29" t="s">
        <v>35</v>
      </c>
      <c r="P395" s="34" t="s">
        <v>28</v>
      </c>
      <c r="Q395" s="34"/>
      <c r="R395" s="35"/>
      <c r="S395" s="32" t="s">
        <v>29</v>
      </c>
      <c r="T395" s="33"/>
      <c r="U395" s="33"/>
    </row>
    <row r="396" ht="15.75" customHeight="1">
      <c r="A396" s="55">
        <v>46081.0</v>
      </c>
      <c r="B396" s="55">
        <v>46081.0</v>
      </c>
      <c r="C396" s="55" t="s">
        <v>25</v>
      </c>
      <c r="D396" s="56" t="s">
        <v>34</v>
      </c>
      <c r="E396" s="56" t="s">
        <v>61</v>
      </c>
      <c r="F396" s="57">
        <v>0.021574074074074075</v>
      </c>
      <c r="G396" s="56" t="s">
        <v>33</v>
      </c>
      <c r="H396" s="24" t="s">
        <v>458</v>
      </c>
      <c r="I396" s="25" t="s">
        <v>46</v>
      </c>
      <c r="J396" s="26">
        <v>46083.82430555556</v>
      </c>
      <c r="K396" s="21" t="s">
        <v>459</v>
      </c>
      <c r="L396" s="27">
        <v>46086.0</v>
      </c>
      <c r="M396" s="28">
        <v>0.0763888888888889</v>
      </c>
      <c r="N396" s="29" t="s">
        <v>57</v>
      </c>
      <c r="O396" s="29" t="s">
        <v>35</v>
      </c>
      <c r="P396" s="34" t="s">
        <v>36</v>
      </c>
      <c r="Q396" s="34" t="s">
        <v>460</v>
      </c>
      <c r="R396" s="35">
        <v>46084.0</v>
      </c>
      <c r="S396" s="32" t="s">
        <v>29</v>
      </c>
      <c r="T396" s="33"/>
      <c r="U396" s="33"/>
    </row>
    <row r="397" ht="15.75" customHeight="1">
      <c r="A397" s="55">
        <v>46081.0</v>
      </c>
      <c r="B397" s="55">
        <v>46081.0</v>
      </c>
      <c r="C397" s="55" t="s">
        <v>25</v>
      </c>
      <c r="D397" s="56" t="s">
        <v>34</v>
      </c>
      <c r="E397" s="56" t="s">
        <v>62</v>
      </c>
      <c r="F397" s="57">
        <v>0.021574074074074075</v>
      </c>
      <c r="G397" s="56" t="s">
        <v>33</v>
      </c>
      <c r="H397" s="24" t="s">
        <v>461</v>
      </c>
      <c r="I397" s="25" t="s">
        <v>46</v>
      </c>
      <c r="J397" s="26">
        <v>46083.822916666664</v>
      </c>
      <c r="K397" s="21" t="s">
        <v>462</v>
      </c>
      <c r="L397" s="27">
        <v>46086.0</v>
      </c>
      <c r="M397" s="28">
        <v>0.002777777777777778</v>
      </c>
      <c r="N397" s="29" t="s">
        <v>57</v>
      </c>
      <c r="O397" s="29" t="s">
        <v>355</v>
      </c>
      <c r="P397" s="34" t="s">
        <v>36</v>
      </c>
      <c r="Q397" s="34" t="s">
        <v>463</v>
      </c>
      <c r="R397" s="35">
        <v>46084.0</v>
      </c>
      <c r="S397" s="32" t="s">
        <v>29</v>
      </c>
      <c r="T397" s="33"/>
      <c r="U397" s="33"/>
    </row>
    <row r="398" ht="15.75" customHeight="1">
      <c r="A398" s="55">
        <v>46081.0</v>
      </c>
      <c r="B398" s="55">
        <v>46081.0</v>
      </c>
      <c r="C398" s="55" t="s">
        <v>25</v>
      </c>
      <c r="D398" s="56" t="s">
        <v>34</v>
      </c>
      <c r="E398" s="56" t="s">
        <v>63</v>
      </c>
      <c r="F398" s="57">
        <v>0.021122685185185185</v>
      </c>
      <c r="G398" s="56" t="s">
        <v>33</v>
      </c>
      <c r="H398" s="24" t="s">
        <v>464</v>
      </c>
      <c r="I398" s="25" t="s">
        <v>46</v>
      </c>
      <c r="J398" s="26">
        <v>46083.634722222225</v>
      </c>
      <c r="K398" s="21" t="s">
        <v>465</v>
      </c>
      <c r="L398" s="27">
        <v>46085.0</v>
      </c>
      <c r="M398" s="28">
        <v>0.052083333333333336</v>
      </c>
      <c r="N398" s="29" t="s">
        <v>34</v>
      </c>
      <c r="O398" s="29" t="s">
        <v>35</v>
      </c>
      <c r="P398" s="34" t="s">
        <v>36</v>
      </c>
      <c r="Q398" s="34" t="s">
        <v>466</v>
      </c>
      <c r="R398" s="35">
        <v>46084.0</v>
      </c>
      <c r="S398" s="32" t="s">
        <v>29</v>
      </c>
      <c r="T398" s="33"/>
      <c r="U398" s="33"/>
    </row>
    <row r="399" ht="15.75" customHeight="1">
      <c r="A399" s="55">
        <v>46081.0</v>
      </c>
      <c r="B399" s="55">
        <v>46083.0</v>
      </c>
      <c r="C399" s="55" t="s">
        <v>25</v>
      </c>
      <c r="D399" s="56"/>
      <c r="E399" s="56" t="s">
        <v>467</v>
      </c>
      <c r="F399" s="57">
        <v>0.020092592592592592</v>
      </c>
      <c r="G399" s="56" t="s">
        <v>33</v>
      </c>
      <c r="H399" s="24" t="s">
        <v>468</v>
      </c>
      <c r="I399" s="25" t="s">
        <v>469</v>
      </c>
      <c r="J399" s="26">
        <v>46083.25347222222</v>
      </c>
      <c r="K399" s="21" t="s">
        <v>470</v>
      </c>
      <c r="L399" s="27">
        <v>46086.0</v>
      </c>
      <c r="M399" s="28">
        <v>0.005555555555555556</v>
      </c>
      <c r="N399" s="29" t="s">
        <v>57</v>
      </c>
      <c r="O399" s="29" t="s">
        <v>355</v>
      </c>
      <c r="P399" s="34" t="s">
        <v>36</v>
      </c>
      <c r="Q399" s="34" t="s">
        <v>471</v>
      </c>
      <c r="R399" s="35">
        <v>46084.0</v>
      </c>
      <c r="S399" s="32"/>
      <c r="T399" s="33"/>
      <c r="U399" s="33"/>
    </row>
    <row r="400" ht="15.75" customHeight="1">
      <c r="A400" s="60">
        <v>46082.0</v>
      </c>
      <c r="B400" s="60">
        <v>46082.0</v>
      </c>
      <c r="C400" s="60" t="s">
        <v>42</v>
      </c>
      <c r="D400" s="61" t="s">
        <v>39</v>
      </c>
      <c r="E400" s="61" t="s">
        <v>64</v>
      </c>
      <c r="F400" s="62">
        <v>0.011921296296296296</v>
      </c>
      <c r="G400" s="61" t="s">
        <v>33</v>
      </c>
      <c r="H400" s="24"/>
      <c r="I400" s="25" t="s">
        <v>469</v>
      </c>
      <c r="J400" s="26">
        <v>46086.0</v>
      </c>
      <c r="K400" s="21"/>
      <c r="L400" s="27"/>
      <c r="M400" s="28"/>
      <c r="N400" s="29"/>
      <c r="O400" s="29"/>
      <c r="P400" s="34" t="s">
        <v>101</v>
      </c>
      <c r="Q400" s="34">
        <v>1.1975169E7</v>
      </c>
      <c r="R400" s="35">
        <v>46087.0</v>
      </c>
      <c r="S400" s="32" t="s">
        <v>29</v>
      </c>
      <c r="T400" s="33"/>
      <c r="U400" s="33"/>
    </row>
    <row r="401" ht="15.75" customHeight="1">
      <c r="A401" s="60">
        <v>46082.0</v>
      </c>
      <c r="B401" s="60">
        <v>46082.0</v>
      </c>
      <c r="C401" s="60"/>
      <c r="D401" s="61"/>
      <c r="E401" s="61" t="s">
        <v>66</v>
      </c>
      <c r="F401" s="62"/>
      <c r="G401" s="63" t="s">
        <v>102</v>
      </c>
      <c r="H401" s="24"/>
      <c r="I401" s="25"/>
      <c r="J401" s="26"/>
      <c r="K401" s="21"/>
      <c r="L401" s="27"/>
      <c r="M401" s="28"/>
      <c r="N401" s="29"/>
      <c r="O401" s="29"/>
      <c r="P401" s="34" t="s">
        <v>28</v>
      </c>
      <c r="Q401" s="34" t="s">
        <v>28</v>
      </c>
      <c r="R401" s="35" t="s">
        <v>28</v>
      </c>
      <c r="S401" s="32" t="s">
        <v>29</v>
      </c>
      <c r="T401" s="33"/>
      <c r="U401" s="33"/>
    </row>
    <row r="402" ht="15.75" customHeight="1">
      <c r="A402" s="36">
        <v>46083.0</v>
      </c>
      <c r="B402" s="36">
        <v>46083.0</v>
      </c>
      <c r="C402" s="36" t="s">
        <v>25</v>
      </c>
      <c r="D402" s="37" t="s">
        <v>34</v>
      </c>
      <c r="E402" s="37" t="s">
        <v>26</v>
      </c>
      <c r="F402" s="38">
        <v>0.10145833333333333</v>
      </c>
      <c r="G402" s="37" t="s">
        <v>33</v>
      </c>
      <c r="H402" s="39" t="s">
        <v>472</v>
      </c>
      <c r="I402" s="40" t="s">
        <v>178</v>
      </c>
      <c r="J402" s="41">
        <v>46083.78931712963</v>
      </c>
      <c r="K402" s="37" t="s">
        <v>473</v>
      </c>
      <c r="L402" s="42">
        <v>46084.0</v>
      </c>
      <c r="M402" s="43">
        <v>0.2152777777777778</v>
      </c>
      <c r="N402" s="44" t="s">
        <v>34</v>
      </c>
      <c r="O402" s="44" t="s">
        <v>35</v>
      </c>
      <c r="P402" s="45" t="s">
        <v>36</v>
      </c>
      <c r="Q402" s="45" t="s">
        <v>474</v>
      </c>
      <c r="R402" s="46">
        <v>46085.0</v>
      </c>
      <c r="S402" s="54" t="s">
        <v>29</v>
      </c>
      <c r="T402" s="33"/>
      <c r="U402" s="33"/>
    </row>
    <row r="403" ht="15.75" customHeight="1">
      <c r="A403" s="20">
        <v>46083.0</v>
      </c>
      <c r="B403" s="20">
        <v>46083.0</v>
      </c>
      <c r="C403" s="20" t="s">
        <v>25</v>
      </c>
      <c r="D403" s="21" t="s">
        <v>31</v>
      </c>
      <c r="E403" s="21" t="s">
        <v>30</v>
      </c>
      <c r="F403" s="22">
        <v>0.004976851851851852</v>
      </c>
      <c r="G403" s="21" t="s">
        <v>33</v>
      </c>
      <c r="H403" s="24"/>
      <c r="I403" s="25"/>
      <c r="J403" s="26"/>
      <c r="K403" s="21"/>
      <c r="L403" s="27">
        <v>46083.0</v>
      </c>
      <c r="M403" s="28">
        <v>0.017361111111111112</v>
      </c>
      <c r="N403" s="29" t="s">
        <v>31</v>
      </c>
      <c r="O403" s="29" t="s">
        <v>35</v>
      </c>
      <c r="P403" s="34" t="s">
        <v>36</v>
      </c>
      <c r="Q403" s="34" t="s">
        <v>475</v>
      </c>
      <c r="R403" s="35">
        <v>46084.0</v>
      </c>
      <c r="S403" s="32" t="s">
        <v>29</v>
      </c>
      <c r="T403" s="33"/>
      <c r="U403" s="33"/>
    </row>
    <row r="404" ht="15.75" customHeight="1">
      <c r="A404" s="36">
        <v>46083.0</v>
      </c>
      <c r="B404" s="36">
        <v>46083.0</v>
      </c>
      <c r="C404" s="36" t="s">
        <v>25</v>
      </c>
      <c r="D404" s="37" t="s">
        <v>59</v>
      </c>
      <c r="E404" s="37" t="s">
        <v>32</v>
      </c>
      <c r="F404" s="38">
        <v>0.04895833333333333</v>
      </c>
      <c r="G404" s="37" t="s">
        <v>33</v>
      </c>
      <c r="H404" s="39"/>
      <c r="I404" s="40"/>
      <c r="J404" s="41"/>
      <c r="K404" s="37"/>
      <c r="L404" s="42">
        <v>46084.0</v>
      </c>
      <c r="M404" s="43">
        <v>0.12152777777777778</v>
      </c>
      <c r="N404" s="44" t="s">
        <v>59</v>
      </c>
      <c r="O404" s="44" t="s">
        <v>35</v>
      </c>
      <c r="P404" s="45" t="s">
        <v>36</v>
      </c>
      <c r="Q404" s="45" t="s">
        <v>476</v>
      </c>
      <c r="R404" s="46">
        <v>46084.0</v>
      </c>
      <c r="S404" s="54" t="s">
        <v>29</v>
      </c>
      <c r="T404" s="48"/>
      <c r="U404" s="48"/>
    </row>
    <row r="405" ht="15.75" customHeight="1">
      <c r="A405" s="20">
        <v>46083.0</v>
      </c>
      <c r="B405" s="20">
        <v>46083.0</v>
      </c>
      <c r="C405" s="20" t="s">
        <v>25</v>
      </c>
      <c r="D405" s="21" t="s">
        <v>34</v>
      </c>
      <c r="E405" s="21" t="s">
        <v>38</v>
      </c>
      <c r="F405" s="22">
        <v>0.008402777777777778</v>
      </c>
      <c r="G405" s="21" t="s">
        <v>33</v>
      </c>
      <c r="H405" s="24"/>
      <c r="I405" s="25"/>
      <c r="J405" s="26"/>
      <c r="K405" s="21"/>
      <c r="L405" s="27">
        <v>46084.0</v>
      </c>
      <c r="M405" s="28">
        <v>0.020833333333333332</v>
      </c>
      <c r="N405" s="29" t="s">
        <v>31</v>
      </c>
      <c r="O405" s="29" t="s">
        <v>35</v>
      </c>
      <c r="P405" s="34" t="s">
        <v>36</v>
      </c>
      <c r="Q405" s="34">
        <v>1.1972449E7</v>
      </c>
      <c r="R405" s="35">
        <v>46084.0</v>
      </c>
      <c r="S405" s="32" t="s">
        <v>29</v>
      </c>
      <c r="T405" s="33"/>
      <c r="U405" s="33"/>
    </row>
    <row r="406" ht="15.75" customHeight="1">
      <c r="A406" s="20">
        <v>46083.0</v>
      </c>
      <c r="B406" s="20">
        <v>46083.0</v>
      </c>
      <c r="C406" s="20" t="s">
        <v>25</v>
      </c>
      <c r="D406" s="21" t="s">
        <v>34</v>
      </c>
      <c r="E406" s="21" t="s">
        <v>40</v>
      </c>
      <c r="F406" s="22">
        <v>0.02060185185185185</v>
      </c>
      <c r="G406" s="21" t="s">
        <v>33</v>
      </c>
      <c r="H406" s="24"/>
      <c r="I406" s="25"/>
      <c r="J406" s="26"/>
      <c r="K406" s="21"/>
      <c r="L406" s="27">
        <v>46084.0</v>
      </c>
      <c r="M406" s="28">
        <v>0.04861111111111111</v>
      </c>
      <c r="N406" s="29" t="s">
        <v>31</v>
      </c>
      <c r="O406" s="29" t="s">
        <v>35</v>
      </c>
      <c r="P406" s="34" t="s">
        <v>36</v>
      </c>
      <c r="Q406" s="34" t="s">
        <v>477</v>
      </c>
      <c r="R406" s="35">
        <v>46084.0</v>
      </c>
      <c r="S406" s="32" t="s">
        <v>29</v>
      </c>
      <c r="T406" s="33"/>
      <c r="U406" s="79"/>
    </row>
    <row r="407" ht="15.75" customHeight="1">
      <c r="A407" s="20">
        <v>46083.0</v>
      </c>
      <c r="B407" s="20">
        <v>46083.0</v>
      </c>
      <c r="C407" s="20"/>
      <c r="D407" s="21"/>
      <c r="E407" s="21" t="s">
        <v>43</v>
      </c>
      <c r="F407" s="22">
        <v>0.015462962962962963</v>
      </c>
      <c r="G407" s="21" t="s">
        <v>33</v>
      </c>
      <c r="H407" s="24"/>
      <c r="I407" s="25"/>
      <c r="J407" s="26"/>
      <c r="K407" s="21"/>
      <c r="L407" s="27">
        <v>46085.0</v>
      </c>
      <c r="M407" s="28">
        <v>0.05555555555555555</v>
      </c>
      <c r="N407" s="29" t="s">
        <v>57</v>
      </c>
      <c r="O407" s="29" t="s">
        <v>35</v>
      </c>
      <c r="P407" s="34" t="s">
        <v>28</v>
      </c>
      <c r="Q407" s="34"/>
      <c r="R407" s="35"/>
      <c r="S407" s="32" t="s">
        <v>29</v>
      </c>
      <c r="T407" s="33"/>
      <c r="U407" s="33"/>
    </row>
    <row r="408" ht="15.75" customHeight="1">
      <c r="A408" s="36">
        <v>46084.0</v>
      </c>
      <c r="B408" s="36">
        <v>46084.0</v>
      </c>
      <c r="C408" s="36" t="s">
        <v>25</v>
      </c>
      <c r="D408" s="37" t="s">
        <v>49</v>
      </c>
      <c r="E408" s="37" t="s">
        <v>26</v>
      </c>
      <c r="F408" s="38">
        <v>0.10140046296296296</v>
      </c>
      <c r="G408" s="37" t="s">
        <v>33</v>
      </c>
      <c r="H408" s="39" t="s">
        <v>478</v>
      </c>
      <c r="I408" s="40" t="s">
        <v>178</v>
      </c>
      <c r="J408" s="41">
        <v>46084.87847222222</v>
      </c>
      <c r="K408" s="37" t="s">
        <v>479</v>
      </c>
      <c r="L408" s="42">
        <v>46085.0</v>
      </c>
      <c r="M408" s="43">
        <v>0.2361111111111111</v>
      </c>
      <c r="N408" s="44" t="s">
        <v>39</v>
      </c>
      <c r="O408" s="44" t="s">
        <v>35</v>
      </c>
      <c r="P408" s="34" t="s">
        <v>36</v>
      </c>
      <c r="Q408" s="34" t="s">
        <v>480</v>
      </c>
      <c r="R408" s="35">
        <v>46087.0</v>
      </c>
      <c r="S408" s="111" t="s">
        <v>29</v>
      </c>
      <c r="T408" s="48"/>
      <c r="U408" s="87"/>
    </row>
    <row r="409" ht="15.75" customHeight="1">
      <c r="A409" s="20">
        <v>46084.0</v>
      </c>
      <c r="B409" s="20">
        <v>46084.0</v>
      </c>
      <c r="C409" s="20" t="s">
        <v>25</v>
      </c>
      <c r="D409" s="21" t="s">
        <v>34</v>
      </c>
      <c r="E409" s="21" t="s">
        <v>30</v>
      </c>
      <c r="F409" s="22">
        <v>0.0018865740740740742</v>
      </c>
      <c r="G409" s="21" t="s">
        <v>33</v>
      </c>
      <c r="H409" s="24"/>
      <c r="I409" s="25"/>
      <c r="J409" s="26"/>
      <c r="K409" s="21"/>
      <c r="L409" s="27">
        <v>46084.0</v>
      </c>
      <c r="M409" s="28">
        <v>0.004166666666666667</v>
      </c>
      <c r="N409" s="29" t="s">
        <v>34</v>
      </c>
      <c r="O409" s="29" t="s">
        <v>35</v>
      </c>
      <c r="P409" s="34" t="s">
        <v>36</v>
      </c>
      <c r="Q409" s="34" t="s">
        <v>481</v>
      </c>
      <c r="R409" s="35">
        <v>46085.0</v>
      </c>
      <c r="S409" s="32" t="s">
        <v>29</v>
      </c>
      <c r="T409" s="33"/>
      <c r="U409" s="33"/>
    </row>
    <row r="410" ht="15.75" customHeight="1">
      <c r="A410" s="20">
        <v>46084.0</v>
      </c>
      <c r="B410" s="20">
        <v>46084.0</v>
      </c>
      <c r="C410" s="20" t="s">
        <v>25</v>
      </c>
      <c r="D410" s="21" t="s">
        <v>69</v>
      </c>
      <c r="E410" s="21" t="s">
        <v>32</v>
      </c>
      <c r="F410" s="22">
        <v>0.050462962962962966</v>
      </c>
      <c r="G410" s="21" t="s">
        <v>33</v>
      </c>
      <c r="H410" s="24"/>
      <c r="I410" s="25"/>
      <c r="J410" s="26"/>
      <c r="K410" s="21" t="s">
        <v>482</v>
      </c>
      <c r="L410" s="27">
        <v>46085.0</v>
      </c>
      <c r="M410" s="28">
        <v>0.125</v>
      </c>
      <c r="N410" s="29" t="s">
        <v>59</v>
      </c>
      <c r="O410" s="29" t="s">
        <v>35</v>
      </c>
      <c r="P410" s="34" t="s">
        <v>36</v>
      </c>
      <c r="Q410" s="34" t="s">
        <v>483</v>
      </c>
      <c r="R410" s="35">
        <v>46086.0</v>
      </c>
      <c r="S410" s="32" t="s">
        <v>29</v>
      </c>
      <c r="T410" s="33"/>
      <c r="U410" s="79"/>
    </row>
    <row r="411" ht="15.75" customHeight="1">
      <c r="A411" s="20">
        <v>46084.0</v>
      </c>
      <c r="B411" s="20">
        <v>46084.0</v>
      </c>
      <c r="C411" s="20" t="s">
        <v>25</v>
      </c>
      <c r="D411" s="21" t="s">
        <v>34</v>
      </c>
      <c r="E411" s="21" t="s">
        <v>38</v>
      </c>
      <c r="F411" s="22">
        <v>0.00849537037037037</v>
      </c>
      <c r="G411" s="21" t="s">
        <v>33</v>
      </c>
      <c r="H411" s="24"/>
      <c r="I411" s="25"/>
      <c r="J411" s="26"/>
      <c r="K411" s="21"/>
      <c r="L411" s="27">
        <v>46085.0</v>
      </c>
      <c r="M411" s="28">
        <v>0.016666666666666666</v>
      </c>
      <c r="N411" s="29" t="s">
        <v>31</v>
      </c>
      <c r="O411" s="29" t="s">
        <v>35</v>
      </c>
      <c r="P411" s="34" t="s">
        <v>36</v>
      </c>
      <c r="Q411" s="34">
        <v>1.197245E7</v>
      </c>
      <c r="R411" s="35">
        <v>46085.0</v>
      </c>
      <c r="S411" s="32" t="s">
        <v>29</v>
      </c>
      <c r="T411" s="33"/>
      <c r="U411" s="33"/>
    </row>
    <row r="412" ht="15.75" customHeight="1">
      <c r="A412" s="20">
        <v>46084.0</v>
      </c>
      <c r="B412" s="20">
        <v>46084.0</v>
      </c>
      <c r="C412" s="20" t="s">
        <v>25</v>
      </c>
      <c r="D412" s="21" t="s">
        <v>39</v>
      </c>
      <c r="E412" s="21" t="s">
        <v>40</v>
      </c>
      <c r="F412" s="22">
        <v>0.021064814814814814</v>
      </c>
      <c r="G412" s="21" t="s">
        <v>33</v>
      </c>
      <c r="H412" s="24"/>
      <c r="I412" s="25"/>
      <c r="J412" s="26"/>
      <c r="K412" s="21"/>
      <c r="L412" s="27">
        <v>46085.0</v>
      </c>
      <c r="M412" s="28">
        <v>0.04861111111111111</v>
      </c>
      <c r="N412" s="29" t="s">
        <v>31</v>
      </c>
      <c r="O412" s="29" t="s">
        <v>35</v>
      </c>
      <c r="P412" s="34" t="s">
        <v>36</v>
      </c>
      <c r="Q412" s="34" t="s">
        <v>484</v>
      </c>
      <c r="R412" s="35">
        <v>46085.0</v>
      </c>
      <c r="S412" s="32" t="s">
        <v>29</v>
      </c>
      <c r="T412" s="33"/>
      <c r="U412" s="33"/>
    </row>
    <row r="413" ht="15.75" customHeight="1">
      <c r="A413" s="20">
        <v>46084.0</v>
      </c>
      <c r="B413" s="20">
        <v>46084.0</v>
      </c>
      <c r="C413" s="20" t="s">
        <v>42</v>
      </c>
      <c r="D413" s="21"/>
      <c r="E413" s="21" t="s">
        <v>43</v>
      </c>
      <c r="F413" s="22">
        <v>0.015023148148148148</v>
      </c>
      <c r="G413" s="21" t="s">
        <v>33</v>
      </c>
      <c r="H413" s="24"/>
      <c r="I413" s="25"/>
      <c r="J413" s="26"/>
      <c r="K413" s="21"/>
      <c r="L413" s="27">
        <v>46087.0</v>
      </c>
      <c r="M413" s="28">
        <v>0.034722222222222224</v>
      </c>
      <c r="N413" s="29" t="s">
        <v>34</v>
      </c>
      <c r="O413" s="29" t="s">
        <v>35</v>
      </c>
      <c r="P413" s="34" t="s">
        <v>28</v>
      </c>
      <c r="Q413" s="34"/>
      <c r="R413" s="35"/>
      <c r="S413" s="32" t="s">
        <v>29</v>
      </c>
      <c r="T413" s="33"/>
      <c r="U413" s="33"/>
    </row>
    <row r="414" ht="15.75" customHeight="1">
      <c r="A414" s="36">
        <v>46085.0</v>
      </c>
      <c r="B414" s="36">
        <v>46085.0</v>
      </c>
      <c r="C414" s="36" t="s">
        <v>25</v>
      </c>
      <c r="D414" s="37" t="s">
        <v>49</v>
      </c>
      <c r="E414" s="37" t="s">
        <v>26</v>
      </c>
      <c r="F414" s="38">
        <v>0.10077546296296297</v>
      </c>
      <c r="G414" s="37" t="s">
        <v>33</v>
      </c>
      <c r="H414" s="39" t="s">
        <v>485</v>
      </c>
      <c r="I414" s="40" t="s">
        <v>178</v>
      </c>
      <c r="J414" s="41">
        <v>46085.83925925926</v>
      </c>
      <c r="K414" s="37" t="s">
        <v>486</v>
      </c>
      <c r="L414" s="42">
        <v>46086.0</v>
      </c>
      <c r="M414" s="43">
        <v>0.20833333333333334</v>
      </c>
      <c r="N414" s="44" t="s">
        <v>59</v>
      </c>
      <c r="O414" s="44" t="s">
        <v>35</v>
      </c>
      <c r="P414" s="45" t="s">
        <v>36</v>
      </c>
      <c r="Q414" s="45" t="s">
        <v>487</v>
      </c>
      <c r="R414" s="46">
        <v>46087.0</v>
      </c>
      <c r="S414" s="54" t="s">
        <v>29</v>
      </c>
      <c r="T414" s="33"/>
      <c r="U414" s="33"/>
    </row>
    <row r="415" ht="15.75" customHeight="1">
      <c r="A415" s="20">
        <v>46085.0</v>
      </c>
      <c r="B415" s="20">
        <v>46085.0</v>
      </c>
      <c r="C415" s="20"/>
      <c r="D415" s="70"/>
      <c r="E415" s="21" t="s">
        <v>30</v>
      </c>
      <c r="F415" s="71"/>
      <c r="G415" s="112" t="s">
        <v>27</v>
      </c>
      <c r="H415" s="24"/>
      <c r="I415" s="25"/>
      <c r="J415" s="26"/>
      <c r="K415" s="21"/>
      <c r="L415" s="27"/>
      <c r="M415" s="28"/>
      <c r="N415" s="29"/>
      <c r="O415" s="29"/>
      <c r="P415" s="34" t="s">
        <v>28</v>
      </c>
      <c r="Q415" s="34" t="s">
        <v>28</v>
      </c>
      <c r="R415" s="35" t="s">
        <v>28</v>
      </c>
      <c r="S415" s="32" t="s">
        <v>29</v>
      </c>
      <c r="T415" s="33"/>
      <c r="U415" s="33"/>
    </row>
    <row r="416" ht="15.75" customHeight="1">
      <c r="A416" s="36">
        <v>46085.0</v>
      </c>
      <c r="B416" s="36">
        <v>46085.0</v>
      </c>
      <c r="C416" s="36" t="s">
        <v>25</v>
      </c>
      <c r="D416" s="37" t="s">
        <v>69</v>
      </c>
      <c r="E416" s="37" t="s">
        <v>32</v>
      </c>
      <c r="F416" s="38">
        <v>0.048761574074074075</v>
      </c>
      <c r="G416" s="37" t="s">
        <v>33</v>
      </c>
      <c r="H416" s="39"/>
      <c r="I416" s="40"/>
      <c r="J416" s="41"/>
      <c r="K416" s="37"/>
      <c r="L416" s="42">
        <v>46086.0</v>
      </c>
      <c r="M416" s="43">
        <v>0.125</v>
      </c>
      <c r="N416" s="44" t="s">
        <v>31</v>
      </c>
      <c r="O416" s="44" t="s">
        <v>35</v>
      </c>
      <c r="P416" s="45" t="s">
        <v>36</v>
      </c>
      <c r="Q416" s="45" t="s">
        <v>488</v>
      </c>
      <c r="R416" s="46">
        <v>46086.0</v>
      </c>
      <c r="S416" s="54" t="s">
        <v>29</v>
      </c>
      <c r="T416" s="33"/>
      <c r="U416" s="33"/>
    </row>
    <row r="417" ht="15.75" customHeight="1">
      <c r="A417" s="20">
        <v>46085.0</v>
      </c>
      <c r="B417" s="20">
        <v>46085.0</v>
      </c>
      <c r="C417" s="20" t="s">
        <v>25</v>
      </c>
      <c r="D417" s="21" t="s">
        <v>34</v>
      </c>
      <c r="E417" s="21" t="s">
        <v>38</v>
      </c>
      <c r="F417" s="22">
        <v>0.008576388888888889</v>
      </c>
      <c r="G417" s="21" t="s">
        <v>33</v>
      </c>
      <c r="H417" s="24"/>
      <c r="I417" s="25"/>
      <c r="J417" s="26"/>
      <c r="K417" s="21"/>
      <c r="L417" s="27">
        <v>46087.0</v>
      </c>
      <c r="M417" s="28">
        <v>0.017361111111111112</v>
      </c>
      <c r="N417" s="29" t="s">
        <v>49</v>
      </c>
      <c r="O417" s="29" t="s">
        <v>35</v>
      </c>
      <c r="P417" s="34" t="s">
        <v>36</v>
      </c>
      <c r="Q417" s="34">
        <v>1.1972451E7</v>
      </c>
      <c r="R417" s="35">
        <v>46086.0</v>
      </c>
      <c r="S417" s="32" t="s">
        <v>29</v>
      </c>
      <c r="T417" s="33"/>
      <c r="U417" s="33"/>
    </row>
    <row r="418" ht="15.75" customHeight="1">
      <c r="A418" s="20">
        <v>46085.0</v>
      </c>
      <c r="B418" s="20">
        <v>46085.0</v>
      </c>
      <c r="C418" s="20" t="s">
        <v>25</v>
      </c>
      <c r="D418" s="21" t="s">
        <v>34</v>
      </c>
      <c r="E418" s="21" t="s">
        <v>40</v>
      </c>
      <c r="F418" s="22">
        <v>0.019444444444444445</v>
      </c>
      <c r="G418" s="21" t="s">
        <v>33</v>
      </c>
      <c r="H418" s="24" t="s">
        <v>489</v>
      </c>
      <c r="I418" s="25" t="s">
        <v>46</v>
      </c>
      <c r="J418" s="26">
        <v>46085.89726851852</v>
      </c>
      <c r="K418" s="21" t="s">
        <v>490</v>
      </c>
      <c r="L418" s="27">
        <v>46086.0</v>
      </c>
      <c r="M418" s="28">
        <v>0.059722222222222225</v>
      </c>
      <c r="N418" s="29" t="s">
        <v>49</v>
      </c>
      <c r="O418" s="29" t="s">
        <v>35</v>
      </c>
      <c r="P418" s="34" t="s">
        <v>36</v>
      </c>
      <c r="Q418" s="34" t="s">
        <v>491</v>
      </c>
      <c r="R418" s="35">
        <v>46087.0</v>
      </c>
      <c r="S418" s="32" t="s">
        <v>29</v>
      </c>
      <c r="T418" s="33"/>
      <c r="U418" s="33"/>
    </row>
    <row r="419" ht="15.75" customHeight="1">
      <c r="A419" s="20">
        <v>46085.0</v>
      </c>
      <c r="B419" s="20">
        <v>46085.0</v>
      </c>
      <c r="C419" s="20" t="s">
        <v>42</v>
      </c>
      <c r="D419" s="21" t="s">
        <v>34</v>
      </c>
      <c r="E419" s="21" t="s">
        <v>43</v>
      </c>
      <c r="F419" s="22">
        <v>0.01513888888888889</v>
      </c>
      <c r="G419" s="21" t="s">
        <v>33</v>
      </c>
      <c r="H419" s="24"/>
      <c r="I419" s="25"/>
      <c r="J419" s="26"/>
      <c r="K419" s="21"/>
      <c r="L419" s="27">
        <v>46087.0</v>
      </c>
      <c r="M419" s="28">
        <v>0.03819444444444445</v>
      </c>
      <c r="N419" s="29" t="s">
        <v>34</v>
      </c>
      <c r="O419" s="29" t="s">
        <v>35</v>
      </c>
      <c r="P419" s="34" t="s">
        <v>28</v>
      </c>
      <c r="Q419" s="34"/>
      <c r="R419" s="35"/>
      <c r="S419" s="32" t="s">
        <v>29</v>
      </c>
      <c r="T419" s="33"/>
      <c r="U419" s="33"/>
    </row>
    <row r="420" ht="15.75" customHeight="1">
      <c r="A420" s="20">
        <v>46086.0</v>
      </c>
      <c r="B420" s="20">
        <v>46086.0</v>
      </c>
      <c r="C420" s="20" t="s">
        <v>25</v>
      </c>
      <c r="D420" s="21" t="s">
        <v>49</v>
      </c>
      <c r="E420" s="21" t="s">
        <v>26</v>
      </c>
      <c r="F420" s="22">
        <v>0.10113425925925926</v>
      </c>
      <c r="G420" s="21" t="s">
        <v>33</v>
      </c>
      <c r="H420" s="24"/>
      <c r="I420" s="25"/>
      <c r="J420" s="26"/>
      <c r="K420" s="21"/>
      <c r="L420" s="27">
        <v>46087.0</v>
      </c>
      <c r="M420" s="28">
        <v>0.20833333333333334</v>
      </c>
      <c r="N420" s="29" t="s">
        <v>57</v>
      </c>
      <c r="O420" s="29" t="s">
        <v>35</v>
      </c>
      <c r="P420" s="34" t="s">
        <v>36</v>
      </c>
      <c r="Q420" s="34" t="s">
        <v>492</v>
      </c>
      <c r="R420" s="35">
        <v>46087.0</v>
      </c>
      <c r="S420" s="32" t="s">
        <v>29</v>
      </c>
      <c r="T420" s="33"/>
      <c r="U420" s="33"/>
    </row>
    <row r="421" ht="15.75" customHeight="1">
      <c r="A421" s="20">
        <v>46086.0</v>
      </c>
      <c r="B421" s="20">
        <v>46086.0</v>
      </c>
      <c r="C421" s="20" t="s">
        <v>25</v>
      </c>
      <c r="D421" s="21" t="s">
        <v>34</v>
      </c>
      <c r="E421" s="21" t="s">
        <v>30</v>
      </c>
      <c r="F421" s="22">
        <v>0.0046875</v>
      </c>
      <c r="G421" s="21" t="s">
        <v>33</v>
      </c>
      <c r="H421" s="24"/>
      <c r="I421" s="25"/>
      <c r="J421" s="26"/>
      <c r="K421" s="21" t="s">
        <v>493</v>
      </c>
      <c r="L421" s="27">
        <v>46086.0</v>
      </c>
      <c r="M421" s="28">
        <v>0.008333333333333333</v>
      </c>
      <c r="N421" s="29" t="s">
        <v>59</v>
      </c>
      <c r="O421" s="29" t="s">
        <v>35</v>
      </c>
      <c r="P421" s="34" t="s">
        <v>36</v>
      </c>
      <c r="Q421" s="34" t="s">
        <v>494</v>
      </c>
      <c r="R421" s="35">
        <v>46090.0</v>
      </c>
      <c r="S421" s="32" t="s">
        <v>29</v>
      </c>
      <c r="T421" s="33"/>
      <c r="U421" s="33"/>
    </row>
    <row r="422" ht="15.75" customHeight="1">
      <c r="A422" s="20">
        <v>46086.0</v>
      </c>
      <c r="B422" s="20">
        <v>46086.0</v>
      </c>
      <c r="C422" s="20" t="s">
        <v>25</v>
      </c>
      <c r="D422" s="21" t="s">
        <v>69</v>
      </c>
      <c r="E422" s="21" t="s">
        <v>32</v>
      </c>
      <c r="F422" s="22">
        <v>0.06366898148148148</v>
      </c>
      <c r="G422" s="21" t="s">
        <v>33</v>
      </c>
      <c r="H422" s="24"/>
      <c r="I422" s="25"/>
      <c r="J422" s="26"/>
      <c r="K422" s="21"/>
      <c r="L422" s="27">
        <v>46087.0</v>
      </c>
      <c r="M422" s="28">
        <v>0.125</v>
      </c>
      <c r="N422" s="29" t="s">
        <v>59</v>
      </c>
      <c r="O422" s="29" t="s">
        <v>35</v>
      </c>
      <c r="P422" s="34" t="s">
        <v>36</v>
      </c>
      <c r="Q422" s="34" t="s">
        <v>495</v>
      </c>
      <c r="R422" s="35">
        <v>46087.0</v>
      </c>
      <c r="S422" s="32" t="s">
        <v>29</v>
      </c>
      <c r="T422" s="33"/>
      <c r="U422" s="33"/>
    </row>
    <row r="423" ht="15.75" customHeight="1">
      <c r="A423" s="20">
        <v>46086.0</v>
      </c>
      <c r="B423" s="20">
        <v>46086.0</v>
      </c>
      <c r="C423" s="20" t="s">
        <v>25</v>
      </c>
      <c r="D423" s="21" t="s">
        <v>34</v>
      </c>
      <c r="E423" s="21" t="s">
        <v>38</v>
      </c>
      <c r="F423" s="22">
        <v>0.00837962962962963</v>
      </c>
      <c r="G423" s="21" t="s">
        <v>33</v>
      </c>
      <c r="H423" s="24"/>
      <c r="I423" s="25"/>
      <c r="J423" s="26"/>
      <c r="K423" s="21"/>
      <c r="L423" s="27">
        <v>46087.0</v>
      </c>
      <c r="M423" s="28">
        <v>0.018055555555555554</v>
      </c>
      <c r="N423" s="29" t="s">
        <v>31</v>
      </c>
      <c r="O423" s="29" t="s">
        <v>35</v>
      </c>
      <c r="P423" s="34" t="s">
        <v>36</v>
      </c>
      <c r="Q423" s="34">
        <v>1.1972452E7</v>
      </c>
      <c r="R423" s="35">
        <v>46087.0</v>
      </c>
      <c r="S423" s="32" t="s">
        <v>29</v>
      </c>
      <c r="T423" s="33"/>
      <c r="U423" s="33"/>
    </row>
    <row r="424" ht="15.75" customHeight="1">
      <c r="A424" s="20">
        <v>46086.0</v>
      </c>
      <c r="B424" s="20">
        <v>46086.0</v>
      </c>
      <c r="C424" s="20" t="s">
        <v>25</v>
      </c>
      <c r="D424" s="21" t="s">
        <v>34</v>
      </c>
      <c r="E424" s="21" t="s">
        <v>40</v>
      </c>
      <c r="F424" s="22">
        <v>0.021284722222222222</v>
      </c>
      <c r="G424" s="21" t="s">
        <v>33</v>
      </c>
      <c r="H424" s="24"/>
      <c r="I424" s="25"/>
      <c r="J424" s="26"/>
      <c r="K424" s="21"/>
      <c r="L424" s="27">
        <v>46087.0</v>
      </c>
      <c r="M424" s="28">
        <v>0.0625</v>
      </c>
      <c r="N424" s="29" t="s">
        <v>31</v>
      </c>
      <c r="O424" s="29" t="s">
        <v>35</v>
      </c>
      <c r="P424" s="34" t="s">
        <v>36</v>
      </c>
      <c r="Q424" s="34" t="s">
        <v>496</v>
      </c>
      <c r="R424" s="35">
        <v>46087.0</v>
      </c>
      <c r="S424" s="32" t="s">
        <v>29</v>
      </c>
      <c r="T424" s="33"/>
      <c r="U424" s="33"/>
    </row>
    <row r="425" ht="15.75" customHeight="1">
      <c r="A425" s="20">
        <v>46086.0</v>
      </c>
      <c r="B425" s="20">
        <v>46086.0</v>
      </c>
      <c r="C425" s="20" t="s">
        <v>42</v>
      </c>
      <c r="D425" s="21" t="s">
        <v>34</v>
      </c>
      <c r="E425" s="21" t="s">
        <v>43</v>
      </c>
      <c r="F425" s="22">
        <v>0.017106481481481483</v>
      </c>
      <c r="G425" s="21" t="s">
        <v>33</v>
      </c>
      <c r="H425" s="24" t="s">
        <v>497</v>
      </c>
      <c r="I425" s="25" t="s">
        <v>46</v>
      </c>
      <c r="J425" s="26">
        <v>46086.78333333333</v>
      </c>
      <c r="K425" s="21" t="s">
        <v>498</v>
      </c>
      <c r="L425" s="27">
        <v>46087.0</v>
      </c>
      <c r="M425" s="28">
        <v>0.041666666666666664</v>
      </c>
      <c r="N425" s="29" t="s">
        <v>34</v>
      </c>
      <c r="O425" s="29" t="s">
        <v>35</v>
      </c>
      <c r="P425" s="34" t="s">
        <v>28</v>
      </c>
      <c r="Q425" s="34"/>
      <c r="R425" s="35"/>
      <c r="S425" s="32" t="s">
        <v>29</v>
      </c>
      <c r="T425" s="33"/>
      <c r="U425" s="33"/>
    </row>
    <row r="426" ht="15.75" customHeight="1">
      <c r="A426" s="20">
        <v>46086.0</v>
      </c>
      <c r="B426" s="20">
        <v>46086.0</v>
      </c>
      <c r="C426" s="20" t="s">
        <v>25</v>
      </c>
      <c r="D426" s="21" t="s">
        <v>39</v>
      </c>
      <c r="E426" s="21" t="s">
        <v>87</v>
      </c>
      <c r="F426" s="22">
        <v>0.010231481481481482</v>
      </c>
      <c r="G426" s="21" t="s">
        <v>88</v>
      </c>
      <c r="H426" s="24" t="s">
        <v>499</v>
      </c>
      <c r="I426" s="25" t="s">
        <v>46</v>
      </c>
      <c r="J426" s="26">
        <v>46086.0</v>
      </c>
      <c r="K426" s="21" t="s">
        <v>500</v>
      </c>
      <c r="L426" s="27">
        <v>46196.0</v>
      </c>
      <c r="M426" s="28">
        <v>0.013888888888888888</v>
      </c>
      <c r="N426" s="29" t="s">
        <v>429</v>
      </c>
      <c r="O426" s="29" t="s">
        <v>35</v>
      </c>
      <c r="P426" s="34" t="s">
        <v>36</v>
      </c>
      <c r="Q426" s="34">
        <v>1.2002276E7</v>
      </c>
      <c r="R426" s="35">
        <v>46091.0</v>
      </c>
      <c r="S426" s="32"/>
      <c r="T426" s="33"/>
      <c r="U426" s="33"/>
    </row>
    <row r="427" ht="15.75" customHeight="1">
      <c r="A427" s="20">
        <v>46086.0</v>
      </c>
      <c r="B427" s="20">
        <v>46086.0</v>
      </c>
      <c r="C427" s="20" t="s">
        <v>25</v>
      </c>
      <c r="D427" s="21" t="s">
        <v>39</v>
      </c>
      <c r="E427" s="21" t="s">
        <v>87</v>
      </c>
      <c r="F427" s="22">
        <v>0.012766203703703703</v>
      </c>
      <c r="G427" s="21" t="s">
        <v>88</v>
      </c>
      <c r="H427" s="24" t="s">
        <v>501</v>
      </c>
      <c r="I427" s="25" t="s">
        <v>46</v>
      </c>
      <c r="J427" s="26">
        <v>46086.0</v>
      </c>
      <c r="K427" s="21" t="s">
        <v>502</v>
      </c>
      <c r="L427" s="27">
        <v>46197.0</v>
      </c>
      <c r="M427" s="28">
        <v>0.010416666666666666</v>
      </c>
      <c r="N427" s="29" t="s">
        <v>429</v>
      </c>
      <c r="O427" s="29" t="s">
        <v>35</v>
      </c>
      <c r="P427" s="34" t="s">
        <v>36</v>
      </c>
      <c r="Q427" s="34">
        <v>1.2002277E7</v>
      </c>
      <c r="R427" s="35">
        <v>46091.0</v>
      </c>
      <c r="S427" s="32"/>
      <c r="T427" s="33"/>
      <c r="U427" s="33"/>
    </row>
    <row r="428" ht="15.75" customHeight="1">
      <c r="A428" s="20">
        <v>46086.0</v>
      </c>
      <c r="B428" s="20">
        <v>46086.0</v>
      </c>
      <c r="C428" s="20" t="s">
        <v>25</v>
      </c>
      <c r="D428" s="21" t="s">
        <v>39</v>
      </c>
      <c r="E428" s="21" t="s">
        <v>87</v>
      </c>
      <c r="F428" s="22">
        <v>0.00798611111111111</v>
      </c>
      <c r="G428" s="21" t="s">
        <v>88</v>
      </c>
      <c r="H428" s="24" t="s">
        <v>503</v>
      </c>
      <c r="I428" s="25" t="s">
        <v>46</v>
      </c>
      <c r="J428" s="26">
        <v>46086.0</v>
      </c>
      <c r="K428" s="21" t="s">
        <v>504</v>
      </c>
      <c r="L428" s="27">
        <v>46197.0</v>
      </c>
      <c r="M428" s="28">
        <v>0.0125</v>
      </c>
      <c r="N428" s="29" t="s">
        <v>429</v>
      </c>
      <c r="O428" s="29" t="s">
        <v>35</v>
      </c>
      <c r="P428" s="34" t="s">
        <v>36</v>
      </c>
      <c r="Q428" s="34">
        <v>1.2002278E7</v>
      </c>
      <c r="R428" s="35">
        <v>46091.0</v>
      </c>
      <c r="S428" s="32"/>
      <c r="T428" s="33"/>
      <c r="U428" s="33"/>
    </row>
    <row r="429" ht="15.75" customHeight="1">
      <c r="A429" s="20">
        <v>46086.0</v>
      </c>
      <c r="B429" s="20">
        <v>46086.0</v>
      </c>
      <c r="C429" s="20" t="s">
        <v>25</v>
      </c>
      <c r="D429" s="21" t="s">
        <v>39</v>
      </c>
      <c r="E429" s="21" t="s">
        <v>87</v>
      </c>
      <c r="F429" s="22">
        <v>0.005115740740740741</v>
      </c>
      <c r="G429" s="21" t="s">
        <v>88</v>
      </c>
      <c r="H429" s="24" t="s">
        <v>505</v>
      </c>
      <c r="I429" s="25" t="s">
        <v>46</v>
      </c>
      <c r="J429" s="26">
        <v>46086.0</v>
      </c>
      <c r="K429" s="21" t="s">
        <v>506</v>
      </c>
      <c r="L429" s="27">
        <v>46197.0</v>
      </c>
      <c r="M429" s="28">
        <v>0.009722222222222222</v>
      </c>
      <c r="N429" s="29" t="s">
        <v>429</v>
      </c>
      <c r="O429" s="29" t="s">
        <v>35</v>
      </c>
      <c r="P429" s="34" t="s">
        <v>36</v>
      </c>
      <c r="Q429" s="34">
        <v>1.2002279E7</v>
      </c>
      <c r="R429" s="35">
        <v>46091.0</v>
      </c>
      <c r="S429" s="32"/>
      <c r="T429" s="33"/>
      <c r="U429" s="33"/>
    </row>
    <row r="430" ht="15.75" customHeight="1">
      <c r="A430" s="20">
        <v>46087.0</v>
      </c>
      <c r="B430" s="20">
        <v>46087.0</v>
      </c>
      <c r="C430" s="20" t="s">
        <v>25</v>
      </c>
      <c r="D430" s="21" t="s">
        <v>49</v>
      </c>
      <c r="E430" s="21" t="s">
        <v>26</v>
      </c>
      <c r="F430" s="22">
        <v>0.1009837962962963</v>
      </c>
      <c r="G430" s="21" t="s">
        <v>33</v>
      </c>
      <c r="H430" s="24"/>
      <c r="I430" s="25"/>
      <c r="J430" s="26"/>
      <c r="K430" s="21"/>
      <c r="L430" s="27">
        <v>46090.0</v>
      </c>
      <c r="M430" s="28">
        <v>0.20833333333333334</v>
      </c>
      <c r="N430" s="29" t="s">
        <v>31</v>
      </c>
      <c r="O430" s="29" t="s">
        <v>35</v>
      </c>
      <c r="P430" s="34" t="s">
        <v>36</v>
      </c>
      <c r="Q430" s="34" t="s">
        <v>507</v>
      </c>
      <c r="R430" s="35">
        <v>46091.0</v>
      </c>
      <c r="S430" s="32" t="s">
        <v>29</v>
      </c>
      <c r="T430" s="33"/>
      <c r="U430" s="79"/>
    </row>
    <row r="431" ht="15.75" customHeight="1">
      <c r="A431" s="20">
        <v>46087.0</v>
      </c>
      <c r="B431" s="20">
        <v>46087.0</v>
      </c>
      <c r="C431" s="20" t="s">
        <v>25</v>
      </c>
      <c r="D431" s="21" t="s">
        <v>57</v>
      </c>
      <c r="E431" s="21" t="s">
        <v>30</v>
      </c>
      <c r="F431" s="22">
        <v>0.003287037037037037</v>
      </c>
      <c r="G431" s="21" t="s">
        <v>33</v>
      </c>
      <c r="H431" s="24"/>
      <c r="I431" s="25"/>
      <c r="J431" s="26"/>
      <c r="K431" s="21"/>
      <c r="L431" s="27">
        <v>46087.0</v>
      </c>
      <c r="M431" s="28">
        <v>0.004861111111111111</v>
      </c>
      <c r="N431" s="29" t="s">
        <v>57</v>
      </c>
      <c r="O431" s="29" t="s">
        <v>35</v>
      </c>
      <c r="P431" s="34" t="s">
        <v>36</v>
      </c>
      <c r="Q431" s="34" t="s">
        <v>508</v>
      </c>
      <c r="R431" s="35">
        <v>46087.0</v>
      </c>
      <c r="S431" s="32" t="s">
        <v>29</v>
      </c>
      <c r="T431" s="33"/>
      <c r="U431" s="79"/>
    </row>
    <row r="432" ht="15.75" customHeight="1">
      <c r="A432" s="20">
        <v>46087.0</v>
      </c>
      <c r="B432" s="20">
        <v>46087.0</v>
      </c>
      <c r="C432" s="20" t="s">
        <v>25</v>
      </c>
      <c r="D432" s="21" t="s">
        <v>69</v>
      </c>
      <c r="E432" s="21" t="s">
        <v>32</v>
      </c>
      <c r="F432" s="22">
        <v>0.04809027777777778</v>
      </c>
      <c r="G432" s="21" t="s">
        <v>33</v>
      </c>
      <c r="H432" s="24"/>
      <c r="I432" s="25"/>
      <c r="J432" s="26"/>
      <c r="K432" s="21"/>
      <c r="L432" s="27">
        <v>46088.0</v>
      </c>
      <c r="M432" s="28">
        <v>0.125</v>
      </c>
      <c r="N432" s="29" t="s">
        <v>57</v>
      </c>
      <c r="O432" s="29" t="s">
        <v>35</v>
      </c>
      <c r="P432" s="34" t="s">
        <v>36</v>
      </c>
      <c r="Q432" s="34" t="s">
        <v>509</v>
      </c>
      <c r="R432" s="35">
        <v>46090.0</v>
      </c>
      <c r="S432" s="32" t="s">
        <v>29</v>
      </c>
      <c r="T432" s="33"/>
      <c r="U432" s="33"/>
    </row>
    <row r="433" ht="15.75" customHeight="1">
      <c r="A433" s="20">
        <v>46087.0</v>
      </c>
      <c r="B433" s="20">
        <v>46087.0</v>
      </c>
      <c r="C433" s="20" t="s">
        <v>25</v>
      </c>
      <c r="D433" s="21" t="s">
        <v>39</v>
      </c>
      <c r="E433" s="21" t="s">
        <v>38</v>
      </c>
      <c r="F433" s="22">
        <v>0.008958333333333334</v>
      </c>
      <c r="G433" s="21" t="s">
        <v>33</v>
      </c>
      <c r="H433" s="24"/>
      <c r="I433" s="25"/>
      <c r="J433" s="26"/>
      <c r="K433" s="21"/>
      <c r="L433" s="27">
        <v>46090.0</v>
      </c>
      <c r="M433" s="28">
        <v>0.017361111111111112</v>
      </c>
      <c r="N433" s="29" t="s">
        <v>49</v>
      </c>
      <c r="O433" s="29" t="s">
        <v>35</v>
      </c>
      <c r="P433" s="34" t="s">
        <v>36</v>
      </c>
      <c r="Q433" s="34">
        <v>1.1972453E7</v>
      </c>
      <c r="R433" s="35">
        <v>46090.0</v>
      </c>
      <c r="S433" s="32" t="s">
        <v>29</v>
      </c>
      <c r="T433" s="33"/>
      <c r="U433" s="33"/>
    </row>
    <row r="434" ht="15.75" customHeight="1">
      <c r="A434" s="20">
        <v>46087.0</v>
      </c>
      <c r="B434" s="20">
        <v>46087.0</v>
      </c>
      <c r="C434" s="20" t="s">
        <v>25</v>
      </c>
      <c r="D434" s="21" t="s">
        <v>39</v>
      </c>
      <c r="E434" s="21" t="s">
        <v>40</v>
      </c>
      <c r="F434" s="22">
        <v>0.02122685185185185</v>
      </c>
      <c r="G434" s="21" t="s">
        <v>33</v>
      </c>
      <c r="H434" s="24"/>
      <c r="I434" s="25"/>
      <c r="J434" s="26"/>
      <c r="K434" s="21"/>
      <c r="L434" s="27">
        <v>46090.0</v>
      </c>
      <c r="M434" s="28">
        <v>0.05555555555555555</v>
      </c>
      <c r="N434" s="29" t="s">
        <v>49</v>
      </c>
      <c r="O434" s="29" t="s">
        <v>35</v>
      </c>
      <c r="P434" s="34" t="s">
        <v>36</v>
      </c>
      <c r="Q434" s="34" t="s">
        <v>510</v>
      </c>
      <c r="R434" s="35">
        <v>46090.0</v>
      </c>
      <c r="S434" s="32" t="s">
        <v>29</v>
      </c>
      <c r="T434" s="33"/>
      <c r="U434" s="33"/>
    </row>
    <row r="435" ht="15.75" customHeight="1">
      <c r="A435" s="20">
        <v>46087.0</v>
      </c>
      <c r="B435" s="20">
        <v>46087.0</v>
      </c>
      <c r="C435" s="20" t="s">
        <v>42</v>
      </c>
      <c r="D435" s="21"/>
      <c r="E435" s="21" t="s">
        <v>43</v>
      </c>
      <c r="F435" s="22">
        <v>0.01699074074074074</v>
      </c>
      <c r="G435" s="21" t="s">
        <v>33</v>
      </c>
      <c r="H435" s="24"/>
      <c r="I435" s="25"/>
      <c r="J435" s="26"/>
      <c r="K435" s="21"/>
      <c r="L435" s="27">
        <v>46090.0</v>
      </c>
      <c r="M435" s="28">
        <v>0.041666666666666664</v>
      </c>
      <c r="N435" s="29" t="s">
        <v>59</v>
      </c>
      <c r="O435" s="29" t="s">
        <v>35</v>
      </c>
      <c r="P435" s="34" t="s">
        <v>28</v>
      </c>
      <c r="Q435" s="34"/>
      <c r="R435" s="35"/>
      <c r="S435" s="32" t="s">
        <v>29</v>
      </c>
      <c r="T435" s="33"/>
      <c r="U435" s="79"/>
    </row>
    <row r="436" ht="15.75" customHeight="1">
      <c r="A436" s="55">
        <v>46088.0</v>
      </c>
      <c r="B436" s="55">
        <v>46088.0</v>
      </c>
      <c r="C436" s="55" t="s">
        <v>25</v>
      </c>
      <c r="D436" s="56" t="s">
        <v>57</v>
      </c>
      <c r="E436" s="56" t="s">
        <v>32</v>
      </c>
      <c r="F436" s="57">
        <v>0.05170138888888889</v>
      </c>
      <c r="G436" s="56" t="s">
        <v>33</v>
      </c>
      <c r="H436" s="24"/>
      <c r="I436" s="25"/>
      <c r="J436" s="26"/>
      <c r="K436" s="21"/>
      <c r="L436" s="27">
        <v>46090.0</v>
      </c>
      <c r="M436" s="28">
        <v>0.125</v>
      </c>
      <c r="N436" s="29" t="s">
        <v>57</v>
      </c>
      <c r="O436" s="29" t="s">
        <v>35</v>
      </c>
      <c r="P436" s="34" t="s">
        <v>36</v>
      </c>
      <c r="Q436" s="34" t="s">
        <v>511</v>
      </c>
      <c r="R436" s="35">
        <v>46090.0</v>
      </c>
      <c r="S436" s="32" t="s">
        <v>29</v>
      </c>
      <c r="T436" s="33"/>
      <c r="U436" s="79"/>
    </row>
    <row r="437" ht="15.75" customHeight="1">
      <c r="A437" s="55">
        <v>46088.0</v>
      </c>
      <c r="B437" s="55">
        <v>46088.0</v>
      </c>
      <c r="C437" s="55" t="s">
        <v>25</v>
      </c>
      <c r="D437" s="56" t="s">
        <v>59</v>
      </c>
      <c r="E437" s="56" t="s">
        <v>40</v>
      </c>
      <c r="F437" s="57">
        <v>0.011967592592592592</v>
      </c>
      <c r="G437" s="56" t="s">
        <v>33</v>
      </c>
      <c r="H437" s="24"/>
      <c r="I437" s="25"/>
      <c r="J437" s="26"/>
      <c r="K437" s="21"/>
      <c r="L437" s="27">
        <v>46090.0</v>
      </c>
      <c r="M437" s="28">
        <v>0.03125</v>
      </c>
      <c r="N437" s="29" t="s">
        <v>34</v>
      </c>
      <c r="O437" s="29" t="s">
        <v>35</v>
      </c>
      <c r="P437" s="34" t="s">
        <v>36</v>
      </c>
      <c r="Q437" s="34" t="s">
        <v>512</v>
      </c>
      <c r="R437" s="35">
        <v>46090.0</v>
      </c>
      <c r="S437" s="32" t="s">
        <v>29</v>
      </c>
      <c r="T437" s="33"/>
      <c r="U437" s="79"/>
    </row>
    <row r="438" ht="15.75" customHeight="1">
      <c r="A438" s="55">
        <v>46088.0</v>
      </c>
      <c r="B438" s="55">
        <v>46088.0</v>
      </c>
      <c r="C438" s="55"/>
      <c r="D438" s="56"/>
      <c r="E438" s="56" t="s">
        <v>43</v>
      </c>
      <c r="F438" s="57">
        <v>0.014652777777777778</v>
      </c>
      <c r="G438" s="56" t="s">
        <v>33</v>
      </c>
      <c r="H438" s="24"/>
      <c r="I438" s="25"/>
      <c r="J438" s="26"/>
      <c r="K438" s="21"/>
      <c r="L438" s="27">
        <v>46093.0</v>
      </c>
      <c r="M438" s="28">
        <v>0.034722222222222224</v>
      </c>
      <c r="N438" s="29" t="s">
        <v>59</v>
      </c>
      <c r="O438" s="29" t="s">
        <v>35</v>
      </c>
      <c r="P438" s="30" t="s">
        <v>28</v>
      </c>
      <c r="Q438" s="30" t="s">
        <v>28</v>
      </c>
      <c r="R438" s="31" t="s">
        <v>28</v>
      </c>
      <c r="S438" s="32" t="s">
        <v>29</v>
      </c>
      <c r="T438" s="33"/>
      <c r="U438" s="79"/>
    </row>
    <row r="439" ht="15.75" customHeight="1">
      <c r="A439" s="55">
        <v>46088.0</v>
      </c>
      <c r="B439" s="55">
        <v>46088.0</v>
      </c>
      <c r="C439" s="55" t="s">
        <v>25</v>
      </c>
      <c r="D439" s="56" t="s">
        <v>59</v>
      </c>
      <c r="E439" s="56" t="s">
        <v>61</v>
      </c>
      <c r="F439" s="57">
        <v>0.021469907407407406</v>
      </c>
      <c r="G439" s="56" t="s">
        <v>33</v>
      </c>
      <c r="H439" s="24"/>
      <c r="I439" s="25"/>
      <c r="J439" s="26"/>
      <c r="K439" s="21" t="s">
        <v>513</v>
      </c>
      <c r="L439" s="27">
        <v>46093.0</v>
      </c>
      <c r="M439" s="28">
        <v>0.06944444444444445</v>
      </c>
      <c r="N439" s="29" t="s">
        <v>59</v>
      </c>
      <c r="O439" s="29" t="s">
        <v>35</v>
      </c>
      <c r="P439" s="34" t="s">
        <v>36</v>
      </c>
      <c r="Q439" s="34" t="s">
        <v>514</v>
      </c>
      <c r="R439" s="35">
        <v>46092.0</v>
      </c>
      <c r="S439" s="32" t="s">
        <v>29</v>
      </c>
      <c r="T439" s="33"/>
      <c r="U439" s="79"/>
    </row>
    <row r="440" ht="15.75" customHeight="1">
      <c r="A440" s="55">
        <v>46088.0</v>
      </c>
      <c r="B440" s="55">
        <v>46088.0</v>
      </c>
      <c r="C440" s="55" t="s">
        <v>25</v>
      </c>
      <c r="D440" s="56" t="s">
        <v>59</v>
      </c>
      <c r="E440" s="56" t="s">
        <v>62</v>
      </c>
      <c r="F440" s="57">
        <v>0.021469907407407406</v>
      </c>
      <c r="G440" s="56" t="s">
        <v>33</v>
      </c>
      <c r="H440" s="24"/>
      <c r="I440" s="25"/>
      <c r="J440" s="26"/>
      <c r="K440" s="21" t="s">
        <v>515</v>
      </c>
      <c r="L440" s="27">
        <v>46093.0</v>
      </c>
      <c r="M440" s="28">
        <v>0.003472222222222222</v>
      </c>
      <c r="N440" s="29" t="s">
        <v>59</v>
      </c>
      <c r="O440" s="29" t="s">
        <v>355</v>
      </c>
      <c r="P440" s="34" t="s">
        <v>36</v>
      </c>
      <c r="Q440" s="34" t="s">
        <v>516</v>
      </c>
      <c r="R440" s="35">
        <v>46092.0</v>
      </c>
      <c r="S440" s="32" t="s">
        <v>29</v>
      </c>
      <c r="T440" s="33"/>
      <c r="U440" s="79"/>
    </row>
    <row r="441" ht="15.75" customHeight="1">
      <c r="A441" s="55">
        <v>46088.0</v>
      </c>
      <c r="B441" s="55">
        <v>46088.0</v>
      </c>
      <c r="C441" s="55" t="s">
        <v>25</v>
      </c>
      <c r="D441" s="56" t="s">
        <v>34</v>
      </c>
      <c r="E441" s="56" t="s">
        <v>63</v>
      </c>
      <c r="F441" s="57">
        <v>0.02113425925925926</v>
      </c>
      <c r="G441" s="56" t="s">
        <v>33</v>
      </c>
      <c r="H441" s="24" t="s">
        <v>517</v>
      </c>
      <c r="I441" s="25" t="s">
        <v>46</v>
      </c>
      <c r="J441" s="26">
        <v>46090.63125</v>
      </c>
      <c r="K441" s="21" t="s">
        <v>518</v>
      </c>
      <c r="L441" s="27">
        <v>46092.0</v>
      </c>
      <c r="M441" s="28">
        <v>0.0625</v>
      </c>
      <c r="N441" s="29" t="s">
        <v>31</v>
      </c>
      <c r="O441" s="29" t="s">
        <v>35</v>
      </c>
      <c r="P441" s="34" t="s">
        <v>36</v>
      </c>
      <c r="Q441" s="34" t="s">
        <v>519</v>
      </c>
      <c r="R441" s="35">
        <v>46092.0</v>
      </c>
      <c r="S441" s="32" t="s">
        <v>29</v>
      </c>
      <c r="T441" s="33"/>
      <c r="U441" s="33"/>
    </row>
    <row r="442" ht="15.75" customHeight="1">
      <c r="A442" s="55">
        <v>46088.0</v>
      </c>
      <c r="B442" s="55">
        <v>46088.0</v>
      </c>
      <c r="C442" s="55" t="s">
        <v>25</v>
      </c>
      <c r="D442" s="56" t="s">
        <v>34</v>
      </c>
      <c r="E442" s="56" t="s">
        <v>520</v>
      </c>
      <c r="F442" s="57">
        <v>0.022581018518518518</v>
      </c>
      <c r="G442" s="56" t="s">
        <v>33</v>
      </c>
      <c r="H442" s="24" t="s">
        <v>521</v>
      </c>
      <c r="I442" s="25" t="s">
        <v>46</v>
      </c>
      <c r="J442" s="26">
        <v>46085.63375</v>
      </c>
      <c r="K442" s="21" t="s">
        <v>522</v>
      </c>
      <c r="L442" s="27">
        <v>46100.0</v>
      </c>
      <c r="M442" s="28">
        <v>0.05555555555555555</v>
      </c>
      <c r="N442" s="29" t="s">
        <v>49</v>
      </c>
      <c r="O442" s="29" t="s">
        <v>35</v>
      </c>
      <c r="P442" s="34" t="s">
        <v>36</v>
      </c>
      <c r="Q442" s="34" t="s">
        <v>523</v>
      </c>
      <c r="R442" s="35">
        <v>46087.0</v>
      </c>
      <c r="S442" s="32"/>
      <c r="T442" s="33"/>
      <c r="U442" s="33"/>
    </row>
    <row r="443" ht="15.75" customHeight="1">
      <c r="A443" s="60">
        <v>46089.0</v>
      </c>
      <c r="B443" s="60">
        <v>46089.0</v>
      </c>
      <c r="C443" s="60" t="s">
        <v>42</v>
      </c>
      <c r="D443" s="61" t="s">
        <v>34</v>
      </c>
      <c r="E443" s="61" t="s">
        <v>64</v>
      </c>
      <c r="F443" s="62">
        <v>0.02732638888888889</v>
      </c>
      <c r="G443" s="61" t="s">
        <v>33</v>
      </c>
      <c r="H443" s="24" t="s">
        <v>524</v>
      </c>
      <c r="I443" s="25" t="s">
        <v>46</v>
      </c>
      <c r="J443" s="26">
        <v>46094.59652777778</v>
      </c>
      <c r="K443" s="21" t="s">
        <v>525</v>
      </c>
      <c r="L443" s="27"/>
      <c r="M443" s="28"/>
      <c r="N443" s="29"/>
      <c r="O443" s="29"/>
      <c r="P443" s="34" t="s">
        <v>526</v>
      </c>
      <c r="Q443" s="34">
        <v>1.1995417E7</v>
      </c>
      <c r="R443" s="35">
        <v>46095.0</v>
      </c>
      <c r="S443" s="32" t="s">
        <v>29</v>
      </c>
      <c r="T443" s="33"/>
      <c r="U443" s="79"/>
    </row>
    <row r="444" ht="15.75" customHeight="1">
      <c r="A444" s="60">
        <v>46089.0</v>
      </c>
      <c r="B444" s="60">
        <v>46089.0</v>
      </c>
      <c r="C444" s="60"/>
      <c r="D444" s="61"/>
      <c r="E444" s="61" t="s">
        <v>66</v>
      </c>
      <c r="F444" s="62"/>
      <c r="G444" s="63" t="s">
        <v>102</v>
      </c>
      <c r="H444" s="24"/>
      <c r="I444" s="25"/>
      <c r="J444" s="26"/>
      <c r="K444" s="21"/>
      <c r="L444" s="27"/>
      <c r="M444" s="28"/>
      <c r="N444" s="29"/>
      <c r="O444" s="29"/>
      <c r="P444" s="34" t="s">
        <v>28</v>
      </c>
      <c r="Q444" s="34" t="s">
        <v>28</v>
      </c>
      <c r="R444" s="35" t="s">
        <v>28</v>
      </c>
      <c r="S444" s="32" t="s">
        <v>29</v>
      </c>
      <c r="T444" s="33"/>
      <c r="U444" s="33"/>
    </row>
    <row r="445" ht="15.75" customHeight="1">
      <c r="A445" s="20">
        <v>46090.0</v>
      </c>
      <c r="B445" s="20">
        <v>46090.0</v>
      </c>
      <c r="C445" s="20" t="s">
        <v>25</v>
      </c>
      <c r="D445" s="21" t="s">
        <v>49</v>
      </c>
      <c r="E445" s="21" t="s">
        <v>26</v>
      </c>
      <c r="F445" s="22">
        <v>0.10025462962962962</v>
      </c>
      <c r="G445" s="21" t="s">
        <v>33</v>
      </c>
      <c r="H445" s="24"/>
      <c r="I445" s="25"/>
      <c r="J445" s="26"/>
      <c r="K445" s="21"/>
      <c r="L445" s="27">
        <v>46091.0</v>
      </c>
      <c r="M445" s="28">
        <v>0.2465277777777778</v>
      </c>
      <c r="N445" s="29" t="s">
        <v>34</v>
      </c>
      <c r="O445" s="29" t="s">
        <v>35</v>
      </c>
      <c r="P445" s="34" t="s">
        <v>36</v>
      </c>
      <c r="Q445" s="34" t="s">
        <v>527</v>
      </c>
      <c r="R445" s="35">
        <v>46091.0</v>
      </c>
      <c r="S445" s="32" t="s">
        <v>29</v>
      </c>
      <c r="T445" s="33"/>
      <c r="U445" s="33"/>
    </row>
    <row r="446" ht="15.75" customHeight="1">
      <c r="A446" s="20">
        <v>46090.0</v>
      </c>
      <c r="B446" s="20">
        <v>46090.0</v>
      </c>
      <c r="C446" s="20" t="s">
        <v>25</v>
      </c>
      <c r="D446" s="21" t="s">
        <v>31</v>
      </c>
      <c r="E446" s="113" t="s">
        <v>30</v>
      </c>
      <c r="F446" s="22">
        <v>0.0030208333333333333</v>
      </c>
      <c r="G446" s="21" t="s">
        <v>33</v>
      </c>
      <c r="H446" s="24"/>
      <c r="I446" s="25"/>
      <c r="J446" s="26"/>
      <c r="K446" s="21"/>
      <c r="L446" s="27">
        <v>46090.0</v>
      </c>
      <c r="M446" s="28">
        <v>0.010416666666666666</v>
      </c>
      <c r="N446" s="29" t="s">
        <v>31</v>
      </c>
      <c r="O446" s="29" t="s">
        <v>35</v>
      </c>
      <c r="P446" s="34" t="s">
        <v>36</v>
      </c>
      <c r="Q446" s="34" t="s">
        <v>528</v>
      </c>
      <c r="R446" s="35">
        <v>46091.0</v>
      </c>
      <c r="S446" s="32" t="s">
        <v>29</v>
      </c>
      <c r="T446" s="33"/>
      <c r="U446" s="79"/>
    </row>
    <row r="447" ht="15.75" customHeight="1">
      <c r="A447" s="36">
        <v>46090.0</v>
      </c>
      <c r="B447" s="36">
        <v>46090.0</v>
      </c>
      <c r="C447" s="36" t="s">
        <v>25</v>
      </c>
      <c r="D447" s="37" t="s">
        <v>39</v>
      </c>
      <c r="E447" s="37" t="s">
        <v>32</v>
      </c>
      <c r="F447" s="38">
        <v>0.04673611111111111</v>
      </c>
      <c r="G447" s="37" t="s">
        <v>33</v>
      </c>
      <c r="H447" s="39"/>
      <c r="I447" s="40"/>
      <c r="J447" s="41"/>
      <c r="K447" s="37"/>
      <c r="L447" s="42">
        <v>46091.0</v>
      </c>
      <c r="M447" s="43">
        <v>0.125</v>
      </c>
      <c r="N447" s="44" t="s">
        <v>57</v>
      </c>
      <c r="O447" s="44" t="s">
        <v>35</v>
      </c>
      <c r="P447" s="45" t="s">
        <v>36</v>
      </c>
      <c r="Q447" s="45" t="s">
        <v>529</v>
      </c>
      <c r="R447" s="46">
        <v>46091.0</v>
      </c>
      <c r="S447" s="54" t="s">
        <v>29</v>
      </c>
      <c r="T447" s="33"/>
      <c r="U447" s="33"/>
    </row>
    <row r="448" ht="15.75" customHeight="1">
      <c r="A448" s="20">
        <v>46090.0</v>
      </c>
      <c r="B448" s="20">
        <v>46090.0</v>
      </c>
      <c r="C448" s="20" t="s">
        <v>25</v>
      </c>
      <c r="D448" s="21" t="s">
        <v>39</v>
      </c>
      <c r="E448" s="21" t="s">
        <v>38</v>
      </c>
      <c r="F448" s="22">
        <v>0.009467592592592593</v>
      </c>
      <c r="G448" s="21" t="s">
        <v>33</v>
      </c>
      <c r="H448" s="24"/>
      <c r="I448" s="25"/>
      <c r="J448" s="26"/>
      <c r="K448" s="65"/>
      <c r="L448" s="27">
        <v>46092.0</v>
      </c>
      <c r="M448" s="28">
        <v>0.017361111111111112</v>
      </c>
      <c r="N448" s="29" t="s">
        <v>49</v>
      </c>
      <c r="O448" s="29" t="s">
        <v>35</v>
      </c>
      <c r="P448" s="34" t="s">
        <v>36</v>
      </c>
      <c r="Q448" s="34">
        <v>1.1972454E7</v>
      </c>
      <c r="R448" s="35">
        <v>46091.0</v>
      </c>
      <c r="S448" s="32" t="s">
        <v>29</v>
      </c>
      <c r="T448" s="33"/>
      <c r="U448" s="33"/>
    </row>
    <row r="449" ht="15.75" customHeight="1">
      <c r="A449" s="20">
        <v>46090.0</v>
      </c>
      <c r="B449" s="20">
        <v>46090.0</v>
      </c>
      <c r="C449" s="20" t="s">
        <v>25</v>
      </c>
      <c r="D449" s="21" t="s">
        <v>34</v>
      </c>
      <c r="E449" s="21" t="s">
        <v>40</v>
      </c>
      <c r="F449" s="22">
        <v>0.020127314814814813</v>
      </c>
      <c r="G449" s="21" t="s">
        <v>33</v>
      </c>
      <c r="H449" s="24"/>
      <c r="I449" s="25"/>
      <c r="J449" s="26"/>
      <c r="K449" s="21"/>
      <c r="L449" s="27">
        <v>46091.0</v>
      </c>
      <c r="M449" s="28">
        <v>0.06388888888888888</v>
      </c>
      <c r="N449" s="29" t="s">
        <v>49</v>
      </c>
      <c r="O449" s="29" t="s">
        <v>35</v>
      </c>
      <c r="P449" s="34" t="s">
        <v>36</v>
      </c>
      <c r="Q449" s="34" t="s">
        <v>530</v>
      </c>
      <c r="R449" s="35">
        <v>46091.0</v>
      </c>
      <c r="S449" s="32" t="s">
        <v>29</v>
      </c>
      <c r="T449" s="33"/>
      <c r="U449" s="33"/>
    </row>
    <row r="450" ht="15.75" customHeight="1">
      <c r="A450" s="20">
        <v>46090.0</v>
      </c>
      <c r="B450" s="20">
        <v>46090.0</v>
      </c>
      <c r="C450" s="20" t="s">
        <v>42</v>
      </c>
      <c r="D450" s="21" t="s">
        <v>34</v>
      </c>
      <c r="E450" s="21" t="s">
        <v>43</v>
      </c>
      <c r="F450" s="22">
        <v>0.019143518518518518</v>
      </c>
      <c r="G450" s="21" t="s">
        <v>33</v>
      </c>
      <c r="H450" s="24" t="s">
        <v>531</v>
      </c>
      <c r="I450" s="25" t="s">
        <v>46</v>
      </c>
      <c r="J450" s="26">
        <v>46090.802777777775</v>
      </c>
      <c r="K450" s="21" t="s">
        <v>531</v>
      </c>
      <c r="L450" s="27">
        <v>46094.0</v>
      </c>
      <c r="M450" s="28">
        <v>0.041666666666666664</v>
      </c>
      <c r="N450" s="29" t="s">
        <v>31</v>
      </c>
      <c r="O450" s="29" t="s">
        <v>35</v>
      </c>
      <c r="P450" s="30" t="s">
        <v>28</v>
      </c>
      <c r="Q450" s="30" t="s">
        <v>28</v>
      </c>
      <c r="R450" s="31" t="s">
        <v>28</v>
      </c>
      <c r="S450" s="32" t="s">
        <v>29</v>
      </c>
      <c r="T450" s="33"/>
      <c r="U450" s="33"/>
    </row>
    <row r="451" ht="15.75" customHeight="1">
      <c r="A451" s="36">
        <v>46091.0</v>
      </c>
      <c r="B451" s="36">
        <v>46091.0</v>
      </c>
      <c r="C451" s="36" t="s">
        <v>25</v>
      </c>
      <c r="D451" s="37" t="s">
        <v>49</v>
      </c>
      <c r="E451" s="37" t="s">
        <v>26</v>
      </c>
      <c r="F451" s="38">
        <v>0.10104166666666667</v>
      </c>
      <c r="G451" s="37" t="s">
        <v>33</v>
      </c>
      <c r="H451" s="39" t="s">
        <v>532</v>
      </c>
      <c r="I451" s="40" t="s">
        <v>533</v>
      </c>
      <c r="J451" s="41" t="s">
        <v>534</v>
      </c>
      <c r="K451" s="37" t="s">
        <v>535</v>
      </c>
      <c r="L451" s="42">
        <v>46092.0</v>
      </c>
      <c r="M451" s="43">
        <v>0.20833333333333334</v>
      </c>
      <c r="N451" s="44" t="s">
        <v>59</v>
      </c>
      <c r="O451" s="44" t="s">
        <v>35</v>
      </c>
      <c r="P451" s="45" t="s">
        <v>36</v>
      </c>
      <c r="Q451" s="45" t="s">
        <v>536</v>
      </c>
      <c r="R451" s="46">
        <v>46093.0</v>
      </c>
      <c r="S451" s="54" t="s">
        <v>29</v>
      </c>
      <c r="T451" s="33"/>
      <c r="U451" s="33"/>
    </row>
    <row r="452" ht="14.25" customHeight="1">
      <c r="A452" s="20">
        <v>46091.0</v>
      </c>
      <c r="B452" s="20">
        <v>46091.0</v>
      </c>
      <c r="C452" s="20" t="s">
        <v>25</v>
      </c>
      <c r="D452" s="21" t="s">
        <v>34</v>
      </c>
      <c r="E452" s="21" t="s">
        <v>30</v>
      </c>
      <c r="F452" s="22">
        <v>0.004953703703703704</v>
      </c>
      <c r="G452" s="21" t="s">
        <v>33</v>
      </c>
      <c r="H452" s="24"/>
      <c r="I452" s="25"/>
      <c r="J452" s="26"/>
      <c r="K452" s="21"/>
      <c r="L452" s="27">
        <v>46091.0</v>
      </c>
      <c r="M452" s="28">
        <v>0.0125</v>
      </c>
      <c r="N452" s="29" t="s">
        <v>34</v>
      </c>
      <c r="O452" s="29" t="s">
        <v>35</v>
      </c>
      <c r="P452" s="34" t="s">
        <v>36</v>
      </c>
      <c r="Q452" s="34" t="s">
        <v>537</v>
      </c>
      <c r="R452" s="35">
        <v>46092.0</v>
      </c>
      <c r="S452" s="32" t="s">
        <v>29</v>
      </c>
      <c r="T452" s="33"/>
      <c r="U452" s="33"/>
    </row>
    <row r="453" ht="15.75" customHeight="1">
      <c r="A453" s="36">
        <v>46091.0</v>
      </c>
      <c r="B453" s="36">
        <v>46091.0</v>
      </c>
      <c r="C453" s="36" t="s">
        <v>25</v>
      </c>
      <c r="D453" s="37" t="s">
        <v>69</v>
      </c>
      <c r="E453" s="37" t="s">
        <v>32</v>
      </c>
      <c r="F453" s="38">
        <v>0.04883101851851852</v>
      </c>
      <c r="G453" s="37" t="s">
        <v>33</v>
      </c>
      <c r="H453" s="39" t="s">
        <v>538</v>
      </c>
      <c r="I453" s="40"/>
      <c r="J453" s="41"/>
      <c r="K453" s="37" t="s">
        <v>539</v>
      </c>
      <c r="L453" s="42">
        <v>46092.0</v>
      </c>
      <c r="M453" s="43">
        <v>0.12152777777777778</v>
      </c>
      <c r="N453" s="44" t="s">
        <v>57</v>
      </c>
      <c r="O453" s="44" t="s">
        <v>35</v>
      </c>
      <c r="P453" s="45" t="s">
        <v>36</v>
      </c>
      <c r="Q453" s="45" t="s">
        <v>540</v>
      </c>
      <c r="R453" s="46">
        <v>46093.0</v>
      </c>
      <c r="S453" s="54" t="s">
        <v>29</v>
      </c>
      <c r="T453" s="33"/>
      <c r="U453" s="33"/>
    </row>
    <row r="454" ht="15.75" customHeight="1">
      <c r="A454" s="20">
        <v>46091.0</v>
      </c>
      <c r="B454" s="20">
        <v>46091.0</v>
      </c>
      <c r="C454" s="20" t="s">
        <v>25</v>
      </c>
      <c r="D454" s="21" t="s">
        <v>39</v>
      </c>
      <c r="E454" s="21" t="s">
        <v>38</v>
      </c>
      <c r="F454" s="22">
        <v>0.008773148148148148</v>
      </c>
      <c r="G454" s="21" t="s">
        <v>33</v>
      </c>
      <c r="H454" s="24"/>
      <c r="I454" s="25"/>
      <c r="J454" s="26"/>
      <c r="K454" s="21"/>
      <c r="L454" s="27">
        <v>46092.0</v>
      </c>
      <c r="M454" s="28">
        <v>0.01875</v>
      </c>
      <c r="N454" s="29" t="s">
        <v>34</v>
      </c>
      <c r="O454" s="29" t="s">
        <v>35</v>
      </c>
      <c r="P454" s="34" t="s">
        <v>36</v>
      </c>
      <c r="Q454" s="34">
        <v>1.1972455E7</v>
      </c>
      <c r="R454" s="35">
        <v>46092.0</v>
      </c>
      <c r="S454" s="32" t="s">
        <v>29</v>
      </c>
      <c r="T454" s="33"/>
      <c r="U454" s="33"/>
    </row>
    <row r="455" ht="15.75" customHeight="1">
      <c r="A455" s="20">
        <v>46091.0</v>
      </c>
      <c r="B455" s="20">
        <v>46091.0</v>
      </c>
      <c r="C455" s="20" t="s">
        <v>25</v>
      </c>
      <c r="D455" s="21" t="s">
        <v>39</v>
      </c>
      <c r="E455" s="21" t="s">
        <v>40</v>
      </c>
      <c r="F455" s="22">
        <v>0.020729166666666667</v>
      </c>
      <c r="G455" s="21" t="s">
        <v>33</v>
      </c>
      <c r="H455" s="24"/>
      <c r="I455" s="25"/>
      <c r="J455" s="26"/>
      <c r="K455" s="21"/>
      <c r="L455" s="27">
        <v>46092.0</v>
      </c>
      <c r="M455" s="28">
        <v>0.05</v>
      </c>
      <c r="N455" s="29" t="s">
        <v>34</v>
      </c>
      <c r="O455" s="29" t="s">
        <v>35</v>
      </c>
      <c r="P455" s="34" t="s">
        <v>36</v>
      </c>
      <c r="Q455" s="34" t="s">
        <v>541</v>
      </c>
      <c r="R455" s="35">
        <v>46092.0</v>
      </c>
      <c r="S455" s="32" t="s">
        <v>29</v>
      </c>
      <c r="T455" s="33"/>
      <c r="U455" s="33"/>
    </row>
    <row r="456" ht="15.75" customHeight="1">
      <c r="A456" s="20">
        <v>46091.0</v>
      </c>
      <c r="B456" s="20">
        <v>46091.0</v>
      </c>
      <c r="C456" s="20" t="s">
        <v>42</v>
      </c>
      <c r="D456" s="21" t="s">
        <v>34</v>
      </c>
      <c r="E456" s="21" t="s">
        <v>43</v>
      </c>
      <c r="F456" s="22">
        <v>0.01693287037037037</v>
      </c>
      <c r="G456" s="21" t="s">
        <v>33</v>
      </c>
      <c r="H456" s="24" t="s">
        <v>542</v>
      </c>
      <c r="I456" s="25" t="s">
        <v>46</v>
      </c>
      <c r="J456" s="26">
        <v>46091.655381944445</v>
      </c>
      <c r="K456" s="21" t="s">
        <v>543</v>
      </c>
      <c r="L456" s="27">
        <v>46092.0</v>
      </c>
      <c r="M456" s="28">
        <v>0.041666666666666664</v>
      </c>
      <c r="N456" s="29" t="s">
        <v>31</v>
      </c>
      <c r="O456" s="29" t="s">
        <v>35</v>
      </c>
      <c r="P456" s="30" t="s">
        <v>28</v>
      </c>
      <c r="Q456" s="30" t="s">
        <v>28</v>
      </c>
      <c r="R456" s="31" t="s">
        <v>28</v>
      </c>
      <c r="S456" s="32" t="s">
        <v>29</v>
      </c>
      <c r="T456" s="33"/>
      <c r="U456" s="33"/>
    </row>
    <row r="457" ht="15.75" customHeight="1">
      <c r="A457" s="20">
        <v>46092.0</v>
      </c>
      <c r="B457" s="20">
        <v>46092.0</v>
      </c>
      <c r="C457" s="20" t="s">
        <v>25</v>
      </c>
      <c r="D457" s="21" t="s">
        <v>49</v>
      </c>
      <c r="E457" s="21" t="s">
        <v>26</v>
      </c>
      <c r="F457" s="22">
        <v>0.0996412037037037</v>
      </c>
      <c r="G457" s="21" t="s">
        <v>33</v>
      </c>
      <c r="H457" s="24"/>
      <c r="I457" s="25"/>
      <c r="J457" s="26"/>
      <c r="K457" s="21"/>
      <c r="L457" s="27">
        <v>46093.0</v>
      </c>
      <c r="M457" s="28">
        <v>0.23958333333333334</v>
      </c>
      <c r="N457" s="29" t="s">
        <v>39</v>
      </c>
      <c r="O457" s="29" t="s">
        <v>35</v>
      </c>
      <c r="P457" s="34" t="s">
        <v>36</v>
      </c>
      <c r="Q457" s="34" t="s">
        <v>544</v>
      </c>
      <c r="R457" s="35">
        <v>46093.0</v>
      </c>
      <c r="S457" s="32" t="s">
        <v>29</v>
      </c>
      <c r="T457" s="33"/>
      <c r="U457" s="33"/>
    </row>
    <row r="458" ht="15.75" customHeight="1">
      <c r="A458" s="20">
        <v>46092.0</v>
      </c>
      <c r="B458" s="20">
        <v>46092.0</v>
      </c>
      <c r="C458" s="20"/>
      <c r="D458" s="70"/>
      <c r="E458" s="21" t="s">
        <v>30</v>
      </c>
      <c r="F458" s="71"/>
      <c r="G458" s="112" t="s">
        <v>27</v>
      </c>
      <c r="H458" s="24"/>
      <c r="I458" s="25"/>
      <c r="J458" s="26"/>
      <c r="K458" s="21"/>
      <c r="L458" s="27"/>
      <c r="M458" s="28"/>
      <c r="N458" s="29"/>
      <c r="O458" s="29"/>
      <c r="P458" s="34" t="s">
        <v>28</v>
      </c>
      <c r="Q458" s="34" t="s">
        <v>28</v>
      </c>
      <c r="R458" s="35" t="s">
        <v>28</v>
      </c>
      <c r="S458" s="32" t="s">
        <v>29</v>
      </c>
      <c r="T458" s="33"/>
      <c r="U458" s="33"/>
    </row>
    <row r="459" ht="15.75" customHeight="1">
      <c r="A459" s="88">
        <v>46092.0</v>
      </c>
      <c r="B459" s="88">
        <v>46092.0</v>
      </c>
      <c r="C459" s="88" t="s">
        <v>25</v>
      </c>
      <c r="D459" s="89" t="s">
        <v>69</v>
      </c>
      <c r="E459" s="89" t="s">
        <v>32</v>
      </c>
      <c r="F459" s="90">
        <v>0.04650462962962963</v>
      </c>
      <c r="G459" s="89" t="s">
        <v>33</v>
      </c>
      <c r="H459" s="91"/>
      <c r="I459" s="92"/>
      <c r="J459" s="93"/>
      <c r="K459" s="89"/>
      <c r="L459" s="94">
        <v>46093.0</v>
      </c>
      <c r="M459" s="95">
        <v>0.125</v>
      </c>
      <c r="N459" s="96" t="s">
        <v>57</v>
      </c>
      <c r="O459" s="96" t="s">
        <v>35</v>
      </c>
      <c r="P459" s="97" t="s">
        <v>36</v>
      </c>
      <c r="Q459" s="97" t="s">
        <v>545</v>
      </c>
      <c r="R459" s="98">
        <v>46093.0</v>
      </c>
      <c r="S459" s="32" t="s">
        <v>29</v>
      </c>
      <c r="T459" s="99"/>
      <c r="U459" s="99"/>
    </row>
    <row r="460" ht="15.75" customHeight="1">
      <c r="A460" s="20">
        <v>46092.0</v>
      </c>
      <c r="B460" s="20">
        <v>46092.0</v>
      </c>
      <c r="C460" s="20" t="s">
        <v>25</v>
      </c>
      <c r="D460" s="21" t="s">
        <v>34</v>
      </c>
      <c r="E460" s="21" t="s">
        <v>38</v>
      </c>
      <c r="F460" s="22">
        <v>0.0084375</v>
      </c>
      <c r="G460" s="21" t="s">
        <v>33</v>
      </c>
      <c r="H460" s="24"/>
      <c r="I460" s="25"/>
      <c r="J460" s="26"/>
      <c r="K460" s="21"/>
      <c r="L460" s="27">
        <v>46093.0</v>
      </c>
      <c r="M460" s="28">
        <v>0.018055555555555554</v>
      </c>
      <c r="N460" s="29" t="s">
        <v>34</v>
      </c>
      <c r="O460" s="29" t="s">
        <v>35</v>
      </c>
      <c r="P460" s="34" t="s">
        <v>36</v>
      </c>
      <c r="Q460" s="34">
        <v>1.1972456E7</v>
      </c>
      <c r="R460" s="35">
        <v>46093.0</v>
      </c>
      <c r="S460" s="32" t="s">
        <v>29</v>
      </c>
      <c r="T460" s="33"/>
      <c r="U460" s="33"/>
    </row>
    <row r="461" ht="15.75" customHeight="1">
      <c r="A461" s="20">
        <v>46092.0</v>
      </c>
      <c r="B461" s="20">
        <v>46092.0</v>
      </c>
      <c r="C461" s="20" t="s">
        <v>25</v>
      </c>
      <c r="D461" s="21" t="s">
        <v>34</v>
      </c>
      <c r="E461" s="21" t="s">
        <v>40</v>
      </c>
      <c r="F461" s="22">
        <v>0.019872685185185184</v>
      </c>
      <c r="G461" s="21" t="s">
        <v>33</v>
      </c>
      <c r="H461" s="24"/>
      <c r="I461" s="25"/>
      <c r="J461" s="26"/>
      <c r="K461" s="21"/>
      <c r="L461" s="27">
        <v>46093.0</v>
      </c>
      <c r="M461" s="28">
        <v>0.04583333333333333</v>
      </c>
      <c r="N461" s="29" t="s">
        <v>34</v>
      </c>
      <c r="O461" s="29" t="s">
        <v>35</v>
      </c>
      <c r="P461" s="34" t="s">
        <v>36</v>
      </c>
      <c r="Q461" s="34" t="s">
        <v>546</v>
      </c>
      <c r="R461" s="35">
        <v>46093.0</v>
      </c>
      <c r="S461" s="32" t="s">
        <v>29</v>
      </c>
      <c r="T461" s="33"/>
      <c r="U461" s="33"/>
    </row>
    <row r="462" ht="15.75" customHeight="1">
      <c r="A462" s="20">
        <v>46092.0</v>
      </c>
      <c r="B462" s="20">
        <v>46092.0</v>
      </c>
      <c r="C462" s="20" t="s">
        <v>42</v>
      </c>
      <c r="D462" s="21" t="s">
        <v>34</v>
      </c>
      <c r="E462" s="21" t="s">
        <v>43</v>
      </c>
      <c r="F462" s="22">
        <v>0.01576388888888889</v>
      </c>
      <c r="G462" s="21" t="s">
        <v>33</v>
      </c>
      <c r="H462" s="24"/>
      <c r="I462" s="25"/>
      <c r="J462" s="26"/>
      <c r="K462" s="21"/>
      <c r="L462" s="27">
        <v>46093.0</v>
      </c>
      <c r="M462" s="28">
        <v>0.041666666666666664</v>
      </c>
      <c r="N462" s="29" t="s">
        <v>31</v>
      </c>
      <c r="O462" s="29" t="s">
        <v>35</v>
      </c>
      <c r="P462" s="30" t="s">
        <v>28</v>
      </c>
      <c r="Q462" s="30" t="s">
        <v>28</v>
      </c>
      <c r="R462" s="31" t="s">
        <v>28</v>
      </c>
      <c r="S462" s="32" t="s">
        <v>29</v>
      </c>
      <c r="T462" s="33"/>
      <c r="U462" s="33"/>
    </row>
    <row r="463" ht="15.75" customHeight="1">
      <c r="A463" s="36">
        <v>46093.0</v>
      </c>
      <c r="B463" s="36">
        <v>46093.0</v>
      </c>
      <c r="C463" s="36" t="s">
        <v>25</v>
      </c>
      <c r="D463" s="37" t="s">
        <v>49</v>
      </c>
      <c r="E463" s="37" t="s">
        <v>26</v>
      </c>
      <c r="F463" s="38">
        <v>0.09943287037037037</v>
      </c>
      <c r="G463" s="37" t="s">
        <v>33</v>
      </c>
      <c r="H463" s="39"/>
      <c r="I463" s="40" t="s">
        <v>178</v>
      </c>
      <c r="J463" s="41">
        <v>45728.55902777778</v>
      </c>
      <c r="K463" s="37" t="s">
        <v>547</v>
      </c>
      <c r="L463" s="42">
        <v>46094.0</v>
      </c>
      <c r="M463" s="43">
        <v>0.20833333333333334</v>
      </c>
      <c r="N463" s="44" t="s">
        <v>57</v>
      </c>
      <c r="O463" s="44" t="s">
        <v>35</v>
      </c>
      <c r="P463" s="45" t="s">
        <v>36</v>
      </c>
      <c r="Q463" s="45" t="s">
        <v>548</v>
      </c>
      <c r="R463" s="46">
        <v>46096.0</v>
      </c>
      <c r="S463" s="54" t="s">
        <v>29</v>
      </c>
      <c r="T463" s="33"/>
      <c r="U463" s="33"/>
    </row>
    <row r="464" ht="15.75" customHeight="1">
      <c r="A464" s="20">
        <v>46093.0</v>
      </c>
      <c r="B464" s="20">
        <v>46093.0</v>
      </c>
      <c r="C464" s="20" t="s">
        <v>25</v>
      </c>
      <c r="D464" s="21" t="s">
        <v>39</v>
      </c>
      <c r="E464" s="21" t="s">
        <v>30</v>
      </c>
      <c r="F464" s="22">
        <v>0.0019675925925925924</v>
      </c>
      <c r="G464" s="21" t="s">
        <v>33</v>
      </c>
      <c r="H464" s="24"/>
      <c r="I464" s="25"/>
      <c r="J464" s="26"/>
      <c r="K464" s="21"/>
      <c r="L464" s="27">
        <v>46093.0</v>
      </c>
      <c r="M464" s="28">
        <v>0.004166666666666667</v>
      </c>
      <c r="N464" s="29" t="s">
        <v>39</v>
      </c>
      <c r="O464" s="29" t="s">
        <v>35</v>
      </c>
      <c r="P464" s="34" t="s">
        <v>36</v>
      </c>
      <c r="Q464" s="34" t="s">
        <v>549</v>
      </c>
      <c r="R464" s="35">
        <v>46096.0</v>
      </c>
      <c r="S464" s="32" t="s">
        <v>29</v>
      </c>
      <c r="T464" s="33"/>
      <c r="U464" s="33"/>
    </row>
    <row r="465" ht="15.75" customHeight="1">
      <c r="A465" s="36">
        <v>46093.0</v>
      </c>
      <c r="B465" s="36">
        <v>46093.0</v>
      </c>
      <c r="C465" s="36" t="s">
        <v>25</v>
      </c>
      <c r="D465" s="37" t="s">
        <v>69</v>
      </c>
      <c r="E465" s="37" t="s">
        <v>32</v>
      </c>
      <c r="F465" s="38">
        <v>0.04703703703703704</v>
      </c>
      <c r="G465" s="37" t="s">
        <v>33</v>
      </c>
      <c r="H465" s="39"/>
      <c r="I465" s="40"/>
      <c r="J465" s="41"/>
      <c r="K465" s="37"/>
      <c r="L465" s="42">
        <v>46094.0</v>
      </c>
      <c r="M465" s="43">
        <v>0.10416666666666667</v>
      </c>
      <c r="N465" s="44" t="s">
        <v>34</v>
      </c>
      <c r="O465" s="44" t="s">
        <v>35</v>
      </c>
      <c r="P465" s="45" t="s">
        <v>36</v>
      </c>
      <c r="Q465" s="45" t="s">
        <v>550</v>
      </c>
      <c r="R465" s="46">
        <v>46094.0</v>
      </c>
      <c r="S465" s="54" t="s">
        <v>29</v>
      </c>
      <c r="T465" s="33"/>
      <c r="U465" s="33"/>
    </row>
    <row r="466" ht="15.75" customHeight="1">
      <c r="A466" s="20">
        <v>46093.0</v>
      </c>
      <c r="B466" s="20">
        <v>46093.0</v>
      </c>
      <c r="C466" s="20" t="s">
        <v>25</v>
      </c>
      <c r="D466" s="21" t="s">
        <v>34</v>
      </c>
      <c r="E466" s="21" t="s">
        <v>38</v>
      </c>
      <c r="F466" s="22">
        <v>0.008344907407407407</v>
      </c>
      <c r="G466" s="21" t="s">
        <v>33</v>
      </c>
      <c r="H466" s="24"/>
      <c r="I466" s="25"/>
      <c r="J466" s="26"/>
      <c r="K466" s="21"/>
      <c r="L466" s="27">
        <v>46094.0</v>
      </c>
      <c r="M466" s="28">
        <v>0.017361111111111112</v>
      </c>
      <c r="N466" s="29" t="s">
        <v>49</v>
      </c>
      <c r="O466" s="29" t="s">
        <v>35</v>
      </c>
      <c r="P466" s="34" t="s">
        <v>36</v>
      </c>
      <c r="Q466" s="34">
        <v>1.1972457E7</v>
      </c>
      <c r="R466" s="35">
        <v>46094.0</v>
      </c>
      <c r="S466" s="32" t="s">
        <v>29</v>
      </c>
      <c r="T466" s="33"/>
      <c r="U466" s="33"/>
    </row>
    <row r="467" ht="15.75" customHeight="1">
      <c r="A467" s="20">
        <v>46093.0</v>
      </c>
      <c r="B467" s="20">
        <v>46093.0</v>
      </c>
      <c r="C467" s="20" t="s">
        <v>25</v>
      </c>
      <c r="D467" s="21" t="s">
        <v>34</v>
      </c>
      <c r="E467" s="21" t="s">
        <v>40</v>
      </c>
      <c r="F467" s="22">
        <v>0.018657407407407407</v>
      </c>
      <c r="G467" s="21" t="s">
        <v>33</v>
      </c>
      <c r="H467" s="24"/>
      <c r="I467" s="25"/>
      <c r="J467" s="26"/>
      <c r="K467" s="21"/>
      <c r="L467" s="27">
        <v>46094.0</v>
      </c>
      <c r="M467" s="28">
        <v>0.0625</v>
      </c>
      <c r="N467" s="29" t="s">
        <v>49</v>
      </c>
      <c r="O467" s="29" t="s">
        <v>35</v>
      </c>
      <c r="P467" s="34" t="s">
        <v>36</v>
      </c>
      <c r="Q467" s="34" t="s">
        <v>551</v>
      </c>
      <c r="R467" s="35">
        <v>46094.0</v>
      </c>
      <c r="S467" s="32" t="s">
        <v>29</v>
      </c>
      <c r="T467" s="33"/>
      <c r="U467" s="33"/>
    </row>
    <row r="468" ht="15.75" customHeight="1">
      <c r="A468" s="20">
        <v>46093.0</v>
      </c>
      <c r="B468" s="20">
        <v>46093.0</v>
      </c>
      <c r="C468" s="20"/>
      <c r="D468" s="21"/>
      <c r="E468" s="21" t="s">
        <v>43</v>
      </c>
      <c r="F468" s="22">
        <v>0.017534722222222222</v>
      </c>
      <c r="G468" s="21" t="s">
        <v>33</v>
      </c>
      <c r="H468" s="24"/>
      <c r="I468" s="25"/>
      <c r="J468" s="26"/>
      <c r="K468" s="21"/>
      <c r="L468" s="27">
        <v>46094.0</v>
      </c>
      <c r="M468" s="28">
        <v>0.041666666666666664</v>
      </c>
      <c r="N468" s="29" t="s">
        <v>59</v>
      </c>
      <c r="O468" s="29" t="s">
        <v>35</v>
      </c>
      <c r="P468" s="30" t="s">
        <v>28</v>
      </c>
      <c r="Q468" s="30" t="s">
        <v>28</v>
      </c>
      <c r="R468" s="31" t="s">
        <v>28</v>
      </c>
      <c r="S468" s="32" t="s">
        <v>29</v>
      </c>
      <c r="T468" s="33"/>
      <c r="U468" s="33"/>
    </row>
    <row r="469" ht="15.75" customHeight="1">
      <c r="A469" s="36">
        <v>46094.0</v>
      </c>
      <c r="B469" s="36">
        <v>46094.0</v>
      </c>
      <c r="C469" s="36" t="s">
        <v>25</v>
      </c>
      <c r="D469" s="37" t="s">
        <v>49</v>
      </c>
      <c r="E469" s="37" t="s">
        <v>26</v>
      </c>
      <c r="F469" s="38">
        <v>0.09939814814814815</v>
      </c>
      <c r="G469" s="37" t="s">
        <v>33</v>
      </c>
      <c r="H469" s="39"/>
      <c r="I469" s="40" t="s">
        <v>178</v>
      </c>
      <c r="J469" s="41">
        <v>45729.614583333336</v>
      </c>
      <c r="K469" s="37" t="s">
        <v>552</v>
      </c>
      <c r="L469" s="42">
        <v>46097.0</v>
      </c>
      <c r="M469" s="43">
        <v>0.20833333333333334</v>
      </c>
      <c r="N469" s="44" t="s">
        <v>31</v>
      </c>
      <c r="O469" s="44" t="s">
        <v>35</v>
      </c>
      <c r="P469" s="45" t="s">
        <v>36</v>
      </c>
      <c r="Q469" s="45" t="s">
        <v>553</v>
      </c>
      <c r="R469" s="46">
        <v>46097.0</v>
      </c>
      <c r="S469" s="54" t="s">
        <v>29</v>
      </c>
      <c r="T469" s="33"/>
      <c r="U469" s="79"/>
    </row>
    <row r="470" ht="15.75" customHeight="1">
      <c r="A470" s="20">
        <v>46094.0</v>
      </c>
      <c r="B470" s="20">
        <v>46094.0</v>
      </c>
      <c r="C470" s="20" t="s">
        <v>25</v>
      </c>
      <c r="D470" s="21" t="s">
        <v>57</v>
      </c>
      <c r="E470" s="21" t="s">
        <v>30</v>
      </c>
      <c r="F470" s="22">
        <v>0.005810185185185186</v>
      </c>
      <c r="G470" s="21" t="s">
        <v>33</v>
      </c>
      <c r="H470" s="24"/>
      <c r="I470" s="25"/>
      <c r="J470" s="26"/>
      <c r="K470" s="21"/>
      <c r="L470" s="27">
        <v>46094.0</v>
      </c>
      <c r="M470" s="28">
        <v>0.013888888888888888</v>
      </c>
      <c r="N470" s="29" t="s">
        <v>57</v>
      </c>
      <c r="O470" s="29" t="s">
        <v>35</v>
      </c>
      <c r="P470" s="34" t="s">
        <v>36</v>
      </c>
      <c r="Q470" s="34" t="s">
        <v>554</v>
      </c>
      <c r="R470" s="35">
        <v>46096.0</v>
      </c>
      <c r="S470" s="32" t="s">
        <v>29</v>
      </c>
      <c r="T470" s="33"/>
      <c r="U470" s="79"/>
    </row>
    <row r="471" ht="15.75" customHeight="1">
      <c r="A471" s="20">
        <v>46094.0</v>
      </c>
      <c r="B471" s="20">
        <v>46094.0</v>
      </c>
      <c r="C471" s="20" t="s">
        <v>25</v>
      </c>
      <c r="D471" s="21" t="s">
        <v>34</v>
      </c>
      <c r="E471" s="21" t="s">
        <v>32</v>
      </c>
      <c r="F471" s="22">
        <v>0.04747685185185185</v>
      </c>
      <c r="G471" s="21" t="s">
        <v>33</v>
      </c>
      <c r="H471" s="24"/>
      <c r="I471" s="25"/>
      <c r="J471" s="26"/>
      <c r="K471" s="21"/>
      <c r="L471" s="27">
        <v>46095.0</v>
      </c>
      <c r="M471" s="28">
        <v>0.1076388888888889</v>
      </c>
      <c r="N471" s="29" t="s">
        <v>34</v>
      </c>
      <c r="O471" s="29" t="s">
        <v>35</v>
      </c>
      <c r="P471" s="34" t="s">
        <v>36</v>
      </c>
      <c r="Q471" s="34" t="s">
        <v>555</v>
      </c>
      <c r="R471" s="35">
        <v>46096.0</v>
      </c>
      <c r="S471" s="32" t="s">
        <v>29</v>
      </c>
      <c r="T471" s="33"/>
      <c r="U471" s="79"/>
    </row>
    <row r="472" ht="15.75" customHeight="1">
      <c r="A472" s="20">
        <v>46094.0</v>
      </c>
      <c r="B472" s="20">
        <v>46094.0</v>
      </c>
      <c r="C472" s="20" t="s">
        <v>25</v>
      </c>
      <c r="D472" s="21" t="s">
        <v>59</v>
      </c>
      <c r="E472" s="21" t="s">
        <v>38</v>
      </c>
      <c r="F472" s="22">
        <v>0.00837962962962963</v>
      </c>
      <c r="G472" s="21" t="s">
        <v>33</v>
      </c>
      <c r="H472" s="24"/>
      <c r="I472" s="25"/>
      <c r="J472" s="26"/>
      <c r="K472" s="21"/>
      <c r="L472" s="27">
        <v>46097.0</v>
      </c>
      <c r="M472" s="28">
        <v>0.022222222222222223</v>
      </c>
      <c r="N472" s="29" t="s">
        <v>49</v>
      </c>
      <c r="O472" s="29" t="s">
        <v>35</v>
      </c>
      <c r="P472" s="34" t="s">
        <v>36</v>
      </c>
      <c r="Q472" s="34">
        <v>1.1972458E7</v>
      </c>
      <c r="R472" s="35">
        <v>46096.0</v>
      </c>
      <c r="S472" s="32" t="s">
        <v>29</v>
      </c>
      <c r="T472" s="33"/>
      <c r="U472" s="33"/>
    </row>
    <row r="473" ht="15.75" customHeight="1">
      <c r="A473" s="20">
        <v>46094.0</v>
      </c>
      <c r="B473" s="20">
        <v>46094.0</v>
      </c>
      <c r="C473" s="20" t="s">
        <v>25</v>
      </c>
      <c r="D473" s="21" t="s">
        <v>39</v>
      </c>
      <c r="E473" s="21" t="s">
        <v>40</v>
      </c>
      <c r="F473" s="22">
        <v>0.01853009259259259</v>
      </c>
      <c r="G473" s="21" t="s">
        <v>33</v>
      </c>
      <c r="H473" s="24"/>
      <c r="I473" s="25"/>
      <c r="J473" s="26"/>
      <c r="K473" s="21"/>
      <c r="L473" s="27">
        <v>46097.0</v>
      </c>
      <c r="M473" s="28">
        <v>0.07291666666666667</v>
      </c>
      <c r="N473" s="29" t="s">
        <v>49</v>
      </c>
      <c r="O473" s="29" t="s">
        <v>35</v>
      </c>
      <c r="P473" s="34" t="s">
        <v>36</v>
      </c>
      <c r="Q473" s="34" t="s">
        <v>556</v>
      </c>
      <c r="R473" s="35">
        <v>46096.0</v>
      </c>
      <c r="S473" s="32" t="s">
        <v>29</v>
      </c>
      <c r="T473" s="33"/>
      <c r="U473" s="79"/>
    </row>
    <row r="474" ht="12.75" customHeight="1">
      <c r="A474" s="20">
        <v>46094.0</v>
      </c>
      <c r="B474" s="20">
        <v>46094.0</v>
      </c>
      <c r="C474" s="20"/>
      <c r="D474" s="21"/>
      <c r="E474" s="21" t="s">
        <v>43</v>
      </c>
      <c r="F474" s="22"/>
      <c r="G474" s="21"/>
      <c r="H474" s="24"/>
      <c r="I474" s="25"/>
      <c r="J474" s="26"/>
      <c r="K474" s="21"/>
      <c r="L474" s="27">
        <v>46097.0</v>
      </c>
      <c r="M474" s="28">
        <v>0.052083333333333336</v>
      </c>
      <c r="N474" s="29" t="s">
        <v>57</v>
      </c>
      <c r="O474" s="29" t="s">
        <v>35</v>
      </c>
      <c r="P474" s="30" t="s">
        <v>28</v>
      </c>
      <c r="Q474" s="30" t="s">
        <v>28</v>
      </c>
      <c r="R474" s="31" t="s">
        <v>28</v>
      </c>
      <c r="S474" s="32" t="s">
        <v>29</v>
      </c>
      <c r="T474" s="33"/>
      <c r="U474" s="33"/>
    </row>
    <row r="475" ht="15.75" customHeight="1">
      <c r="A475" s="55">
        <v>46095.0</v>
      </c>
      <c r="B475" s="55">
        <v>46095.0</v>
      </c>
      <c r="C475" s="55" t="s">
        <v>25</v>
      </c>
      <c r="D475" s="56" t="s">
        <v>34</v>
      </c>
      <c r="E475" s="56" t="s">
        <v>32</v>
      </c>
      <c r="F475" s="57">
        <v>0.0503587962962963</v>
      </c>
      <c r="G475" s="56" t="s">
        <v>33</v>
      </c>
      <c r="H475" s="24"/>
      <c r="I475" s="25"/>
      <c r="J475" s="26"/>
      <c r="K475" s="21"/>
      <c r="L475" s="27">
        <v>46097.0</v>
      </c>
      <c r="M475" s="28">
        <v>0.11805555555555555</v>
      </c>
      <c r="N475" s="29" t="s">
        <v>59</v>
      </c>
      <c r="O475" s="29" t="s">
        <v>35</v>
      </c>
      <c r="P475" s="34" t="s">
        <v>36</v>
      </c>
      <c r="Q475" s="34" t="s">
        <v>557</v>
      </c>
      <c r="R475" s="35">
        <v>46096.0</v>
      </c>
      <c r="S475" s="32" t="s">
        <v>29</v>
      </c>
      <c r="T475" s="33"/>
      <c r="U475" s="33"/>
    </row>
    <row r="476" ht="15.75" customHeight="1">
      <c r="A476" s="55">
        <v>46095.0</v>
      </c>
      <c r="B476" s="55">
        <v>46095.0</v>
      </c>
      <c r="C476" s="55" t="s">
        <v>25</v>
      </c>
      <c r="D476" s="56" t="s">
        <v>57</v>
      </c>
      <c r="E476" s="56" t="s">
        <v>40</v>
      </c>
      <c r="F476" s="57">
        <v>0.012650462962962962</v>
      </c>
      <c r="G476" s="56" t="s">
        <v>33</v>
      </c>
      <c r="H476" s="24"/>
      <c r="I476" s="25"/>
      <c r="J476" s="26"/>
      <c r="K476" s="21"/>
      <c r="L476" s="27">
        <v>46097.0</v>
      </c>
      <c r="M476" s="28">
        <v>0.029166666666666667</v>
      </c>
      <c r="N476" s="29" t="s">
        <v>34</v>
      </c>
      <c r="O476" s="29" t="s">
        <v>35</v>
      </c>
      <c r="P476" s="34" t="s">
        <v>36</v>
      </c>
      <c r="Q476" s="34" t="s">
        <v>558</v>
      </c>
      <c r="R476" s="35">
        <v>46097.0</v>
      </c>
      <c r="S476" s="32" t="s">
        <v>29</v>
      </c>
      <c r="T476" s="33"/>
      <c r="U476" s="33"/>
    </row>
    <row r="477" ht="15.75" customHeight="1">
      <c r="A477" s="55">
        <v>46095.0</v>
      </c>
      <c r="B477" s="55">
        <v>46095.0</v>
      </c>
      <c r="C477" s="55" t="s">
        <v>42</v>
      </c>
      <c r="D477" s="56" t="s">
        <v>34</v>
      </c>
      <c r="E477" s="56" t="s">
        <v>43</v>
      </c>
      <c r="F477" s="57">
        <v>0.015694444444444445</v>
      </c>
      <c r="G477" s="56" t="s">
        <v>33</v>
      </c>
      <c r="H477" s="24" t="s">
        <v>559</v>
      </c>
      <c r="I477" s="25" t="s">
        <v>46</v>
      </c>
      <c r="J477" s="26">
        <v>46097.67759259259</v>
      </c>
      <c r="K477" s="21" t="s">
        <v>560</v>
      </c>
      <c r="L477" s="27">
        <v>46098.0</v>
      </c>
      <c r="M477" s="28">
        <v>0.041666666666666664</v>
      </c>
      <c r="N477" s="29" t="s">
        <v>57</v>
      </c>
      <c r="O477" s="29" t="s">
        <v>35</v>
      </c>
      <c r="P477" s="30" t="s">
        <v>28</v>
      </c>
      <c r="Q477" s="30" t="s">
        <v>28</v>
      </c>
      <c r="R477" s="31" t="s">
        <v>28</v>
      </c>
      <c r="S477" s="32" t="s">
        <v>29</v>
      </c>
      <c r="T477" s="33"/>
      <c r="U477" s="33"/>
    </row>
    <row r="478" ht="15.75" customHeight="1">
      <c r="A478" s="55">
        <v>46095.0</v>
      </c>
      <c r="B478" s="55">
        <v>46095.0</v>
      </c>
      <c r="C478" s="55" t="s">
        <v>25</v>
      </c>
      <c r="D478" s="56" t="s">
        <v>34</v>
      </c>
      <c r="E478" s="56" t="s">
        <v>61</v>
      </c>
      <c r="F478" s="57">
        <v>0.01894675925925926</v>
      </c>
      <c r="G478" s="56" t="s">
        <v>33</v>
      </c>
      <c r="H478" s="24" t="s">
        <v>561</v>
      </c>
      <c r="I478" s="25" t="s">
        <v>46</v>
      </c>
      <c r="J478" s="26">
        <v>46097.623611111114</v>
      </c>
      <c r="K478" s="21" t="s">
        <v>561</v>
      </c>
      <c r="L478" s="27">
        <v>46099.0</v>
      </c>
      <c r="M478" s="28">
        <v>0.04861111111111111</v>
      </c>
      <c r="N478" s="29" t="s">
        <v>34</v>
      </c>
      <c r="O478" s="29" t="s">
        <v>35</v>
      </c>
      <c r="P478" s="34" t="s">
        <v>53</v>
      </c>
      <c r="Q478" s="34" t="s">
        <v>562</v>
      </c>
      <c r="R478" s="35">
        <v>46098.0</v>
      </c>
      <c r="S478" s="32" t="s">
        <v>29</v>
      </c>
      <c r="T478" s="33"/>
      <c r="U478" s="33"/>
    </row>
    <row r="479" ht="15.75" customHeight="1">
      <c r="A479" s="55">
        <v>46095.0</v>
      </c>
      <c r="B479" s="55">
        <v>46095.0</v>
      </c>
      <c r="C479" s="55" t="s">
        <v>25</v>
      </c>
      <c r="D479" s="56" t="s">
        <v>34</v>
      </c>
      <c r="E479" s="56" t="s">
        <v>62</v>
      </c>
      <c r="F479" s="57">
        <v>0.01894675925925926</v>
      </c>
      <c r="G479" s="56" t="s">
        <v>33</v>
      </c>
      <c r="H479" s="24" t="s">
        <v>563</v>
      </c>
      <c r="I479" s="25" t="s">
        <v>46</v>
      </c>
      <c r="J479" s="26">
        <v>46097.62222222222</v>
      </c>
      <c r="K479" s="21" t="s">
        <v>563</v>
      </c>
      <c r="L479" s="27">
        <v>46099.0</v>
      </c>
      <c r="M479" s="28">
        <v>0.003472222222222222</v>
      </c>
      <c r="N479" s="29" t="s">
        <v>34</v>
      </c>
      <c r="O479" s="29" t="s">
        <v>35</v>
      </c>
      <c r="P479" s="34" t="s">
        <v>53</v>
      </c>
      <c r="Q479" s="34" t="s">
        <v>564</v>
      </c>
      <c r="R479" s="35">
        <v>46098.0</v>
      </c>
      <c r="S479" s="32" t="s">
        <v>29</v>
      </c>
      <c r="T479" s="33"/>
      <c r="U479" s="33"/>
    </row>
    <row r="480" ht="15.75" customHeight="1">
      <c r="A480" s="55">
        <v>46095.0</v>
      </c>
      <c r="B480" s="55">
        <v>46095.0</v>
      </c>
      <c r="C480" s="55" t="s">
        <v>25</v>
      </c>
      <c r="D480" s="56" t="s">
        <v>34</v>
      </c>
      <c r="E480" s="56" t="s">
        <v>63</v>
      </c>
      <c r="F480" s="57">
        <v>0.022581018518518518</v>
      </c>
      <c r="G480" s="56" t="s">
        <v>33</v>
      </c>
      <c r="H480" s="24" t="s">
        <v>565</v>
      </c>
      <c r="I480" s="25" t="s">
        <v>46</v>
      </c>
      <c r="J480" s="26">
        <v>46097.65625</v>
      </c>
      <c r="K480" s="21" t="s">
        <v>566</v>
      </c>
      <c r="L480" s="27">
        <v>46098.0</v>
      </c>
      <c r="M480" s="28">
        <v>0.0625</v>
      </c>
      <c r="N480" s="29" t="s">
        <v>57</v>
      </c>
      <c r="O480" s="29" t="s">
        <v>35</v>
      </c>
      <c r="P480" s="34" t="s">
        <v>53</v>
      </c>
      <c r="Q480" s="34" t="s">
        <v>567</v>
      </c>
      <c r="R480" s="35">
        <v>46098.0</v>
      </c>
      <c r="S480" s="32" t="s">
        <v>29</v>
      </c>
      <c r="T480" s="33"/>
      <c r="U480" s="33"/>
    </row>
    <row r="481" ht="15.75" customHeight="1">
      <c r="A481" s="55">
        <v>46095.0</v>
      </c>
      <c r="B481" s="55">
        <v>46097.0</v>
      </c>
      <c r="C481" s="55" t="s">
        <v>25</v>
      </c>
      <c r="D481" s="56" t="s">
        <v>57</v>
      </c>
      <c r="E481" s="56" t="s">
        <v>568</v>
      </c>
      <c r="F481" s="57">
        <v>0.022164351851851852</v>
      </c>
      <c r="G481" s="56" t="s">
        <v>33</v>
      </c>
      <c r="H481" s="24" t="s">
        <v>569</v>
      </c>
      <c r="I481" s="25" t="s">
        <v>46</v>
      </c>
      <c r="J481" s="26">
        <v>46097.39027777778</v>
      </c>
      <c r="K481" s="21" t="s">
        <v>570</v>
      </c>
      <c r="L481" s="27">
        <v>46101.0</v>
      </c>
      <c r="M481" s="28">
        <v>0.001388888888888889</v>
      </c>
      <c r="N481" s="29" t="s">
        <v>49</v>
      </c>
      <c r="O481" s="29" t="s">
        <v>355</v>
      </c>
      <c r="P481" s="34" t="s">
        <v>53</v>
      </c>
      <c r="Q481" s="34" t="s">
        <v>571</v>
      </c>
      <c r="R481" s="35">
        <v>46098.0</v>
      </c>
      <c r="S481" s="32"/>
      <c r="T481" s="33"/>
      <c r="U481" s="33"/>
    </row>
    <row r="482" ht="15.75" customHeight="1">
      <c r="A482" s="60">
        <v>46096.0</v>
      </c>
      <c r="B482" s="60">
        <v>46096.0</v>
      </c>
      <c r="C482" s="60" t="s">
        <v>42</v>
      </c>
      <c r="D482" s="61" t="s">
        <v>39</v>
      </c>
      <c r="E482" s="61" t="s">
        <v>64</v>
      </c>
      <c r="F482" s="62">
        <v>0.01105324074074074</v>
      </c>
      <c r="G482" s="61" t="s">
        <v>33</v>
      </c>
      <c r="H482" s="24"/>
      <c r="I482" s="25"/>
      <c r="J482" s="26"/>
      <c r="K482" s="21"/>
      <c r="L482" s="27"/>
      <c r="M482" s="28"/>
      <c r="N482" s="29"/>
      <c r="O482" s="29"/>
      <c r="P482" s="34" t="s">
        <v>101</v>
      </c>
      <c r="Q482" s="34">
        <v>1.200153E7</v>
      </c>
      <c r="R482" s="35">
        <v>46099.0</v>
      </c>
      <c r="S482" s="32" t="s">
        <v>29</v>
      </c>
      <c r="T482" s="33"/>
      <c r="U482" s="33"/>
    </row>
    <row r="483" ht="15.75" customHeight="1">
      <c r="A483" s="60">
        <v>46096.0</v>
      </c>
      <c r="B483" s="60">
        <v>46096.0</v>
      </c>
      <c r="C483" s="60"/>
      <c r="D483" s="61"/>
      <c r="E483" s="61" t="s">
        <v>66</v>
      </c>
      <c r="F483" s="62"/>
      <c r="G483" s="63" t="s">
        <v>102</v>
      </c>
      <c r="H483" s="24"/>
      <c r="I483" s="25"/>
      <c r="J483" s="26"/>
      <c r="K483" s="21"/>
      <c r="L483" s="27"/>
      <c r="M483" s="28"/>
      <c r="N483" s="29"/>
      <c r="O483" s="29"/>
      <c r="P483" s="34" t="s">
        <v>28</v>
      </c>
      <c r="Q483" s="34" t="s">
        <v>28</v>
      </c>
      <c r="R483" s="35" t="s">
        <v>28</v>
      </c>
      <c r="S483" s="32" t="s">
        <v>29</v>
      </c>
      <c r="T483" s="33"/>
      <c r="U483" s="33"/>
    </row>
    <row r="484" ht="15.75" customHeight="1">
      <c r="A484" s="20">
        <v>46097.0</v>
      </c>
      <c r="B484" s="20">
        <v>46097.0</v>
      </c>
      <c r="C484" s="20" t="s">
        <v>25</v>
      </c>
      <c r="D484" s="21" t="s">
        <v>49</v>
      </c>
      <c r="E484" s="21" t="s">
        <v>26</v>
      </c>
      <c r="F484" s="22">
        <v>0.10040509259259259</v>
      </c>
      <c r="G484" s="21" t="s">
        <v>33</v>
      </c>
      <c r="H484" s="24"/>
      <c r="I484" s="25"/>
      <c r="J484" s="26"/>
      <c r="K484" s="21"/>
      <c r="L484" s="27">
        <v>46098.0</v>
      </c>
      <c r="M484" s="28">
        <v>0.2361111111111111</v>
      </c>
      <c r="N484" s="29" t="s">
        <v>34</v>
      </c>
      <c r="O484" s="29" t="s">
        <v>35</v>
      </c>
      <c r="P484" s="34" t="s">
        <v>53</v>
      </c>
      <c r="Q484" s="34" t="s">
        <v>572</v>
      </c>
      <c r="R484" s="35">
        <v>46098.0</v>
      </c>
      <c r="S484" s="32" t="s">
        <v>29</v>
      </c>
      <c r="T484" s="33"/>
      <c r="U484" s="33"/>
    </row>
    <row r="485" ht="15.75" customHeight="1">
      <c r="A485" s="20">
        <v>46097.0</v>
      </c>
      <c r="B485" s="20">
        <v>46097.0</v>
      </c>
      <c r="C485" s="20" t="s">
        <v>25</v>
      </c>
      <c r="D485" s="21" t="s">
        <v>31</v>
      </c>
      <c r="E485" s="21" t="s">
        <v>30</v>
      </c>
      <c r="F485" s="22">
        <v>0.004039351851851852</v>
      </c>
      <c r="G485" s="21" t="s">
        <v>33</v>
      </c>
      <c r="H485" s="24"/>
      <c r="I485" s="25"/>
      <c r="J485" s="26"/>
      <c r="K485" s="21"/>
      <c r="L485" s="27">
        <v>46097.0</v>
      </c>
      <c r="M485" s="28">
        <v>0.011111111111111112</v>
      </c>
      <c r="N485" s="29" t="s">
        <v>31</v>
      </c>
      <c r="O485" s="29" t="s">
        <v>35</v>
      </c>
      <c r="P485" s="34" t="s">
        <v>53</v>
      </c>
      <c r="Q485" s="34" t="s">
        <v>573</v>
      </c>
      <c r="R485" s="35">
        <v>46098.0</v>
      </c>
      <c r="S485" s="32" t="s">
        <v>29</v>
      </c>
      <c r="T485" s="33"/>
      <c r="U485" s="33"/>
    </row>
    <row r="486" ht="15.75" customHeight="1">
      <c r="A486" s="20">
        <v>46097.0</v>
      </c>
      <c r="B486" s="20">
        <v>46097.0</v>
      </c>
      <c r="C486" s="20" t="s">
        <v>25</v>
      </c>
      <c r="D486" s="21" t="s">
        <v>34</v>
      </c>
      <c r="E486" s="21" t="s">
        <v>32</v>
      </c>
      <c r="F486" s="22">
        <v>0.04777777777777778</v>
      </c>
      <c r="G486" s="21" t="s">
        <v>33</v>
      </c>
      <c r="H486" s="24"/>
      <c r="I486" s="25"/>
      <c r="J486" s="26"/>
      <c r="K486" s="21"/>
      <c r="L486" s="27">
        <v>46098.0</v>
      </c>
      <c r="M486" s="28">
        <v>0.125</v>
      </c>
      <c r="N486" s="29" t="s">
        <v>31</v>
      </c>
      <c r="O486" s="29" t="s">
        <v>35</v>
      </c>
      <c r="P486" s="34" t="s">
        <v>53</v>
      </c>
      <c r="Q486" s="34" t="s">
        <v>574</v>
      </c>
      <c r="R486" s="35">
        <v>46098.0</v>
      </c>
      <c r="S486" s="32" t="s">
        <v>29</v>
      </c>
      <c r="T486" s="33"/>
      <c r="U486" s="33"/>
    </row>
    <row r="487" ht="15.75" customHeight="1">
      <c r="A487" s="20">
        <v>46097.0</v>
      </c>
      <c r="B487" s="20">
        <v>46097.0</v>
      </c>
      <c r="C487" s="20" t="s">
        <v>25</v>
      </c>
      <c r="D487" s="21" t="s">
        <v>34</v>
      </c>
      <c r="E487" s="21" t="s">
        <v>38</v>
      </c>
      <c r="F487" s="22">
        <v>0.008761574074074074</v>
      </c>
      <c r="G487" s="21" t="s">
        <v>33</v>
      </c>
      <c r="H487" s="24"/>
      <c r="I487" s="25"/>
      <c r="J487" s="26"/>
      <c r="K487" s="21"/>
      <c r="L487" s="27">
        <v>46098.0</v>
      </c>
      <c r="M487" s="28">
        <v>0.020833333333333332</v>
      </c>
      <c r="N487" s="29" t="s">
        <v>69</v>
      </c>
      <c r="O487" s="29" t="s">
        <v>35</v>
      </c>
      <c r="P487" s="34" t="s">
        <v>53</v>
      </c>
      <c r="Q487" s="34">
        <v>1.1972459E7</v>
      </c>
      <c r="R487" s="35">
        <v>46098.0</v>
      </c>
      <c r="S487" s="32" t="s">
        <v>29</v>
      </c>
      <c r="T487" s="33"/>
      <c r="U487" s="33"/>
    </row>
    <row r="488" ht="15.75" customHeight="1">
      <c r="A488" s="20">
        <v>46097.0</v>
      </c>
      <c r="B488" s="20">
        <v>46097.0</v>
      </c>
      <c r="C488" s="20" t="s">
        <v>25</v>
      </c>
      <c r="D488" s="21" t="s">
        <v>34</v>
      </c>
      <c r="E488" s="21" t="s">
        <v>40</v>
      </c>
      <c r="F488" s="22">
        <v>0.020231481481481482</v>
      </c>
      <c r="G488" s="21" t="s">
        <v>33</v>
      </c>
      <c r="H488" s="24"/>
      <c r="I488" s="25"/>
      <c r="J488" s="26"/>
      <c r="K488" s="21"/>
      <c r="L488" s="27">
        <v>46098.0</v>
      </c>
      <c r="M488" s="28">
        <v>0.04861111111111111</v>
      </c>
      <c r="N488" s="29" t="s">
        <v>59</v>
      </c>
      <c r="O488" s="29" t="s">
        <v>35</v>
      </c>
      <c r="P488" s="34" t="s">
        <v>53</v>
      </c>
      <c r="Q488" s="34" t="s">
        <v>575</v>
      </c>
      <c r="R488" s="35">
        <v>46098.0</v>
      </c>
      <c r="S488" s="32" t="s">
        <v>29</v>
      </c>
      <c r="T488" s="33"/>
      <c r="U488" s="33"/>
    </row>
    <row r="489" ht="12.0" customHeight="1">
      <c r="A489" s="20">
        <v>46097.0</v>
      </c>
      <c r="B489" s="20">
        <v>46097.0</v>
      </c>
      <c r="C489" s="20"/>
      <c r="D489" s="21"/>
      <c r="E489" s="21" t="s">
        <v>43</v>
      </c>
      <c r="F489" s="22"/>
      <c r="G489" s="21"/>
      <c r="H489" s="24"/>
      <c r="I489" s="25"/>
      <c r="J489" s="26"/>
      <c r="K489" s="21"/>
      <c r="L489" s="27">
        <v>46099.0</v>
      </c>
      <c r="M489" s="28">
        <v>0.041666666666666664</v>
      </c>
      <c r="N489" s="29" t="s">
        <v>57</v>
      </c>
      <c r="O489" s="29" t="s">
        <v>35</v>
      </c>
      <c r="P489" s="30" t="s">
        <v>28</v>
      </c>
      <c r="Q489" s="30" t="s">
        <v>28</v>
      </c>
      <c r="R489" s="31" t="s">
        <v>28</v>
      </c>
      <c r="S489" s="32" t="s">
        <v>29</v>
      </c>
      <c r="T489" s="33"/>
      <c r="U489" s="33"/>
    </row>
    <row r="490" ht="15.75" customHeight="1">
      <c r="A490" s="20">
        <v>46098.0</v>
      </c>
      <c r="B490" s="20">
        <v>46098.0</v>
      </c>
      <c r="C490" s="20" t="s">
        <v>25</v>
      </c>
      <c r="D490" s="21" t="s">
        <v>49</v>
      </c>
      <c r="E490" s="21" t="s">
        <v>26</v>
      </c>
      <c r="F490" s="22">
        <v>0.10041666666666667</v>
      </c>
      <c r="G490" s="21" t="s">
        <v>33</v>
      </c>
      <c r="H490" s="24"/>
      <c r="I490" s="25"/>
      <c r="J490" s="26"/>
      <c r="K490" s="21"/>
      <c r="L490" s="27">
        <v>46099.0</v>
      </c>
      <c r="M490" s="28">
        <v>0.20833333333333334</v>
      </c>
      <c r="N490" s="29" t="s">
        <v>59</v>
      </c>
      <c r="O490" s="29" t="s">
        <v>35</v>
      </c>
      <c r="P490" s="34" t="s">
        <v>36</v>
      </c>
      <c r="Q490" s="34" t="s">
        <v>576</v>
      </c>
      <c r="R490" s="35">
        <v>46100.0</v>
      </c>
      <c r="S490" s="32" t="s">
        <v>29</v>
      </c>
      <c r="T490" s="33"/>
      <c r="U490" s="33"/>
    </row>
    <row r="491" ht="15.75" customHeight="1">
      <c r="A491" s="20">
        <v>46098.0</v>
      </c>
      <c r="B491" s="20">
        <v>46098.0</v>
      </c>
      <c r="C491" s="20" t="s">
        <v>25</v>
      </c>
      <c r="D491" s="21" t="s">
        <v>34</v>
      </c>
      <c r="E491" s="21" t="s">
        <v>30</v>
      </c>
      <c r="F491" s="22">
        <v>0.003946759259259259</v>
      </c>
      <c r="G491" s="21" t="s">
        <v>33</v>
      </c>
      <c r="H491" s="24"/>
      <c r="I491" s="25"/>
      <c r="J491" s="26"/>
      <c r="K491" s="21"/>
      <c r="L491" s="27">
        <v>46098.0</v>
      </c>
      <c r="M491" s="28">
        <v>0.009027777777777777</v>
      </c>
      <c r="N491" s="29" t="s">
        <v>34</v>
      </c>
      <c r="O491" s="29" t="s">
        <v>35</v>
      </c>
      <c r="P491" s="34" t="s">
        <v>36</v>
      </c>
      <c r="Q491" s="34" t="s">
        <v>577</v>
      </c>
      <c r="R491" s="35">
        <v>46100.0</v>
      </c>
      <c r="S491" s="32" t="s">
        <v>29</v>
      </c>
      <c r="T491" s="33"/>
      <c r="U491" s="79"/>
    </row>
    <row r="492" ht="15.75" customHeight="1">
      <c r="A492" s="36">
        <v>46098.0</v>
      </c>
      <c r="B492" s="36">
        <v>46098.0</v>
      </c>
      <c r="C492" s="20" t="s">
        <v>25</v>
      </c>
      <c r="D492" s="37" t="s">
        <v>69</v>
      </c>
      <c r="E492" s="37" t="s">
        <v>32</v>
      </c>
      <c r="F492" s="38">
        <v>0.049965277777777775</v>
      </c>
      <c r="G492" s="37" t="s">
        <v>33</v>
      </c>
      <c r="H492" s="39"/>
      <c r="I492" s="40"/>
      <c r="J492" s="41"/>
      <c r="K492" s="37"/>
      <c r="L492" s="42">
        <v>46099.0</v>
      </c>
      <c r="M492" s="43">
        <v>0.125</v>
      </c>
      <c r="N492" s="44" t="s">
        <v>31</v>
      </c>
      <c r="O492" s="44" t="s">
        <v>35</v>
      </c>
      <c r="P492" s="45" t="s">
        <v>36</v>
      </c>
      <c r="Q492" s="45" t="s">
        <v>578</v>
      </c>
      <c r="R492" s="46">
        <v>46100.0</v>
      </c>
      <c r="S492" s="54" t="s">
        <v>29</v>
      </c>
      <c r="T492" s="33"/>
      <c r="U492" s="79"/>
    </row>
    <row r="493" ht="15.75" customHeight="1">
      <c r="A493" s="20">
        <v>46098.0</v>
      </c>
      <c r="B493" s="20">
        <v>46098.0</v>
      </c>
      <c r="C493" s="20" t="s">
        <v>25</v>
      </c>
      <c r="D493" s="21" t="s">
        <v>59</v>
      </c>
      <c r="E493" s="21" t="s">
        <v>38</v>
      </c>
      <c r="F493" s="22">
        <v>0.008472222222222223</v>
      </c>
      <c r="G493" s="21" t="s">
        <v>33</v>
      </c>
      <c r="H493" s="24"/>
      <c r="I493" s="25"/>
      <c r="J493" s="26"/>
      <c r="K493" s="21"/>
      <c r="L493" s="27">
        <v>46100.0</v>
      </c>
      <c r="M493" s="28">
        <v>0.017361111111111112</v>
      </c>
      <c r="N493" s="29" t="s">
        <v>49</v>
      </c>
      <c r="O493" s="29" t="s">
        <v>35</v>
      </c>
      <c r="P493" s="34" t="s">
        <v>36</v>
      </c>
      <c r="Q493" s="34">
        <v>1.197246E7</v>
      </c>
      <c r="R493" s="35">
        <v>46101.0</v>
      </c>
      <c r="S493" s="32" t="s">
        <v>29</v>
      </c>
      <c r="T493" s="33"/>
      <c r="U493" s="79"/>
    </row>
    <row r="494" ht="15.75" customHeight="1">
      <c r="A494" s="20">
        <v>46098.0</v>
      </c>
      <c r="B494" s="20">
        <v>46098.0</v>
      </c>
      <c r="C494" s="20" t="s">
        <v>25</v>
      </c>
      <c r="D494" s="21" t="s">
        <v>39</v>
      </c>
      <c r="E494" s="21" t="s">
        <v>40</v>
      </c>
      <c r="F494" s="22">
        <v>0.018078703703703704</v>
      </c>
      <c r="G494" s="21" t="s">
        <v>33</v>
      </c>
      <c r="H494" s="24"/>
      <c r="I494" s="25"/>
      <c r="J494" s="26"/>
      <c r="K494" s="21"/>
      <c r="L494" s="27">
        <v>46099.0</v>
      </c>
      <c r="M494" s="28">
        <v>0.07361111111111111</v>
      </c>
      <c r="N494" s="29" t="s">
        <v>49</v>
      </c>
      <c r="O494" s="29" t="s">
        <v>35</v>
      </c>
      <c r="P494" s="34" t="s">
        <v>36</v>
      </c>
      <c r="Q494" s="34" t="s">
        <v>579</v>
      </c>
      <c r="R494" s="35">
        <v>46101.0</v>
      </c>
      <c r="S494" s="32" t="s">
        <v>29</v>
      </c>
      <c r="T494" s="33"/>
      <c r="U494" s="79"/>
    </row>
    <row r="495" ht="15.75" customHeight="1">
      <c r="A495" s="20">
        <v>46098.0</v>
      </c>
      <c r="B495" s="20">
        <v>46098.0</v>
      </c>
      <c r="C495" s="20" t="s">
        <v>42</v>
      </c>
      <c r="D495" s="21" t="s">
        <v>34</v>
      </c>
      <c r="E495" s="21" t="s">
        <v>43</v>
      </c>
      <c r="F495" s="22">
        <v>0.014837962962962963</v>
      </c>
      <c r="G495" s="21" t="s">
        <v>33</v>
      </c>
      <c r="H495" s="24" t="s">
        <v>580</v>
      </c>
      <c r="I495" s="25" t="s">
        <v>46</v>
      </c>
      <c r="J495" s="26">
        <v>46099.66111111111</v>
      </c>
      <c r="K495" s="21" t="s">
        <v>581</v>
      </c>
      <c r="L495" s="27">
        <v>46100.0</v>
      </c>
      <c r="M495" s="28">
        <v>0.041666666666666664</v>
      </c>
      <c r="N495" s="29" t="s">
        <v>34</v>
      </c>
      <c r="O495" s="29" t="s">
        <v>35</v>
      </c>
      <c r="P495" s="34" t="s">
        <v>28</v>
      </c>
      <c r="Q495" s="34"/>
      <c r="R495" s="35"/>
      <c r="S495" s="32" t="s">
        <v>29</v>
      </c>
      <c r="T495" s="33"/>
      <c r="U495" s="33"/>
    </row>
    <row r="496" ht="15.75" customHeight="1">
      <c r="A496" s="20">
        <v>46098.0</v>
      </c>
      <c r="B496" s="20">
        <v>46098.0</v>
      </c>
      <c r="C496" s="20" t="s">
        <v>25</v>
      </c>
      <c r="D496" s="21" t="s">
        <v>39</v>
      </c>
      <c r="E496" s="21" t="s">
        <v>87</v>
      </c>
      <c r="F496" s="22">
        <v>0.0010763888888888889</v>
      </c>
      <c r="G496" s="21" t="s">
        <v>88</v>
      </c>
      <c r="H496" s="101" t="s">
        <v>582</v>
      </c>
      <c r="I496" s="25" t="s">
        <v>46</v>
      </c>
      <c r="J496" s="26">
        <v>46098.0</v>
      </c>
      <c r="K496" s="21" t="s">
        <v>583</v>
      </c>
      <c r="L496" s="27">
        <v>46197.0</v>
      </c>
      <c r="M496" s="28">
        <v>0.003472222222222222</v>
      </c>
      <c r="N496" s="29" t="s">
        <v>429</v>
      </c>
      <c r="O496" s="29" t="s">
        <v>35</v>
      </c>
      <c r="P496" s="34" t="s">
        <v>36</v>
      </c>
      <c r="Q496" s="34">
        <v>1.2012692E7</v>
      </c>
      <c r="R496" s="35">
        <v>46100.0</v>
      </c>
      <c r="S496" s="32"/>
      <c r="T496" s="33"/>
      <c r="U496" s="33"/>
    </row>
    <row r="497" ht="15.75" customHeight="1">
      <c r="A497" s="36">
        <v>46099.0</v>
      </c>
      <c r="B497" s="36">
        <v>46099.0</v>
      </c>
      <c r="C497" s="36" t="s">
        <v>25</v>
      </c>
      <c r="D497" s="37" t="s">
        <v>49</v>
      </c>
      <c r="E497" s="37" t="s">
        <v>26</v>
      </c>
      <c r="F497" s="38">
        <v>0.09958333333333333</v>
      </c>
      <c r="G497" s="37" t="s">
        <v>33</v>
      </c>
      <c r="H497" s="37"/>
      <c r="I497" s="114" t="s">
        <v>178</v>
      </c>
      <c r="J497" s="115">
        <v>46099.620833333334</v>
      </c>
      <c r="K497" s="37" t="s">
        <v>584</v>
      </c>
      <c r="L497" s="116">
        <v>45735.0</v>
      </c>
      <c r="M497" s="117">
        <v>0.24305555555555555</v>
      </c>
      <c r="N497" s="37" t="s">
        <v>39</v>
      </c>
      <c r="O497" s="37" t="s">
        <v>35</v>
      </c>
      <c r="P497" s="114" t="s">
        <v>36</v>
      </c>
      <c r="Q497" s="114" t="s">
        <v>585</v>
      </c>
      <c r="R497" s="35">
        <v>46101.0</v>
      </c>
      <c r="S497" s="118" t="s">
        <v>29</v>
      </c>
      <c r="T497" s="48"/>
      <c r="U497" s="87"/>
    </row>
    <row r="498" ht="15.75" customHeight="1">
      <c r="A498" s="20">
        <v>46099.0</v>
      </c>
      <c r="B498" s="20">
        <v>46099.0</v>
      </c>
      <c r="C498" s="20" t="s">
        <v>25</v>
      </c>
      <c r="D498" s="21" t="s">
        <v>59</v>
      </c>
      <c r="E498" s="21" t="s">
        <v>30</v>
      </c>
      <c r="F498" s="22">
        <v>0.003321759259259259</v>
      </c>
      <c r="G498" s="21" t="s">
        <v>33</v>
      </c>
      <c r="H498" s="24"/>
      <c r="I498" s="25"/>
      <c r="J498" s="26"/>
      <c r="K498" s="21"/>
      <c r="L498" s="27">
        <v>46099.0</v>
      </c>
      <c r="M498" s="28">
        <v>0.006944444444444444</v>
      </c>
      <c r="N498" s="29" t="s">
        <v>59</v>
      </c>
      <c r="O498" s="29" t="s">
        <v>35</v>
      </c>
      <c r="P498" s="34" t="s">
        <v>36</v>
      </c>
      <c r="Q498" s="34" t="s">
        <v>586</v>
      </c>
      <c r="R498" s="35">
        <v>46101.0</v>
      </c>
      <c r="S498" s="32" t="s">
        <v>29</v>
      </c>
      <c r="T498" s="33"/>
      <c r="U498" s="33"/>
    </row>
    <row r="499" ht="15.75" customHeight="1">
      <c r="A499" s="20">
        <v>46099.0</v>
      </c>
      <c r="B499" s="20">
        <v>46099.0</v>
      </c>
      <c r="C499" s="20" t="s">
        <v>25</v>
      </c>
      <c r="D499" s="21" t="s">
        <v>69</v>
      </c>
      <c r="E499" s="21" t="s">
        <v>32</v>
      </c>
      <c r="F499" s="22">
        <v>0.04708333333333333</v>
      </c>
      <c r="G499" s="21" t="s">
        <v>33</v>
      </c>
      <c r="H499" s="24"/>
      <c r="I499" s="25"/>
      <c r="J499" s="26"/>
      <c r="K499" s="21"/>
      <c r="L499" s="27">
        <v>46100.0</v>
      </c>
      <c r="M499" s="28">
        <v>0.125</v>
      </c>
      <c r="N499" s="29" t="s">
        <v>31</v>
      </c>
      <c r="O499" s="29" t="s">
        <v>35</v>
      </c>
      <c r="P499" s="34" t="s">
        <v>36</v>
      </c>
      <c r="Q499" s="34" t="s">
        <v>587</v>
      </c>
      <c r="R499" s="35">
        <v>46104.0</v>
      </c>
      <c r="S499" s="32" t="s">
        <v>29</v>
      </c>
      <c r="T499" s="33"/>
      <c r="U499" s="33"/>
    </row>
    <row r="500" ht="15.75" customHeight="1">
      <c r="A500" s="20">
        <v>46099.0</v>
      </c>
      <c r="B500" s="20">
        <v>46099.0</v>
      </c>
      <c r="C500" s="20" t="s">
        <v>25</v>
      </c>
      <c r="D500" s="21" t="s">
        <v>39</v>
      </c>
      <c r="E500" s="21" t="s">
        <v>38</v>
      </c>
      <c r="F500" s="22">
        <v>0.010127314814814815</v>
      </c>
      <c r="G500" s="21" t="s">
        <v>33</v>
      </c>
      <c r="H500" s="24"/>
      <c r="I500" s="25"/>
      <c r="J500" s="26"/>
      <c r="K500" s="21"/>
      <c r="L500" s="27">
        <v>46100.0</v>
      </c>
      <c r="M500" s="28">
        <v>0.0625</v>
      </c>
      <c r="N500" s="29" t="s">
        <v>69</v>
      </c>
      <c r="O500" s="29" t="s">
        <v>35</v>
      </c>
      <c r="P500" s="34" t="s">
        <v>36</v>
      </c>
      <c r="Q500" s="34">
        <v>1.1972461E7</v>
      </c>
      <c r="R500" s="35">
        <v>46101.0</v>
      </c>
      <c r="S500" s="32" t="s">
        <v>29</v>
      </c>
      <c r="T500" s="33"/>
      <c r="U500" s="33"/>
    </row>
    <row r="501" ht="15.75" customHeight="1">
      <c r="A501" s="20">
        <v>46099.0</v>
      </c>
      <c r="B501" s="20">
        <v>46099.0</v>
      </c>
      <c r="C501" s="20" t="s">
        <v>25</v>
      </c>
      <c r="D501" s="21" t="s">
        <v>39</v>
      </c>
      <c r="E501" s="21" t="s">
        <v>40</v>
      </c>
      <c r="F501" s="22">
        <v>0.018622685185185187</v>
      </c>
      <c r="G501" s="21" t="s">
        <v>33</v>
      </c>
      <c r="H501" s="24"/>
      <c r="I501" s="25"/>
      <c r="J501" s="26"/>
      <c r="K501" s="21"/>
      <c r="L501" s="27">
        <v>46100.0</v>
      </c>
      <c r="M501" s="28">
        <v>0.052083333333333336</v>
      </c>
      <c r="N501" s="29" t="s">
        <v>59</v>
      </c>
      <c r="O501" s="29" t="s">
        <v>35</v>
      </c>
      <c r="P501" s="34" t="s">
        <v>36</v>
      </c>
      <c r="Q501" s="34" t="s">
        <v>588</v>
      </c>
      <c r="R501" s="35">
        <v>46101.0</v>
      </c>
      <c r="S501" s="32" t="s">
        <v>29</v>
      </c>
      <c r="T501" s="33"/>
      <c r="U501" s="79"/>
    </row>
    <row r="502" ht="15.75" customHeight="1">
      <c r="A502" s="20">
        <v>46099.0</v>
      </c>
      <c r="B502" s="20">
        <v>46099.0</v>
      </c>
      <c r="C502" s="20"/>
      <c r="D502" s="21"/>
      <c r="E502" s="21" t="s">
        <v>43</v>
      </c>
      <c r="F502" s="22">
        <v>0.016261574074074074</v>
      </c>
      <c r="G502" s="21" t="s">
        <v>33</v>
      </c>
      <c r="H502" s="24"/>
      <c r="I502" s="25"/>
      <c r="J502" s="26"/>
      <c r="K502" s="21"/>
      <c r="L502" s="27">
        <v>46101.0</v>
      </c>
      <c r="M502" s="28">
        <v>0.034722222222222224</v>
      </c>
      <c r="N502" s="29" t="s">
        <v>34</v>
      </c>
      <c r="O502" s="29" t="s">
        <v>35</v>
      </c>
      <c r="P502" s="34" t="s">
        <v>28</v>
      </c>
      <c r="Q502" s="34"/>
      <c r="R502" s="35"/>
      <c r="S502" s="32" t="s">
        <v>29</v>
      </c>
      <c r="T502" s="33"/>
      <c r="U502" s="79"/>
    </row>
    <row r="503" ht="15.75" customHeight="1">
      <c r="A503" s="20">
        <v>46100.0</v>
      </c>
      <c r="B503" s="20">
        <v>46100.0</v>
      </c>
      <c r="C503" s="20" t="s">
        <v>25</v>
      </c>
      <c r="D503" s="21" t="s">
        <v>49</v>
      </c>
      <c r="E503" s="21" t="s">
        <v>26</v>
      </c>
      <c r="F503" s="22">
        <v>0.09894675925925926</v>
      </c>
      <c r="G503" s="21" t="s">
        <v>33</v>
      </c>
      <c r="H503" s="24"/>
      <c r="I503" s="25"/>
      <c r="J503" s="26"/>
      <c r="K503" s="21"/>
      <c r="L503" s="27">
        <v>46101.0</v>
      </c>
      <c r="M503" s="28">
        <v>0.20833333333333334</v>
      </c>
      <c r="N503" s="29" t="s">
        <v>57</v>
      </c>
      <c r="O503" s="29" t="s">
        <v>35</v>
      </c>
      <c r="P503" s="34" t="s">
        <v>36</v>
      </c>
      <c r="Q503" s="34" t="s">
        <v>589</v>
      </c>
      <c r="R503" s="35">
        <v>46101.0</v>
      </c>
      <c r="S503" s="32" t="s">
        <v>29</v>
      </c>
      <c r="T503" s="33"/>
      <c r="U503" s="79"/>
    </row>
    <row r="504" ht="15.75" customHeight="1">
      <c r="A504" s="20">
        <v>46100.0</v>
      </c>
      <c r="B504" s="20">
        <v>46100.0</v>
      </c>
      <c r="C504" s="20" t="s">
        <v>25</v>
      </c>
      <c r="D504" s="21" t="s">
        <v>39</v>
      </c>
      <c r="E504" s="21" t="s">
        <v>30</v>
      </c>
      <c r="F504" s="22">
        <v>0.0062037037037037035</v>
      </c>
      <c r="G504" s="21" t="s">
        <v>33</v>
      </c>
      <c r="H504" s="24"/>
      <c r="I504" s="25"/>
      <c r="J504" s="26"/>
      <c r="K504" s="21"/>
      <c r="L504" s="27">
        <v>46100.0</v>
      </c>
      <c r="M504" s="28">
        <v>0.015277777777777777</v>
      </c>
      <c r="N504" s="29" t="s">
        <v>39</v>
      </c>
      <c r="O504" s="29" t="s">
        <v>35</v>
      </c>
      <c r="P504" s="34" t="s">
        <v>36</v>
      </c>
      <c r="Q504" s="34" t="s">
        <v>590</v>
      </c>
      <c r="R504" s="35">
        <v>46101.0</v>
      </c>
      <c r="S504" s="32" t="s">
        <v>29</v>
      </c>
      <c r="T504" s="33"/>
      <c r="U504" s="79"/>
    </row>
    <row r="505" ht="15.75" customHeight="1">
      <c r="A505" s="20">
        <v>46100.0</v>
      </c>
      <c r="B505" s="20">
        <v>46100.0</v>
      </c>
      <c r="C505" s="20" t="s">
        <v>25</v>
      </c>
      <c r="D505" s="21" t="s">
        <v>69</v>
      </c>
      <c r="E505" s="21" t="s">
        <v>32</v>
      </c>
      <c r="F505" s="22">
        <v>0.047928240740740743</v>
      </c>
      <c r="G505" s="21" t="s">
        <v>33</v>
      </c>
      <c r="H505" s="24"/>
      <c r="I505" s="25"/>
      <c r="J505" s="26"/>
      <c r="K505" s="21"/>
      <c r="L505" s="27">
        <v>46101.0</v>
      </c>
      <c r="M505" s="28">
        <v>0.125</v>
      </c>
      <c r="N505" s="29" t="s">
        <v>31</v>
      </c>
      <c r="O505" s="29" t="s">
        <v>35</v>
      </c>
      <c r="P505" s="34" t="s">
        <v>36</v>
      </c>
      <c r="Q505" s="34" t="s">
        <v>591</v>
      </c>
      <c r="R505" s="35">
        <v>46101.0</v>
      </c>
      <c r="S505" s="32" t="s">
        <v>29</v>
      </c>
      <c r="T505" s="33"/>
      <c r="U505" s="79"/>
    </row>
    <row r="506" ht="15.75" customHeight="1">
      <c r="A506" s="20">
        <v>46100.0</v>
      </c>
      <c r="B506" s="20">
        <v>46100.0</v>
      </c>
      <c r="C506" s="20" t="s">
        <v>25</v>
      </c>
      <c r="D506" s="21" t="s">
        <v>39</v>
      </c>
      <c r="E506" s="21" t="s">
        <v>38</v>
      </c>
      <c r="F506" s="22">
        <v>0.00866898148148148</v>
      </c>
      <c r="G506" s="21" t="s">
        <v>33</v>
      </c>
      <c r="H506" s="24"/>
      <c r="I506" s="25"/>
      <c r="J506" s="26"/>
      <c r="K506" s="21"/>
      <c r="L506" s="27">
        <v>46101.0</v>
      </c>
      <c r="M506" s="28">
        <v>0.013888888888888888</v>
      </c>
      <c r="N506" s="29" t="s">
        <v>59</v>
      </c>
      <c r="O506" s="29" t="s">
        <v>35</v>
      </c>
      <c r="P506" s="34" t="s">
        <v>36</v>
      </c>
      <c r="Q506" s="34">
        <v>1.1972462E7</v>
      </c>
      <c r="R506" s="35">
        <v>46101.0</v>
      </c>
      <c r="S506" s="32" t="s">
        <v>29</v>
      </c>
      <c r="T506" s="33"/>
      <c r="U506" s="79"/>
    </row>
    <row r="507" ht="15.75" customHeight="1">
      <c r="A507" s="20">
        <v>46100.0</v>
      </c>
      <c r="B507" s="20">
        <v>46100.0</v>
      </c>
      <c r="C507" s="20" t="s">
        <v>25</v>
      </c>
      <c r="D507" s="21" t="s">
        <v>34</v>
      </c>
      <c r="E507" s="21" t="s">
        <v>40</v>
      </c>
      <c r="F507" s="22">
        <v>0.0190625</v>
      </c>
      <c r="G507" s="21" t="s">
        <v>33</v>
      </c>
      <c r="H507" s="24" t="s">
        <v>592</v>
      </c>
      <c r="I507" s="25" t="s">
        <v>46</v>
      </c>
      <c r="J507" s="26">
        <v>46100.91420138889</v>
      </c>
      <c r="K507" s="21" t="s">
        <v>593</v>
      </c>
      <c r="L507" s="27">
        <v>46101.0</v>
      </c>
      <c r="M507" s="28">
        <v>0.04861111111111111</v>
      </c>
      <c r="N507" s="29" t="s">
        <v>59</v>
      </c>
      <c r="O507" s="29" t="s">
        <v>35</v>
      </c>
      <c r="P507" s="34" t="s">
        <v>36</v>
      </c>
      <c r="Q507" s="34" t="s">
        <v>594</v>
      </c>
      <c r="R507" s="35">
        <v>46105.0</v>
      </c>
      <c r="S507" s="32" t="s">
        <v>29</v>
      </c>
      <c r="T507" s="33"/>
      <c r="U507" s="79"/>
    </row>
    <row r="508" ht="15.75" customHeight="1">
      <c r="A508" s="20">
        <v>46100.0</v>
      </c>
      <c r="B508" s="20">
        <v>46100.0</v>
      </c>
      <c r="C508" s="20"/>
      <c r="D508" s="21"/>
      <c r="E508" s="21" t="s">
        <v>43</v>
      </c>
      <c r="F508" s="22">
        <v>0.01607638888888889</v>
      </c>
      <c r="G508" s="21" t="s">
        <v>33</v>
      </c>
      <c r="H508" s="24"/>
      <c r="I508" s="25"/>
      <c r="J508" s="26"/>
      <c r="K508" s="21"/>
      <c r="L508" s="27">
        <v>46101.0</v>
      </c>
      <c r="M508" s="28">
        <v>0.03125</v>
      </c>
      <c r="N508" s="29" t="s">
        <v>34</v>
      </c>
      <c r="O508" s="29" t="s">
        <v>35</v>
      </c>
      <c r="P508" s="34" t="s">
        <v>28</v>
      </c>
      <c r="Q508" s="34"/>
      <c r="R508" s="35"/>
      <c r="S508" s="32" t="s">
        <v>29</v>
      </c>
      <c r="T508" s="33"/>
      <c r="U508" s="33"/>
    </row>
    <row r="509" ht="15.75" customHeight="1">
      <c r="A509" s="20">
        <v>46101.0</v>
      </c>
      <c r="B509" s="20">
        <v>46101.0</v>
      </c>
      <c r="C509" s="20" t="s">
        <v>25</v>
      </c>
      <c r="D509" s="21" t="s">
        <v>49</v>
      </c>
      <c r="E509" s="21" t="s">
        <v>26</v>
      </c>
      <c r="F509" s="22">
        <v>0.09965277777777778</v>
      </c>
      <c r="G509" s="21" t="s">
        <v>33</v>
      </c>
      <c r="H509" s="24"/>
      <c r="I509" s="25"/>
      <c r="J509" s="26"/>
      <c r="K509" s="21"/>
      <c r="L509" s="27">
        <v>46104.0</v>
      </c>
      <c r="M509" s="28">
        <v>0.1875</v>
      </c>
      <c r="N509" s="29" t="s">
        <v>31</v>
      </c>
      <c r="O509" s="29" t="s">
        <v>35</v>
      </c>
      <c r="P509" s="34" t="s">
        <v>36</v>
      </c>
      <c r="Q509" s="34" t="s">
        <v>595</v>
      </c>
      <c r="R509" s="35">
        <v>46104.0</v>
      </c>
      <c r="S509" s="32" t="s">
        <v>29</v>
      </c>
      <c r="T509" s="33"/>
      <c r="U509" s="79"/>
    </row>
    <row r="510" ht="15.75" customHeight="1">
      <c r="A510" s="20">
        <v>46101.0</v>
      </c>
      <c r="B510" s="20">
        <v>46101.0</v>
      </c>
      <c r="C510" s="20" t="s">
        <v>25</v>
      </c>
      <c r="D510" s="21" t="s">
        <v>57</v>
      </c>
      <c r="E510" s="21" t="s">
        <v>30</v>
      </c>
      <c r="F510" s="22">
        <v>0.008333333333333333</v>
      </c>
      <c r="G510" s="21" t="s">
        <v>33</v>
      </c>
      <c r="H510" s="24"/>
      <c r="I510" s="25"/>
      <c r="J510" s="26"/>
      <c r="K510" s="21"/>
      <c r="L510" s="27">
        <v>46101.0</v>
      </c>
      <c r="M510" s="28">
        <v>0.020833333333333332</v>
      </c>
      <c r="N510" s="29" t="s">
        <v>57</v>
      </c>
      <c r="O510" s="29" t="s">
        <v>35</v>
      </c>
      <c r="P510" s="34" t="s">
        <v>36</v>
      </c>
      <c r="Q510" s="34" t="s">
        <v>596</v>
      </c>
      <c r="R510" s="35">
        <v>46104.0</v>
      </c>
      <c r="S510" s="32" t="s">
        <v>29</v>
      </c>
      <c r="T510" s="33"/>
      <c r="U510" s="33"/>
    </row>
    <row r="511" ht="15.75" customHeight="1">
      <c r="A511" s="36">
        <v>46101.0</v>
      </c>
      <c r="B511" s="36">
        <v>46101.0</v>
      </c>
      <c r="C511" s="36" t="s">
        <v>25</v>
      </c>
      <c r="D511" s="37" t="s">
        <v>49</v>
      </c>
      <c r="E511" s="37" t="s">
        <v>32</v>
      </c>
      <c r="F511" s="38">
        <v>0.05096064814814815</v>
      </c>
      <c r="G511" s="37" t="s">
        <v>33</v>
      </c>
      <c r="H511" s="39"/>
      <c r="I511" s="40"/>
      <c r="J511" s="41"/>
      <c r="K511" s="37"/>
      <c r="L511" s="42">
        <v>46102.0</v>
      </c>
      <c r="M511" s="43">
        <v>0.12152777777777778</v>
      </c>
      <c r="N511" s="44" t="s">
        <v>59</v>
      </c>
      <c r="O511" s="44" t="s">
        <v>35</v>
      </c>
      <c r="P511" s="45" t="s">
        <v>36</v>
      </c>
      <c r="Q511" s="45" t="s">
        <v>597</v>
      </c>
      <c r="R511" s="46">
        <v>46104.0</v>
      </c>
      <c r="S511" s="54" t="s">
        <v>29</v>
      </c>
      <c r="T511" s="33"/>
      <c r="U511" s="33"/>
    </row>
    <row r="512" ht="15.75" customHeight="1">
      <c r="A512" s="20">
        <v>46101.0</v>
      </c>
      <c r="B512" s="20">
        <v>46101.0</v>
      </c>
      <c r="C512" s="20" t="s">
        <v>25</v>
      </c>
      <c r="D512" s="21" t="s">
        <v>59</v>
      </c>
      <c r="E512" s="21" t="s">
        <v>38</v>
      </c>
      <c r="F512" s="22">
        <v>0.009780092592592592</v>
      </c>
      <c r="G512" s="21" t="s">
        <v>33</v>
      </c>
      <c r="H512" s="24"/>
      <c r="I512" s="25"/>
      <c r="J512" s="26"/>
      <c r="K512" s="21"/>
      <c r="L512" s="27">
        <v>46104.0</v>
      </c>
      <c r="M512" s="28">
        <v>0.017361111111111112</v>
      </c>
      <c r="N512" s="29" t="s">
        <v>49</v>
      </c>
      <c r="O512" s="29" t="s">
        <v>35</v>
      </c>
      <c r="P512" s="34" t="s">
        <v>36</v>
      </c>
      <c r="Q512" s="34">
        <v>1.1972463E7</v>
      </c>
      <c r="R512" s="35">
        <v>46104.0</v>
      </c>
      <c r="S512" s="32" t="s">
        <v>29</v>
      </c>
      <c r="T512" s="33"/>
      <c r="U512" s="33"/>
    </row>
    <row r="513" ht="15.75" customHeight="1">
      <c r="A513" s="20">
        <v>46101.0</v>
      </c>
      <c r="B513" s="20">
        <v>46101.0</v>
      </c>
      <c r="C513" s="20" t="s">
        <v>25</v>
      </c>
      <c r="D513" s="21" t="s">
        <v>34</v>
      </c>
      <c r="E513" s="21" t="s">
        <v>40</v>
      </c>
      <c r="F513" s="22">
        <v>0.017858796296296296</v>
      </c>
      <c r="G513" s="21" t="s">
        <v>33</v>
      </c>
      <c r="H513" s="24"/>
      <c r="I513" s="25"/>
      <c r="J513" s="26"/>
      <c r="K513" s="21"/>
      <c r="L513" s="27">
        <v>46104.0</v>
      </c>
      <c r="M513" s="28">
        <v>0.06597222222222222</v>
      </c>
      <c r="N513" s="29" t="s">
        <v>49</v>
      </c>
      <c r="O513" s="29" t="s">
        <v>35</v>
      </c>
      <c r="P513" s="34" t="s">
        <v>36</v>
      </c>
      <c r="Q513" s="34" t="s">
        <v>598</v>
      </c>
      <c r="R513" s="35">
        <v>46104.0</v>
      </c>
      <c r="S513" s="32" t="s">
        <v>29</v>
      </c>
      <c r="T513" s="33"/>
      <c r="U513" s="79"/>
    </row>
    <row r="514" ht="15.75" customHeight="1">
      <c r="A514" s="20">
        <v>46101.0</v>
      </c>
      <c r="B514" s="20">
        <v>46101.0</v>
      </c>
      <c r="C514" s="20"/>
      <c r="D514" s="21"/>
      <c r="E514" s="21" t="s">
        <v>43</v>
      </c>
      <c r="F514" s="22">
        <v>0.016261574074074074</v>
      </c>
      <c r="G514" s="21" t="s">
        <v>33</v>
      </c>
      <c r="H514" s="24"/>
      <c r="I514" s="25"/>
      <c r="J514" s="26"/>
      <c r="K514" s="21"/>
      <c r="L514" s="27">
        <v>46104.0</v>
      </c>
      <c r="M514" s="28">
        <v>0.041666666666666664</v>
      </c>
      <c r="N514" s="29" t="s">
        <v>59</v>
      </c>
      <c r="O514" s="29" t="s">
        <v>35</v>
      </c>
      <c r="P514" s="34" t="s">
        <v>28</v>
      </c>
      <c r="Q514" s="34"/>
      <c r="R514" s="35"/>
      <c r="S514" s="32" t="s">
        <v>29</v>
      </c>
      <c r="T514" s="33"/>
      <c r="U514" s="33"/>
    </row>
    <row r="515" ht="15.75" customHeight="1">
      <c r="A515" s="20">
        <v>46101.0</v>
      </c>
      <c r="B515" s="20">
        <v>46101.0</v>
      </c>
      <c r="C515" s="36" t="s">
        <v>25</v>
      </c>
      <c r="D515" s="21" t="s">
        <v>39</v>
      </c>
      <c r="E515" s="21" t="s">
        <v>87</v>
      </c>
      <c r="F515" s="22">
        <v>0.005740740740740741</v>
      </c>
      <c r="G515" s="21" t="s">
        <v>88</v>
      </c>
      <c r="H515" s="24" t="s">
        <v>599</v>
      </c>
      <c r="I515" s="25" t="s">
        <v>600</v>
      </c>
      <c r="J515" s="26">
        <v>46101.0</v>
      </c>
      <c r="K515" s="21" t="s">
        <v>601</v>
      </c>
      <c r="L515" s="27">
        <v>46203.0</v>
      </c>
      <c r="M515" s="28">
        <v>0.016666666666666666</v>
      </c>
      <c r="N515" s="29" t="s">
        <v>429</v>
      </c>
      <c r="O515" s="29" t="s">
        <v>35</v>
      </c>
      <c r="P515" s="34" t="s">
        <v>53</v>
      </c>
      <c r="Q515" s="34">
        <v>1.2016662E7</v>
      </c>
      <c r="R515" s="35">
        <v>46104.0</v>
      </c>
      <c r="S515" s="32" t="s">
        <v>29</v>
      </c>
      <c r="T515" s="33"/>
      <c r="U515" s="33"/>
    </row>
    <row r="516" ht="15.75" customHeight="1">
      <c r="A516" s="20">
        <v>46101.0</v>
      </c>
      <c r="B516" s="20">
        <v>46101.0</v>
      </c>
      <c r="C516" s="36" t="s">
        <v>25</v>
      </c>
      <c r="D516" s="21" t="s">
        <v>39</v>
      </c>
      <c r="E516" s="21" t="s">
        <v>87</v>
      </c>
      <c r="F516" s="22">
        <v>0.004409722222222222</v>
      </c>
      <c r="G516" s="21" t="s">
        <v>88</v>
      </c>
      <c r="H516" s="101" t="s">
        <v>602</v>
      </c>
      <c r="I516" s="25" t="s">
        <v>600</v>
      </c>
      <c r="J516" s="26">
        <v>46101.0</v>
      </c>
      <c r="K516" s="21" t="s">
        <v>603</v>
      </c>
      <c r="L516" s="27">
        <v>46203.0</v>
      </c>
      <c r="M516" s="28">
        <v>0.0125</v>
      </c>
      <c r="N516" s="29" t="s">
        <v>429</v>
      </c>
      <c r="O516" s="29" t="s">
        <v>35</v>
      </c>
      <c r="P516" s="34" t="s">
        <v>53</v>
      </c>
      <c r="Q516" s="34">
        <v>1.2016663E7</v>
      </c>
      <c r="R516" s="35">
        <v>46104.0</v>
      </c>
      <c r="S516" s="32"/>
      <c r="T516" s="33"/>
      <c r="U516" s="33"/>
    </row>
    <row r="517" ht="15.75" customHeight="1">
      <c r="A517" s="20">
        <v>46101.0</v>
      </c>
      <c r="B517" s="20">
        <v>46101.0</v>
      </c>
      <c r="C517" s="36" t="s">
        <v>25</v>
      </c>
      <c r="D517" s="21" t="s">
        <v>39</v>
      </c>
      <c r="E517" s="21" t="s">
        <v>87</v>
      </c>
      <c r="F517" s="22">
        <v>0.013090277777777777</v>
      </c>
      <c r="G517" s="21" t="s">
        <v>88</v>
      </c>
      <c r="H517" s="101" t="s">
        <v>604</v>
      </c>
      <c r="I517" s="25" t="s">
        <v>600</v>
      </c>
      <c r="J517" s="26">
        <v>46101.0</v>
      </c>
      <c r="K517" s="21" t="s">
        <v>605</v>
      </c>
      <c r="L517" s="27">
        <v>46203.0</v>
      </c>
      <c r="M517" s="28">
        <v>0.024305555555555556</v>
      </c>
      <c r="N517" s="29" t="s">
        <v>429</v>
      </c>
      <c r="O517" s="29" t="s">
        <v>35</v>
      </c>
      <c r="P517" s="34" t="s">
        <v>53</v>
      </c>
      <c r="Q517" s="34">
        <v>1.2016664E7</v>
      </c>
      <c r="R517" s="35">
        <v>46104.0</v>
      </c>
      <c r="S517" s="32"/>
      <c r="T517" s="33"/>
      <c r="U517" s="33"/>
    </row>
    <row r="518" ht="15.75" customHeight="1">
      <c r="A518" s="20">
        <v>46101.0</v>
      </c>
      <c r="B518" s="20">
        <v>46101.0</v>
      </c>
      <c r="C518" s="36" t="s">
        <v>25</v>
      </c>
      <c r="D518" s="21" t="s">
        <v>39</v>
      </c>
      <c r="E518" s="21" t="s">
        <v>87</v>
      </c>
      <c r="F518" s="22">
        <v>0.00568287037037037</v>
      </c>
      <c r="G518" s="21" t="s">
        <v>88</v>
      </c>
      <c r="H518" s="24" t="s">
        <v>606</v>
      </c>
      <c r="I518" s="25" t="s">
        <v>600</v>
      </c>
      <c r="J518" s="26">
        <v>46101.0</v>
      </c>
      <c r="K518" s="21" t="s">
        <v>607</v>
      </c>
      <c r="L518" s="27">
        <v>46206.0</v>
      </c>
      <c r="M518" s="28">
        <v>0.016666666666666666</v>
      </c>
      <c r="N518" s="29" t="s">
        <v>429</v>
      </c>
      <c r="O518" s="29" t="s">
        <v>35</v>
      </c>
      <c r="P518" s="34" t="s">
        <v>53</v>
      </c>
      <c r="Q518" s="34">
        <v>1.2016665E7</v>
      </c>
      <c r="R518" s="35">
        <v>46104.0</v>
      </c>
      <c r="S518" s="32"/>
      <c r="T518" s="33"/>
      <c r="U518" s="33"/>
    </row>
    <row r="519" ht="15.75" customHeight="1">
      <c r="A519" s="20">
        <v>46101.0</v>
      </c>
      <c r="B519" s="20">
        <v>46101.0</v>
      </c>
      <c r="C519" s="36" t="s">
        <v>25</v>
      </c>
      <c r="D519" s="21" t="s">
        <v>39</v>
      </c>
      <c r="E519" s="21" t="s">
        <v>87</v>
      </c>
      <c r="F519" s="22">
        <v>0.010752314814814815</v>
      </c>
      <c r="G519" s="21" t="s">
        <v>88</v>
      </c>
      <c r="H519" s="101" t="s">
        <v>608</v>
      </c>
      <c r="I519" s="25" t="s">
        <v>600</v>
      </c>
      <c r="J519" s="26">
        <v>46101.0</v>
      </c>
      <c r="K519" s="119" t="s">
        <v>609</v>
      </c>
      <c r="L519" s="27">
        <v>46209.0</v>
      </c>
      <c r="M519" s="28">
        <v>0.013888888888888888</v>
      </c>
      <c r="N519" s="29" t="s">
        <v>429</v>
      </c>
      <c r="O519" s="29" t="s">
        <v>35</v>
      </c>
      <c r="P519" s="34" t="s">
        <v>53</v>
      </c>
      <c r="Q519" s="34">
        <v>1.2016666E7</v>
      </c>
      <c r="R519" s="35">
        <v>46104.0</v>
      </c>
      <c r="S519" s="32"/>
      <c r="T519" s="33"/>
      <c r="U519" s="33"/>
    </row>
    <row r="520" ht="15.75" customHeight="1">
      <c r="A520" s="20">
        <v>46101.0</v>
      </c>
      <c r="B520" s="20">
        <v>46101.0</v>
      </c>
      <c r="C520" s="36" t="s">
        <v>25</v>
      </c>
      <c r="D520" s="21" t="s">
        <v>39</v>
      </c>
      <c r="E520" s="21" t="s">
        <v>87</v>
      </c>
      <c r="F520" s="22">
        <v>0.006759259259259259</v>
      </c>
      <c r="G520" s="21" t="s">
        <v>88</v>
      </c>
      <c r="H520" s="101" t="s">
        <v>610</v>
      </c>
      <c r="I520" s="25" t="s">
        <v>600</v>
      </c>
      <c r="J520" s="26">
        <v>46101.0</v>
      </c>
      <c r="K520" s="119" t="s">
        <v>611</v>
      </c>
      <c r="L520" s="27">
        <v>46209.0</v>
      </c>
      <c r="M520" s="28">
        <v>0.011805555555555555</v>
      </c>
      <c r="N520" s="29" t="s">
        <v>39</v>
      </c>
      <c r="O520" s="29" t="s">
        <v>35</v>
      </c>
      <c r="P520" s="34" t="s">
        <v>53</v>
      </c>
      <c r="Q520" s="34">
        <v>1.2016667E7</v>
      </c>
      <c r="R520" s="35">
        <v>46104.0</v>
      </c>
      <c r="S520" s="32"/>
      <c r="T520" s="33"/>
      <c r="U520" s="33"/>
    </row>
    <row r="521" ht="15.75" customHeight="1">
      <c r="A521" s="120">
        <v>46102.0</v>
      </c>
      <c r="B521" s="120">
        <v>46102.0</v>
      </c>
      <c r="C521" s="120" t="s">
        <v>25</v>
      </c>
      <c r="D521" s="82" t="s">
        <v>59</v>
      </c>
      <c r="E521" s="82" t="s">
        <v>32</v>
      </c>
      <c r="F521" s="121">
        <v>0.05039351851851852</v>
      </c>
      <c r="G521" s="82" t="s">
        <v>33</v>
      </c>
      <c r="H521" s="39"/>
      <c r="I521" s="40"/>
      <c r="J521" s="41"/>
      <c r="K521" s="37"/>
      <c r="L521" s="42">
        <v>46104.0</v>
      </c>
      <c r="M521" s="43">
        <v>0.12152777777777778</v>
      </c>
      <c r="N521" s="44" t="s">
        <v>34</v>
      </c>
      <c r="O521" s="44" t="s">
        <v>35</v>
      </c>
      <c r="P521" s="34" t="s">
        <v>36</v>
      </c>
      <c r="Q521" s="45" t="s">
        <v>612</v>
      </c>
      <c r="R521" s="35">
        <v>46104.0</v>
      </c>
      <c r="S521" s="54" t="s">
        <v>29</v>
      </c>
      <c r="T521" s="33"/>
      <c r="U521" s="33"/>
    </row>
    <row r="522" ht="15.75" customHeight="1">
      <c r="A522" s="55">
        <v>46102.0</v>
      </c>
      <c r="B522" s="55">
        <v>46102.0</v>
      </c>
      <c r="C522" s="55" t="s">
        <v>613</v>
      </c>
      <c r="D522" s="56" t="s">
        <v>57</v>
      </c>
      <c r="E522" s="56" t="s">
        <v>40</v>
      </c>
      <c r="F522" s="57">
        <v>0.014212962962962964</v>
      </c>
      <c r="G522" s="56" t="s">
        <v>33</v>
      </c>
      <c r="H522" s="24"/>
      <c r="I522" s="25"/>
      <c r="J522" s="26"/>
      <c r="K522" s="21"/>
      <c r="L522" s="27">
        <v>46104.0</v>
      </c>
      <c r="M522" s="28">
        <v>0.041666666666666664</v>
      </c>
      <c r="N522" s="29" t="s">
        <v>57</v>
      </c>
      <c r="O522" s="29" t="s">
        <v>35</v>
      </c>
      <c r="P522" s="34" t="s">
        <v>36</v>
      </c>
      <c r="Q522" s="34" t="s">
        <v>614</v>
      </c>
      <c r="R522" s="35">
        <v>46104.0</v>
      </c>
      <c r="S522" s="32" t="s">
        <v>29</v>
      </c>
      <c r="T522" s="33"/>
      <c r="U522" s="33"/>
    </row>
    <row r="523" ht="15.75" customHeight="1">
      <c r="A523" s="55">
        <v>46102.0</v>
      </c>
      <c r="B523" s="55">
        <v>46102.0</v>
      </c>
      <c r="C523" s="55"/>
      <c r="D523" s="56"/>
      <c r="E523" s="56" t="s">
        <v>43</v>
      </c>
      <c r="F523" s="57">
        <v>0.014895833333333334</v>
      </c>
      <c r="G523" s="56" t="s">
        <v>33</v>
      </c>
      <c r="H523" s="24"/>
      <c r="I523" s="25"/>
      <c r="J523" s="26"/>
      <c r="K523" s="21"/>
      <c r="L523" s="27">
        <v>46105.0</v>
      </c>
      <c r="M523" s="28">
        <v>0.041666666666666664</v>
      </c>
      <c r="N523" s="29" t="s">
        <v>59</v>
      </c>
      <c r="O523" s="29" t="s">
        <v>35</v>
      </c>
      <c r="P523" s="34" t="s">
        <v>28</v>
      </c>
      <c r="Q523" s="34"/>
      <c r="R523" s="35"/>
      <c r="S523" s="32" t="s">
        <v>29</v>
      </c>
      <c r="T523" s="33"/>
      <c r="U523" s="33"/>
    </row>
    <row r="524" ht="15.75" customHeight="1">
      <c r="A524" s="55">
        <v>46102.0</v>
      </c>
      <c r="B524" s="55">
        <v>46104.0</v>
      </c>
      <c r="C524" s="55" t="s">
        <v>25</v>
      </c>
      <c r="D524" s="56" t="s">
        <v>59</v>
      </c>
      <c r="E524" s="56" t="s">
        <v>61</v>
      </c>
      <c r="F524" s="57">
        <v>0.02125</v>
      </c>
      <c r="G524" s="56" t="s">
        <v>33</v>
      </c>
      <c r="H524" s="24" t="s">
        <v>615</v>
      </c>
      <c r="I524" s="25" t="s">
        <v>46</v>
      </c>
      <c r="J524" s="26">
        <v>46104.0</v>
      </c>
      <c r="K524" s="21" t="s">
        <v>616</v>
      </c>
      <c r="L524" s="27">
        <v>46106.0</v>
      </c>
      <c r="M524" s="28">
        <v>0.0625</v>
      </c>
      <c r="N524" s="29" t="s">
        <v>31</v>
      </c>
      <c r="O524" s="29" t="s">
        <v>35</v>
      </c>
      <c r="P524" s="34" t="s">
        <v>36</v>
      </c>
      <c r="Q524" s="34" t="s">
        <v>617</v>
      </c>
      <c r="R524" s="35">
        <v>46106.0</v>
      </c>
      <c r="S524" s="32" t="s">
        <v>29</v>
      </c>
      <c r="T524" s="33"/>
      <c r="U524" s="33"/>
    </row>
    <row r="525" ht="15.75" customHeight="1">
      <c r="A525" s="55">
        <v>46102.0</v>
      </c>
      <c r="B525" s="55">
        <v>46104.0</v>
      </c>
      <c r="C525" s="55" t="s">
        <v>25</v>
      </c>
      <c r="D525" s="56" t="s">
        <v>59</v>
      </c>
      <c r="E525" s="56" t="s">
        <v>62</v>
      </c>
      <c r="F525" s="57">
        <v>0.02125</v>
      </c>
      <c r="G525" s="56" t="s">
        <v>33</v>
      </c>
      <c r="H525" s="24" t="s">
        <v>618</v>
      </c>
      <c r="I525" s="25" t="s">
        <v>600</v>
      </c>
      <c r="J525" s="26">
        <v>46104.0</v>
      </c>
      <c r="K525" s="21" t="s">
        <v>619</v>
      </c>
      <c r="L525" s="27">
        <v>46106.0</v>
      </c>
      <c r="M525" s="28">
        <v>0.003472222222222222</v>
      </c>
      <c r="N525" s="29" t="s">
        <v>31</v>
      </c>
      <c r="O525" s="29" t="s">
        <v>355</v>
      </c>
      <c r="P525" s="34" t="s">
        <v>36</v>
      </c>
      <c r="Q525" s="34" t="s">
        <v>620</v>
      </c>
      <c r="R525" s="35">
        <v>46106.0</v>
      </c>
      <c r="S525" s="32" t="s">
        <v>29</v>
      </c>
      <c r="T525" s="33"/>
      <c r="U525" s="33"/>
    </row>
    <row r="526" ht="15.75" customHeight="1">
      <c r="A526" s="55">
        <v>46102.0</v>
      </c>
      <c r="B526" s="55">
        <v>46102.0</v>
      </c>
      <c r="C526" s="55" t="s">
        <v>25</v>
      </c>
      <c r="D526" s="56" t="s">
        <v>34</v>
      </c>
      <c r="E526" s="56" t="s">
        <v>63</v>
      </c>
      <c r="F526" s="57">
        <v>0.02150462962962963</v>
      </c>
      <c r="G526" s="56" t="s">
        <v>33</v>
      </c>
      <c r="H526" s="24" t="s">
        <v>621</v>
      </c>
      <c r="I526" s="25" t="s">
        <v>46</v>
      </c>
      <c r="J526" s="26">
        <v>46104.615277777775</v>
      </c>
      <c r="K526" s="21" t="s">
        <v>622</v>
      </c>
      <c r="L526" s="27">
        <v>46105.0</v>
      </c>
      <c r="M526" s="28">
        <v>0.0625</v>
      </c>
      <c r="N526" s="29" t="s">
        <v>59</v>
      </c>
      <c r="O526" s="29" t="s">
        <v>35</v>
      </c>
      <c r="P526" s="34" t="s">
        <v>36</v>
      </c>
      <c r="Q526" s="34" t="s">
        <v>623</v>
      </c>
      <c r="R526" s="35">
        <v>46106.0</v>
      </c>
      <c r="S526" s="32" t="s">
        <v>29</v>
      </c>
      <c r="T526" s="33"/>
      <c r="U526" s="33"/>
    </row>
    <row r="527" ht="15.75" customHeight="1">
      <c r="A527" s="120">
        <v>46102.0</v>
      </c>
      <c r="B527" s="120">
        <v>46102.0</v>
      </c>
      <c r="C527" s="120" t="s">
        <v>65</v>
      </c>
      <c r="D527" s="82" t="s">
        <v>59</v>
      </c>
      <c r="E527" s="82" t="s">
        <v>568</v>
      </c>
      <c r="F527" s="121">
        <v>0.021064814814814814</v>
      </c>
      <c r="G527" s="82" t="s">
        <v>33</v>
      </c>
      <c r="H527" s="39" t="s">
        <v>624</v>
      </c>
      <c r="I527" s="40" t="s">
        <v>600</v>
      </c>
      <c r="J527" s="41">
        <v>46102.708333333336</v>
      </c>
      <c r="K527" s="37" t="s">
        <v>625</v>
      </c>
      <c r="L527" s="42">
        <v>46104.0</v>
      </c>
      <c r="M527" s="43">
        <v>0.001388888888888889</v>
      </c>
      <c r="N527" s="44" t="s">
        <v>49</v>
      </c>
      <c r="O527" s="44" t="s">
        <v>355</v>
      </c>
      <c r="P527" s="45" t="s">
        <v>36</v>
      </c>
      <c r="Q527" s="45" t="s">
        <v>626</v>
      </c>
      <c r="R527" s="46">
        <v>46105.0</v>
      </c>
      <c r="S527" s="54"/>
      <c r="T527" s="33"/>
      <c r="U527" s="33"/>
    </row>
    <row r="528" ht="15.75" customHeight="1">
      <c r="A528" s="60">
        <v>46103.0</v>
      </c>
      <c r="B528" s="60">
        <v>46103.0</v>
      </c>
      <c r="C528" s="60" t="s">
        <v>42</v>
      </c>
      <c r="D528" s="61" t="s">
        <v>39</v>
      </c>
      <c r="E528" s="61" t="s">
        <v>64</v>
      </c>
      <c r="F528" s="62">
        <v>0.008206018518518519</v>
      </c>
      <c r="G528" s="61" t="s">
        <v>33</v>
      </c>
      <c r="H528" s="24"/>
      <c r="I528" s="122"/>
      <c r="J528" s="123"/>
      <c r="K528" s="21"/>
      <c r="L528" s="27"/>
      <c r="M528" s="28"/>
      <c r="N528" s="29"/>
      <c r="O528" s="29"/>
      <c r="P528" s="34" t="s">
        <v>101</v>
      </c>
      <c r="Q528" s="34">
        <v>1.2011241E7</v>
      </c>
      <c r="R528" s="35">
        <v>46105.0</v>
      </c>
      <c r="S528" s="32" t="s">
        <v>29</v>
      </c>
      <c r="T528" s="33"/>
      <c r="U528" s="33"/>
    </row>
    <row r="529" ht="15.75" customHeight="1">
      <c r="A529" s="83">
        <v>46103.0</v>
      </c>
      <c r="B529" s="83">
        <v>46103.0</v>
      </c>
      <c r="C529" s="83" t="s">
        <v>65</v>
      </c>
      <c r="D529" s="84" t="s">
        <v>59</v>
      </c>
      <c r="E529" s="84" t="s">
        <v>66</v>
      </c>
      <c r="F529" s="85">
        <v>0.018368055555555554</v>
      </c>
      <c r="G529" s="84" t="s">
        <v>33</v>
      </c>
      <c r="H529" s="39" t="s">
        <v>627</v>
      </c>
      <c r="I529" s="40" t="s">
        <v>600</v>
      </c>
      <c r="J529" s="41">
        <v>46102.708333333336</v>
      </c>
      <c r="K529" s="37" t="s">
        <v>628</v>
      </c>
      <c r="L529" s="42">
        <v>46105.0</v>
      </c>
      <c r="M529" s="43">
        <v>0.020833333333333332</v>
      </c>
      <c r="N529" s="44" t="s">
        <v>69</v>
      </c>
      <c r="O529" s="44" t="s">
        <v>35</v>
      </c>
      <c r="P529" s="45" t="s">
        <v>36</v>
      </c>
      <c r="Q529" s="45" t="s">
        <v>629</v>
      </c>
      <c r="R529" s="35">
        <v>46105.0</v>
      </c>
      <c r="S529" s="54" t="s">
        <v>29</v>
      </c>
      <c r="T529" s="33"/>
      <c r="U529" s="33"/>
    </row>
    <row r="530" ht="15.75" customHeight="1">
      <c r="A530" s="20">
        <v>46104.0</v>
      </c>
      <c r="B530" s="20">
        <v>46104.0</v>
      </c>
      <c r="C530" s="20" t="s">
        <v>25</v>
      </c>
      <c r="D530" s="21" t="s">
        <v>49</v>
      </c>
      <c r="E530" s="21" t="s">
        <v>26</v>
      </c>
      <c r="F530" s="22">
        <v>0.10054398148148148</v>
      </c>
      <c r="G530" s="21" t="s">
        <v>33</v>
      </c>
      <c r="H530" s="24"/>
      <c r="I530" s="25"/>
      <c r="J530" s="26"/>
      <c r="K530" s="21"/>
      <c r="L530" s="27">
        <v>46105.0</v>
      </c>
      <c r="M530" s="28">
        <v>0.20833333333333334</v>
      </c>
      <c r="N530" s="29" t="s">
        <v>57</v>
      </c>
      <c r="O530" s="29" t="s">
        <v>35</v>
      </c>
      <c r="P530" s="34" t="s">
        <v>36</v>
      </c>
      <c r="Q530" s="34" t="s">
        <v>630</v>
      </c>
      <c r="R530" s="35">
        <v>46105.0</v>
      </c>
      <c r="S530" s="32" t="s">
        <v>29</v>
      </c>
      <c r="T530" s="33"/>
      <c r="U530" s="33"/>
    </row>
    <row r="531" ht="15.75" customHeight="1">
      <c r="A531" s="20">
        <v>46104.0</v>
      </c>
      <c r="B531" s="20">
        <v>46104.0</v>
      </c>
      <c r="C531" s="20" t="s">
        <v>25</v>
      </c>
      <c r="D531" s="21" t="s">
        <v>31</v>
      </c>
      <c r="E531" s="21" t="s">
        <v>30</v>
      </c>
      <c r="F531" s="22">
        <v>0.007118055555555555</v>
      </c>
      <c r="G531" s="21" t="s">
        <v>33</v>
      </c>
      <c r="H531" s="24"/>
      <c r="I531" s="25"/>
      <c r="J531" s="26"/>
      <c r="K531" s="21"/>
      <c r="L531" s="27">
        <v>46104.0</v>
      </c>
      <c r="M531" s="28">
        <v>0.020833333333333332</v>
      </c>
      <c r="N531" s="29" t="s">
        <v>31</v>
      </c>
      <c r="O531" s="29" t="s">
        <v>35</v>
      </c>
      <c r="P531" s="34" t="s">
        <v>36</v>
      </c>
      <c r="Q531" s="34" t="s">
        <v>631</v>
      </c>
      <c r="R531" s="35">
        <v>46105.0</v>
      </c>
      <c r="S531" s="32" t="s">
        <v>29</v>
      </c>
      <c r="T531" s="33"/>
      <c r="U531" s="33"/>
    </row>
    <row r="532" ht="15.75" customHeight="1">
      <c r="A532" s="36">
        <v>46104.0</v>
      </c>
      <c r="B532" s="36">
        <v>46104.0</v>
      </c>
      <c r="C532" s="36" t="s">
        <v>25</v>
      </c>
      <c r="D532" s="37" t="s">
        <v>39</v>
      </c>
      <c r="E532" s="37" t="s">
        <v>32</v>
      </c>
      <c r="F532" s="38">
        <v>0.047928240740740743</v>
      </c>
      <c r="G532" s="37" t="s">
        <v>33</v>
      </c>
      <c r="H532" s="39"/>
      <c r="I532" s="40"/>
      <c r="J532" s="41"/>
      <c r="K532" s="37"/>
      <c r="L532" s="42">
        <v>46105.0</v>
      </c>
      <c r="M532" s="43">
        <v>0.09722222222222222</v>
      </c>
      <c r="N532" s="44" t="s">
        <v>34</v>
      </c>
      <c r="O532" s="44" t="s">
        <v>35</v>
      </c>
      <c r="P532" s="45" t="s">
        <v>36</v>
      </c>
      <c r="Q532" s="45" t="s">
        <v>632</v>
      </c>
      <c r="R532" s="46">
        <v>46105.0</v>
      </c>
      <c r="S532" s="54" t="s">
        <v>29</v>
      </c>
      <c r="T532" s="33"/>
      <c r="U532" s="33"/>
    </row>
    <row r="533" ht="15.75" customHeight="1">
      <c r="A533" s="20">
        <v>46104.0</v>
      </c>
      <c r="B533" s="20">
        <v>46104.0</v>
      </c>
      <c r="C533" s="20" t="s">
        <v>25</v>
      </c>
      <c r="D533" s="21" t="s">
        <v>39</v>
      </c>
      <c r="E533" s="21" t="s">
        <v>38</v>
      </c>
      <c r="F533" s="22">
        <v>0.008368055555555556</v>
      </c>
      <c r="G533" s="21" t="s">
        <v>33</v>
      </c>
      <c r="H533" s="24" t="s">
        <v>633</v>
      </c>
      <c r="I533" s="25" t="s">
        <v>46</v>
      </c>
      <c r="J533" s="26">
        <v>46104.9125</v>
      </c>
      <c r="K533" s="21" t="s">
        <v>634</v>
      </c>
      <c r="L533" s="27">
        <v>46105.0</v>
      </c>
      <c r="M533" s="28">
        <v>0.020833333333333332</v>
      </c>
      <c r="N533" s="29" t="s">
        <v>49</v>
      </c>
      <c r="O533" s="29" t="s">
        <v>35</v>
      </c>
      <c r="P533" s="34" t="s">
        <v>36</v>
      </c>
      <c r="Q533" s="34">
        <v>1.1972464E7</v>
      </c>
      <c r="R533" s="35">
        <v>46106.0</v>
      </c>
      <c r="S533" s="32" t="s">
        <v>29</v>
      </c>
      <c r="T533" s="33"/>
      <c r="U533" s="79"/>
    </row>
    <row r="534" ht="15.75" customHeight="1">
      <c r="A534" s="20">
        <v>46104.0</v>
      </c>
      <c r="B534" s="20">
        <v>46104.0</v>
      </c>
      <c r="C534" s="20" t="s">
        <v>25</v>
      </c>
      <c r="D534" s="21" t="s">
        <v>34</v>
      </c>
      <c r="E534" s="21" t="s">
        <v>40</v>
      </c>
      <c r="F534" s="22">
        <v>0.020590277777777777</v>
      </c>
      <c r="G534" s="21" t="s">
        <v>33</v>
      </c>
      <c r="H534" s="24"/>
      <c r="I534" s="25"/>
      <c r="J534" s="26"/>
      <c r="K534" s="21"/>
      <c r="L534" s="27">
        <v>46105.0</v>
      </c>
      <c r="M534" s="28">
        <v>0.06388888888888888</v>
      </c>
      <c r="N534" s="29" t="s">
        <v>49</v>
      </c>
      <c r="O534" s="29" t="s">
        <v>35</v>
      </c>
      <c r="P534" s="34" t="s">
        <v>36</v>
      </c>
      <c r="Q534" s="34" t="s">
        <v>635</v>
      </c>
      <c r="R534" s="35">
        <v>46105.0</v>
      </c>
      <c r="S534" s="32" t="s">
        <v>29</v>
      </c>
      <c r="T534" s="33"/>
      <c r="U534" s="79"/>
    </row>
    <row r="535" ht="15.75" customHeight="1">
      <c r="A535" s="20">
        <v>46104.0</v>
      </c>
      <c r="B535" s="20">
        <v>46104.0</v>
      </c>
      <c r="C535" s="20"/>
      <c r="D535" s="21"/>
      <c r="E535" s="21" t="s">
        <v>43</v>
      </c>
      <c r="F535" s="22">
        <v>0.016168981481481482</v>
      </c>
      <c r="G535" s="21" t="s">
        <v>33</v>
      </c>
      <c r="H535" s="24"/>
      <c r="I535" s="25"/>
      <c r="J535" s="26"/>
      <c r="K535" s="21"/>
      <c r="L535" s="27">
        <v>46105.0</v>
      </c>
      <c r="M535" s="28">
        <v>0.041666666666666664</v>
      </c>
      <c r="N535" s="29" t="s">
        <v>31</v>
      </c>
      <c r="O535" s="29" t="s">
        <v>35</v>
      </c>
      <c r="P535" s="34" t="s">
        <v>28</v>
      </c>
      <c r="Q535" s="34"/>
      <c r="R535" s="35"/>
      <c r="S535" s="32" t="s">
        <v>29</v>
      </c>
      <c r="T535" s="33"/>
      <c r="U535" s="79"/>
    </row>
    <row r="536" ht="15.75" customHeight="1">
      <c r="A536" s="20">
        <v>46104.0</v>
      </c>
      <c r="B536" s="20">
        <v>46104.0</v>
      </c>
      <c r="C536" s="20" t="s">
        <v>25</v>
      </c>
      <c r="D536" s="21" t="s">
        <v>39</v>
      </c>
      <c r="E536" s="21" t="s">
        <v>87</v>
      </c>
      <c r="F536" s="22">
        <v>0.003310185185185185</v>
      </c>
      <c r="G536" s="21" t="s">
        <v>88</v>
      </c>
      <c r="H536" s="24" t="s">
        <v>636</v>
      </c>
      <c r="I536" s="25" t="s">
        <v>46</v>
      </c>
      <c r="J536" s="26">
        <v>46104.0</v>
      </c>
      <c r="K536" s="21" t="s">
        <v>637</v>
      </c>
      <c r="L536" s="27">
        <v>46209.0</v>
      </c>
      <c r="M536" s="28">
        <v>0.006944444444444444</v>
      </c>
      <c r="N536" s="29" t="s">
        <v>39</v>
      </c>
      <c r="O536" s="29" t="s">
        <v>35</v>
      </c>
      <c r="P536" s="34" t="s">
        <v>53</v>
      </c>
      <c r="Q536" s="34">
        <v>1.2017247E7</v>
      </c>
      <c r="R536" s="35">
        <v>46105.0</v>
      </c>
      <c r="S536" s="32" t="s">
        <v>29</v>
      </c>
      <c r="T536" s="33"/>
      <c r="U536" s="79"/>
    </row>
    <row r="537" ht="15.75" customHeight="1">
      <c r="A537" s="20">
        <v>46104.0</v>
      </c>
      <c r="B537" s="20">
        <v>46104.0</v>
      </c>
      <c r="C537" s="20" t="s">
        <v>25</v>
      </c>
      <c r="D537" s="21" t="s">
        <v>39</v>
      </c>
      <c r="E537" s="21" t="s">
        <v>87</v>
      </c>
      <c r="F537" s="22">
        <v>0.004050925925925926</v>
      </c>
      <c r="G537" s="21" t="s">
        <v>88</v>
      </c>
      <c r="H537" s="101" t="s">
        <v>638</v>
      </c>
      <c r="I537" s="25" t="s">
        <v>46</v>
      </c>
      <c r="J537" s="26">
        <v>46104.0</v>
      </c>
      <c r="K537" s="21" t="s">
        <v>639</v>
      </c>
      <c r="L537" s="27">
        <v>46209.0</v>
      </c>
      <c r="M537" s="28">
        <v>0.008333333333333333</v>
      </c>
      <c r="N537" s="29" t="s">
        <v>39</v>
      </c>
      <c r="O537" s="29" t="s">
        <v>35</v>
      </c>
      <c r="P537" s="34" t="s">
        <v>53</v>
      </c>
      <c r="Q537" s="34">
        <v>1.2017248E7</v>
      </c>
      <c r="R537" s="35">
        <v>46105.0</v>
      </c>
      <c r="S537" s="32" t="s">
        <v>29</v>
      </c>
      <c r="T537" s="33"/>
      <c r="U537" s="79"/>
    </row>
    <row r="538" ht="15.75" customHeight="1">
      <c r="A538" s="20">
        <v>46105.0</v>
      </c>
      <c r="B538" s="20">
        <v>46105.0</v>
      </c>
      <c r="C538" s="20" t="s">
        <v>25</v>
      </c>
      <c r="D538" s="21" t="s">
        <v>49</v>
      </c>
      <c r="E538" s="21" t="s">
        <v>26</v>
      </c>
      <c r="F538" s="22">
        <v>0.09972222222222223</v>
      </c>
      <c r="G538" s="21" t="s">
        <v>33</v>
      </c>
      <c r="H538" s="24"/>
      <c r="I538" s="25"/>
      <c r="J538" s="26"/>
      <c r="K538" s="21"/>
      <c r="L538" s="27">
        <v>46106.0</v>
      </c>
      <c r="M538" s="28">
        <v>0.2361111111111111</v>
      </c>
      <c r="N538" s="29" t="s">
        <v>34</v>
      </c>
      <c r="O538" s="29" t="s">
        <v>35</v>
      </c>
      <c r="P538" s="34" t="s">
        <v>36</v>
      </c>
      <c r="Q538" s="34" t="s">
        <v>640</v>
      </c>
      <c r="R538" s="35">
        <v>46106.0</v>
      </c>
      <c r="S538" s="32" t="s">
        <v>29</v>
      </c>
      <c r="T538" s="33"/>
      <c r="U538" s="79"/>
    </row>
    <row r="539" ht="15.75" customHeight="1">
      <c r="A539" s="20">
        <v>46105.0</v>
      </c>
      <c r="B539" s="20">
        <v>46105.0</v>
      </c>
      <c r="C539" s="20" t="s">
        <v>25</v>
      </c>
      <c r="D539" s="21" t="s">
        <v>57</v>
      </c>
      <c r="E539" s="21" t="s">
        <v>30</v>
      </c>
      <c r="F539" s="22">
        <v>0.005983796296296296</v>
      </c>
      <c r="G539" s="21" t="s">
        <v>33</v>
      </c>
      <c r="H539" s="24"/>
      <c r="I539" s="25"/>
      <c r="J539" s="26"/>
      <c r="K539" s="21"/>
      <c r="L539" s="27">
        <v>46105.0</v>
      </c>
      <c r="M539" s="28">
        <v>0.020833333333333332</v>
      </c>
      <c r="N539" s="29" t="s">
        <v>57</v>
      </c>
      <c r="O539" s="29" t="s">
        <v>35</v>
      </c>
      <c r="P539" s="34" t="s">
        <v>36</v>
      </c>
      <c r="Q539" s="34" t="s">
        <v>641</v>
      </c>
      <c r="R539" s="35">
        <v>46106.0</v>
      </c>
      <c r="S539" s="32" t="s">
        <v>29</v>
      </c>
      <c r="T539" s="33"/>
      <c r="U539" s="33"/>
    </row>
    <row r="540" ht="15.75" customHeight="1">
      <c r="A540" s="36">
        <v>46105.0</v>
      </c>
      <c r="B540" s="36">
        <v>46105.0</v>
      </c>
      <c r="C540" s="36" t="s">
        <v>25</v>
      </c>
      <c r="D540" s="37" t="s">
        <v>69</v>
      </c>
      <c r="E540" s="37" t="s">
        <v>32</v>
      </c>
      <c r="F540" s="38">
        <v>0.0487037037037037</v>
      </c>
      <c r="G540" s="37" t="s">
        <v>33</v>
      </c>
      <c r="H540" s="39"/>
      <c r="I540" s="40"/>
      <c r="J540" s="41"/>
      <c r="K540" s="37"/>
      <c r="L540" s="42">
        <v>46106.0</v>
      </c>
      <c r="M540" s="43">
        <v>0.11805555555555555</v>
      </c>
      <c r="N540" s="44" t="s">
        <v>57</v>
      </c>
      <c r="O540" s="44" t="s">
        <v>35</v>
      </c>
      <c r="P540" s="45" t="s">
        <v>36</v>
      </c>
      <c r="Q540" s="45" t="s">
        <v>642</v>
      </c>
      <c r="R540" s="46">
        <v>46106.0</v>
      </c>
      <c r="S540" s="54" t="s">
        <v>29</v>
      </c>
      <c r="T540" s="33"/>
      <c r="U540" s="33"/>
    </row>
    <row r="541" ht="15.75" customHeight="1">
      <c r="A541" s="20">
        <v>46105.0</v>
      </c>
      <c r="B541" s="20">
        <v>46105.0</v>
      </c>
      <c r="C541" s="20" t="s">
        <v>25</v>
      </c>
      <c r="D541" s="21" t="s">
        <v>39</v>
      </c>
      <c r="E541" s="21" t="s">
        <v>38</v>
      </c>
      <c r="F541" s="22">
        <v>0.008414351851851852</v>
      </c>
      <c r="G541" s="21" t="s">
        <v>33</v>
      </c>
      <c r="H541" s="24"/>
      <c r="I541" s="25"/>
      <c r="J541" s="26"/>
      <c r="K541" s="21"/>
      <c r="L541" s="27">
        <v>46106.0</v>
      </c>
      <c r="M541" s="28">
        <v>0.0625</v>
      </c>
      <c r="N541" s="29" t="s">
        <v>69</v>
      </c>
      <c r="O541" s="29" t="s">
        <v>35</v>
      </c>
      <c r="P541" s="34" t="s">
        <v>36</v>
      </c>
      <c r="Q541" s="34">
        <v>1.1972465E7</v>
      </c>
      <c r="R541" s="35">
        <v>46106.0</v>
      </c>
      <c r="S541" s="32" t="s">
        <v>29</v>
      </c>
      <c r="T541" s="33"/>
      <c r="U541" s="33"/>
    </row>
    <row r="542" ht="15.75" customHeight="1">
      <c r="A542" s="20">
        <v>46105.0</v>
      </c>
      <c r="B542" s="20">
        <v>46105.0</v>
      </c>
      <c r="C542" s="20" t="s">
        <v>25</v>
      </c>
      <c r="D542" s="21" t="s">
        <v>39</v>
      </c>
      <c r="E542" s="21" t="s">
        <v>40</v>
      </c>
      <c r="F542" s="22">
        <v>0.01898148148148148</v>
      </c>
      <c r="G542" s="21" t="s">
        <v>33</v>
      </c>
      <c r="H542" s="24"/>
      <c r="I542" s="25"/>
      <c r="J542" s="26"/>
      <c r="K542" s="21"/>
      <c r="L542" s="27">
        <v>46106.0</v>
      </c>
      <c r="M542" s="28">
        <v>0.06875</v>
      </c>
      <c r="N542" s="29" t="s">
        <v>49</v>
      </c>
      <c r="O542" s="29" t="s">
        <v>35</v>
      </c>
      <c r="P542" s="34" t="s">
        <v>36</v>
      </c>
      <c r="Q542" s="34" t="s">
        <v>643</v>
      </c>
      <c r="R542" s="35">
        <v>46106.0</v>
      </c>
      <c r="S542" s="32" t="s">
        <v>29</v>
      </c>
      <c r="T542" s="33"/>
      <c r="U542" s="33"/>
    </row>
    <row r="543" ht="15.75" customHeight="1">
      <c r="A543" s="20">
        <v>46105.0</v>
      </c>
      <c r="B543" s="20">
        <v>46105.0</v>
      </c>
      <c r="C543" s="20"/>
      <c r="D543" s="21"/>
      <c r="E543" s="21" t="s">
        <v>43</v>
      </c>
      <c r="F543" s="22">
        <v>0.015636574074074074</v>
      </c>
      <c r="G543" s="21" t="s">
        <v>33</v>
      </c>
      <c r="H543" s="24"/>
      <c r="I543" s="25"/>
      <c r="J543" s="26"/>
      <c r="K543" s="21"/>
      <c r="L543" s="27">
        <v>46106.0</v>
      </c>
      <c r="M543" s="28">
        <v>0.041666666666666664</v>
      </c>
      <c r="N543" s="29" t="s">
        <v>31</v>
      </c>
      <c r="O543" s="29" t="s">
        <v>35</v>
      </c>
      <c r="P543" s="34" t="s">
        <v>28</v>
      </c>
      <c r="Q543" s="34"/>
      <c r="R543" s="35"/>
      <c r="S543" s="32" t="s">
        <v>29</v>
      </c>
      <c r="T543" s="33"/>
      <c r="U543" s="79"/>
    </row>
    <row r="544" ht="15.75" customHeight="1">
      <c r="A544" s="36">
        <v>46106.0</v>
      </c>
      <c r="B544" s="36">
        <v>46106.0</v>
      </c>
      <c r="C544" s="36" t="s">
        <v>25</v>
      </c>
      <c r="D544" s="37" t="s">
        <v>49</v>
      </c>
      <c r="E544" s="37" t="s">
        <v>26</v>
      </c>
      <c r="F544" s="38">
        <v>0.09925925925925926</v>
      </c>
      <c r="G544" s="37" t="s">
        <v>33</v>
      </c>
      <c r="H544" s="69" t="s">
        <v>644</v>
      </c>
      <c r="I544" s="40" t="s">
        <v>178</v>
      </c>
      <c r="J544" s="41">
        <v>46106.833333333336</v>
      </c>
      <c r="K544" s="37" t="s">
        <v>645</v>
      </c>
      <c r="L544" s="42">
        <v>46107.0</v>
      </c>
      <c r="M544" s="43">
        <v>0.24722222222222223</v>
      </c>
      <c r="N544" s="44" t="s">
        <v>39</v>
      </c>
      <c r="O544" s="44" t="s">
        <v>35</v>
      </c>
      <c r="P544" s="45" t="s">
        <v>36</v>
      </c>
      <c r="Q544" s="45" t="s">
        <v>646</v>
      </c>
      <c r="R544" s="46">
        <v>46108.0</v>
      </c>
      <c r="S544" s="47" t="s">
        <v>29</v>
      </c>
      <c r="T544" s="48"/>
      <c r="U544" s="48"/>
    </row>
    <row r="545" ht="15.75" customHeight="1">
      <c r="A545" s="20">
        <v>46106.0</v>
      </c>
      <c r="B545" s="20">
        <v>46106.0</v>
      </c>
      <c r="C545" s="20"/>
      <c r="D545" s="21"/>
      <c r="E545" s="21" t="s">
        <v>30</v>
      </c>
      <c r="F545" s="22"/>
      <c r="G545" s="23" t="s">
        <v>27</v>
      </c>
      <c r="H545" s="24"/>
      <c r="I545" s="25"/>
      <c r="J545" s="26"/>
      <c r="K545" s="21"/>
      <c r="L545" s="27"/>
      <c r="M545" s="28"/>
      <c r="N545" s="29"/>
      <c r="O545" s="29"/>
      <c r="P545" s="34" t="s">
        <v>28</v>
      </c>
      <c r="Q545" s="34" t="s">
        <v>28</v>
      </c>
      <c r="R545" s="35" t="s">
        <v>28</v>
      </c>
      <c r="S545" s="32" t="s">
        <v>29</v>
      </c>
      <c r="T545" s="33"/>
      <c r="U545" s="33"/>
    </row>
    <row r="546" ht="15.75" customHeight="1">
      <c r="A546" s="20">
        <v>46106.0</v>
      </c>
      <c r="B546" s="20">
        <v>46106.0</v>
      </c>
      <c r="C546" s="20" t="s">
        <v>25</v>
      </c>
      <c r="D546" s="21" t="s">
        <v>69</v>
      </c>
      <c r="E546" s="21" t="s">
        <v>32</v>
      </c>
      <c r="F546" s="22">
        <v>0.04652777777777778</v>
      </c>
      <c r="G546" s="21" t="s">
        <v>33</v>
      </c>
      <c r="H546" s="24"/>
      <c r="I546" s="25"/>
      <c r="J546" s="26"/>
      <c r="K546" s="21"/>
      <c r="L546" s="27">
        <v>46107.0</v>
      </c>
      <c r="M546" s="28">
        <v>0.10416666666666667</v>
      </c>
      <c r="N546" s="29" t="s">
        <v>34</v>
      </c>
      <c r="O546" s="29" t="s">
        <v>35</v>
      </c>
      <c r="P546" s="34" t="s">
        <v>36</v>
      </c>
      <c r="Q546" s="34" t="s">
        <v>647</v>
      </c>
      <c r="R546" s="35">
        <v>46108.0</v>
      </c>
      <c r="S546" s="32" t="s">
        <v>29</v>
      </c>
      <c r="T546" s="33"/>
      <c r="U546" s="33"/>
    </row>
    <row r="547" ht="15.75" customHeight="1">
      <c r="A547" s="20">
        <v>46106.0</v>
      </c>
      <c r="B547" s="20">
        <v>46106.0</v>
      </c>
      <c r="C547" s="20" t="s">
        <v>25</v>
      </c>
      <c r="D547" s="21" t="s">
        <v>39</v>
      </c>
      <c r="E547" s="21" t="s">
        <v>38</v>
      </c>
      <c r="F547" s="22">
        <v>0.009976851851851851</v>
      </c>
      <c r="G547" s="21" t="s">
        <v>33</v>
      </c>
      <c r="H547" s="34" t="s">
        <v>648</v>
      </c>
      <c r="I547" s="25" t="s">
        <v>46</v>
      </c>
      <c r="J547" s="26">
        <v>46107.489583333336</v>
      </c>
      <c r="K547" s="21" t="s">
        <v>649</v>
      </c>
      <c r="L547" s="27">
        <v>46107.0</v>
      </c>
      <c r="M547" s="28">
        <v>0.022222222222222223</v>
      </c>
      <c r="N547" s="29" t="s">
        <v>57</v>
      </c>
      <c r="O547" s="29" t="s">
        <v>35</v>
      </c>
      <c r="P547" s="34" t="s">
        <v>36</v>
      </c>
      <c r="Q547" s="34">
        <v>1.1972466E7</v>
      </c>
      <c r="R547" s="35">
        <v>46111.0</v>
      </c>
      <c r="S547" s="32" t="s">
        <v>29</v>
      </c>
      <c r="T547" s="33"/>
      <c r="U547" s="79"/>
    </row>
    <row r="548" ht="15.75" customHeight="1">
      <c r="A548" s="20">
        <v>46106.0</v>
      </c>
      <c r="B548" s="20">
        <v>46106.0</v>
      </c>
      <c r="C548" s="20" t="s">
        <v>25</v>
      </c>
      <c r="D548" s="21" t="s">
        <v>39</v>
      </c>
      <c r="E548" s="21" t="s">
        <v>40</v>
      </c>
      <c r="F548" s="22">
        <v>0.020046296296296295</v>
      </c>
      <c r="G548" s="21" t="s">
        <v>33</v>
      </c>
      <c r="H548" s="24"/>
      <c r="I548" s="25"/>
      <c r="J548" s="26"/>
      <c r="K548" s="29"/>
      <c r="L548" s="27">
        <v>46107.0</v>
      </c>
      <c r="M548" s="28">
        <v>0.06597222222222222</v>
      </c>
      <c r="N548" s="29" t="s">
        <v>57</v>
      </c>
      <c r="O548" s="29" t="s">
        <v>35</v>
      </c>
      <c r="P548" s="34" t="s">
        <v>36</v>
      </c>
      <c r="Q548" s="34" t="s">
        <v>650</v>
      </c>
      <c r="R548" s="35">
        <v>46108.0</v>
      </c>
      <c r="S548" s="32" t="s">
        <v>29</v>
      </c>
      <c r="T548" s="33"/>
      <c r="U548" s="79"/>
    </row>
    <row r="549" ht="15.75" customHeight="1">
      <c r="A549" s="20">
        <v>46106.0</v>
      </c>
      <c r="B549" s="20">
        <v>46106.0</v>
      </c>
      <c r="C549" s="20"/>
      <c r="D549" s="21"/>
      <c r="E549" s="21" t="s">
        <v>43</v>
      </c>
      <c r="F549" s="22">
        <v>0.015208333333333334</v>
      </c>
      <c r="G549" s="21" t="s">
        <v>33</v>
      </c>
      <c r="H549" s="24"/>
      <c r="I549" s="25"/>
      <c r="J549" s="26"/>
      <c r="K549" s="21"/>
      <c r="L549" s="27">
        <v>46107.0</v>
      </c>
      <c r="M549" s="28">
        <v>0.041666666666666664</v>
      </c>
      <c r="N549" s="29" t="s">
        <v>59</v>
      </c>
      <c r="O549" s="29" t="s">
        <v>35</v>
      </c>
      <c r="P549" s="34" t="s">
        <v>28</v>
      </c>
      <c r="Q549" s="34"/>
      <c r="R549" s="35"/>
      <c r="S549" s="32" t="s">
        <v>29</v>
      </c>
      <c r="T549" s="33"/>
      <c r="U549" s="79"/>
    </row>
    <row r="550" ht="15.75" customHeight="1">
      <c r="A550" s="20">
        <v>46107.0</v>
      </c>
      <c r="B550" s="20">
        <v>46107.0</v>
      </c>
      <c r="C550" s="20" t="s">
        <v>25</v>
      </c>
      <c r="D550" s="21" t="s">
        <v>49</v>
      </c>
      <c r="E550" s="21" t="s">
        <v>26</v>
      </c>
      <c r="F550" s="22">
        <v>0.10006944444444445</v>
      </c>
      <c r="G550" s="21" t="s">
        <v>33</v>
      </c>
      <c r="H550" s="24"/>
      <c r="I550" s="25"/>
      <c r="J550" s="26"/>
      <c r="K550" s="21" t="s">
        <v>651</v>
      </c>
      <c r="L550" s="27">
        <v>46108.0</v>
      </c>
      <c r="M550" s="28">
        <v>0.20833333333333334</v>
      </c>
      <c r="N550" s="29" t="s">
        <v>59</v>
      </c>
      <c r="O550" s="29" t="s">
        <v>35</v>
      </c>
      <c r="P550" s="34" t="s">
        <v>36</v>
      </c>
      <c r="Q550" s="34" t="s">
        <v>652</v>
      </c>
      <c r="R550" s="35">
        <v>46111.0</v>
      </c>
      <c r="S550" s="32" t="s">
        <v>29</v>
      </c>
      <c r="T550" s="33"/>
      <c r="U550" s="33"/>
    </row>
    <row r="551" ht="15.75" customHeight="1">
      <c r="A551" s="20">
        <v>46107.0</v>
      </c>
      <c r="B551" s="20">
        <v>46107.0</v>
      </c>
      <c r="C551" s="20" t="s">
        <v>25</v>
      </c>
      <c r="D551" s="21" t="s">
        <v>39</v>
      </c>
      <c r="E551" s="21" t="s">
        <v>30</v>
      </c>
      <c r="F551" s="22">
        <v>0.004479166666666667</v>
      </c>
      <c r="G551" s="21" t="s">
        <v>33</v>
      </c>
      <c r="H551" s="24"/>
      <c r="I551" s="25"/>
      <c r="J551" s="26"/>
      <c r="K551" s="21"/>
      <c r="L551" s="27"/>
      <c r="M551" s="28"/>
      <c r="N551" s="29" t="s">
        <v>39</v>
      </c>
      <c r="O551" s="29"/>
      <c r="P551" s="34" t="s">
        <v>36</v>
      </c>
      <c r="Q551" s="34" t="s">
        <v>653</v>
      </c>
      <c r="R551" s="35">
        <v>46108.0</v>
      </c>
      <c r="S551" s="32" t="s">
        <v>29</v>
      </c>
      <c r="T551" s="33"/>
      <c r="U551" s="33"/>
    </row>
    <row r="552" ht="15.75" customHeight="1">
      <c r="A552" s="20">
        <v>46107.0</v>
      </c>
      <c r="B552" s="20">
        <v>46107.0</v>
      </c>
      <c r="C552" s="20" t="s">
        <v>25</v>
      </c>
      <c r="D552" s="21" t="s">
        <v>69</v>
      </c>
      <c r="E552" s="21" t="s">
        <v>32</v>
      </c>
      <c r="F552" s="22">
        <v>0.047650462962962964</v>
      </c>
      <c r="G552" s="21" t="s">
        <v>33</v>
      </c>
      <c r="H552" s="24"/>
      <c r="I552" s="25"/>
      <c r="J552" s="26"/>
      <c r="K552" s="21"/>
      <c r="L552" s="27">
        <v>46108.0</v>
      </c>
      <c r="M552" s="28">
        <v>0.1076388888888889</v>
      </c>
      <c r="N552" s="29" t="s">
        <v>34</v>
      </c>
      <c r="O552" s="29" t="s">
        <v>35</v>
      </c>
      <c r="P552" s="34" t="s">
        <v>36</v>
      </c>
      <c r="Q552" s="34" t="s">
        <v>654</v>
      </c>
      <c r="R552" s="35">
        <v>46108.0</v>
      </c>
      <c r="S552" s="32" t="s">
        <v>29</v>
      </c>
      <c r="T552" s="33"/>
      <c r="U552" s="33"/>
    </row>
    <row r="553" ht="15.75" customHeight="1">
      <c r="A553" s="20">
        <v>46107.0</v>
      </c>
      <c r="B553" s="20">
        <v>46107.0</v>
      </c>
      <c r="C553" s="20" t="s">
        <v>25</v>
      </c>
      <c r="D553" s="21" t="s">
        <v>34</v>
      </c>
      <c r="E553" s="21" t="s">
        <v>38</v>
      </c>
      <c r="F553" s="22">
        <v>0.0042592592592592595</v>
      </c>
      <c r="G553" s="37" t="s">
        <v>33</v>
      </c>
      <c r="H553" s="24" t="s">
        <v>655</v>
      </c>
      <c r="I553" s="25" t="s">
        <v>46</v>
      </c>
      <c r="J553" s="26">
        <v>46108.66458333333</v>
      </c>
      <c r="K553" s="29" t="s">
        <v>656</v>
      </c>
      <c r="L553" s="27">
        <v>46108.0</v>
      </c>
      <c r="M553" s="28">
        <v>0.009027777777777777</v>
      </c>
      <c r="N553" s="29" t="s">
        <v>34</v>
      </c>
      <c r="O553" s="29" t="s">
        <v>35</v>
      </c>
      <c r="P553" s="34" t="s">
        <v>36</v>
      </c>
      <c r="Q553" s="34">
        <v>1.1972467E7</v>
      </c>
      <c r="R553" s="35">
        <v>46111.0</v>
      </c>
      <c r="S553" s="32" t="s">
        <v>29</v>
      </c>
      <c r="T553" s="33"/>
      <c r="U553" s="79"/>
    </row>
    <row r="554" ht="15.75" customHeight="1">
      <c r="A554" s="20">
        <v>46107.0</v>
      </c>
      <c r="B554" s="20">
        <v>46107.0</v>
      </c>
      <c r="C554" s="20" t="s">
        <v>25</v>
      </c>
      <c r="D554" s="21" t="s">
        <v>34</v>
      </c>
      <c r="E554" s="21" t="s">
        <v>40</v>
      </c>
      <c r="F554" s="22">
        <v>0.009409722222222222</v>
      </c>
      <c r="G554" s="21" t="s">
        <v>33</v>
      </c>
      <c r="H554" s="24"/>
      <c r="I554" s="25"/>
      <c r="J554" s="26"/>
      <c r="K554" s="29"/>
      <c r="L554" s="27">
        <v>46108.0</v>
      </c>
      <c r="M554" s="28">
        <v>0.03819444444444445</v>
      </c>
      <c r="N554" s="29" t="s">
        <v>57</v>
      </c>
      <c r="O554" s="29" t="s">
        <v>35</v>
      </c>
      <c r="P554" s="34" t="s">
        <v>36</v>
      </c>
      <c r="Q554" s="34" t="s">
        <v>657</v>
      </c>
      <c r="R554" s="35">
        <v>46108.0</v>
      </c>
      <c r="S554" s="32" t="s">
        <v>29</v>
      </c>
      <c r="T554" s="33"/>
      <c r="U554" s="79"/>
    </row>
    <row r="555" ht="15.75" customHeight="1">
      <c r="A555" s="20">
        <v>46107.0</v>
      </c>
      <c r="B555" s="20">
        <v>46107.0</v>
      </c>
      <c r="C555" s="20"/>
      <c r="D555" s="21"/>
      <c r="E555" s="21" t="s">
        <v>43</v>
      </c>
      <c r="F555" s="22">
        <v>0.016030092592592592</v>
      </c>
      <c r="G555" s="21" t="s">
        <v>33</v>
      </c>
      <c r="H555" s="24"/>
      <c r="I555" s="25"/>
      <c r="J555" s="26"/>
      <c r="K555" s="29"/>
      <c r="L555" s="27">
        <v>46108.0</v>
      </c>
      <c r="M555" s="28">
        <v>0.041666666666666664</v>
      </c>
      <c r="N555" s="29" t="s">
        <v>31</v>
      </c>
      <c r="O555" s="29" t="s">
        <v>35</v>
      </c>
      <c r="P555" s="34" t="s">
        <v>28</v>
      </c>
      <c r="Q555" s="34"/>
      <c r="R555" s="35"/>
      <c r="S555" s="32" t="s">
        <v>29</v>
      </c>
      <c r="T555" s="33"/>
      <c r="U555" s="79"/>
    </row>
    <row r="556" ht="15.75" customHeight="1">
      <c r="A556" s="20">
        <v>46108.0</v>
      </c>
      <c r="B556" s="20">
        <v>46108.0</v>
      </c>
      <c r="C556" s="20" t="s">
        <v>25</v>
      </c>
      <c r="D556" s="21" t="s">
        <v>49</v>
      </c>
      <c r="E556" s="21" t="s">
        <v>26</v>
      </c>
      <c r="F556" s="22">
        <v>0.10025462962962962</v>
      </c>
      <c r="G556" s="21" t="s">
        <v>33</v>
      </c>
      <c r="H556" s="24"/>
      <c r="I556" s="25"/>
      <c r="J556" s="26"/>
      <c r="K556" s="29"/>
      <c r="L556" s="27">
        <v>46111.0</v>
      </c>
      <c r="M556" s="28">
        <v>0.20833333333333334</v>
      </c>
      <c r="N556" s="29" t="s">
        <v>31</v>
      </c>
      <c r="O556" s="29" t="s">
        <v>35</v>
      </c>
      <c r="P556" s="34" t="s">
        <v>36</v>
      </c>
      <c r="Q556" s="34" t="s">
        <v>658</v>
      </c>
      <c r="R556" s="35">
        <v>46111.0</v>
      </c>
      <c r="S556" s="32" t="s">
        <v>29</v>
      </c>
      <c r="T556" s="33"/>
      <c r="U556" s="79"/>
    </row>
    <row r="557" ht="15.75" customHeight="1">
      <c r="A557" s="20">
        <v>46108.0</v>
      </c>
      <c r="B557" s="20">
        <v>46108.0</v>
      </c>
      <c r="C557" s="20" t="s">
        <v>25</v>
      </c>
      <c r="D557" s="21" t="s">
        <v>59</v>
      </c>
      <c r="E557" s="21" t="s">
        <v>30</v>
      </c>
      <c r="F557" s="22">
        <v>0.005729166666666666</v>
      </c>
      <c r="G557" s="21" t="s">
        <v>33</v>
      </c>
      <c r="H557" s="24"/>
      <c r="I557" s="25"/>
      <c r="J557" s="26"/>
      <c r="K557" s="21" t="s">
        <v>659</v>
      </c>
      <c r="L557" s="27">
        <v>46108.0</v>
      </c>
      <c r="M557" s="28">
        <v>0.011111111111111112</v>
      </c>
      <c r="N557" s="29" t="s">
        <v>59</v>
      </c>
      <c r="O557" s="29" t="s">
        <v>35</v>
      </c>
      <c r="P557" s="34" t="s">
        <v>36</v>
      </c>
      <c r="Q557" s="34" t="s">
        <v>660</v>
      </c>
      <c r="R557" s="35">
        <v>46112.0</v>
      </c>
      <c r="S557" s="32" t="s">
        <v>29</v>
      </c>
      <c r="T557" s="33"/>
      <c r="U557" s="33"/>
    </row>
    <row r="558" ht="15.75" customHeight="1">
      <c r="A558" s="20">
        <v>46108.0</v>
      </c>
      <c r="B558" s="20">
        <v>46108.0</v>
      </c>
      <c r="C558" s="20" t="s">
        <v>25</v>
      </c>
      <c r="D558" s="21" t="s">
        <v>69</v>
      </c>
      <c r="E558" s="21" t="s">
        <v>32</v>
      </c>
      <c r="F558" s="22">
        <v>0.049375</v>
      </c>
      <c r="G558" s="21" t="s">
        <v>33</v>
      </c>
      <c r="H558" s="24"/>
      <c r="I558" s="25"/>
      <c r="J558" s="26"/>
      <c r="K558" s="21"/>
      <c r="L558" s="27">
        <v>46109.0</v>
      </c>
      <c r="M558" s="28">
        <v>0.11805555555555555</v>
      </c>
      <c r="N558" s="29" t="s">
        <v>39</v>
      </c>
      <c r="O558" s="29" t="s">
        <v>35</v>
      </c>
      <c r="P558" s="34" t="s">
        <v>36</v>
      </c>
      <c r="Q558" s="34" t="s">
        <v>661</v>
      </c>
      <c r="R558" s="35">
        <v>46111.0</v>
      </c>
      <c r="S558" s="32" t="s">
        <v>29</v>
      </c>
      <c r="T558" s="33"/>
      <c r="U558" s="79"/>
    </row>
    <row r="559" ht="15.75" customHeight="1">
      <c r="A559" s="36">
        <v>46108.0</v>
      </c>
      <c r="B559" s="36">
        <v>46108.0</v>
      </c>
      <c r="C559" s="36" t="s">
        <v>25</v>
      </c>
      <c r="D559" s="37" t="s">
        <v>34</v>
      </c>
      <c r="E559" s="37" t="s">
        <v>38</v>
      </c>
      <c r="F559" s="38">
        <v>0.00849537037037037</v>
      </c>
      <c r="G559" s="37" t="s">
        <v>33</v>
      </c>
      <c r="H559" s="69" t="s">
        <v>662</v>
      </c>
      <c r="I559" s="25" t="s">
        <v>46</v>
      </c>
      <c r="J559" s="26">
        <v>46109.62291666667</v>
      </c>
      <c r="K559" s="37" t="s">
        <v>663</v>
      </c>
      <c r="L559" s="42">
        <v>46111.0</v>
      </c>
      <c r="M559" s="43">
        <v>0.017361111111111112</v>
      </c>
      <c r="N559" s="44" t="s">
        <v>49</v>
      </c>
      <c r="O559" s="44" t="s">
        <v>35</v>
      </c>
      <c r="P559" s="45" t="s">
        <v>36</v>
      </c>
      <c r="Q559" s="45">
        <v>1.1972468E7</v>
      </c>
      <c r="R559" s="46">
        <v>46111.0</v>
      </c>
      <c r="S559" s="54" t="s">
        <v>29</v>
      </c>
      <c r="T559" s="124"/>
      <c r="U559" s="125"/>
    </row>
    <row r="560" ht="15.75" customHeight="1">
      <c r="A560" s="36">
        <v>46108.0</v>
      </c>
      <c r="B560" s="36">
        <v>46108.0</v>
      </c>
      <c r="C560" s="36" t="s">
        <v>25</v>
      </c>
      <c r="D560" s="37" t="s">
        <v>34</v>
      </c>
      <c r="E560" s="37" t="s">
        <v>40</v>
      </c>
      <c r="F560" s="38">
        <v>0.018229166666666668</v>
      </c>
      <c r="G560" s="37" t="s">
        <v>33</v>
      </c>
      <c r="H560" s="39"/>
      <c r="I560" s="40"/>
      <c r="J560" s="41"/>
      <c r="K560" s="37"/>
      <c r="L560" s="42">
        <v>46111.0</v>
      </c>
      <c r="M560" s="43">
        <v>0.06458333333333334</v>
      </c>
      <c r="N560" s="44" t="s">
        <v>49</v>
      </c>
      <c r="O560" s="44" t="s">
        <v>35</v>
      </c>
      <c r="P560" s="45" t="s">
        <v>36</v>
      </c>
      <c r="Q560" s="45" t="s">
        <v>664</v>
      </c>
      <c r="R560" s="46">
        <v>46111.0</v>
      </c>
      <c r="S560" s="54" t="s">
        <v>29</v>
      </c>
      <c r="T560" s="124"/>
      <c r="U560" s="125"/>
    </row>
    <row r="561" ht="15.75" customHeight="1">
      <c r="A561" s="20">
        <v>46108.0</v>
      </c>
      <c r="B561" s="20">
        <v>46108.0</v>
      </c>
      <c r="C561" s="20"/>
      <c r="D561" s="21"/>
      <c r="E561" s="21" t="s">
        <v>43</v>
      </c>
      <c r="F561" s="22">
        <v>0.015752314814814816</v>
      </c>
      <c r="G561" s="21" t="s">
        <v>33</v>
      </c>
      <c r="H561" s="24"/>
      <c r="I561" s="25"/>
      <c r="J561" s="26"/>
      <c r="K561" s="21"/>
      <c r="L561" s="27">
        <v>46112.0</v>
      </c>
      <c r="M561" s="28">
        <v>0.034722222222222224</v>
      </c>
      <c r="N561" s="29" t="s">
        <v>34</v>
      </c>
      <c r="O561" s="29" t="s">
        <v>35</v>
      </c>
      <c r="P561" s="30" t="s">
        <v>28</v>
      </c>
      <c r="Q561" s="30" t="s">
        <v>28</v>
      </c>
      <c r="R561" s="31" t="s">
        <v>28</v>
      </c>
      <c r="S561" s="32" t="s">
        <v>29</v>
      </c>
      <c r="T561" s="33"/>
      <c r="U561" s="79"/>
    </row>
    <row r="562" ht="15.75" customHeight="1">
      <c r="A562" s="55">
        <v>46109.0</v>
      </c>
      <c r="B562" s="55">
        <v>46109.0</v>
      </c>
      <c r="C562" s="55" t="s">
        <v>25</v>
      </c>
      <c r="D562" s="56" t="s">
        <v>39</v>
      </c>
      <c r="E562" s="56" t="s">
        <v>32</v>
      </c>
      <c r="F562" s="57">
        <v>0.051666666666666666</v>
      </c>
      <c r="G562" s="56" t="s">
        <v>33</v>
      </c>
      <c r="H562" s="24"/>
      <c r="I562" s="25" t="s">
        <v>46</v>
      </c>
      <c r="J562" s="26"/>
      <c r="K562" s="21"/>
      <c r="L562" s="27">
        <v>46111.0</v>
      </c>
      <c r="M562" s="28">
        <v>0.12152777777777778</v>
      </c>
      <c r="N562" s="29" t="s">
        <v>59</v>
      </c>
      <c r="O562" s="29" t="s">
        <v>35</v>
      </c>
      <c r="P562" s="34" t="s">
        <v>36</v>
      </c>
      <c r="Q562" s="34" t="s">
        <v>665</v>
      </c>
      <c r="R562" s="35">
        <v>46111.0</v>
      </c>
      <c r="S562" s="32" t="s">
        <v>29</v>
      </c>
      <c r="T562" s="33"/>
      <c r="U562" s="33"/>
    </row>
    <row r="563" ht="15.75" customHeight="1">
      <c r="A563" s="126">
        <v>46109.0</v>
      </c>
      <c r="B563" s="126">
        <v>46109.0</v>
      </c>
      <c r="C563" s="126" t="s">
        <v>25</v>
      </c>
      <c r="D563" s="102" t="s">
        <v>59</v>
      </c>
      <c r="E563" s="102" t="s">
        <v>40</v>
      </c>
      <c r="F563" s="127">
        <v>0.012314814814814815</v>
      </c>
      <c r="G563" s="102" t="s">
        <v>33</v>
      </c>
      <c r="H563" s="102"/>
      <c r="I563" s="103"/>
      <c r="J563" s="104"/>
      <c r="K563" s="102"/>
      <c r="L563" s="128">
        <v>46112.0</v>
      </c>
      <c r="M563" s="129">
        <v>0.027777777777777776</v>
      </c>
      <c r="N563" s="102" t="s">
        <v>31</v>
      </c>
      <c r="O563" s="102" t="s">
        <v>35</v>
      </c>
      <c r="P563" s="103" t="s">
        <v>36</v>
      </c>
      <c r="Q563" s="103" t="s">
        <v>666</v>
      </c>
      <c r="R563" s="105">
        <v>46111.0</v>
      </c>
      <c r="S563" s="32" t="s">
        <v>29</v>
      </c>
      <c r="T563" s="33"/>
      <c r="U563" s="33"/>
    </row>
    <row r="564" ht="15.75" customHeight="1">
      <c r="A564" s="55">
        <v>46109.0</v>
      </c>
      <c r="B564" s="55">
        <v>46109.0</v>
      </c>
      <c r="C564" s="55"/>
      <c r="D564" s="56"/>
      <c r="E564" s="56" t="s">
        <v>43</v>
      </c>
      <c r="F564" s="57">
        <v>0.015439814814814814</v>
      </c>
      <c r="G564" s="56" t="s">
        <v>33</v>
      </c>
      <c r="H564" s="24"/>
      <c r="I564" s="25"/>
      <c r="J564" s="26"/>
      <c r="K564" s="21"/>
      <c r="L564" s="27">
        <v>46113.0</v>
      </c>
      <c r="M564" s="28">
        <v>0.03819444444444445</v>
      </c>
      <c r="N564" s="29" t="s">
        <v>34</v>
      </c>
      <c r="O564" s="29" t="s">
        <v>35</v>
      </c>
      <c r="P564" s="30" t="s">
        <v>28</v>
      </c>
      <c r="Q564" s="30" t="s">
        <v>28</v>
      </c>
      <c r="R564" s="31" t="s">
        <v>28</v>
      </c>
      <c r="S564" s="32" t="s">
        <v>29</v>
      </c>
      <c r="T564" s="33"/>
      <c r="U564" s="33"/>
    </row>
    <row r="565" ht="15.75" customHeight="1">
      <c r="A565" s="55">
        <v>46109.0</v>
      </c>
      <c r="B565" s="55">
        <v>46109.0</v>
      </c>
      <c r="C565" s="55" t="s">
        <v>25</v>
      </c>
      <c r="D565" s="56" t="s">
        <v>57</v>
      </c>
      <c r="E565" s="56" t="s">
        <v>61</v>
      </c>
      <c r="F565" s="57">
        <v>0.021145833333333332</v>
      </c>
      <c r="G565" s="56" t="s">
        <v>33</v>
      </c>
      <c r="H565" s="24" t="s">
        <v>667</v>
      </c>
      <c r="I565" s="25" t="s">
        <v>46</v>
      </c>
      <c r="J565" s="26">
        <v>46109.63263888889</v>
      </c>
      <c r="K565" s="21" t="s">
        <v>668</v>
      </c>
      <c r="L565" s="27">
        <v>46112.0</v>
      </c>
      <c r="M565" s="28">
        <v>0.06944444444444445</v>
      </c>
      <c r="N565" s="29" t="s">
        <v>57</v>
      </c>
      <c r="O565" s="29" t="s">
        <v>35</v>
      </c>
      <c r="P565" s="34" t="s">
        <v>36</v>
      </c>
      <c r="Q565" s="34" t="s">
        <v>669</v>
      </c>
      <c r="R565" s="35">
        <v>46113.0</v>
      </c>
      <c r="S565" s="32" t="s">
        <v>29</v>
      </c>
      <c r="T565" s="33"/>
      <c r="U565" s="33"/>
    </row>
    <row r="566" ht="15.75" customHeight="1">
      <c r="A566" s="55">
        <v>46109.0</v>
      </c>
      <c r="B566" s="55">
        <v>46109.0</v>
      </c>
      <c r="C566" s="55"/>
      <c r="D566" s="56"/>
      <c r="E566" s="56" t="s">
        <v>62</v>
      </c>
      <c r="F566" s="57">
        <v>0.021145833333333332</v>
      </c>
      <c r="G566" s="56" t="s">
        <v>33</v>
      </c>
      <c r="H566" s="24" t="s">
        <v>670</v>
      </c>
      <c r="I566" s="25" t="s">
        <v>46</v>
      </c>
      <c r="J566" s="26">
        <v>46109.65347222222</v>
      </c>
      <c r="K566" s="21" t="s">
        <v>671</v>
      </c>
      <c r="L566" s="27">
        <v>46112.0</v>
      </c>
      <c r="M566" s="28">
        <v>0.003472222222222222</v>
      </c>
      <c r="N566" s="29" t="s">
        <v>57</v>
      </c>
      <c r="O566" s="29" t="s">
        <v>355</v>
      </c>
      <c r="P566" s="34" t="s">
        <v>36</v>
      </c>
      <c r="Q566" s="34" t="s">
        <v>672</v>
      </c>
      <c r="R566" s="35">
        <v>46114.0</v>
      </c>
      <c r="S566" s="32" t="s">
        <v>29</v>
      </c>
      <c r="T566" s="33"/>
      <c r="U566" s="33"/>
    </row>
    <row r="567" ht="15.75" customHeight="1">
      <c r="A567" s="55">
        <v>46109.0</v>
      </c>
      <c r="B567" s="55">
        <v>46109.0</v>
      </c>
      <c r="C567" s="55" t="s">
        <v>25</v>
      </c>
      <c r="D567" s="56" t="s">
        <v>34</v>
      </c>
      <c r="E567" s="56" t="s">
        <v>63</v>
      </c>
      <c r="F567" s="57">
        <v>0.021747685185185186</v>
      </c>
      <c r="G567" s="56" t="s">
        <v>33</v>
      </c>
      <c r="H567" s="24" t="s">
        <v>673</v>
      </c>
      <c r="I567" s="25" t="s">
        <v>46</v>
      </c>
      <c r="J567" s="26">
        <v>46111.91135416667</v>
      </c>
      <c r="K567" s="21" t="s">
        <v>674</v>
      </c>
      <c r="L567" s="27">
        <v>46113.0</v>
      </c>
      <c r="M567" s="28">
        <v>0.052083333333333336</v>
      </c>
      <c r="N567" s="29" t="s">
        <v>34</v>
      </c>
      <c r="O567" s="29" t="s">
        <v>35</v>
      </c>
      <c r="P567" s="34" t="s">
        <v>36</v>
      </c>
      <c r="Q567" s="34" t="s">
        <v>675</v>
      </c>
      <c r="R567" s="35">
        <v>46113.0</v>
      </c>
      <c r="S567" s="32" t="s">
        <v>29</v>
      </c>
      <c r="T567" s="33"/>
      <c r="U567" s="33"/>
    </row>
    <row r="568" ht="15.75" customHeight="1">
      <c r="A568" s="55">
        <v>46109.0</v>
      </c>
      <c r="B568" s="55"/>
      <c r="C568" s="55" t="s">
        <v>65</v>
      </c>
      <c r="D568" s="56" t="s">
        <v>59</v>
      </c>
      <c r="E568" s="56" t="s">
        <v>568</v>
      </c>
      <c r="F568" s="57">
        <v>0.02298611111111111</v>
      </c>
      <c r="G568" s="56" t="s">
        <v>33</v>
      </c>
      <c r="H568" s="24"/>
      <c r="I568" s="25"/>
      <c r="J568" s="26"/>
      <c r="K568" s="21" t="s">
        <v>676</v>
      </c>
      <c r="L568" s="27">
        <v>46111.0</v>
      </c>
      <c r="M568" s="28">
        <v>0.001388888888888889</v>
      </c>
      <c r="N568" s="29" t="s">
        <v>49</v>
      </c>
      <c r="O568" s="29" t="s">
        <v>355</v>
      </c>
      <c r="P568" s="34" t="s">
        <v>36</v>
      </c>
      <c r="Q568" s="34" t="s">
        <v>677</v>
      </c>
      <c r="R568" s="35">
        <v>46113.0</v>
      </c>
      <c r="S568" s="32"/>
      <c r="T568" s="33"/>
      <c r="U568" s="33"/>
    </row>
    <row r="569" ht="15.75" customHeight="1">
      <c r="A569" s="60">
        <v>46110.0</v>
      </c>
      <c r="B569" s="60">
        <v>46110.0</v>
      </c>
      <c r="C569" s="60"/>
      <c r="D569" s="61"/>
      <c r="E569" s="61" t="s">
        <v>64</v>
      </c>
      <c r="F569" s="62"/>
      <c r="G569" s="63" t="s">
        <v>27</v>
      </c>
      <c r="H569" s="24"/>
      <c r="I569" s="25"/>
      <c r="J569" s="26"/>
      <c r="K569" s="21"/>
      <c r="L569" s="27"/>
      <c r="M569" s="28"/>
      <c r="N569" s="29"/>
      <c r="O569" s="29"/>
      <c r="P569" s="34" t="s">
        <v>28</v>
      </c>
      <c r="Q569" s="34" t="s">
        <v>28</v>
      </c>
      <c r="R569" s="35"/>
      <c r="S569" s="32" t="s">
        <v>29</v>
      </c>
      <c r="T569" s="33"/>
      <c r="U569" s="33"/>
    </row>
    <row r="570" ht="15.75" customHeight="1">
      <c r="A570" s="60">
        <v>46110.0</v>
      </c>
      <c r="B570" s="60">
        <v>46110.0</v>
      </c>
      <c r="C570" s="60" t="s">
        <v>65</v>
      </c>
      <c r="D570" s="61" t="s">
        <v>39</v>
      </c>
      <c r="E570" s="61" t="s">
        <v>66</v>
      </c>
      <c r="F570" s="62">
        <v>0.01855324074074074</v>
      </c>
      <c r="G570" s="61" t="s">
        <v>33</v>
      </c>
      <c r="H570" s="24" t="s">
        <v>678</v>
      </c>
      <c r="I570" s="25" t="s">
        <v>46</v>
      </c>
      <c r="J570" s="26">
        <v>46112.0</v>
      </c>
      <c r="K570" s="21" t="s">
        <v>679</v>
      </c>
      <c r="L570" s="27">
        <v>46113.0</v>
      </c>
      <c r="M570" s="28">
        <v>0.027777777777777776</v>
      </c>
      <c r="N570" s="29" t="s">
        <v>69</v>
      </c>
      <c r="O570" s="29" t="s">
        <v>35</v>
      </c>
      <c r="P570" s="34" t="s">
        <v>36</v>
      </c>
      <c r="Q570" s="34" t="s">
        <v>680</v>
      </c>
      <c r="R570" s="35">
        <v>46114.0</v>
      </c>
      <c r="S570" s="32" t="s">
        <v>29</v>
      </c>
      <c r="T570" s="33"/>
      <c r="U570" s="33"/>
    </row>
    <row r="571" ht="15.75" customHeight="1">
      <c r="A571" s="36">
        <v>46111.0</v>
      </c>
      <c r="B571" s="36">
        <v>46111.0</v>
      </c>
      <c r="C571" s="36" t="s">
        <v>25</v>
      </c>
      <c r="D571" s="37" t="s">
        <v>49</v>
      </c>
      <c r="E571" s="37" t="s">
        <v>26</v>
      </c>
      <c r="F571" s="38">
        <v>0.0996875</v>
      </c>
      <c r="G571" s="37" t="s">
        <v>33</v>
      </c>
      <c r="H571" s="39" t="s">
        <v>681</v>
      </c>
      <c r="I571" s="40" t="s">
        <v>46</v>
      </c>
      <c r="J571" s="41">
        <v>46111.61875</v>
      </c>
      <c r="K571" s="37" t="s">
        <v>682</v>
      </c>
      <c r="L571" s="42">
        <v>46112.0</v>
      </c>
      <c r="M571" s="43">
        <v>0.2465277777777778</v>
      </c>
      <c r="N571" s="44" t="s">
        <v>34</v>
      </c>
      <c r="O571" s="44" t="s">
        <v>35</v>
      </c>
      <c r="P571" s="45" t="s">
        <v>36</v>
      </c>
      <c r="Q571" s="45" t="s">
        <v>683</v>
      </c>
      <c r="R571" s="46">
        <v>46113.0</v>
      </c>
      <c r="S571" s="54" t="s">
        <v>29</v>
      </c>
      <c r="T571" s="33"/>
      <c r="U571" s="33"/>
    </row>
    <row r="572" ht="15.75" customHeight="1">
      <c r="A572" s="20">
        <v>46111.0</v>
      </c>
      <c r="B572" s="20">
        <v>46111.0</v>
      </c>
      <c r="C572" s="20" t="s">
        <v>25</v>
      </c>
      <c r="D572" s="21" t="s">
        <v>31</v>
      </c>
      <c r="E572" s="21" t="s">
        <v>30</v>
      </c>
      <c r="F572" s="22">
        <v>0.00875</v>
      </c>
      <c r="G572" s="21" t="s">
        <v>33</v>
      </c>
      <c r="H572" s="24"/>
      <c r="I572" s="25"/>
      <c r="J572" s="26"/>
      <c r="K572" s="21" t="s">
        <v>684</v>
      </c>
      <c r="L572" s="27">
        <v>46111.0</v>
      </c>
      <c r="M572" s="28">
        <v>0.020833333333333332</v>
      </c>
      <c r="N572" s="29" t="s">
        <v>31</v>
      </c>
      <c r="O572" s="29" t="s">
        <v>35</v>
      </c>
      <c r="P572" s="34" t="s">
        <v>36</v>
      </c>
      <c r="Q572" s="34" t="s">
        <v>685</v>
      </c>
      <c r="R572" s="35">
        <v>46113.0</v>
      </c>
      <c r="S572" s="32" t="s">
        <v>29</v>
      </c>
      <c r="T572" s="33"/>
      <c r="U572" s="33"/>
    </row>
    <row r="573" ht="15.75" customHeight="1">
      <c r="A573" s="20">
        <v>46111.0</v>
      </c>
      <c r="B573" s="20">
        <v>46111.0</v>
      </c>
      <c r="C573" s="20" t="s">
        <v>25</v>
      </c>
      <c r="D573" s="21" t="s">
        <v>39</v>
      </c>
      <c r="E573" s="21" t="s">
        <v>32</v>
      </c>
      <c r="F573" s="22">
        <v>0.04835648148148148</v>
      </c>
      <c r="G573" s="21" t="s">
        <v>33</v>
      </c>
      <c r="H573" s="24"/>
      <c r="I573" s="25"/>
      <c r="J573" s="26"/>
      <c r="K573" s="21"/>
      <c r="L573" s="27">
        <v>46112.0</v>
      </c>
      <c r="M573" s="28">
        <v>0.125</v>
      </c>
      <c r="N573" s="29" t="s">
        <v>59</v>
      </c>
      <c r="O573" s="29" t="s">
        <v>35</v>
      </c>
      <c r="P573" s="34" t="s">
        <v>36</v>
      </c>
      <c r="Q573" s="34" t="s">
        <v>686</v>
      </c>
      <c r="R573" s="35">
        <v>46112.0</v>
      </c>
      <c r="S573" s="32" t="s">
        <v>29</v>
      </c>
      <c r="T573" s="33"/>
      <c r="U573" s="33"/>
    </row>
    <row r="574" ht="15.75" customHeight="1">
      <c r="A574" s="20">
        <v>46111.0</v>
      </c>
      <c r="B574" s="20">
        <v>46111.0</v>
      </c>
      <c r="C574" s="20" t="s">
        <v>25</v>
      </c>
      <c r="D574" s="21" t="s">
        <v>39</v>
      </c>
      <c r="E574" s="21" t="s">
        <v>38</v>
      </c>
      <c r="F574" s="22">
        <v>0.009050925925925926</v>
      </c>
      <c r="G574" s="21" t="s">
        <v>33</v>
      </c>
      <c r="H574" s="24"/>
      <c r="I574" s="25"/>
      <c r="J574" s="26"/>
      <c r="K574" s="21"/>
      <c r="L574" s="128">
        <v>46112.0</v>
      </c>
      <c r="M574" s="129">
        <v>0.020833333333333332</v>
      </c>
      <c r="N574" s="102" t="s">
        <v>31</v>
      </c>
      <c r="O574" s="29" t="s">
        <v>35</v>
      </c>
      <c r="P574" s="34" t="s">
        <v>36</v>
      </c>
      <c r="Q574" s="34">
        <v>1.2006752E7</v>
      </c>
      <c r="R574" s="35">
        <v>46112.0</v>
      </c>
      <c r="S574" s="32" t="s">
        <v>29</v>
      </c>
      <c r="T574" s="33"/>
      <c r="U574" s="79"/>
    </row>
    <row r="575" ht="15.75" customHeight="1">
      <c r="A575" s="20">
        <v>46111.0</v>
      </c>
      <c r="B575" s="20">
        <v>46111.0</v>
      </c>
      <c r="C575" s="20" t="s">
        <v>25</v>
      </c>
      <c r="D575" s="21" t="s">
        <v>39</v>
      </c>
      <c r="E575" s="21" t="s">
        <v>40</v>
      </c>
      <c r="F575" s="22">
        <v>0.01835648148148148</v>
      </c>
      <c r="G575" s="21" t="s">
        <v>33</v>
      </c>
      <c r="H575" s="24"/>
      <c r="I575" s="25"/>
      <c r="J575" s="26"/>
      <c r="K575" s="21"/>
      <c r="L575" s="128">
        <v>46112.0</v>
      </c>
      <c r="M575" s="129">
        <v>0.04861111111111111</v>
      </c>
      <c r="N575" s="102" t="s">
        <v>31</v>
      </c>
      <c r="O575" s="29" t="s">
        <v>35</v>
      </c>
      <c r="P575" s="34" t="s">
        <v>36</v>
      </c>
      <c r="Q575" s="34" t="s">
        <v>687</v>
      </c>
      <c r="R575" s="35">
        <v>46112.0</v>
      </c>
      <c r="S575" s="32" t="s">
        <v>29</v>
      </c>
      <c r="T575" s="33"/>
      <c r="U575" s="33"/>
    </row>
    <row r="576" ht="15.75" customHeight="1">
      <c r="A576" s="20">
        <v>46111.0</v>
      </c>
      <c r="B576" s="20">
        <v>46111.0</v>
      </c>
      <c r="C576" s="20"/>
      <c r="D576" s="21"/>
      <c r="E576" s="21" t="s">
        <v>43</v>
      </c>
      <c r="F576" s="22">
        <v>0.015439814814814814</v>
      </c>
      <c r="G576" s="21" t="s">
        <v>33</v>
      </c>
      <c r="H576" s="24"/>
      <c r="I576" s="25"/>
      <c r="J576" s="26"/>
      <c r="K576" s="21"/>
      <c r="L576" s="27">
        <v>46116.0</v>
      </c>
      <c r="M576" s="28">
        <v>0.041666666666666664</v>
      </c>
      <c r="N576" s="29" t="s">
        <v>34</v>
      </c>
      <c r="O576" s="29" t="s">
        <v>35</v>
      </c>
      <c r="P576" s="30" t="s">
        <v>28</v>
      </c>
      <c r="Q576" s="30" t="s">
        <v>28</v>
      </c>
      <c r="R576" s="31" t="s">
        <v>28</v>
      </c>
      <c r="S576" s="32" t="s">
        <v>29</v>
      </c>
      <c r="T576" s="33"/>
      <c r="U576" s="33"/>
    </row>
    <row r="577" ht="15.75" customHeight="1">
      <c r="A577" s="20">
        <v>46111.0</v>
      </c>
      <c r="B577" s="20">
        <v>46111.0</v>
      </c>
      <c r="C577" s="20" t="s">
        <v>25</v>
      </c>
      <c r="D577" s="21" t="s">
        <v>39</v>
      </c>
      <c r="E577" s="21" t="s">
        <v>87</v>
      </c>
      <c r="F577" s="22">
        <v>9.953703703703704E-4</v>
      </c>
      <c r="G577" s="21" t="s">
        <v>88</v>
      </c>
      <c r="H577" s="24" t="s">
        <v>688</v>
      </c>
      <c r="I577" s="25" t="s">
        <v>46</v>
      </c>
      <c r="J577" s="26">
        <v>46111.0</v>
      </c>
      <c r="K577" s="21" t="s">
        <v>689</v>
      </c>
      <c r="L577" s="27">
        <v>46210.0</v>
      </c>
      <c r="M577" s="28">
        <v>0.004861111111111111</v>
      </c>
      <c r="N577" s="29" t="s">
        <v>39</v>
      </c>
      <c r="O577" s="29" t="s">
        <v>35</v>
      </c>
      <c r="P577" s="34" t="s">
        <v>53</v>
      </c>
      <c r="Q577" s="34">
        <v>1.2021125E7</v>
      </c>
      <c r="R577" s="35">
        <v>46113.0</v>
      </c>
      <c r="S577" s="32"/>
      <c r="T577" s="33"/>
      <c r="U577" s="33"/>
    </row>
    <row r="578" ht="15.75" customHeight="1">
      <c r="A578" s="20">
        <v>46111.0</v>
      </c>
      <c r="B578" s="20">
        <v>46111.0</v>
      </c>
      <c r="C578" s="20" t="s">
        <v>25</v>
      </c>
      <c r="D578" s="21" t="s">
        <v>39</v>
      </c>
      <c r="E578" s="21" t="s">
        <v>87</v>
      </c>
      <c r="F578" s="22">
        <v>0.0015046296296296296</v>
      </c>
      <c r="G578" s="21" t="s">
        <v>88</v>
      </c>
      <c r="H578" s="101" t="s">
        <v>690</v>
      </c>
      <c r="I578" s="25" t="s">
        <v>46</v>
      </c>
      <c r="J578" s="26">
        <v>46111.0</v>
      </c>
      <c r="K578" s="21" t="s">
        <v>691</v>
      </c>
      <c r="L578" s="27">
        <v>46210.0</v>
      </c>
      <c r="M578" s="28">
        <v>0.005555555555555556</v>
      </c>
      <c r="N578" s="29" t="s">
        <v>39</v>
      </c>
      <c r="O578" s="29" t="s">
        <v>35</v>
      </c>
      <c r="P578" s="34" t="s">
        <v>53</v>
      </c>
      <c r="Q578" s="34">
        <v>1.2021126E7</v>
      </c>
      <c r="R578" s="35">
        <v>46112.0</v>
      </c>
      <c r="S578" s="32"/>
      <c r="T578" s="33"/>
      <c r="U578" s="33"/>
    </row>
    <row r="579" ht="15.75" customHeight="1">
      <c r="A579" s="20">
        <v>46111.0</v>
      </c>
      <c r="B579" s="20">
        <v>46111.0</v>
      </c>
      <c r="C579" s="20" t="s">
        <v>25</v>
      </c>
      <c r="D579" s="21" t="s">
        <v>39</v>
      </c>
      <c r="E579" s="21" t="s">
        <v>87</v>
      </c>
      <c r="F579" s="22">
        <v>0.0022337962962962962</v>
      </c>
      <c r="G579" s="21" t="s">
        <v>88</v>
      </c>
      <c r="H579" s="24" t="s">
        <v>692</v>
      </c>
      <c r="I579" s="25" t="s">
        <v>46</v>
      </c>
      <c r="J579" s="26">
        <v>46111.0</v>
      </c>
      <c r="K579" s="21" t="s">
        <v>693</v>
      </c>
      <c r="L579" s="27">
        <v>46210.0</v>
      </c>
      <c r="M579" s="28">
        <v>0.006944444444444444</v>
      </c>
      <c r="N579" s="29" t="s">
        <v>39</v>
      </c>
      <c r="O579" s="29" t="s">
        <v>35</v>
      </c>
      <c r="P579" s="34" t="s">
        <v>53</v>
      </c>
      <c r="Q579" s="34">
        <v>1.2021127E7</v>
      </c>
      <c r="R579" s="35">
        <v>46112.0</v>
      </c>
      <c r="S579" s="32"/>
      <c r="T579" s="33"/>
      <c r="U579" s="33"/>
    </row>
    <row r="580" ht="15.75" customHeight="1">
      <c r="A580" s="88">
        <v>46112.0</v>
      </c>
      <c r="B580" s="88">
        <v>46112.0</v>
      </c>
      <c r="C580" s="88" t="s">
        <v>25</v>
      </c>
      <c r="D580" s="89" t="s">
        <v>49</v>
      </c>
      <c r="E580" s="89" t="s">
        <v>26</v>
      </c>
      <c r="F580" s="90">
        <v>0.10097222222222223</v>
      </c>
      <c r="G580" s="89" t="s">
        <v>33</v>
      </c>
      <c r="H580" s="91"/>
      <c r="I580" s="92" t="s">
        <v>46</v>
      </c>
      <c r="J580" s="93">
        <v>46112.55069444444</v>
      </c>
      <c r="K580" s="89" t="s">
        <v>694</v>
      </c>
      <c r="L580" s="94">
        <v>46113.0</v>
      </c>
      <c r="M580" s="95">
        <v>0.20833333333333334</v>
      </c>
      <c r="N580" s="96" t="s">
        <v>59</v>
      </c>
      <c r="O580" s="96" t="s">
        <v>35</v>
      </c>
      <c r="P580" s="97" t="s">
        <v>36</v>
      </c>
      <c r="Q580" s="97" t="s">
        <v>695</v>
      </c>
      <c r="R580" s="98">
        <v>46114.0</v>
      </c>
      <c r="S580" s="32" t="s">
        <v>29</v>
      </c>
      <c r="T580" s="99"/>
      <c r="U580" s="99"/>
    </row>
    <row r="581" ht="15.75" customHeight="1">
      <c r="A581" s="20">
        <v>46112.0</v>
      </c>
      <c r="B581" s="20">
        <v>46112.0</v>
      </c>
      <c r="C581" s="20" t="s">
        <v>25</v>
      </c>
      <c r="D581" s="21" t="s">
        <v>34</v>
      </c>
      <c r="E581" s="21" t="s">
        <v>30</v>
      </c>
      <c r="F581" s="22">
        <v>0.0011458333333333333</v>
      </c>
      <c r="G581" s="21" t="s">
        <v>33</v>
      </c>
      <c r="H581" s="24"/>
      <c r="I581" s="25"/>
      <c r="J581" s="26"/>
      <c r="K581" s="21"/>
      <c r="L581" s="27">
        <v>46112.0</v>
      </c>
      <c r="M581" s="28">
        <v>0.002777777777777778</v>
      </c>
      <c r="N581" s="29" t="s">
        <v>34</v>
      </c>
      <c r="O581" s="29" t="s">
        <v>35</v>
      </c>
      <c r="P581" s="34" t="s">
        <v>36</v>
      </c>
      <c r="Q581" s="34" t="s">
        <v>696</v>
      </c>
      <c r="R581" s="35">
        <v>46114.0</v>
      </c>
      <c r="S581" s="32" t="s">
        <v>29</v>
      </c>
      <c r="T581" s="33"/>
      <c r="U581" s="79"/>
    </row>
    <row r="582" ht="15.75" customHeight="1">
      <c r="A582" s="20">
        <v>46112.0</v>
      </c>
      <c r="B582" s="20">
        <v>46112.0</v>
      </c>
      <c r="C582" s="20" t="s">
        <v>25</v>
      </c>
      <c r="D582" s="21" t="s">
        <v>69</v>
      </c>
      <c r="E582" s="21" t="s">
        <v>32</v>
      </c>
      <c r="F582" s="22">
        <v>0.04863425925925926</v>
      </c>
      <c r="G582" s="21" t="s">
        <v>33</v>
      </c>
      <c r="H582" s="24"/>
      <c r="I582" s="25"/>
      <c r="J582" s="26"/>
      <c r="K582" s="21"/>
      <c r="L582" s="27">
        <v>46113.0</v>
      </c>
      <c r="M582" s="28">
        <v>0.125</v>
      </c>
      <c r="N582" s="29" t="s">
        <v>31</v>
      </c>
      <c r="O582" s="29" t="s">
        <v>35</v>
      </c>
      <c r="P582" s="34" t="s">
        <v>36</v>
      </c>
      <c r="Q582" s="34" t="s">
        <v>697</v>
      </c>
      <c r="R582" s="35">
        <v>46113.0</v>
      </c>
      <c r="S582" s="32" t="s">
        <v>29</v>
      </c>
      <c r="T582" s="33"/>
      <c r="U582" s="79"/>
    </row>
    <row r="583" ht="15.75" customHeight="1">
      <c r="A583" s="20">
        <v>46112.0</v>
      </c>
      <c r="B583" s="20">
        <v>46112.0</v>
      </c>
      <c r="C583" s="20" t="s">
        <v>25</v>
      </c>
      <c r="D583" s="21" t="s">
        <v>39</v>
      </c>
      <c r="E583" s="21" t="s">
        <v>38</v>
      </c>
      <c r="F583" s="22">
        <v>0.009189814814814816</v>
      </c>
      <c r="G583" s="21" t="s">
        <v>33</v>
      </c>
      <c r="H583" s="24"/>
      <c r="I583" s="25"/>
      <c r="J583" s="26"/>
      <c r="K583" s="21"/>
      <c r="L583" s="27">
        <v>46113.0</v>
      </c>
      <c r="M583" s="28">
        <v>0.017361111111111112</v>
      </c>
      <c r="N583" s="29" t="s">
        <v>49</v>
      </c>
      <c r="O583" s="29" t="s">
        <v>35</v>
      </c>
      <c r="P583" s="34" t="s">
        <v>36</v>
      </c>
      <c r="Q583" s="34">
        <v>1.2006753E7</v>
      </c>
      <c r="R583" s="35">
        <v>46113.0</v>
      </c>
      <c r="S583" s="32" t="s">
        <v>29</v>
      </c>
      <c r="T583" s="33"/>
      <c r="U583" s="33"/>
    </row>
    <row r="584" ht="15.75" customHeight="1">
      <c r="A584" s="36">
        <v>46112.0</v>
      </c>
      <c r="B584" s="36">
        <v>46112.0</v>
      </c>
      <c r="C584" s="36" t="s">
        <v>25</v>
      </c>
      <c r="D584" s="37" t="s">
        <v>39</v>
      </c>
      <c r="E584" s="37" t="s">
        <v>40</v>
      </c>
      <c r="F584" s="38">
        <v>0.016840277777777777</v>
      </c>
      <c r="G584" s="37" t="s">
        <v>33</v>
      </c>
      <c r="H584" s="39"/>
      <c r="I584" s="40" t="s">
        <v>46</v>
      </c>
      <c r="J584" s="41">
        <v>46113.57083333333</v>
      </c>
      <c r="K584" s="37" t="s">
        <v>698</v>
      </c>
      <c r="L584" s="42">
        <v>46114.0</v>
      </c>
      <c r="M584" s="43">
        <v>0.03680555555555556</v>
      </c>
      <c r="N584" s="44" t="s">
        <v>49</v>
      </c>
      <c r="O584" s="44" t="s">
        <v>35</v>
      </c>
      <c r="P584" s="45" t="s">
        <v>36</v>
      </c>
      <c r="Q584" s="45" t="s">
        <v>699</v>
      </c>
      <c r="R584" s="46">
        <v>46118.0</v>
      </c>
      <c r="S584" s="54" t="s">
        <v>29</v>
      </c>
      <c r="T584" s="48"/>
      <c r="U584" s="48"/>
    </row>
    <row r="585" ht="15.75" customHeight="1">
      <c r="A585" s="20">
        <v>46112.0</v>
      </c>
      <c r="B585" s="20">
        <v>46112.0</v>
      </c>
      <c r="C585" s="20"/>
      <c r="D585" s="21"/>
      <c r="E585" s="21" t="s">
        <v>43</v>
      </c>
      <c r="F585" s="22">
        <v>0.015034722222222222</v>
      </c>
      <c r="G585" s="21"/>
      <c r="H585" s="24"/>
      <c r="I585" s="25"/>
      <c r="J585" s="26"/>
      <c r="K585" s="21"/>
      <c r="L585" s="27">
        <v>46114.0</v>
      </c>
      <c r="M585" s="28">
        <v>0.034722222222222224</v>
      </c>
      <c r="N585" s="29" t="s">
        <v>57</v>
      </c>
      <c r="O585" s="29" t="s">
        <v>35</v>
      </c>
      <c r="P585" s="30" t="s">
        <v>28</v>
      </c>
      <c r="Q585" s="30" t="s">
        <v>28</v>
      </c>
      <c r="R585" s="31" t="s">
        <v>28</v>
      </c>
      <c r="S585" s="32" t="s">
        <v>29</v>
      </c>
      <c r="T585" s="33"/>
      <c r="U585" s="33"/>
    </row>
    <row r="586" ht="15.75" customHeight="1">
      <c r="A586" s="20">
        <v>46112.0</v>
      </c>
      <c r="B586" s="20">
        <v>46112.0</v>
      </c>
      <c r="C586" s="20" t="s">
        <v>25</v>
      </c>
      <c r="D586" s="21" t="s">
        <v>39</v>
      </c>
      <c r="E586" s="21" t="s">
        <v>87</v>
      </c>
      <c r="F586" s="22">
        <v>0.0021180555555555558</v>
      </c>
      <c r="G586" s="21" t="s">
        <v>88</v>
      </c>
      <c r="H586" s="101" t="s">
        <v>700</v>
      </c>
      <c r="I586" s="25" t="s">
        <v>46</v>
      </c>
      <c r="J586" s="26">
        <v>46112.0</v>
      </c>
      <c r="K586" s="21" t="s">
        <v>701</v>
      </c>
      <c r="L586" s="27">
        <v>46210.0</v>
      </c>
      <c r="M586" s="28">
        <v>0.00625</v>
      </c>
      <c r="N586" s="29" t="s">
        <v>39</v>
      </c>
      <c r="O586" s="29" t="s">
        <v>35</v>
      </c>
      <c r="P586" s="34" t="s">
        <v>36</v>
      </c>
      <c r="Q586" s="34">
        <v>1.2021325E7</v>
      </c>
      <c r="R586" s="35">
        <v>46113.0</v>
      </c>
      <c r="S586" s="32"/>
      <c r="T586" s="33"/>
      <c r="U586" s="33"/>
    </row>
    <row r="587" ht="15.75" customHeight="1">
      <c r="A587" s="36">
        <v>46113.0</v>
      </c>
      <c r="B587" s="36">
        <v>46113.0</v>
      </c>
      <c r="C587" s="36" t="s">
        <v>25</v>
      </c>
      <c r="D587" s="37" t="s">
        <v>49</v>
      </c>
      <c r="E587" s="37" t="s">
        <v>26</v>
      </c>
      <c r="F587" s="38">
        <v>0.10030092592592593</v>
      </c>
      <c r="G587" s="37" t="s">
        <v>33</v>
      </c>
      <c r="H587" s="39" t="s">
        <v>702</v>
      </c>
      <c r="I587" s="40" t="s">
        <v>46</v>
      </c>
      <c r="J587" s="41">
        <v>46113.88611111111</v>
      </c>
      <c r="K587" s="37"/>
      <c r="L587" s="42">
        <v>46114.0</v>
      </c>
      <c r="M587" s="43">
        <v>0.20833333333333334</v>
      </c>
      <c r="N587" s="44" t="s">
        <v>57</v>
      </c>
      <c r="O587" s="44" t="s">
        <v>35</v>
      </c>
      <c r="P587" s="45" t="s">
        <v>36</v>
      </c>
      <c r="Q587" s="45" t="s">
        <v>703</v>
      </c>
      <c r="R587" s="46">
        <v>46114.0</v>
      </c>
      <c r="S587" s="54" t="s">
        <v>29</v>
      </c>
      <c r="T587" s="33"/>
      <c r="U587" s="33"/>
    </row>
    <row r="588" ht="15.75" customHeight="1">
      <c r="A588" s="20">
        <v>46113.0</v>
      </c>
      <c r="B588" s="20">
        <v>46113.0</v>
      </c>
      <c r="C588" s="20" t="s">
        <v>25</v>
      </c>
      <c r="D588" s="21" t="s">
        <v>59</v>
      </c>
      <c r="E588" s="21" t="s">
        <v>30</v>
      </c>
      <c r="F588" s="22">
        <v>0.004571759259259259</v>
      </c>
      <c r="G588" s="21" t="s">
        <v>33</v>
      </c>
      <c r="H588" s="24" t="s">
        <v>704</v>
      </c>
      <c r="I588" s="25" t="s">
        <v>46</v>
      </c>
      <c r="J588" s="26">
        <v>46113.68001157408</v>
      </c>
      <c r="K588" s="21" t="s">
        <v>705</v>
      </c>
      <c r="L588" s="27">
        <v>46113.0</v>
      </c>
      <c r="M588" s="28">
        <v>0.010416666666666666</v>
      </c>
      <c r="N588" s="29" t="s">
        <v>59</v>
      </c>
      <c r="O588" s="29" t="s">
        <v>35</v>
      </c>
      <c r="P588" s="34" t="s">
        <v>36</v>
      </c>
      <c r="Q588" s="34" t="s">
        <v>706</v>
      </c>
      <c r="R588" s="35">
        <v>46118.0</v>
      </c>
      <c r="S588" s="32" t="s">
        <v>29</v>
      </c>
      <c r="T588" s="33"/>
      <c r="U588" s="33"/>
    </row>
    <row r="589" ht="15.75" customHeight="1">
      <c r="A589" s="36">
        <v>46113.0</v>
      </c>
      <c r="B589" s="36">
        <v>46113.0</v>
      </c>
      <c r="C589" s="36" t="s">
        <v>25</v>
      </c>
      <c r="D589" s="37" t="s">
        <v>69</v>
      </c>
      <c r="E589" s="37" t="s">
        <v>32</v>
      </c>
      <c r="F589" s="38">
        <v>0.04699074074074074</v>
      </c>
      <c r="G589" s="37" t="s">
        <v>33</v>
      </c>
      <c r="H589" s="39" t="s">
        <v>707</v>
      </c>
      <c r="I589" s="40" t="s">
        <v>46</v>
      </c>
      <c r="J589" s="41">
        <v>46113.89292824074</v>
      </c>
      <c r="K589" s="37"/>
      <c r="L589" s="42">
        <v>46114.0</v>
      </c>
      <c r="M589" s="43">
        <v>0.10416666666666667</v>
      </c>
      <c r="N589" s="44" t="s">
        <v>34</v>
      </c>
      <c r="O589" s="44" t="s">
        <v>35</v>
      </c>
      <c r="P589" s="45" t="s">
        <v>36</v>
      </c>
      <c r="Q589" s="45" t="s">
        <v>708</v>
      </c>
      <c r="R589" s="46">
        <v>46118.0</v>
      </c>
      <c r="S589" s="54" t="s">
        <v>29</v>
      </c>
      <c r="T589" s="33"/>
      <c r="U589" s="33"/>
    </row>
    <row r="590" ht="15.75" customHeight="1">
      <c r="A590" s="20">
        <v>46113.0</v>
      </c>
      <c r="B590" s="20">
        <v>46113.0</v>
      </c>
      <c r="C590" s="20" t="s">
        <v>25</v>
      </c>
      <c r="D590" s="21" t="s">
        <v>34</v>
      </c>
      <c r="E590" s="21" t="s">
        <v>38</v>
      </c>
      <c r="F590" s="22">
        <v>0.009409722222222222</v>
      </c>
      <c r="G590" s="21" t="s">
        <v>33</v>
      </c>
      <c r="H590" s="24" t="s">
        <v>709</v>
      </c>
      <c r="I590" s="25" t="s">
        <v>46</v>
      </c>
      <c r="J590" s="26">
        <v>46113.87167824074</v>
      </c>
      <c r="K590" s="21" t="s">
        <v>710</v>
      </c>
      <c r="L590" s="27">
        <v>46115.0</v>
      </c>
      <c r="M590" s="28">
        <v>0.020833333333333332</v>
      </c>
      <c r="N590" s="29" t="s">
        <v>49</v>
      </c>
      <c r="O590" s="29" t="s">
        <v>35</v>
      </c>
      <c r="P590" s="34" t="s">
        <v>36</v>
      </c>
      <c r="Q590" s="34">
        <v>1.2006754E7</v>
      </c>
      <c r="R590" s="35">
        <v>46118.0</v>
      </c>
      <c r="S590" s="32" t="s">
        <v>29</v>
      </c>
      <c r="T590" s="33"/>
      <c r="U590" s="33"/>
    </row>
    <row r="591" ht="15.75" customHeight="1">
      <c r="A591" s="20">
        <v>46113.0</v>
      </c>
      <c r="B591" s="20">
        <v>46113.0</v>
      </c>
      <c r="C591" s="20" t="s">
        <v>25</v>
      </c>
      <c r="D591" s="21" t="s">
        <v>39</v>
      </c>
      <c r="E591" s="21" t="s">
        <v>40</v>
      </c>
      <c r="F591" s="22">
        <v>0.01931712962962963</v>
      </c>
      <c r="G591" s="21" t="s">
        <v>33</v>
      </c>
      <c r="H591" s="24"/>
      <c r="I591" s="25"/>
      <c r="J591" s="26"/>
      <c r="K591" s="21"/>
      <c r="L591" s="27">
        <v>46114.0</v>
      </c>
      <c r="M591" s="28">
        <v>0.052083333333333336</v>
      </c>
      <c r="N591" s="29" t="s">
        <v>49</v>
      </c>
      <c r="O591" s="29" t="s">
        <v>35</v>
      </c>
      <c r="P591" s="34" t="s">
        <v>36</v>
      </c>
      <c r="Q591" s="34" t="s">
        <v>711</v>
      </c>
      <c r="R591" s="35">
        <v>46114.0</v>
      </c>
      <c r="S591" s="32" t="s">
        <v>29</v>
      </c>
      <c r="T591" s="33"/>
      <c r="U591" s="33"/>
    </row>
    <row r="592" ht="15.75" customHeight="1">
      <c r="A592" s="20">
        <v>46113.0</v>
      </c>
      <c r="B592" s="20">
        <v>46113.0</v>
      </c>
      <c r="C592" s="20"/>
      <c r="D592" s="21"/>
      <c r="E592" s="21" t="s">
        <v>43</v>
      </c>
      <c r="F592" s="22">
        <v>0.016099537037037037</v>
      </c>
      <c r="G592" s="21" t="s">
        <v>33</v>
      </c>
      <c r="H592" s="24"/>
      <c r="I592" s="25"/>
      <c r="J592" s="26"/>
      <c r="K592" s="21"/>
      <c r="L592" s="27">
        <v>46115.0</v>
      </c>
      <c r="M592" s="28">
        <v>0.04513888888888889</v>
      </c>
      <c r="N592" s="29" t="s">
        <v>57</v>
      </c>
      <c r="O592" s="29" t="s">
        <v>35</v>
      </c>
      <c r="P592" s="30" t="s">
        <v>28</v>
      </c>
      <c r="Q592" s="30" t="s">
        <v>28</v>
      </c>
      <c r="R592" s="31" t="s">
        <v>28</v>
      </c>
      <c r="S592" s="32" t="s">
        <v>29</v>
      </c>
      <c r="T592" s="33"/>
      <c r="U592" s="33"/>
    </row>
    <row r="593" ht="15.75" customHeight="1">
      <c r="A593" s="20">
        <v>46114.0</v>
      </c>
      <c r="B593" s="20">
        <v>46114.0</v>
      </c>
      <c r="C593" s="20" t="s">
        <v>25</v>
      </c>
      <c r="D593" s="21" t="s">
        <v>49</v>
      </c>
      <c r="E593" s="21" t="s">
        <v>26</v>
      </c>
      <c r="F593" s="22">
        <v>0.10040509259259259</v>
      </c>
      <c r="G593" s="21" t="s">
        <v>33</v>
      </c>
      <c r="H593" s="24"/>
      <c r="I593" s="25"/>
      <c r="J593" s="26"/>
      <c r="K593" s="21"/>
      <c r="L593" s="27">
        <v>46115.0</v>
      </c>
      <c r="M593" s="28">
        <v>0.20833333333333334</v>
      </c>
      <c r="N593" s="29" t="s">
        <v>57</v>
      </c>
      <c r="O593" s="29" t="s">
        <v>35</v>
      </c>
      <c r="P593" s="34" t="s">
        <v>36</v>
      </c>
      <c r="Q593" s="34" t="s">
        <v>712</v>
      </c>
      <c r="R593" s="35">
        <v>46118.0</v>
      </c>
      <c r="S593" s="32" t="s">
        <v>29</v>
      </c>
      <c r="T593" s="33"/>
      <c r="U593" s="79"/>
    </row>
    <row r="594" ht="15.75" customHeight="1">
      <c r="A594" s="36">
        <v>46114.0</v>
      </c>
      <c r="B594" s="36">
        <v>46114.0</v>
      </c>
      <c r="C594" s="36" t="s">
        <v>25</v>
      </c>
      <c r="D594" s="37" t="s">
        <v>57</v>
      </c>
      <c r="E594" s="37" t="s">
        <v>30</v>
      </c>
      <c r="F594" s="38">
        <v>0.0013773148148148147</v>
      </c>
      <c r="G594" s="37" t="s">
        <v>33</v>
      </c>
      <c r="H594" s="39" t="s">
        <v>713</v>
      </c>
      <c r="I594" s="40" t="s">
        <v>46</v>
      </c>
      <c r="J594" s="41">
        <v>46114.86769675926</v>
      </c>
      <c r="K594" s="37" t="s">
        <v>713</v>
      </c>
      <c r="L594" s="42">
        <v>46115.0</v>
      </c>
      <c r="M594" s="43">
        <v>0.003472222222222222</v>
      </c>
      <c r="N594" s="44" t="s">
        <v>57</v>
      </c>
      <c r="O594" s="44" t="s">
        <v>35</v>
      </c>
      <c r="P594" s="45" t="s">
        <v>36</v>
      </c>
      <c r="Q594" s="45" t="s">
        <v>714</v>
      </c>
      <c r="R594" s="46">
        <v>46120.0</v>
      </c>
      <c r="S594" s="54" t="s">
        <v>29</v>
      </c>
      <c r="T594" s="33"/>
      <c r="U594" s="79"/>
    </row>
    <row r="595" ht="15.75" customHeight="1">
      <c r="A595" s="36">
        <v>46114.0</v>
      </c>
      <c r="B595" s="36">
        <v>46114.0</v>
      </c>
      <c r="C595" s="36" t="s">
        <v>25</v>
      </c>
      <c r="D595" s="37" t="s">
        <v>69</v>
      </c>
      <c r="E595" s="37" t="s">
        <v>32</v>
      </c>
      <c r="F595" s="38">
        <v>0.04710648148148148</v>
      </c>
      <c r="G595" s="37" t="s">
        <v>33</v>
      </c>
      <c r="H595" s="39"/>
      <c r="I595" s="40"/>
      <c r="J595" s="41"/>
      <c r="K595" s="37"/>
      <c r="L595" s="42">
        <v>46115.0</v>
      </c>
      <c r="M595" s="43">
        <v>0.09722222222222222</v>
      </c>
      <c r="N595" s="44" t="s">
        <v>34</v>
      </c>
      <c r="O595" s="44" t="s">
        <v>35</v>
      </c>
      <c r="P595" s="45" t="s">
        <v>36</v>
      </c>
      <c r="Q595" s="45" t="s">
        <v>715</v>
      </c>
      <c r="R595" s="46">
        <v>46118.0</v>
      </c>
      <c r="S595" s="54" t="s">
        <v>29</v>
      </c>
      <c r="T595" s="33"/>
      <c r="U595" s="33"/>
    </row>
    <row r="596" ht="15.75" customHeight="1">
      <c r="A596" s="20">
        <v>46114.0</v>
      </c>
      <c r="B596" s="20">
        <v>46114.0</v>
      </c>
      <c r="C596" s="20" t="s">
        <v>25</v>
      </c>
      <c r="D596" s="21" t="s">
        <v>34</v>
      </c>
      <c r="E596" s="21" t="s">
        <v>38</v>
      </c>
      <c r="F596" s="22">
        <v>0.009074074074074075</v>
      </c>
      <c r="G596" s="21" t="s">
        <v>33</v>
      </c>
      <c r="H596" s="24"/>
      <c r="I596" s="25"/>
      <c r="J596" s="26"/>
      <c r="K596" s="21"/>
      <c r="L596" s="27">
        <v>46115.0</v>
      </c>
      <c r="M596" s="28">
        <v>0.01875</v>
      </c>
      <c r="N596" s="29" t="s">
        <v>34</v>
      </c>
      <c r="O596" s="29" t="s">
        <v>35</v>
      </c>
      <c r="P596" s="34" t="s">
        <v>36</v>
      </c>
      <c r="Q596" s="34">
        <v>1.2006755E7</v>
      </c>
      <c r="R596" s="35">
        <v>46118.0</v>
      </c>
      <c r="S596" s="32" t="s">
        <v>29</v>
      </c>
      <c r="T596" s="33"/>
      <c r="U596" s="33"/>
    </row>
    <row r="597" ht="15.75" customHeight="1">
      <c r="A597" s="20">
        <v>46114.0</v>
      </c>
      <c r="B597" s="20">
        <v>46114.0</v>
      </c>
      <c r="C597" s="20" t="s">
        <v>25</v>
      </c>
      <c r="D597" s="21" t="s">
        <v>34</v>
      </c>
      <c r="E597" s="21" t="s">
        <v>40</v>
      </c>
      <c r="F597" s="22">
        <v>0.019537037037037037</v>
      </c>
      <c r="G597" s="21" t="s">
        <v>33</v>
      </c>
      <c r="H597" s="24"/>
      <c r="I597" s="25"/>
      <c r="J597" s="26"/>
      <c r="K597" s="21"/>
      <c r="L597" s="27">
        <v>46115.0</v>
      </c>
      <c r="M597" s="28">
        <v>0.04861111111111111</v>
      </c>
      <c r="N597" s="29" t="s">
        <v>34</v>
      </c>
      <c r="O597" s="29" t="s">
        <v>35</v>
      </c>
      <c r="P597" s="34" t="s">
        <v>36</v>
      </c>
      <c r="Q597" s="34" t="s">
        <v>716</v>
      </c>
      <c r="R597" s="35">
        <v>46118.0</v>
      </c>
      <c r="S597" s="32" t="s">
        <v>29</v>
      </c>
      <c r="T597" s="33"/>
      <c r="U597" s="33"/>
    </row>
    <row r="598" ht="15.75" customHeight="1">
      <c r="A598" s="36">
        <v>46114.0</v>
      </c>
      <c r="B598" s="36">
        <v>46114.0</v>
      </c>
      <c r="C598" s="36" t="s">
        <v>42</v>
      </c>
      <c r="D598" s="37" t="s">
        <v>34</v>
      </c>
      <c r="E598" s="37" t="s">
        <v>43</v>
      </c>
      <c r="F598" s="38">
        <v>0.01611111111111111</v>
      </c>
      <c r="G598" s="37" t="s">
        <v>33</v>
      </c>
      <c r="H598" s="39" t="s">
        <v>717</v>
      </c>
      <c r="I598" s="40" t="s">
        <v>46</v>
      </c>
      <c r="J598" s="41">
        <v>46114.93131944445</v>
      </c>
      <c r="K598" s="37" t="s">
        <v>718</v>
      </c>
      <c r="L598" s="42">
        <v>46116.0</v>
      </c>
      <c r="M598" s="43">
        <v>0.041666666666666664</v>
      </c>
      <c r="N598" s="44" t="s">
        <v>57</v>
      </c>
      <c r="O598" s="44" t="s">
        <v>35</v>
      </c>
      <c r="P598" s="30" t="s">
        <v>28</v>
      </c>
      <c r="Q598" s="30" t="s">
        <v>28</v>
      </c>
      <c r="R598" s="31" t="s">
        <v>28</v>
      </c>
      <c r="S598" s="54" t="s">
        <v>29</v>
      </c>
      <c r="T598" s="33"/>
      <c r="U598" s="33"/>
    </row>
    <row r="599" ht="15.75" customHeight="1">
      <c r="A599" s="88">
        <v>46115.0</v>
      </c>
      <c r="B599" s="88">
        <v>46115.0</v>
      </c>
      <c r="C599" s="88" t="s">
        <v>25</v>
      </c>
      <c r="D599" s="89" t="s">
        <v>57</v>
      </c>
      <c r="E599" s="89" t="s">
        <v>26</v>
      </c>
      <c r="F599" s="90">
        <v>0.10072916666666666</v>
      </c>
      <c r="G599" s="89" t="s">
        <v>33</v>
      </c>
      <c r="H599" s="24"/>
      <c r="I599" s="25"/>
      <c r="J599" s="26"/>
      <c r="K599" s="21"/>
      <c r="L599" s="27">
        <v>46118.0</v>
      </c>
      <c r="M599" s="28">
        <v>0.19444444444444445</v>
      </c>
      <c r="N599" s="29" t="s">
        <v>31</v>
      </c>
      <c r="O599" s="29" t="s">
        <v>35</v>
      </c>
      <c r="P599" s="34" t="s">
        <v>36</v>
      </c>
      <c r="Q599" s="34" t="s">
        <v>719</v>
      </c>
      <c r="R599" s="35">
        <v>46118.0</v>
      </c>
      <c r="S599" s="32" t="s">
        <v>29</v>
      </c>
      <c r="T599" s="33"/>
      <c r="U599" s="33"/>
    </row>
    <row r="600" ht="15.75" customHeight="1">
      <c r="A600" s="20">
        <v>46115.0</v>
      </c>
      <c r="B600" s="20">
        <v>46115.0</v>
      </c>
      <c r="C600" s="20" t="s">
        <v>25</v>
      </c>
      <c r="D600" s="21" t="s">
        <v>57</v>
      </c>
      <c r="E600" s="21" t="s">
        <v>30</v>
      </c>
      <c r="F600" s="22">
        <v>9.606481481481482E-4</v>
      </c>
      <c r="G600" s="21" t="s">
        <v>33</v>
      </c>
      <c r="H600" s="53"/>
      <c r="I600" s="25"/>
      <c r="J600" s="26"/>
      <c r="K600" s="21"/>
      <c r="L600" s="27">
        <v>46115.0</v>
      </c>
      <c r="M600" s="28">
        <v>0.20833333333333334</v>
      </c>
      <c r="N600" s="29" t="s">
        <v>57</v>
      </c>
      <c r="O600" s="29" t="s">
        <v>35</v>
      </c>
      <c r="P600" s="34" t="s">
        <v>36</v>
      </c>
      <c r="Q600" s="34" t="s">
        <v>720</v>
      </c>
      <c r="R600" s="35">
        <v>46118.0</v>
      </c>
      <c r="S600" s="32" t="s">
        <v>29</v>
      </c>
      <c r="T600" s="33"/>
      <c r="U600" s="33"/>
    </row>
    <row r="601" ht="15.75" customHeight="1">
      <c r="A601" s="20">
        <v>46115.0</v>
      </c>
      <c r="B601" s="20">
        <v>46115.0</v>
      </c>
      <c r="C601" s="20" t="s">
        <v>25</v>
      </c>
      <c r="D601" s="21" t="s">
        <v>34</v>
      </c>
      <c r="E601" s="21" t="s">
        <v>32</v>
      </c>
      <c r="F601" s="22">
        <v>0.048854166666666664</v>
      </c>
      <c r="G601" s="21" t="s">
        <v>33</v>
      </c>
      <c r="H601" s="24"/>
      <c r="I601" s="25"/>
      <c r="J601" s="26"/>
      <c r="K601" s="21"/>
      <c r="L601" s="27">
        <v>46116.0</v>
      </c>
      <c r="M601" s="28">
        <v>0.14583333333333334</v>
      </c>
      <c r="N601" s="29" t="s">
        <v>57</v>
      </c>
      <c r="O601" s="29" t="s">
        <v>35</v>
      </c>
      <c r="P601" s="34" t="s">
        <v>36</v>
      </c>
      <c r="Q601" s="34" t="s">
        <v>721</v>
      </c>
      <c r="R601" s="35">
        <v>46118.0</v>
      </c>
      <c r="S601" s="32" t="s">
        <v>29</v>
      </c>
      <c r="T601" s="33"/>
      <c r="U601" s="33"/>
    </row>
    <row r="602" ht="15.75" customHeight="1">
      <c r="A602" s="20">
        <v>46115.0</v>
      </c>
      <c r="B602" s="20">
        <v>46115.0</v>
      </c>
      <c r="C602" s="20" t="s">
        <v>25</v>
      </c>
      <c r="D602" s="21" t="s">
        <v>34</v>
      </c>
      <c r="E602" s="21" t="s">
        <v>38</v>
      </c>
      <c r="F602" s="22">
        <v>0.008449074074074074</v>
      </c>
      <c r="G602" s="21" t="s">
        <v>33</v>
      </c>
      <c r="H602" s="24"/>
      <c r="I602" s="25"/>
      <c r="J602" s="26"/>
      <c r="K602" s="21"/>
      <c r="L602" s="27">
        <v>46118.0</v>
      </c>
      <c r="M602" s="28">
        <v>2.013888888888889</v>
      </c>
      <c r="N602" s="29" t="s">
        <v>49</v>
      </c>
      <c r="O602" s="29" t="s">
        <v>35</v>
      </c>
      <c r="P602" s="34" t="s">
        <v>36</v>
      </c>
      <c r="Q602" s="34">
        <v>1.2006756E7</v>
      </c>
      <c r="R602" s="35">
        <v>46118.0</v>
      </c>
      <c r="S602" s="32" t="s">
        <v>29</v>
      </c>
      <c r="T602" s="33"/>
      <c r="U602" s="79"/>
    </row>
    <row r="603" ht="15.75" customHeight="1">
      <c r="A603" s="20">
        <v>46115.0</v>
      </c>
      <c r="B603" s="20">
        <v>46115.0</v>
      </c>
      <c r="C603" s="20" t="s">
        <v>25</v>
      </c>
      <c r="D603" s="21" t="s">
        <v>34</v>
      </c>
      <c r="E603" s="21" t="s">
        <v>40</v>
      </c>
      <c r="F603" s="22">
        <v>0.01832175925925926</v>
      </c>
      <c r="G603" s="21" t="s">
        <v>33</v>
      </c>
      <c r="H603" s="24"/>
      <c r="I603" s="25"/>
      <c r="J603" s="26"/>
      <c r="K603" s="21"/>
      <c r="L603" s="27">
        <v>46118.0</v>
      </c>
      <c r="M603" s="28">
        <v>0.06388888888888888</v>
      </c>
      <c r="N603" s="29" t="s">
        <v>49</v>
      </c>
      <c r="O603" s="29" t="s">
        <v>35</v>
      </c>
      <c r="P603" s="34" t="s">
        <v>36</v>
      </c>
      <c r="Q603" s="34" t="s">
        <v>722</v>
      </c>
      <c r="R603" s="35">
        <v>46118.0</v>
      </c>
      <c r="S603" s="32" t="s">
        <v>29</v>
      </c>
      <c r="T603" s="33"/>
      <c r="U603" s="79"/>
    </row>
    <row r="604" ht="15.75" customHeight="1">
      <c r="A604" s="20">
        <v>46115.0</v>
      </c>
      <c r="B604" s="20">
        <v>46115.0</v>
      </c>
      <c r="C604" s="20"/>
      <c r="D604" s="21"/>
      <c r="E604" s="21" t="s">
        <v>43</v>
      </c>
      <c r="F604" s="22">
        <v>0.015729166666666666</v>
      </c>
      <c r="G604" s="21" t="s">
        <v>33</v>
      </c>
      <c r="H604" s="24"/>
      <c r="I604" s="25"/>
      <c r="J604" s="26"/>
      <c r="K604" s="21"/>
      <c r="L604" s="27">
        <v>46119.0</v>
      </c>
      <c r="M604" s="28">
        <v>0.041666666666666664</v>
      </c>
      <c r="N604" s="29" t="s">
        <v>59</v>
      </c>
      <c r="O604" s="29" t="s">
        <v>35</v>
      </c>
      <c r="P604" s="30" t="s">
        <v>28</v>
      </c>
      <c r="Q604" s="30" t="s">
        <v>28</v>
      </c>
      <c r="R604" s="31" t="s">
        <v>28</v>
      </c>
      <c r="S604" s="32" t="s">
        <v>29</v>
      </c>
      <c r="T604" s="33"/>
      <c r="U604" s="79"/>
    </row>
    <row r="605" ht="15.75" customHeight="1">
      <c r="A605" s="55">
        <v>46116.0</v>
      </c>
      <c r="B605" s="55">
        <v>46116.0</v>
      </c>
      <c r="C605" s="55" t="s">
        <v>25</v>
      </c>
      <c r="D605" s="56" t="s">
        <v>34</v>
      </c>
      <c r="E605" s="56" t="s">
        <v>32</v>
      </c>
      <c r="F605" s="57">
        <v>0.050381944444444444</v>
      </c>
      <c r="G605" s="56" t="s">
        <v>33</v>
      </c>
      <c r="H605" s="24"/>
      <c r="I605" s="25"/>
      <c r="J605" s="26"/>
      <c r="K605" s="21"/>
      <c r="L605" s="27">
        <v>46118.0</v>
      </c>
      <c r="M605" s="28">
        <v>0.15625</v>
      </c>
      <c r="N605" s="29" t="s">
        <v>57</v>
      </c>
      <c r="O605" s="29" t="s">
        <v>35</v>
      </c>
      <c r="P605" s="34" t="s">
        <v>36</v>
      </c>
      <c r="Q605" s="34" t="s">
        <v>723</v>
      </c>
      <c r="R605" s="35">
        <v>46118.0</v>
      </c>
      <c r="S605" s="32" t="s">
        <v>29</v>
      </c>
      <c r="T605" s="33"/>
      <c r="U605" s="79"/>
    </row>
    <row r="606" ht="15.75" customHeight="1">
      <c r="A606" s="55">
        <v>46116.0</v>
      </c>
      <c r="B606" s="55">
        <v>46116.0</v>
      </c>
      <c r="C606" s="55" t="s">
        <v>25</v>
      </c>
      <c r="D606" s="56" t="s">
        <v>57</v>
      </c>
      <c r="E606" s="56" t="s">
        <v>40</v>
      </c>
      <c r="F606" s="57">
        <v>0.011238425925925926</v>
      </c>
      <c r="G606" s="56" t="s">
        <v>33</v>
      </c>
      <c r="H606" s="24"/>
      <c r="I606" s="25"/>
      <c r="J606" s="26"/>
      <c r="K606" s="21"/>
      <c r="L606" s="27">
        <v>46118.0</v>
      </c>
      <c r="M606" s="28">
        <v>0.024305555555555556</v>
      </c>
      <c r="N606" s="29" t="s">
        <v>34</v>
      </c>
      <c r="O606" s="29" t="s">
        <v>35</v>
      </c>
      <c r="P606" s="34" t="s">
        <v>36</v>
      </c>
      <c r="Q606" s="34" t="s">
        <v>724</v>
      </c>
      <c r="R606" s="35">
        <v>46118.0</v>
      </c>
      <c r="S606" s="32" t="s">
        <v>29</v>
      </c>
      <c r="T606" s="33"/>
      <c r="U606" s="79"/>
    </row>
    <row r="607" ht="15.75" customHeight="1">
      <c r="A607" s="55">
        <v>46116.0</v>
      </c>
      <c r="B607" s="55">
        <v>46116.0</v>
      </c>
      <c r="C607" s="55"/>
      <c r="D607" s="56"/>
      <c r="E607" s="56" t="s">
        <v>43</v>
      </c>
      <c r="F607" s="130">
        <v>0.0140625</v>
      </c>
      <c r="G607" s="56"/>
      <c r="H607" s="24"/>
      <c r="I607" s="25"/>
      <c r="J607" s="26"/>
      <c r="K607" s="21"/>
      <c r="L607" s="27">
        <v>46121.0</v>
      </c>
      <c r="M607" s="28">
        <v>0.041666666666666664</v>
      </c>
      <c r="N607" s="29" t="s">
        <v>59</v>
      </c>
      <c r="O607" s="29" t="s">
        <v>35</v>
      </c>
      <c r="P607" s="30" t="s">
        <v>28</v>
      </c>
      <c r="Q607" s="30" t="s">
        <v>28</v>
      </c>
      <c r="R607" s="31" t="s">
        <v>28</v>
      </c>
      <c r="S607" s="32" t="s">
        <v>29</v>
      </c>
      <c r="T607" s="33"/>
      <c r="U607" s="79"/>
    </row>
    <row r="608" ht="15.75" customHeight="1">
      <c r="A608" s="55">
        <v>46116.0</v>
      </c>
      <c r="B608" s="55">
        <v>46118.0</v>
      </c>
      <c r="C608" s="55" t="s">
        <v>25</v>
      </c>
      <c r="D608" s="56" t="s">
        <v>59</v>
      </c>
      <c r="E608" s="56" t="s">
        <v>61</v>
      </c>
      <c r="F608" s="130">
        <v>0.019953703703703703</v>
      </c>
      <c r="G608" s="56" t="s">
        <v>33</v>
      </c>
      <c r="H608" s="24" t="s">
        <v>725</v>
      </c>
      <c r="I608" s="25"/>
      <c r="J608" s="26"/>
      <c r="K608" s="21"/>
      <c r="L608" s="27">
        <v>46122.0</v>
      </c>
      <c r="M608" s="28">
        <v>0.0625</v>
      </c>
      <c r="N608" s="29" t="s">
        <v>31</v>
      </c>
      <c r="O608" s="29" t="s">
        <v>35</v>
      </c>
      <c r="P608" s="34" t="s">
        <v>36</v>
      </c>
      <c r="Q608" s="34" t="s">
        <v>726</v>
      </c>
      <c r="R608" s="35">
        <v>46122.0</v>
      </c>
      <c r="S608" s="32" t="s">
        <v>29</v>
      </c>
      <c r="T608" s="33"/>
      <c r="U608" s="79"/>
    </row>
    <row r="609" ht="15.75" customHeight="1">
      <c r="A609" s="55">
        <v>46116.0</v>
      </c>
      <c r="B609" s="55">
        <v>46118.0</v>
      </c>
      <c r="C609" s="55" t="s">
        <v>25</v>
      </c>
      <c r="D609" s="56" t="s">
        <v>59</v>
      </c>
      <c r="E609" s="56" t="s">
        <v>62</v>
      </c>
      <c r="F609" s="130">
        <v>0.019953703703703703</v>
      </c>
      <c r="G609" s="56" t="s">
        <v>33</v>
      </c>
      <c r="H609" s="24"/>
      <c r="I609" s="25"/>
      <c r="J609" s="26"/>
      <c r="K609" s="21" t="s">
        <v>727</v>
      </c>
      <c r="L609" s="27">
        <v>46122.0</v>
      </c>
      <c r="M609" s="28">
        <v>0.003472222222222222</v>
      </c>
      <c r="N609" s="29" t="s">
        <v>31</v>
      </c>
      <c r="O609" s="29" t="s">
        <v>355</v>
      </c>
      <c r="P609" s="34" t="s">
        <v>36</v>
      </c>
      <c r="Q609" s="34" t="s">
        <v>728</v>
      </c>
      <c r="R609" s="35">
        <v>46121.0</v>
      </c>
      <c r="S609" s="32" t="s">
        <v>29</v>
      </c>
      <c r="T609" s="33"/>
      <c r="U609" s="79"/>
    </row>
    <row r="610" ht="15.75" customHeight="1">
      <c r="A610" s="120">
        <v>46116.0</v>
      </c>
      <c r="B610" s="120">
        <v>46116.0</v>
      </c>
      <c r="C610" s="120" t="s">
        <v>25</v>
      </c>
      <c r="D610" s="82" t="s">
        <v>34</v>
      </c>
      <c r="E610" s="82" t="s">
        <v>63</v>
      </c>
      <c r="F610" s="131">
        <v>0.022395833333333334</v>
      </c>
      <c r="G610" s="82" t="s">
        <v>33</v>
      </c>
      <c r="H610" s="39" t="s">
        <v>729</v>
      </c>
      <c r="I610" s="40" t="s">
        <v>46</v>
      </c>
      <c r="J610" s="41">
        <v>46122.822222222225</v>
      </c>
      <c r="K610" s="37" t="s">
        <v>730</v>
      </c>
      <c r="L610" s="42">
        <v>46122.0</v>
      </c>
      <c r="M610" s="43">
        <v>0.04861111111111111</v>
      </c>
      <c r="N610" s="44" t="s">
        <v>34</v>
      </c>
      <c r="O610" s="44" t="s">
        <v>35</v>
      </c>
      <c r="P610" s="45" t="s">
        <v>36</v>
      </c>
      <c r="Q610" s="45" t="s">
        <v>731</v>
      </c>
      <c r="R610" s="46">
        <v>46128.0</v>
      </c>
      <c r="S610" s="54" t="s">
        <v>29</v>
      </c>
      <c r="T610" s="33"/>
      <c r="U610" s="79"/>
    </row>
    <row r="611" ht="15.75" customHeight="1">
      <c r="A611" s="55">
        <v>46116.0</v>
      </c>
      <c r="B611" s="55">
        <v>46118.0</v>
      </c>
      <c r="C611" s="55" t="s">
        <v>65</v>
      </c>
      <c r="D611" s="56" t="s">
        <v>59</v>
      </c>
      <c r="E611" s="56" t="s">
        <v>568</v>
      </c>
      <c r="F611" s="130">
        <v>0.022048611111111113</v>
      </c>
      <c r="G611" s="56" t="s">
        <v>33</v>
      </c>
      <c r="H611" s="24"/>
      <c r="I611" s="25"/>
      <c r="J611" s="26"/>
      <c r="K611" s="21" t="s">
        <v>732</v>
      </c>
      <c r="L611" s="27">
        <v>46122.0</v>
      </c>
      <c r="M611" s="43">
        <v>0.08333333333333333</v>
      </c>
      <c r="N611" s="29" t="s">
        <v>49</v>
      </c>
      <c r="O611" s="29" t="s">
        <v>355</v>
      </c>
      <c r="P611" s="34" t="s">
        <v>36</v>
      </c>
      <c r="Q611" s="34" t="s">
        <v>733</v>
      </c>
      <c r="R611" s="35">
        <v>46121.0</v>
      </c>
      <c r="S611" s="32"/>
      <c r="T611" s="33"/>
      <c r="U611" s="79"/>
    </row>
    <row r="612" ht="15.75" customHeight="1">
      <c r="A612" s="126">
        <v>46116.0</v>
      </c>
      <c r="B612" s="126">
        <v>46116.0</v>
      </c>
      <c r="C612" s="126" t="s">
        <v>25</v>
      </c>
      <c r="D612" s="102" t="s">
        <v>34</v>
      </c>
      <c r="E612" s="102" t="s">
        <v>87</v>
      </c>
      <c r="F612" s="132">
        <v>0.006319444444444444</v>
      </c>
      <c r="G612" s="102" t="s">
        <v>88</v>
      </c>
      <c r="H612" s="24" t="s">
        <v>734</v>
      </c>
      <c r="I612" s="25" t="s">
        <v>46</v>
      </c>
      <c r="J612" s="26">
        <v>46119.424305555556</v>
      </c>
      <c r="K612" s="21" t="s">
        <v>735</v>
      </c>
      <c r="L612" s="27">
        <v>46219.0</v>
      </c>
      <c r="M612" s="28">
        <v>0.013888888888888888</v>
      </c>
      <c r="N612" s="29" t="s">
        <v>39</v>
      </c>
      <c r="O612" s="29" t="s">
        <v>35</v>
      </c>
      <c r="P612" s="34" t="s">
        <v>53</v>
      </c>
      <c r="Q612" s="34">
        <v>1.202406E7</v>
      </c>
      <c r="R612" s="35">
        <v>46122.0</v>
      </c>
      <c r="S612" s="32"/>
      <c r="T612" s="33"/>
      <c r="U612" s="79"/>
    </row>
    <row r="613" ht="15.75" customHeight="1">
      <c r="A613" s="126">
        <v>46116.0</v>
      </c>
      <c r="B613" s="126">
        <v>46116.0</v>
      </c>
      <c r="C613" s="126" t="s">
        <v>25</v>
      </c>
      <c r="D613" s="102" t="s">
        <v>34</v>
      </c>
      <c r="E613" s="102" t="s">
        <v>87</v>
      </c>
      <c r="F613" s="132">
        <v>0.007638888888888889</v>
      </c>
      <c r="G613" s="102" t="s">
        <v>88</v>
      </c>
      <c r="H613" s="24" t="s">
        <v>736</v>
      </c>
      <c r="I613" s="25" t="s">
        <v>46</v>
      </c>
      <c r="J613" s="26">
        <v>46119.425</v>
      </c>
      <c r="K613" s="21" t="s">
        <v>737</v>
      </c>
      <c r="L613" s="27">
        <v>46219.0</v>
      </c>
      <c r="M613" s="28">
        <v>0.010416666666666666</v>
      </c>
      <c r="N613" s="29" t="s">
        <v>39</v>
      </c>
      <c r="O613" s="29" t="s">
        <v>35</v>
      </c>
      <c r="P613" s="34" t="s">
        <v>53</v>
      </c>
      <c r="Q613" s="34">
        <v>1.2024061E7</v>
      </c>
      <c r="R613" s="35">
        <v>46122.0</v>
      </c>
      <c r="S613" s="32"/>
      <c r="T613" s="33"/>
      <c r="U613" s="79"/>
    </row>
    <row r="614" ht="15.75" customHeight="1">
      <c r="A614" s="126">
        <v>46116.0</v>
      </c>
      <c r="B614" s="126">
        <v>46116.0</v>
      </c>
      <c r="C614" s="126" t="s">
        <v>25</v>
      </c>
      <c r="D614" s="102" t="s">
        <v>34</v>
      </c>
      <c r="E614" s="102" t="s">
        <v>87</v>
      </c>
      <c r="F614" s="132">
        <v>0.003981481481481482</v>
      </c>
      <c r="G614" s="102" t="s">
        <v>88</v>
      </c>
      <c r="H614" s="24" t="s">
        <v>738</v>
      </c>
      <c r="I614" s="25" t="s">
        <v>46</v>
      </c>
      <c r="J614" s="26">
        <v>46119.42638888889</v>
      </c>
      <c r="K614" s="21" t="s">
        <v>739</v>
      </c>
      <c r="L614" s="27">
        <v>46219.0</v>
      </c>
      <c r="M614" s="28">
        <v>0.008333333333333333</v>
      </c>
      <c r="N614" s="29" t="s">
        <v>39</v>
      </c>
      <c r="O614" s="29" t="s">
        <v>35</v>
      </c>
      <c r="P614" s="34" t="s">
        <v>53</v>
      </c>
      <c r="Q614" s="34">
        <v>1.2024062E7</v>
      </c>
      <c r="R614" s="35">
        <v>46122.0</v>
      </c>
      <c r="S614" s="32"/>
      <c r="T614" s="33"/>
      <c r="U614" s="79"/>
    </row>
    <row r="615" ht="15.75" customHeight="1">
      <c r="A615" s="60">
        <v>46117.0</v>
      </c>
      <c r="B615" s="60">
        <v>46117.0</v>
      </c>
      <c r="C615" s="60" t="s">
        <v>42</v>
      </c>
      <c r="D615" s="61" t="s">
        <v>34</v>
      </c>
      <c r="E615" s="61" t="s">
        <v>64</v>
      </c>
      <c r="F615" s="62">
        <v>0.023287037037037037</v>
      </c>
      <c r="G615" s="61" t="s">
        <v>33</v>
      </c>
      <c r="H615" s="24" t="s">
        <v>740</v>
      </c>
      <c r="I615" s="25" t="s">
        <v>46</v>
      </c>
      <c r="J615" s="26">
        <v>46119.75</v>
      </c>
      <c r="K615" s="21" t="s">
        <v>741</v>
      </c>
      <c r="L615" s="27"/>
      <c r="M615" s="28"/>
      <c r="N615" s="29"/>
      <c r="O615" s="29"/>
      <c r="P615" s="34" t="s">
        <v>101</v>
      </c>
      <c r="Q615" s="34">
        <v>1.2021102E7</v>
      </c>
      <c r="R615" s="35">
        <v>46122.0</v>
      </c>
      <c r="S615" s="32" t="s">
        <v>29</v>
      </c>
      <c r="T615" s="33"/>
      <c r="U615" s="79"/>
    </row>
    <row r="616" ht="15.75" customHeight="1">
      <c r="A616" s="60">
        <v>46117.0</v>
      </c>
      <c r="B616" s="60">
        <v>46117.0</v>
      </c>
      <c r="C616" s="60" t="s">
        <v>65</v>
      </c>
      <c r="D616" s="61" t="s">
        <v>59</v>
      </c>
      <c r="E616" s="61" t="s">
        <v>66</v>
      </c>
      <c r="F616" s="62">
        <v>0.021423611111111112</v>
      </c>
      <c r="G616" s="61" t="s">
        <v>33</v>
      </c>
      <c r="H616" s="24"/>
      <c r="I616" s="25"/>
      <c r="J616" s="26"/>
      <c r="K616" s="21" t="s">
        <v>742</v>
      </c>
      <c r="L616" s="27">
        <v>46120.0</v>
      </c>
      <c r="M616" s="28">
        <v>0.041666666666666664</v>
      </c>
      <c r="N616" s="29" t="s">
        <v>69</v>
      </c>
      <c r="O616" s="29" t="s">
        <v>35</v>
      </c>
      <c r="P616" s="34" t="s">
        <v>36</v>
      </c>
      <c r="Q616" s="34" t="s">
        <v>743</v>
      </c>
      <c r="R616" s="35">
        <v>46121.0</v>
      </c>
      <c r="S616" s="32" t="s">
        <v>29</v>
      </c>
      <c r="T616" s="33"/>
      <c r="U616" s="79"/>
    </row>
    <row r="617" ht="15.75" customHeight="1">
      <c r="A617" s="20">
        <v>46118.0</v>
      </c>
      <c r="B617" s="20">
        <v>46118.0</v>
      </c>
      <c r="C617" s="20" t="s">
        <v>25</v>
      </c>
      <c r="D617" s="21" t="s">
        <v>49</v>
      </c>
      <c r="E617" s="21" t="s">
        <v>26</v>
      </c>
      <c r="F617" s="22">
        <v>0.0985763888888889</v>
      </c>
      <c r="G617" s="21" t="s">
        <v>33</v>
      </c>
      <c r="H617" s="24"/>
      <c r="I617" s="25"/>
      <c r="J617" s="26"/>
      <c r="K617" s="21"/>
      <c r="L617" s="27">
        <v>46119.0</v>
      </c>
      <c r="M617" s="28">
        <v>0.2465277777777778</v>
      </c>
      <c r="N617" s="29" t="s">
        <v>34</v>
      </c>
      <c r="O617" s="29" t="s">
        <v>35</v>
      </c>
      <c r="P617" s="34" t="s">
        <v>53</v>
      </c>
      <c r="Q617" s="34" t="s">
        <v>744</v>
      </c>
      <c r="R617" s="35">
        <v>46120.0</v>
      </c>
      <c r="S617" s="32" t="s">
        <v>29</v>
      </c>
      <c r="T617" s="33"/>
      <c r="U617" s="79"/>
    </row>
    <row r="618" ht="15.75" customHeight="1">
      <c r="A618" s="20">
        <v>46118.0</v>
      </c>
      <c r="B618" s="20">
        <v>46118.0</v>
      </c>
      <c r="C618" s="20" t="s">
        <v>25</v>
      </c>
      <c r="D618" s="21" t="s">
        <v>31</v>
      </c>
      <c r="E618" s="21" t="s">
        <v>30</v>
      </c>
      <c r="F618" s="22">
        <v>0.006828703703703704</v>
      </c>
      <c r="G618" s="21" t="s">
        <v>33</v>
      </c>
      <c r="H618" s="24"/>
      <c r="I618" s="25"/>
      <c r="J618" s="26"/>
      <c r="K618" s="21"/>
      <c r="L618" s="27">
        <v>46118.0</v>
      </c>
      <c r="M618" s="28">
        <v>0.020833333333333332</v>
      </c>
      <c r="N618" s="29" t="s">
        <v>31</v>
      </c>
      <c r="O618" s="29" t="s">
        <v>35</v>
      </c>
      <c r="P618" s="34" t="s">
        <v>53</v>
      </c>
      <c r="Q618" s="34" t="s">
        <v>745</v>
      </c>
      <c r="R618" s="35">
        <v>46120.0</v>
      </c>
      <c r="S618" s="32" t="s">
        <v>29</v>
      </c>
      <c r="T618" s="33"/>
      <c r="U618" s="79"/>
    </row>
    <row r="619" ht="15.75" customHeight="1">
      <c r="A619" s="20">
        <v>46118.0</v>
      </c>
      <c r="B619" s="20">
        <v>46118.0</v>
      </c>
      <c r="C619" s="20" t="s">
        <v>25</v>
      </c>
      <c r="D619" s="21" t="s">
        <v>34</v>
      </c>
      <c r="E619" s="21" t="s">
        <v>32</v>
      </c>
      <c r="F619" s="22">
        <v>0.04707175925925926</v>
      </c>
      <c r="G619" s="21" t="s">
        <v>33</v>
      </c>
      <c r="H619" s="24"/>
      <c r="I619" s="25"/>
      <c r="J619" s="26"/>
      <c r="K619" s="21"/>
      <c r="L619" s="27">
        <v>46119.0</v>
      </c>
      <c r="M619" s="28">
        <v>0.14583333333333334</v>
      </c>
      <c r="N619" s="29" t="s">
        <v>57</v>
      </c>
      <c r="O619" s="29" t="s">
        <v>35</v>
      </c>
      <c r="P619" s="34" t="s">
        <v>53</v>
      </c>
      <c r="Q619" s="34" t="s">
        <v>746</v>
      </c>
      <c r="R619" s="35">
        <v>46120.0</v>
      </c>
      <c r="S619" s="32" t="s">
        <v>29</v>
      </c>
      <c r="T619" s="33"/>
      <c r="U619" s="33"/>
    </row>
    <row r="620" ht="15.75" customHeight="1">
      <c r="A620" s="20">
        <v>46118.0</v>
      </c>
      <c r="B620" s="20">
        <v>46118.0</v>
      </c>
      <c r="C620" s="20" t="s">
        <v>25</v>
      </c>
      <c r="D620" s="21" t="s">
        <v>34</v>
      </c>
      <c r="E620" s="21" t="s">
        <v>38</v>
      </c>
      <c r="F620" s="22">
        <v>0.00837962962962963</v>
      </c>
      <c r="G620" s="21" t="s">
        <v>33</v>
      </c>
      <c r="H620" s="24"/>
      <c r="I620" s="25"/>
      <c r="J620" s="26"/>
      <c r="K620" s="21"/>
      <c r="L620" s="27">
        <v>46119.0</v>
      </c>
      <c r="M620" s="28">
        <v>0.022222222222222223</v>
      </c>
      <c r="N620" s="29" t="s">
        <v>49</v>
      </c>
      <c r="O620" s="29" t="s">
        <v>35</v>
      </c>
      <c r="P620" s="34" t="s">
        <v>53</v>
      </c>
      <c r="Q620" s="34">
        <v>1.2006757E7</v>
      </c>
      <c r="R620" s="35">
        <v>46120.0</v>
      </c>
      <c r="S620" s="32" t="s">
        <v>29</v>
      </c>
      <c r="T620" s="33"/>
      <c r="U620" s="79"/>
    </row>
    <row r="621" ht="15.75" customHeight="1">
      <c r="A621" s="20">
        <v>46118.0</v>
      </c>
      <c r="B621" s="20">
        <v>46118.0</v>
      </c>
      <c r="C621" s="20" t="s">
        <v>25</v>
      </c>
      <c r="D621" s="21" t="s">
        <v>34</v>
      </c>
      <c r="E621" s="21" t="s">
        <v>40</v>
      </c>
      <c r="F621" s="22">
        <v>0.01976851851851852</v>
      </c>
      <c r="G621" s="21" t="s">
        <v>33</v>
      </c>
      <c r="H621" s="24"/>
      <c r="I621" s="25"/>
      <c r="J621" s="26"/>
      <c r="K621" s="21"/>
      <c r="L621" s="27">
        <v>46119.0</v>
      </c>
      <c r="M621" s="28">
        <v>0.0625</v>
      </c>
      <c r="N621" s="29" t="s">
        <v>49</v>
      </c>
      <c r="O621" s="29" t="s">
        <v>35</v>
      </c>
      <c r="P621" s="34" t="s">
        <v>53</v>
      </c>
      <c r="Q621" s="34" t="s">
        <v>747</v>
      </c>
      <c r="R621" s="35">
        <v>46120.0</v>
      </c>
      <c r="S621" s="32" t="s">
        <v>29</v>
      </c>
      <c r="T621" s="33"/>
      <c r="U621" s="79"/>
    </row>
    <row r="622" ht="15.75" customHeight="1">
      <c r="A622" s="20">
        <v>46118.0</v>
      </c>
      <c r="B622" s="20">
        <v>46118.0</v>
      </c>
      <c r="C622" s="20"/>
      <c r="D622" s="21"/>
      <c r="E622" s="21" t="s">
        <v>43</v>
      </c>
      <c r="F622" s="22">
        <v>0.016261574074074074</v>
      </c>
      <c r="G622" s="21" t="s">
        <v>33</v>
      </c>
      <c r="H622" s="24"/>
      <c r="I622" s="25"/>
      <c r="J622" s="26"/>
      <c r="K622" s="21"/>
      <c r="L622" s="27">
        <v>46120.0</v>
      </c>
      <c r="M622" s="28">
        <v>0.041666666666666664</v>
      </c>
      <c r="N622" s="29" t="s">
        <v>31</v>
      </c>
      <c r="O622" s="29" t="s">
        <v>35</v>
      </c>
      <c r="P622" s="30" t="s">
        <v>28</v>
      </c>
      <c r="Q622" s="30" t="s">
        <v>28</v>
      </c>
      <c r="R622" s="31" t="s">
        <v>28</v>
      </c>
      <c r="S622" s="32" t="s">
        <v>29</v>
      </c>
      <c r="T622" s="33"/>
      <c r="U622" s="79"/>
    </row>
    <row r="623" ht="15.75" customHeight="1">
      <c r="A623" s="36">
        <v>46119.0</v>
      </c>
      <c r="B623" s="36">
        <v>46119.0</v>
      </c>
      <c r="C623" s="36" t="s">
        <v>25</v>
      </c>
      <c r="D623" s="37" t="s">
        <v>49</v>
      </c>
      <c r="E623" s="37" t="s">
        <v>26</v>
      </c>
      <c r="F623" s="38">
        <v>0.10064814814814815</v>
      </c>
      <c r="G623" s="37" t="s">
        <v>33</v>
      </c>
      <c r="H623" s="39"/>
      <c r="I623" s="40" t="s">
        <v>178</v>
      </c>
      <c r="J623" s="41">
        <v>46119.59583333333</v>
      </c>
      <c r="K623" s="37" t="s">
        <v>748</v>
      </c>
      <c r="L623" s="42"/>
      <c r="M623" s="43"/>
      <c r="N623" s="44" t="s">
        <v>59</v>
      </c>
      <c r="O623" s="44"/>
      <c r="P623" s="45" t="s">
        <v>36</v>
      </c>
      <c r="Q623" s="45" t="s">
        <v>749</v>
      </c>
      <c r="R623" s="46">
        <v>46122.0</v>
      </c>
      <c r="S623" s="54" t="s">
        <v>29</v>
      </c>
      <c r="T623" s="33"/>
      <c r="U623" s="79"/>
    </row>
    <row r="624" ht="15.75" customHeight="1">
      <c r="A624" s="36">
        <v>46119.0</v>
      </c>
      <c r="B624" s="36">
        <v>46119.0</v>
      </c>
      <c r="C624" s="36" t="s">
        <v>25</v>
      </c>
      <c r="D624" s="37" t="s">
        <v>34</v>
      </c>
      <c r="E624" s="37" t="s">
        <v>30</v>
      </c>
      <c r="F624" s="38">
        <v>0.008969907407407407</v>
      </c>
      <c r="G624" s="37" t="s">
        <v>33</v>
      </c>
      <c r="H624" s="39"/>
      <c r="I624" s="40"/>
      <c r="J624" s="41"/>
      <c r="K624" s="37"/>
      <c r="L624" s="42">
        <v>46119.0</v>
      </c>
      <c r="M624" s="43">
        <v>0.020833333333333332</v>
      </c>
      <c r="N624" s="44" t="s">
        <v>34</v>
      </c>
      <c r="O624" s="44" t="s">
        <v>35</v>
      </c>
      <c r="P624" s="45" t="s">
        <v>53</v>
      </c>
      <c r="Q624" s="45" t="s">
        <v>750</v>
      </c>
      <c r="R624" s="46">
        <v>46120.0</v>
      </c>
      <c r="S624" s="54" t="s">
        <v>29</v>
      </c>
      <c r="T624" s="33"/>
      <c r="U624" s="79"/>
    </row>
    <row r="625" ht="15.75" customHeight="1">
      <c r="A625" s="36">
        <v>46119.0</v>
      </c>
      <c r="B625" s="36">
        <v>46119.0</v>
      </c>
      <c r="C625" s="36" t="s">
        <v>25</v>
      </c>
      <c r="D625" s="37" t="s">
        <v>69</v>
      </c>
      <c r="E625" s="37" t="s">
        <v>32</v>
      </c>
      <c r="F625" s="38">
        <v>0.04769675925925926</v>
      </c>
      <c r="G625" s="37" t="s">
        <v>33</v>
      </c>
      <c r="H625" s="24"/>
      <c r="I625" s="25"/>
      <c r="J625" s="26"/>
      <c r="K625" s="21"/>
      <c r="L625" s="27">
        <v>46120.0</v>
      </c>
      <c r="M625" s="28">
        <v>0.125</v>
      </c>
      <c r="N625" s="29" t="s">
        <v>57</v>
      </c>
      <c r="O625" s="29" t="s">
        <v>35</v>
      </c>
      <c r="P625" s="34" t="s">
        <v>36</v>
      </c>
      <c r="Q625" s="34" t="s">
        <v>751</v>
      </c>
      <c r="R625" s="46">
        <v>46122.0</v>
      </c>
      <c r="S625" s="32" t="s">
        <v>29</v>
      </c>
      <c r="T625" s="33"/>
      <c r="U625" s="79"/>
    </row>
    <row r="626" ht="15.75" customHeight="1">
      <c r="A626" s="20">
        <v>46119.0</v>
      </c>
      <c r="B626" s="20">
        <v>46119.0</v>
      </c>
      <c r="C626" s="20" t="s">
        <v>25</v>
      </c>
      <c r="D626" s="21" t="s">
        <v>59</v>
      </c>
      <c r="E626" s="21" t="s">
        <v>38</v>
      </c>
      <c r="F626" s="22">
        <v>0.008333333333333333</v>
      </c>
      <c r="G626" s="21" t="s">
        <v>33</v>
      </c>
      <c r="H626" s="24"/>
      <c r="I626" s="25"/>
      <c r="J626" s="26"/>
      <c r="K626" s="21"/>
      <c r="L626" s="27">
        <v>46120.0</v>
      </c>
      <c r="M626" s="28">
        <v>0.024305555555555556</v>
      </c>
      <c r="N626" s="29" t="s">
        <v>69</v>
      </c>
      <c r="O626" s="29" t="s">
        <v>35</v>
      </c>
      <c r="P626" s="45" t="s">
        <v>53</v>
      </c>
      <c r="Q626" s="34">
        <v>1.2006758E7</v>
      </c>
      <c r="R626" s="35">
        <v>46120.0</v>
      </c>
      <c r="S626" s="32" t="s">
        <v>29</v>
      </c>
      <c r="T626" s="33"/>
      <c r="U626" s="79"/>
    </row>
    <row r="627" ht="15.75" customHeight="1">
      <c r="A627" s="36">
        <v>46119.0</v>
      </c>
      <c r="B627" s="36">
        <v>46119.0</v>
      </c>
      <c r="C627" s="36" t="s">
        <v>25</v>
      </c>
      <c r="D627" s="37" t="s">
        <v>59</v>
      </c>
      <c r="E627" s="37" t="s">
        <v>40</v>
      </c>
      <c r="F627" s="38">
        <v>0.020046296296296295</v>
      </c>
      <c r="G627" s="37" t="s">
        <v>33</v>
      </c>
      <c r="H627" s="39" t="s">
        <v>752</v>
      </c>
      <c r="I627" s="40"/>
      <c r="J627" s="41">
        <v>46120.21505787037</v>
      </c>
      <c r="K627" s="37" t="s">
        <v>753</v>
      </c>
      <c r="L627" s="42">
        <v>46120.0</v>
      </c>
      <c r="M627" s="43">
        <v>0.04513888888888889</v>
      </c>
      <c r="N627" s="44" t="s">
        <v>34</v>
      </c>
      <c r="O627" s="44" t="s">
        <v>35</v>
      </c>
      <c r="P627" s="45" t="s">
        <v>36</v>
      </c>
      <c r="Q627" s="45" t="s">
        <v>754</v>
      </c>
      <c r="R627" s="46">
        <v>46122.0</v>
      </c>
      <c r="S627" s="54" t="s">
        <v>29</v>
      </c>
      <c r="T627" s="33"/>
      <c r="U627" s="33"/>
    </row>
    <row r="628" ht="15.75" customHeight="1">
      <c r="A628" s="20">
        <v>46119.0</v>
      </c>
      <c r="B628" s="20">
        <v>46119.0</v>
      </c>
      <c r="C628" s="20"/>
      <c r="D628" s="21"/>
      <c r="E628" s="21" t="s">
        <v>43</v>
      </c>
      <c r="F628" s="22">
        <v>0.01716435185185185</v>
      </c>
      <c r="G628" s="21" t="s">
        <v>33</v>
      </c>
      <c r="H628" s="24"/>
      <c r="I628" s="25"/>
      <c r="J628" s="26"/>
      <c r="K628" s="21"/>
      <c r="L628" s="27">
        <v>46121.0</v>
      </c>
      <c r="M628" s="28">
        <v>0.041666666666666664</v>
      </c>
      <c r="N628" s="29" t="s">
        <v>31</v>
      </c>
      <c r="O628" s="29" t="s">
        <v>35</v>
      </c>
      <c r="P628" s="30" t="s">
        <v>28</v>
      </c>
      <c r="Q628" s="30" t="s">
        <v>28</v>
      </c>
      <c r="R628" s="31" t="s">
        <v>28</v>
      </c>
      <c r="S628" s="32" t="s">
        <v>29</v>
      </c>
      <c r="T628" s="33"/>
      <c r="U628" s="33"/>
    </row>
    <row r="629" ht="15.75" customHeight="1">
      <c r="A629" s="36">
        <v>46120.0</v>
      </c>
      <c r="B629" s="36">
        <v>46120.0</v>
      </c>
      <c r="C629" s="36" t="s">
        <v>25</v>
      </c>
      <c r="D629" s="37" t="s">
        <v>49</v>
      </c>
      <c r="E629" s="37" t="s">
        <v>26</v>
      </c>
      <c r="F629" s="38">
        <v>0.10023148148148148</v>
      </c>
      <c r="G629" s="37" t="s">
        <v>33</v>
      </c>
      <c r="H629" s="39" t="s">
        <v>755</v>
      </c>
      <c r="I629" s="40" t="s">
        <v>178</v>
      </c>
      <c r="J629" s="41">
        <v>46120.59699074074</v>
      </c>
      <c r="K629" s="37" t="s">
        <v>756</v>
      </c>
      <c r="L629" s="42">
        <v>46121.0</v>
      </c>
      <c r="M629" s="43">
        <v>0.20833333333333334</v>
      </c>
      <c r="N629" s="44" t="s">
        <v>57</v>
      </c>
      <c r="O629" s="44" t="s">
        <v>35</v>
      </c>
      <c r="P629" s="45" t="s">
        <v>36</v>
      </c>
      <c r="Q629" s="45" t="s">
        <v>757</v>
      </c>
      <c r="R629" s="46">
        <v>46122.0</v>
      </c>
      <c r="S629" s="54" t="s">
        <v>29</v>
      </c>
      <c r="T629" s="33"/>
      <c r="U629" s="33"/>
    </row>
    <row r="630" ht="15.75" customHeight="1">
      <c r="A630" s="20">
        <v>46120.0</v>
      </c>
      <c r="B630" s="20">
        <v>46120.0</v>
      </c>
      <c r="C630" s="20" t="s">
        <v>25</v>
      </c>
      <c r="D630" s="21" t="s">
        <v>59</v>
      </c>
      <c r="E630" s="21" t="s">
        <v>30</v>
      </c>
      <c r="F630" s="22">
        <v>0.004074074074074074</v>
      </c>
      <c r="G630" s="21" t="s">
        <v>33</v>
      </c>
      <c r="H630" s="24"/>
      <c r="I630" s="25"/>
      <c r="J630" s="26"/>
      <c r="K630" s="21"/>
      <c r="L630" s="27">
        <v>46120.0</v>
      </c>
      <c r="M630" s="28">
        <v>0.006944444444444444</v>
      </c>
      <c r="N630" s="29" t="s">
        <v>59</v>
      </c>
      <c r="O630" s="29" t="s">
        <v>35</v>
      </c>
      <c r="P630" s="34" t="s">
        <v>36</v>
      </c>
      <c r="Q630" s="34" t="s">
        <v>758</v>
      </c>
      <c r="R630" s="35">
        <v>46121.0</v>
      </c>
      <c r="S630" s="32" t="s">
        <v>29</v>
      </c>
      <c r="T630" s="33"/>
      <c r="U630" s="33"/>
    </row>
    <row r="631" ht="15.75" customHeight="1">
      <c r="A631" s="20">
        <v>46120.0</v>
      </c>
      <c r="B631" s="20">
        <v>46120.0</v>
      </c>
      <c r="C631" s="20" t="s">
        <v>25</v>
      </c>
      <c r="D631" s="21" t="s">
        <v>69</v>
      </c>
      <c r="E631" s="21" t="s">
        <v>32</v>
      </c>
      <c r="F631" s="22">
        <v>0.04917824074074074</v>
      </c>
      <c r="G631" s="21" t="s">
        <v>33</v>
      </c>
      <c r="H631" s="24"/>
      <c r="I631" s="25"/>
      <c r="J631" s="26"/>
      <c r="K631" s="21"/>
      <c r="L631" s="27">
        <v>46121.0</v>
      </c>
      <c r="M631" s="28">
        <v>0.1111111111111111</v>
      </c>
      <c r="N631" s="29" t="s">
        <v>34</v>
      </c>
      <c r="O631" s="29" t="s">
        <v>35</v>
      </c>
      <c r="P631" s="34" t="s">
        <v>36</v>
      </c>
      <c r="Q631" s="34" t="s">
        <v>759</v>
      </c>
      <c r="R631" s="35">
        <v>46121.0</v>
      </c>
      <c r="S631" s="32" t="s">
        <v>29</v>
      </c>
      <c r="T631" s="33"/>
      <c r="U631" s="33"/>
    </row>
    <row r="632" ht="15.75" customHeight="1">
      <c r="A632" s="20">
        <v>46120.0</v>
      </c>
      <c r="B632" s="20">
        <v>46120.0</v>
      </c>
      <c r="C632" s="20" t="s">
        <v>25</v>
      </c>
      <c r="D632" s="21" t="s">
        <v>34</v>
      </c>
      <c r="E632" s="21" t="s">
        <v>38</v>
      </c>
      <c r="F632" s="22">
        <v>0.010462962962962962</v>
      </c>
      <c r="G632" s="21" t="s">
        <v>33</v>
      </c>
      <c r="H632" s="24"/>
      <c r="I632" s="25"/>
      <c r="J632" s="26"/>
      <c r="K632" s="21"/>
      <c r="L632" s="27">
        <v>46121.0</v>
      </c>
      <c r="M632" s="28">
        <v>0.0625</v>
      </c>
      <c r="N632" s="29" t="s">
        <v>69</v>
      </c>
      <c r="O632" s="29" t="s">
        <v>35</v>
      </c>
      <c r="P632" s="34" t="s">
        <v>36</v>
      </c>
      <c r="Q632" s="34">
        <v>1.2006759E7</v>
      </c>
      <c r="R632" s="35">
        <v>46121.0</v>
      </c>
      <c r="S632" s="32" t="s">
        <v>29</v>
      </c>
      <c r="T632" s="33"/>
      <c r="U632" s="33"/>
    </row>
    <row r="633" ht="15.75" customHeight="1">
      <c r="A633" s="20">
        <v>46120.0</v>
      </c>
      <c r="B633" s="20">
        <v>46120.0</v>
      </c>
      <c r="C633" s="20" t="s">
        <v>25</v>
      </c>
      <c r="D633" s="21" t="s">
        <v>34</v>
      </c>
      <c r="E633" s="21" t="s">
        <v>40</v>
      </c>
      <c r="F633" s="22">
        <v>0.020717592592592593</v>
      </c>
      <c r="G633" s="21" t="s">
        <v>33</v>
      </c>
      <c r="H633" s="24"/>
      <c r="I633" s="25"/>
      <c r="J633" s="26"/>
      <c r="K633" s="21"/>
      <c r="L633" s="27">
        <v>46121.0</v>
      </c>
      <c r="M633" s="28">
        <v>0.059722222222222225</v>
      </c>
      <c r="N633" s="29" t="s">
        <v>49</v>
      </c>
      <c r="O633" s="29" t="s">
        <v>35</v>
      </c>
      <c r="P633" s="34" t="s">
        <v>36</v>
      </c>
      <c r="Q633" s="34" t="s">
        <v>760</v>
      </c>
      <c r="R633" s="35">
        <v>46122.0</v>
      </c>
      <c r="S633" s="32" t="s">
        <v>29</v>
      </c>
      <c r="T633" s="33"/>
      <c r="U633" s="33"/>
    </row>
    <row r="634" ht="15.75" customHeight="1">
      <c r="A634" s="20">
        <v>46120.0</v>
      </c>
      <c r="B634" s="20">
        <v>46120.0</v>
      </c>
      <c r="C634" s="20"/>
      <c r="D634" s="21"/>
      <c r="E634" s="21" t="s">
        <v>43</v>
      </c>
      <c r="F634" s="22">
        <v>0.015590277777777778</v>
      </c>
      <c r="G634" s="21" t="s">
        <v>33</v>
      </c>
      <c r="H634" s="24"/>
      <c r="I634" s="25"/>
      <c r="J634" s="26"/>
      <c r="K634" s="21"/>
      <c r="L634" s="27">
        <v>46122.0</v>
      </c>
      <c r="M634" s="28">
        <v>0.041666666666666664</v>
      </c>
      <c r="N634" s="29" t="s">
        <v>31</v>
      </c>
      <c r="O634" s="29" t="s">
        <v>35</v>
      </c>
      <c r="P634" s="30" t="s">
        <v>28</v>
      </c>
      <c r="Q634" s="30" t="s">
        <v>28</v>
      </c>
      <c r="R634" s="31" t="s">
        <v>28</v>
      </c>
      <c r="S634" s="32" t="s">
        <v>29</v>
      </c>
      <c r="T634" s="33"/>
      <c r="U634" s="79"/>
    </row>
    <row r="635" ht="15.75" customHeight="1">
      <c r="A635" s="20">
        <v>46121.0</v>
      </c>
      <c r="B635" s="20">
        <v>46121.0</v>
      </c>
      <c r="C635" s="20" t="s">
        <v>25</v>
      </c>
      <c r="D635" s="21" t="s">
        <v>49</v>
      </c>
      <c r="E635" s="21" t="s">
        <v>26</v>
      </c>
      <c r="F635" s="22">
        <v>0.10061342592592593</v>
      </c>
      <c r="G635" s="21" t="s">
        <v>33</v>
      </c>
      <c r="H635" s="24"/>
      <c r="I635" s="25"/>
      <c r="J635" s="26"/>
      <c r="K635" s="21"/>
      <c r="L635" s="27">
        <v>46122.0</v>
      </c>
      <c r="M635" s="28">
        <v>0.20833333333333334</v>
      </c>
      <c r="N635" s="29" t="s">
        <v>57</v>
      </c>
      <c r="O635" s="29" t="s">
        <v>35</v>
      </c>
      <c r="P635" s="34" t="s">
        <v>36</v>
      </c>
      <c r="Q635" s="34" t="s">
        <v>761</v>
      </c>
      <c r="R635" s="35">
        <v>46122.0</v>
      </c>
      <c r="S635" s="32" t="s">
        <v>29</v>
      </c>
      <c r="T635" s="33"/>
      <c r="U635" s="79"/>
    </row>
    <row r="636" ht="15.75" customHeight="1">
      <c r="A636" s="20">
        <v>46121.0</v>
      </c>
      <c r="B636" s="20">
        <v>46121.0</v>
      </c>
      <c r="C636" s="20" t="s">
        <v>25</v>
      </c>
      <c r="D636" s="21" t="s">
        <v>57</v>
      </c>
      <c r="E636" s="21" t="s">
        <v>30</v>
      </c>
      <c r="F636" s="22">
        <v>8.912037037037037E-4</v>
      </c>
      <c r="G636" s="21" t="s">
        <v>33</v>
      </c>
      <c r="H636" s="24"/>
      <c r="I636" s="25"/>
      <c r="J636" s="26"/>
      <c r="K636" s="21"/>
      <c r="L636" s="27">
        <v>46121.0</v>
      </c>
      <c r="M636" s="28">
        <v>0.002777777777777778</v>
      </c>
      <c r="N636" s="29" t="s">
        <v>57</v>
      </c>
      <c r="O636" s="29" t="s">
        <v>35</v>
      </c>
      <c r="P636" s="34" t="s">
        <v>36</v>
      </c>
      <c r="Q636" s="34" t="s">
        <v>762</v>
      </c>
      <c r="R636" s="35">
        <v>46122.0</v>
      </c>
      <c r="S636" s="32" t="s">
        <v>29</v>
      </c>
      <c r="T636" s="33"/>
      <c r="U636" s="79"/>
    </row>
    <row r="637" ht="15.75" customHeight="1">
      <c r="A637" s="20">
        <v>46121.0</v>
      </c>
      <c r="B637" s="20">
        <v>46121.0</v>
      </c>
      <c r="C637" s="20" t="s">
        <v>25</v>
      </c>
      <c r="D637" s="21" t="s">
        <v>69</v>
      </c>
      <c r="E637" s="21" t="s">
        <v>32</v>
      </c>
      <c r="F637" s="22">
        <v>0.046782407407407404</v>
      </c>
      <c r="G637" s="21" t="s">
        <v>33</v>
      </c>
      <c r="H637" s="24"/>
      <c r="I637" s="25"/>
      <c r="J637" s="26"/>
      <c r="K637" s="21"/>
      <c r="L637" s="27">
        <v>46122.0</v>
      </c>
      <c r="M637" s="28">
        <v>0.1076388888888889</v>
      </c>
      <c r="N637" s="29" t="s">
        <v>34</v>
      </c>
      <c r="O637" s="29" t="s">
        <v>35</v>
      </c>
      <c r="P637" s="34" t="s">
        <v>36</v>
      </c>
      <c r="Q637" s="34" t="s">
        <v>763</v>
      </c>
      <c r="R637" s="35">
        <v>46122.0</v>
      </c>
      <c r="S637" s="32" t="s">
        <v>29</v>
      </c>
      <c r="T637" s="33"/>
      <c r="U637" s="79"/>
    </row>
    <row r="638" ht="15.75" customHeight="1">
      <c r="A638" s="20">
        <v>46121.0</v>
      </c>
      <c r="B638" s="20">
        <v>46121.0</v>
      </c>
      <c r="C638" s="20" t="s">
        <v>25</v>
      </c>
      <c r="D638" s="21" t="s">
        <v>59</v>
      </c>
      <c r="E638" s="21" t="s">
        <v>38</v>
      </c>
      <c r="F638" s="22">
        <v>0.00837962962962963</v>
      </c>
      <c r="G638" s="21" t="s">
        <v>33</v>
      </c>
      <c r="H638" s="24"/>
      <c r="I638" s="25"/>
      <c r="J638" s="26"/>
      <c r="K638" s="21"/>
      <c r="L638" s="27">
        <v>46122.0</v>
      </c>
      <c r="M638" s="28">
        <v>0.0625</v>
      </c>
      <c r="N638" s="29" t="s">
        <v>69</v>
      </c>
      <c r="O638" s="29" t="s">
        <v>35</v>
      </c>
      <c r="P638" s="34" t="s">
        <v>36</v>
      </c>
      <c r="Q638" s="34">
        <v>1.200676E7</v>
      </c>
      <c r="R638" s="35">
        <v>46122.0</v>
      </c>
      <c r="S638" s="32" t="s">
        <v>29</v>
      </c>
      <c r="T638" s="33"/>
      <c r="U638" s="33"/>
    </row>
    <row r="639" ht="15.75" customHeight="1">
      <c r="A639" s="20">
        <v>46121.0</v>
      </c>
      <c r="B639" s="20">
        <v>46121.0</v>
      </c>
      <c r="C639" s="20" t="s">
        <v>25</v>
      </c>
      <c r="D639" s="21" t="s">
        <v>34</v>
      </c>
      <c r="E639" s="21" t="s">
        <v>40</v>
      </c>
      <c r="F639" s="22">
        <v>0.020648148148148148</v>
      </c>
      <c r="G639" s="21" t="s">
        <v>33</v>
      </c>
      <c r="H639" s="24"/>
      <c r="I639" s="25"/>
      <c r="J639" s="26"/>
      <c r="K639" s="21"/>
      <c r="L639" s="27">
        <v>46122.0</v>
      </c>
      <c r="M639" s="28">
        <v>0.06319444444444444</v>
      </c>
      <c r="N639" s="29" t="s">
        <v>49</v>
      </c>
      <c r="O639" s="29" t="s">
        <v>35</v>
      </c>
      <c r="P639" s="34" t="s">
        <v>36</v>
      </c>
      <c r="Q639" s="34" t="s">
        <v>764</v>
      </c>
      <c r="R639" s="35">
        <v>46122.0</v>
      </c>
      <c r="S639" s="32" t="s">
        <v>29</v>
      </c>
      <c r="T639" s="33"/>
      <c r="U639" s="33"/>
    </row>
    <row r="640" ht="15.75" customHeight="1">
      <c r="A640" s="20">
        <v>46121.0</v>
      </c>
      <c r="B640" s="20">
        <v>46121.0</v>
      </c>
      <c r="C640" s="20"/>
      <c r="D640" s="21"/>
      <c r="E640" s="21" t="s">
        <v>43</v>
      </c>
      <c r="F640" s="22">
        <v>0.016724537037037038</v>
      </c>
      <c r="G640" s="21" t="s">
        <v>33</v>
      </c>
      <c r="H640" s="24"/>
      <c r="I640" s="25"/>
      <c r="J640" s="26"/>
      <c r="K640" s="21"/>
      <c r="L640" s="27">
        <v>46122.0</v>
      </c>
      <c r="M640" s="28">
        <v>0.03819444444444445</v>
      </c>
      <c r="N640" s="29" t="s">
        <v>59</v>
      </c>
      <c r="O640" s="29" t="s">
        <v>35</v>
      </c>
      <c r="P640" s="30" t="s">
        <v>28</v>
      </c>
      <c r="Q640" s="30" t="s">
        <v>28</v>
      </c>
      <c r="R640" s="31" t="s">
        <v>28</v>
      </c>
      <c r="S640" s="32" t="s">
        <v>29</v>
      </c>
      <c r="T640" s="33"/>
      <c r="U640" s="33"/>
    </row>
    <row r="641" ht="15.75" customHeight="1">
      <c r="A641" s="36">
        <v>46122.0</v>
      </c>
      <c r="B641" s="36">
        <v>46122.0</v>
      </c>
      <c r="C641" s="36" t="s">
        <v>25</v>
      </c>
      <c r="D641" s="37" t="s">
        <v>49</v>
      </c>
      <c r="E641" s="37" t="s">
        <v>26</v>
      </c>
      <c r="F641" s="38">
        <v>0.10017361111111112</v>
      </c>
      <c r="G641" s="37" t="s">
        <v>33</v>
      </c>
      <c r="H641" s="39"/>
      <c r="I641" s="40" t="s">
        <v>178</v>
      </c>
      <c r="J641" s="41">
        <v>46122.55069444444</v>
      </c>
      <c r="K641" s="37" t="s">
        <v>765</v>
      </c>
      <c r="L641" s="42">
        <v>46125.0</v>
      </c>
      <c r="M641" s="43">
        <v>0.1875</v>
      </c>
      <c r="N641" s="44" t="s">
        <v>31</v>
      </c>
      <c r="O641" s="44" t="s">
        <v>35</v>
      </c>
      <c r="P641" s="45" t="s">
        <v>36</v>
      </c>
      <c r="Q641" s="45" t="s">
        <v>766</v>
      </c>
      <c r="R641" s="46">
        <v>46128.0</v>
      </c>
      <c r="S641" s="54" t="s">
        <v>29</v>
      </c>
      <c r="T641" s="33"/>
      <c r="U641" s="33"/>
    </row>
    <row r="642" ht="15.75" customHeight="1">
      <c r="A642" s="20">
        <v>46122.0</v>
      </c>
      <c r="B642" s="20">
        <v>46122.0</v>
      </c>
      <c r="C642" s="20" t="s">
        <v>25</v>
      </c>
      <c r="D642" s="21" t="s">
        <v>57</v>
      </c>
      <c r="E642" s="21" t="s">
        <v>30</v>
      </c>
      <c r="F642" s="22">
        <v>0.007233796296296296</v>
      </c>
      <c r="G642" s="21" t="s">
        <v>33</v>
      </c>
      <c r="H642" s="24"/>
      <c r="I642" s="25"/>
      <c r="J642" s="26"/>
      <c r="K642" s="21"/>
      <c r="L642" s="27">
        <v>46122.0</v>
      </c>
      <c r="M642" s="28">
        <v>0.017361111111111112</v>
      </c>
      <c r="N642" s="29" t="s">
        <v>57</v>
      </c>
      <c r="O642" s="29" t="s">
        <v>35</v>
      </c>
      <c r="P642" s="34" t="s">
        <v>36</v>
      </c>
      <c r="Q642" s="34" t="s">
        <v>767</v>
      </c>
      <c r="R642" s="35">
        <v>46126.0</v>
      </c>
      <c r="S642" s="32" t="s">
        <v>29</v>
      </c>
      <c r="T642" s="33"/>
      <c r="U642" s="33"/>
    </row>
    <row r="643" ht="15.75" customHeight="1">
      <c r="A643" s="20">
        <v>46122.0</v>
      </c>
      <c r="B643" s="20">
        <v>46122.0</v>
      </c>
      <c r="C643" s="20" t="s">
        <v>25</v>
      </c>
      <c r="D643" s="21" t="s">
        <v>69</v>
      </c>
      <c r="E643" s="21" t="s">
        <v>32</v>
      </c>
      <c r="F643" s="22">
        <v>0.04914351851851852</v>
      </c>
      <c r="G643" s="21" t="s">
        <v>33</v>
      </c>
      <c r="H643" s="24"/>
      <c r="I643" s="25"/>
      <c r="J643" s="26"/>
      <c r="K643" s="21"/>
      <c r="L643" s="27">
        <v>46123.0</v>
      </c>
      <c r="M643" s="28">
        <v>0.125</v>
      </c>
      <c r="N643" s="29" t="s">
        <v>31</v>
      </c>
      <c r="O643" s="29" t="s">
        <v>35</v>
      </c>
      <c r="P643" s="34" t="s">
        <v>36</v>
      </c>
      <c r="Q643" s="34" t="s">
        <v>768</v>
      </c>
      <c r="R643" s="35">
        <v>46126.0</v>
      </c>
      <c r="S643" s="32" t="s">
        <v>29</v>
      </c>
      <c r="T643" s="33"/>
      <c r="U643" s="33"/>
    </row>
    <row r="644" ht="15.75" customHeight="1">
      <c r="A644" s="20">
        <v>46122.0</v>
      </c>
      <c r="B644" s="20">
        <v>46122.0</v>
      </c>
      <c r="C644" s="20" t="s">
        <v>25</v>
      </c>
      <c r="D644" s="21" t="s">
        <v>59</v>
      </c>
      <c r="E644" s="21" t="s">
        <v>38</v>
      </c>
      <c r="F644" s="22">
        <v>0.008194444444444445</v>
      </c>
      <c r="G644" s="21" t="s">
        <v>33</v>
      </c>
      <c r="H644" s="24"/>
      <c r="I644" s="25"/>
      <c r="J644" s="26"/>
      <c r="K644" s="21"/>
      <c r="L644" s="27">
        <v>46125.0</v>
      </c>
      <c r="M644" s="28">
        <v>0.01597222222222222</v>
      </c>
      <c r="N644" s="29" t="s">
        <v>49</v>
      </c>
      <c r="O644" s="29" t="s">
        <v>35</v>
      </c>
      <c r="P644" s="34" t="s">
        <v>36</v>
      </c>
      <c r="Q644" s="34">
        <v>1.2006761E7</v>
      </c>
      <c r="R644" s="35">
        <v>46126.0</v>
      </c>
      <c r="S644" s="32" t="s">
        <v>29</v>
      </c>
      <c r="T644" s="33"/>
      <c r="U644" s="33"/>
    </row>
    <row r="645" ht="15.75" customHeight="1">
      <c r="A645" s="20">
        <v>46122.0</v>
      </c>
      <c r="B645" s="20">
        <v>46122.0</v>
      </c>
      <c r="C645" s="20" t="s">
        <v>25</v>
      </c>
      <c r="D645" s="21" t="s">
        <v>34</v>
      </c>
      <c r="E645" s="21" t="s">
        <v>40</v>
      </c>
      <c r="F645" s="22">
        <v>0.019988425925925927</v>
      </c>
      <c r="G645" s="21" t="s">
        <v>33</v>
      </c>
      <c r="H645" s="24"/>
      <c r="I645" s="25"/>
      <c r="J645" s="26"/>
      <c r="K645" s="21"/>
      <c r="L645" s="27">
        <v>46125.0</v>
      </c>
      <c r="M645" s="28">
        <v>0.06388888888888888</v>
      </c>
      <c r="N645" s="29" t="s">
        <v>49</v>
      </c>
      <c r="O645" s="29" t="s">
        <v>35</v>
      </c>
      <c r="P645" s="34" t="s">
        <v>36</v>
      </c>
      <c r="Q645" s="34" t="s">
        <v>769</v>
      </c>
      <c r="R645" s="35">
        <v>46126.0</v>
      </c>
      <c r="S645" s="32" t="s">
        <v>29</v>
      </c>
      <c r="T645" s="33"/>
      <c r="U645" s="33"/>
    </row>
    <row r="646" ht="15.75" customHeight="1">
      <c r="A646" s="20">
        <v>46122.0</v>
      </c>
      <c r="B646" s="20">
        <v>46122.0</v>
      </c>
      <c r="C646" s="20"/>
      <c r="D646" s="21"/>
      <c r="E646" s="21" t="s">
        <v>43</v>
      </c>
      <c r="F646" s="22">
        <v>0.015810185185185184</v>
      </c>
      <c r="G646" s="21" t="s">
        <v>33</v>
      </c>
      <c r="H646" s="24"/>
      <c r="I646" s="25"/>
      <c r="J646" s="26"/>
      <c r="K646" s="21"/>
      <c r="L646" s="27">
        <v>46125.0</v>
      </c>
      <c r="M646" s="28">
        <v>0.041666666666666664</v>
      </c>
      <c r="N646" s="29" t="s">
        <v>34</v>
      </c>
      <c r="O646" s="29" t="s">
        <v>35</v>
      </c>
      <c r="P646" s="30" t="s">
        <v>28</v>
      </c>
      <c r="Q646" s="30" t="s">
        <v>28</v>
      </c>
      <c r="R646" s="31" t="s">
        <v>28</v>
      </c>
      <c r="S646" s="32" t="s">
        <v>29</v>
      </c>
      <c r="T646" s="33"/>
      <c r="U646" s="33"/>
    </row>
    <row r="647" ht="15.75" customHeight="1">
      <c r="A647" s="55">
        <v>46123.0</v>
      </c>
      <c r="B647" s="55">
        <v>46123.0</v>
      </c>
      <c r="C647" s="55" t="s">
        <v>25</v>
      </c>
      <c r="D647" s="56" t="s">
        <v>31</v>
      </c>
      <c r="E647" s="56" t="s">
        <v>32</v>
      </c>
      <c r="F647" s="57">
        <v>0.0515162037037037</v>
      </c>
      <c r="G647" s="56" t="s">
        <v>33</v>
      </c>
      <c r="H647" s="24"/>
      <c r="I647" s="25"/>
      <c r="J647" s="26"/>
      <c r="K647" s="21"/>
      <c r="L647" s="27">
        <v>46125.0</v>
      </c>
      <c r="M647" s="28">
        <v>0.12152777777777778</v>
      </c>
      <c r="N647" s="29" t="s">
        <v>59</v>
      </c>
      <c r="O647" s="29" t="s">
        <v>35</v>
      </c>
      <c r="P647" s="34" t="s">
        <v>36</v>
      </c>
      <c r="Q647" s="34" t="s">
        <v>770</v>
      </c>
      <c r="R647" s="35">
        <v>46126.0</v>
      </c>
      <c r="S647" s="32" t="s">
        <v>29</v>
      </c>
      <c r="T647" s="33"/>
      <c r="U647" s="33"/>
    </row>
    <row r="648" ht="15.75" customHeight="1">
      <c r="A648" s="55">
        <v>46123.0</v>
      </c>
      <c r="B648" s="55">
        <v>46123.0</v>
      </c>
      <c r="C648" s="55" t="s">
        <v>25</v>
      </c>
      <c r="D648" s="56" t="s">
        <v>59</v>
      </c>
      <c r="E648" s="56" t="s">
        <v>40</v>
      </c>
      <c r="F648" s="57">
        <v>0.016435185185185185</v>
      </c>
      <c r="G648" s="56" t="s">
        <v>33</v>
      </c>
      <c r="H648" s="24"/>
      <c r="I648" s="25"/>
      <c r="J648" s="26"/>
      <c r="K648" s="21"/>
      <c r="L648" s="27">
        <v>46125.0</v>
      </c>
      <c r="M648" s="28">
        <v>0.04861111111111111</v>
      </c>
      <c r="N648" s="29" t="s">
        <v>59</v>
      </c>
      <c r="O648" s="29" t="s">
        <v>35</v>
      </c>
      <c r="P648" s="34" t="s">
        <v>36</v>
      </c>
      <c r="Q648" s="34" t="s">
        <v>771</v>
      </c>
      <c r="R648" s="35">
        <v>46126.0</v>
      </c>
      <c r="S648" s="32" t="s">
        <v>29</v>
      </c>
      <c r="T648" s="33"/>
      <c r="U648" s="33"/>
    </row>
    <row r="649" ht="15.75" customHeight="1">
      <c r="A649" s="55">
        <v>46123.0</v>
      </c>
      <c r="B649" s="55">
        <v>46123.0</v>
      </c>
      <c r="C649" s="55"/>
      <c r="D649" s="56"/>
      <c r="E649" s="56" t="s">
        <v>43</v>
      </c>
      <c r="F649" s="57">
        <v>0.015335648148148149</v>
      </c>
      <c r="G649" s="56" t="s">
        <v>33</v>
      </c>
      <c r="H649" s="24"/>
      <c r="I649" s="25"/>
      <c r="J649" s="26"/>
      <c r="K649" s="21"/>
      <c r="L649" s="27">
        <v>46127.0</v>
      </c>
      <c r="M649" s="28">
        <v>0.03125</v>
      </c>
      <c r="N649" s="29" t="s">
        <v>34</v>
      </c>
      <c r="O649" s="29" t="s">
        <v>35</v>
      </c>
      <c r="P649" s="30" t="s">
        <v>28</v>
      </c>
      <c r="Q649" s="30" t="s">
        <v>28</v>
      </c>
      <c r="R649" s="31" t="s">
        <v>28</v>
      </c>
      <c r="S649" s="32" t="s">
        <v>29</v>
      </c>
      <c r="T649" s="33"/>
      <c r="U649" s="33"/>
    </row>
    <row r="650" ht="15.75" customHeight="1">
      <c r="A650" s="55">
        <v>46123.0</v>
      </c>
      <c r="B650" s="55">
        <v>46123.0</v>
      </c>
      <c r="C650" s="55"/>
      <c r="D650" s="56"/>
      <c r="E650" s="56" t="s">
        <v>61</v>
      </c>
      <c r="F650" s="57"/>
      <c r="G650" s="59" t="s">
        <v>27</v>
      </c>
      <c r="H650" s="24"/>
      <c r="I650" s="25"/>
      <c r="J650" s="26"/>
      <c r="K650" s="21"/>
      <c r="L650" s="27"/>
      <c r="M650" s="28"/>
      <c r="N650" s="29"/>
      <c r="O650" s="29"/>
      <c r="P650" s="34" t="s">
        <v>28</v>
      </c>
      <c r="Q650" s="34" t="s">
        <v>28</v>
      </c>
      <c r="R650" s="35" t="s">
        <v>28</v>
      </c>
      <c r="S650" s="32" t="s">
        <v>29</v>
      </c>
      <c r="T650" s="33"/>
      <c r="U650" s="33"/>
    </row>
    <row r="651" ht="15.75" customHeight="1">
      <c r="A651" s="55">
        <v>46123.0</v>
      </c>
      <c r="B651" s="55">
        <v>46123.0</v>
      </c>
      <c r="C651" s="55"/>
      <c r="D651" s="56"/>
      <c r="E651" s="56" t="s">
        <v>62</v>
      </c>
      <c r="F651" s="57"/>
      <c r="G651" s="59" t="s">
        <v>27</v>
      </c>
      <c r="H651" s="24"/>
      <c r="I651" s="25"/>
      <c r="J651" s="26"/>
      <c r="K651" s="21"/>
      <c r="L651" s="27"/>
      <c r="M651" s="28"/>
      <c r="N651" s="29"/>
      <c r="O651" s="29"/>
      <c r="P651" s="34" t="s">
        <v>28</v>
      </c>
      <c r="Q651" s="34" t="s">
        <v>28</v>
      </c>
      <c r="R651" s="35" t="s">
        <v>28</v>
      </c>
      <c r="S651" s="32" t="s">
        <v>29</v>
      </c>
      <c r="T651" s="33"/>
      <c r="U651" s="33"/>
    </row>
    <row r="652" ht="15.75" customHeight="1">
      <c r="A652" s="55">
        <v>46123.0</v>
      </c>
      <c r="B652" s="55">
        <v>46123.0</v>
      </c>
      <c r="C652" s="55"/>
      <c r="D652" s="56"/>
      <c r="E652" s="56" t="s">
        <v>63</v>
      </c>
      <c r="F652" s="57"/>
      <c r="G652" s="59" t="s">
        <v>27</v>
      </c>
      <c r="H652" s="24"/>
      <c r="I652" s="25"/>
      <c r="J652" s="26"/>
      <c r="K652" s="21"/>
      <c r="L652" s="27"/>
      <c r="M652" s="28"/>
      <c r="N652" s="29"/>
      <c r="O652" s="29"/>
      <c r="P652" s="34" t="s">
        <v>28</v>
      </c>
      <c r="Q652" s="34" t="s">
        <v>28</v>
      </c>
      <c r="R652" s="35" t="s">
        <v>28</v>
      </c>
      <c r="S652" s="32" t="s">
        <v>29</v>
      </c>
      <c r="T652" s="33"/>
      <c r="U652" s="33"/>
    </row>
    <row r="653" ht="15.75" customHeight="1">
      <c r="A653" s="55">
        <v>46123.0</v>
      </c>
      <c r="B653" s="55">
        <v>46129.0</v>
      </c>
      <c r="C653" s="55" t="s">
        <v>65</v>
      </c>
      <c r="D653" s="56" t="s">
        <v>59</v>
      </c>
      <c r="E653" s="56" t="s">
        <v>772</v>
      </c>
      <c r="F653" s="57">
        <v>0.02020833333333333</v>
      </c>
      <c r="G653" s="82" t="s">
        <v>33</v>
      </c>
      <c r="H653" s="24"/>
      <c r="I653" s="25"/>
      <c r="J653" s="26"/>
      <c r="K653" s="21" t="s">
        <v>773</v>
      </c>
      <c r="L653" s="27">
        <v>46129.0</v>
      </c>
      <c r="M653" s="28">
        <v>0.003472222222222222</v>
      </c>
      <c r="N653" s="29" t="s">
        <v>34</v>
      </c>
      <c r="O653" s="29" t="s">
        <v>355</v>
      </c>
      <c r="P653" s="34" t="s">
        <v>36</v>
      </c>
      <c r="Q653" s="34" t="s">
        <v>774</v>
      </c>
      <c r="R653" s="35">
        <v>46136.0</v>
      </c>
      <c r="S653" s="32"/>
      <c r="T653" s="33"/>
      <c r="U653" s="33"/>
    </row>
    <row r="654" ht="15.75" customHeight="1">
      <c r="A654" s="60">
        <v>46124.0</v>
      </c>
      <c r="B654" s="60">
        <v>46124.0</v>
      </c>
      <c r="C654" s="60"/>
      <c r="D654" s="61"/>
      <c r="E654" s="61" t="s">
        <v>64</v>
      </c>
      <c r="F654" s="62"/>
      <c r="G654" s="63" t="s">
        <v>27</v>
      </c>
      <c r="H654" s="24"/>
      <c r="I654" s="25"/>
      <c r="J654" s="26"/>
      <c r="K654" s="21"/>
      <c r="L654" s="27"/>
      <c r="M654" s="28"/>
      <c r="N654" s="29"/>
      <c r="O654" s="29"/>
      <c r="P654" s="34" t="s">
        <v>28</v>
      </c>
      <c r="Q654" s="34" t="s">
        <v>28</v>
      </c>
      <c r="R654" s="34" t="s">
        <v>28</v>
      </c>
      <c r="S654" s="32" t="s">
        <v>29</v>
      </c>
      <c r="T654" s="33"/>
      <c r="U654" s="33"/>
    </row>
    <row r="655" ht="15.75" customHeight="1">
      <c r="A655" s="60">
        <v>46124.0</v>
      </c>
      <c r="B655" s="60">
        <v>46124.0</v>
      </c>
      <c r="C655" s="60" t="s">
        <v>65</v>
      </c>
      <c r="D655" s="61" t="s">
        <v>59</v>
      </c>
      <c r="E655" s="61" t="s">
        <v>66</v>
      </c>
      <c r="F655" s="62">
        <v>0.021030092592592593</v>
      </c>
      <c r="G655" s="61" t="s">
        <v>33</v>
      </c>
      <c r="H655" s="24" t="s">
        <v>775</v>
      </c>
      <c r="I655" s="25" t="s">
        <v>46</v>
      </c>
      <c r="J655" s="26">
        <v>46126.0</v>
      </c>
      <c r="K655" s="21" t="s">
        <v>776</v>
      </c>
      <c r="L655" s="27">
        <v>46127.0</v>
      </c>
      <c r="M655" s="28">
        <v>0.020833333333333332</v>
      </c>
      <c r="N655" s="29" t="s">
        <v>69</v>
      </c>
      <c r="O655" s="29" t="s">
        <v>35</v>
      </c>
      <c r="P655" s="34" t="s">
        <v>36</v>
      </c>
      <c r="Q655" s="34" t="s">
        <v>777</v>
      </c>
      <c r="R655" s="35">
        <v>46128.0</v>
      </c>
      <c r="S655" s="32" t="s">
        <v>29</v>
      </c>
      <c r="T655" s="33"/>
      <c r="U655" s="33"/>
    </row>
    <row r="656" ht="15.75" customHeight="1">
      <c r="A656" s="20">
        <v>46125.0</v>
      </c>
      <c r="B656" s="20">
        <v>46125.0</v>
      </c>
      <c r="C656" s="20" t="s">
        <v>25</v>
      </c>
      <c r="D656" s="21" t="s">
        <v>49</v>
      </c>
      <c r="E656" s="21" t="s">
        <v>26</v>
      </c>
      <c r="F656" s="22">
        <v>0.1003587962962963</v>
      </c>
      <c r="G656" s="21" t="s">
        <v>33</v>
      </c>
      <c r="H656" s="24"/>
      <c r="I656" s="25"/>
      <c r="J656" s="26"/>
      <c r="K656" s="21"/>
      <c r="L656" s="27">
        <v>46126.0</v>
      </c>
      <c r="M656" s="28">
        <v>0.23958333333333334</v>
      </c>
      <c r="N656" s="29" t="s">
        <v>34</v>
      </c>
      <c r="O656" s="29" t="s">
        <v>35</v>
      </c>
      <c r="P656" s="34" t="s">
        <v>36</v>
      </c>
      <c r="Q656" s="34" t="s">
        <v>778</v>
      </c>
      <c r="R656" s="35">
        <v>46126.0</v>
      </c>
      <c r="S656" s="32" t="s">
        <v>29</v>
      </c>
      <c r="T656" s="33"/>
      <c r="U656" s="33"/>
    </row>
    <row r="657" ht="15.75" customHeight="1">
      <c r="A657" s="20">
        <v>46125.0</v>
      </c>
      <c r="B657" s="20">
        <v>46125.0</v>
      </c>
      <c r="C657" s="20" t="s">
        <v>25</v>
      </c>
      <c r="D657" s="21" t="s">
        <v>31</v>
      </c>
      <c r="E657" s="21" t="s">
        <v>30</v>
      </c>
      <c r="F657" s="22">
        <v>0.007118055555555555</v>
      </c>
      <c r="G657" s="21" t="s">
        <v>33</v>
      </c>
      <c r="H657" s="24"/>
      <c r="I657" s="25"/>
      <c r="J657" s="26"/>
      <c r="K657" s="21"/>
      <c r="L657" s="27">
        <v>46125.0</v>
      </c>
      <c r="M657" s="28">
        <v>0.020833333333333332</v>
      </c>
      <c r="N657" s="29" t="s">
        <v>31</v>
      </c>
      <c r="O657" s="29" t="s">
        <v>35</v>
      </c>
      <c r="P657" s="34" t="s">
        <v>36</v>
      </c>
      <c r="Q657" s="34" t="s">
        <v>779</v>
      </c>
      <c r="R657" s="35">
        <v>46126.0</v>
      </c>
      <c r="S657" s="32" t="s">
        <v>29</v>
      </c>
      <c r="T657" s="33"/>
      <c r="U657" s="33"/>
    </row>
    <row r="658" ht="15.75" customHeight="1">
      <c r="A658" s="20">
        <v>46125.0</v>
      </c>
      <c r="B658" s="20">
        <v>46125.0</v>
      </c>
      <c r="C658" s="20" t="s">
        <v>25</v>
      </c>
      <c r="D658" s="21" t="s">
        <v>34</v>
      </c>
      <c r="E658" s="21" t="s">
        <v>32</v>
      </c>
      <c r="F658" s="22">
        <v>0.04846064814814815</v>
      </c>
      <c r="G658" s="21" t="s">
        <v>33</v>
      </c>
      <c r="H658" s="24"/>
      <c r="I658" s="25"/>
      <c r="J658" s="26"/>
      <c r="K658" s="21"/>
      <c r="L658" s="27">
        <v>46126.0</v>
      </c>
      <c r="M658" s="28">
        <v>0.125</v>
      </c>
      <c r="N658" s="29" t="s">
        <v>31</v>
      </c>
      <c r="O658" s="29" t="s">
        <v>35</v>
      </c>
      <c r="P658" s="34" t="s">
        <v>36</v>
      </c>
      <c r="Q658" s="34" t="s">
        <v>780</v>
      </c>
      <c r="R658" s="35">
        <v>46126.0</v>
      </c>
      <c r="S658" s="32" t="s">
        <v>29</v>
      </c>
      <c r="T658" s="33"/>
      <c r="U658" s="33"/>
    </row>
    <row r="659" ht="15.75" customHeight="1">
      <c r="A659" s="20">
        <v>46125.0</v>
      </c>
      <c r="B659" s="20">
        <v>46125.0</v>
      </c>
      <c r="C659" s="20" t="s">
        <v>25</v>
      </c>
      <c r="D659" s="21" t="s">
        <v>39</v>
      </c>
      <c r="E659" s="21" t="s">
        <v>38</v>
      </c>
      <c r="F659" s="22">
        <v>0.008402777777777778</v>
      </c>
      <c r="G659" s="21" t="s">
        <v>33</v>
      </c>
      <c r="H659" s="24"/>
      <c r="I659" s="25"/>
      <c r="J659" s="26"/>
      <c r="K659" s="21"/>
      <c r="L659" s="27">
        <v>46126.0</v>
      </c>
      <c r="M659" s="28">
        <v>0.041666666666666664</v>
      </c>
      <c r="N659" s="29" t="s">
        <v>69</v>
      </c>
      <c r="O659" s="29" t="s">
        <v>35</v>
      </c>
      <c r="P659" s="34" t="s">
        <v>36</v>
      </c>
      <c r="Q659" s="34">
        <v>1.2006762E7</v>
      </c>
      <c r="R659" s="35">
        <v>46126.0</v>
      </c>
      <c r="S659" s="32" t="s">
        <v>29</v>
      </c>
      <c r="T659" s="33"/>
      <c r="U659" s="33"/>
    </row>
    <row r="660" ht="15.75" customHeight="1">
      <c r="A660" s="20">
        <v>46125.0</v>
      </c>
      <c r="B660" s="20">
        <v>46125.0</v>
      </c>
      <c r="C660" s="20" t="s">
        <v>25</v>
      </c>
      <c r="D660" s="21" t="s">
        <v>34</v>
      </c>
      <c r="E660" s="21" t="s">
        <v>40</v>
      </c>
      <c r="F660" s="22">
        <v>0.019537037037037037</v>
      </c>
      <c r="G660" s="21" t="s">
        <v>33</v>
      </c>
      <c r="H660" s="24"/>
      <c r="I660" s="25"/>
      <c r="J660" s="26"/>
      <c r="K660" s="21"/>
      <c r="L660" s="27">
        <v>46126.0</v>
      </c>
      <c r="M660" s="28">
        <v>0.06597222222222222</v>
      </c>
      <c r="N660" s="29" t="s">
        <v>59</v>
      </c>
      <c r="O660" s="29" t="s">
        <v>35</v>
      </c>
      <c r="P660" s="34" t="s">
        <v>36</v>
      </c>
      <c r="Q660" s="34" t="s">
        <v>781</v>
      </c>
      <c r="R660" s="35">
        <v>46126.0</v>
      </c>
      <c r="S660" s="32" t="s">
        <v>29</v>
      </c>
      <c r="T660" s="33"/>
      <c r="U660" s="33"/>
    </row>
    <row r="661" ht="15.75" customHeight="1">
      <c r="A661" s="20">
        <v>46125.0</v>
      </c>
      <c r="B661" s="20">
        <v>46125.0</v>
      </c>
      <c r="C661" s="20"/>
      <c r="D661" s="21"/>
      <c r="E661" s="21" t="s">
        <v>43</v>
      </c>
      <c r="F661" s="22">
        <v>0.015787037037037037</v>
      </c>
      <c r="G661" s="21" t="s">
        <v>33</v>
      </c>
      <c r="H661" s="24"/>
      <c r="I661" s="25"/>
      <c r="J661" s="26"/>
      <c r="K661" s="21"/>
      <c r="L661" s="27">
        <v>46126.0</v>
      </c>
      <c r="M661" s="28">
        <v>0.04861111111111111</v>
      </c>
      <c r="N661" s="29" t="s">
        <v>57</v>
      </c>
      <c r="O661" s="29" t="s">
        <v>35</v>
      </c>
      <c r="P661" s="30" t="s">
        <v>28</v>
      </c>
      <c r="Q661" s="30" t="s">
        <v>28</v>
      </c>
      <c r="R661" s="31" t="s">
        <v>28</v>
      </c>
      <c r="S661" s="32" t="s">
        <v>29</v>
      </c>
      <c r="T661" s="33"/>
      <c r="U661" s="33"/>
    </row>
    <row r="662" ht="15.75" customHeight="1">
      <c r="A662" s="20">
        <v>46126.0</v>
      </c>
      <c r="B662" s="20">
        <v>46126.0</v>
      </c>
      <c r="C662" s="20" t="s">
        <v>25</v>
      </c>
      <c r="D662" s="21" t="s">
        <v>49</v>
      </c>
      <c r="E662" s="21" t="s">
        <v>26</v>
      </c>
      <c r="F662" s="22">
        <v>0.10090277777777777</v>
      </c>
      <c r="G662" s="21" t="s">
        <v>33</v>
      </c>
      <c r="H662" s="24"/>
      <c r="I662" s="25"/>
      <c r="J662" s="26"/>
      <c r="K662" s="21"/>
      <c r="L662" s="27">
        <v>46127.0</v>
      </c>
      <c r="M662" s="28">
        <v>0.20833333333333334</v>
      </c>
      <c r="N662" s="29" t="s">
        <v>59</v>
      </c>
      <c r="O662" s="29" t="s">
        <v>35</v>
      </c>
      <c r="P662" s="34" t="s">
        <v>36</v>
      </c>
      <c r="Q662" s="34" t="s">
        <v>782</v>
      </c>
      <c r="R662" s="35">
        <v>46128.0</v>
      </c>
      <c r="S662" s="32" t="s">
        <v>29</v>
      </c>
      <c r="T662" s="33"/>
      <c r="U662" s="33"/>
    </row>
    <row r="663" ht="15.75" customHeight="1">
      <c r="A663" s="20">
        <v>46126.0</v>
      </c>
      <c r="B663" s="20">
        <v>46126.0</v>
      </c>
      <c r="C663" s="20" t="s">
        <v>25</v>
      </c>
      <c r="D663" s="21" t="s">
        <v>34</v>
      </c>
      <c r="E663" s="21" t="s">
        <v>30</v>
      </c>
      <c r="F663" s="22">
        <v>0.0019675925925925924</v>
      </c>
      <c r="G663" s="21" t="s">
        <v>33</v>
      </c>
      <c r="H663" s="24"/>
      <c r="I663" s="25"/>
      <c r="J663" s="26"/>
      <c r="K663" s="21"/>
      <c r="L663" s="27">
        <v>46126.0</v>
      </c>
      <c r="M663" s="28">
        <v>0.004166666666666667</v>
      </c>
      <c r="N663" s="29" t="s">
        <v>34</v>
      </c>
      <c r="O663" s="29" t="s">
        <v>35</v>
      </c>
      <c r="P663" s="34" t="s">
        <v>36</v>
      </c>
      <c r="Q663" s="34" t="s">
        <v>783</v>
      </c>
      <c r="R663" s="35">
        <v>46128.0</v>
      </c>
      <c r="S663" s="32" t="s">
        <v>29</v>
      </c>
      <c r="T663" s="33"/>
      <c r="U663" s="33"/>
    </row>
    <row r="664" ht="15.75" customHeight="1">
      <c r="A664" s="20">
        <v>46126.0</v>
      </c>
      <c r="B664" s="20">
        <v>46126.0</v>
      </c>
      <c r="C664" s="20" t="s">
        <v>25</v>
      </c>
      <c r="D664" s="21" t="s">
        <v>69</v>
      </c>
      <c r="E664" s="21" t="s">
        <v>32</v>
      </c>
      <c r="F664" s="22">
        <v>0.051076388888888886</v>
      </c>
      <c r="G664" s="21" t="s">
        <v>33</v>
      </c>
      <c r="H664" s="24"/>
      <c r="I664" s="25"/>
      <c r="J664" s="26"/>
      <c r="K664" s="21"/>
      <c r="L664" s="27">
        <v>46127.0</v>
      </c>
      <c r="M664" s="28">
        <v>0.14583333333333334</v>
      </c>
      <c r="N664" s="29" t="s">
        <v>31</v>
      </c>
      <c r="O664" s="29" t="s">
        <v>35</v>
      </c>
      <c r="P664" s="34" t="s">
        <v>36</v>
      </c>
      <c r="Q664" s="34" t="s">
        <v>784</v>
      </c>
      <c r="R664" s="35">
        <v>46128.0</v>
      </c>
      <c r="S664" s="32" t="s">
        <v>29</v>
      </c>
      <c r="T664" s="33"/>
      <c r="U664" s="33"/>
    </row>
    <row r="665" ht="15.75" customHeight="1">
      <c r="A665" s="20">
        <v>46126.0</v>
      </c>
      <c r="B665" s="20">
        <v>46126.0</v>
      </c>
      <c r="C665" s="20" t="s">
        <v>25</v>
      </c>
      <c r="D665" s="21" t="s">
        <v>39</v>
      </c>
      <c r="E665" s="21" t="s">
        <v>38</v>
      </c>
      <c r="F665" s="22">
        <v>0.009131944444444444</v>
      </c>
      <c r="G665" s="21" t="s">
        <v>33</v>
      </c>
      <c r="H665" s="24"/>
      <c r="I665" s="25"/>
      <c r="J665" s="26"/>
      <c r="K665" s="21"/>
      <c r="L665" s="27">
        <v>46128.0</v>
      </c>
      <c r="M665" s="28">
        <v>0.041666666666666664</v>
      </c>
      <c r="N665" s="29" t="s">
        <v>69</v>
      </c>
      <c r="O665" s="29" t="s">
        <v>35</v>
      </c>
      <c r="P665" s="34" t="s">
        <v>36</v>
      </c>
      <c r="Q665" s="34">
        <v>1.2006763E7</v>
      </c>
      <c r="R665" s="35">
        <v>46128.0</v>
      </c>
      <c r="S665" s="32" t="s">
        <v>29</v>
      </c>
      <c r="T665" s="33"/>
      <c r="U665" s="33"/>
    </row>
    <row r="666" ht="15.75" customHeight="1">
      <c r="A666" s="20">
        <v>46126.0</v>
      </c>
      <c r="B666" s="20">
        <v>46126.0</v>
      </c>
      <c r="C666" s="20" t="s">
        <v>25</v>
      </c>
      <c r="D666" s="21" t="s">
        <v>39</v>
      </c>
      <c r="E666" s="21" t="s">
        <v>40</v>
      </c>
      <c r="F666" s="22">
        <v>0.020405092592592593</v>
      </c>
      <c r="G666" s="21" t="s">
        <v>33</v>
      </c>
      <c r="H666" s="24"/>
      <c r="I666" s="25"/>
      <c r="J666" s="26"/>
      <c r="K666" s="21"/>
      <c r="L666" s="27">
        <v>46127.0</v>
      </c>
      <c r="M666" s="28">
        <v>0.05763888888888889</v>
      </c>
      <c r="N666" s="29" t="s">
        <v>49</v>
      </c>
      <c r="O666" s="29" t="s">
        <v>35</v>
      </c>
      <c r="P666" s="34" t="s">
        <v>36</v>
      </c>
      <c r="Q666" s="34" t="s">
        <v>785</v>
      </c>
      <c r="R666" s="35">
        <v>46128.0</v>
      </c>
      <c r="S666" s="32" t="s">
        <v>29</v>
      </c>
      <c r="T666" s="33"/>
      <c r="U666" s="33"/>
    </row>
    <row r="667" ht="15.75" customHeight="1">
      <c r="A667" s="20">
        <v>46126.0</v>
      </c>
      <c r="B667" s="20">
        <v>46126.0</v>
      </c>
      <c r="C667" s="20"/>
      <c r="D667" s="21"/>
      <c r="E667" s="21" t="s">
        <v>43</v>
      </c>
      <c r="F667" s="22">
        <v>0.014560185185185185</v>
      </c>
      <c r="G667" s="21" t="s">
        <v>33</v>
      </c>
      <c r="H667" s="24"/>
      <c r="I667" s="25"/>
      <c r="J667" s="26"/>
      <c r="K667" s="21"/>
      <c r="L667" s="27">
        <v>46127.0</v>
      </c>
      <c r="M667" s="28">
        <v>0.052083333333333336</v>
      </c>
      <c r="N667" s="29" t="s">
        <v>57</v>
      </c>
      <c r="O667" s="29" t="s">
        <v>35</v>
      </c>
      <c r="P667" s="30" t="s">
        <v>28</v>
      </c>
      <c r="Q667" s="30" t="s">
        <v>28</v>
      </c>
      <c r="R667" s="31" t="s">
        <v>28</v>
      </c>
      <c r="S667" s="32" t="s">
        <v>29</v>
      </c>
      <c r="T667" s="33"/>
      <c r="U667" s="33"/>
    </row>
    <row r="668" ht="15.75" customHeight="1">
      <c r="A668" s="20">
        <v>46127.0</v>
      </c>
      <c r="B668" s="20">
        <v>46127.0</v>
      </c>
      <c r="C668" s="20" t="s">
        <v>25</v>
      </c>
      <c r="D668" s="21" t="s">
        <v>49</v>
      </c>
      <c r="E668" s="21" t="s">
        <v>26</v>
      </c>
      <c r="F668" s="22">
        <v>0.10041666666666667</v>
      </c>
      <c r="G668" s="21" t="s">
        <v>33</v>
      </c>
      <c r="H668" s="24"/>
      <c r="I668" s="25"/>
      <c r="J668" s="26"/>
      <c r="K668" s="21"/>
      <c r="L668" s="27">
        <v>46128.0</v>
      </c>
      <c r="M668" s="28">
        <v>0.24305555555555555</v>
      </c>
      <c r="N668" s="29" t="s">
        <v>39</v>
      </c>
      <c r="O668" s="29" t="s">
        <v>35</v>
      </c>
      <c r="P668" s="34" t="s">
        <v>36</v>
      </c>
      <c r="Q668" s="34" t="s">
        <v>786</v>
      </c>
      <c r="R668" s="35">
        <v>46128.0</v>
      </c>
      <c r="S668" s="32" t="s">
        <v>29</v>
      </c>
      <c r="T668" s="33"/>
      <c r="U668" s="33"/>
    </row>
    <row r="669" ht="15.75" customHeight="1">
      <c r="A669" s="20">
        <v>46127.0</v>
      </c>
      <c r="B669" s="20">
        <v>46127.0</v>
      </c>
      <c r="C669" s="20" t="s">
        <v>25</v>
      </c>
      <c r="D669" s="21" t="s">
        <v>59</v>
      </c>
      <c r="E669" s="21" t="s">
        <v>30</v>
      </c>
      <c r="F669" s="22">
        <v>0.0015162037037037036</v>
      </c>
      <c r="G669" s="21" t="s">
        <v>33</v>
      </c>
      <c r="H669" s="24"/>
      <c r="I669" s="25"/>
      <c r="J669" s="26"/>
      <c r="K669" s="21"/>
      <c r="L669" s="27">
        <v>46127.0</v>
      </c>
      <c r="M669" s="28">
        <v>0.003472222222222222</v>
      </c>
      <c r="N669" s="29" t="s">
        <v>59</v>
      </c>
      <c r="O669" s="29" t="s">
        <v>35</v>
      </c>
      <c r="P669" s="34" t="s">
        <v>36</v>
      </c>
      <c r="Q669" s="34" t="s">
        <v>787</v>
      </c>
      <c r="R669" s="35">
        <v>46128.0</v>
      </c>
      <c r="S669" s="32" t="s">
        <v>29</v>
      </c>
      <c r="T669" s="33"/>
      <c r="U669" s="33"/>
    </row>
    <row r="670" ht="15.75" customHeight="1">
      <c r="A670" s="20">
        <v>46127.0</v>
      </c>
      <c r="B670" s="20">
        <v>46127.0</v>
      </c>
      <c r="C670" s="20" t="s">
        <v>25</v>
      </c>
      <c r="D670" s="21" t="s">
        <v>69</v>
      </c>
      <c r="E670" s="21" t="s">
        <v>32</v>
      </c>
      <c r="F670" s="22">
        <v>0.04828703703703704</v>
      </c>
      <c r="G670" s="21" t="s">
        <v>33</v>
      </c>
      <c r="H670" s="24"/>
      <c r="I670" s="25"/>
      <c r="J670" s="26"/>
      <c r="K670" s="21"/>
      <c r="L670" s="27">
        <v>46128.0</v>
      </c>
      <c r="M670" s="28">
        <v>0.125</v>
      </c>
      <c r="N670" s="29" t="s">
        <v>31</v>
      </c>
      <c r="O670" s="29" t="s">
        <v>35</v>
      </c>
      <c r="P670" s="34" t="s">
        <v>53</v>
      </c>
      <c r="Q670" s="34" t="s">
        <v>788</v>
      </c>
      <c r="R670" s="35">
        <v>46132.0</v>
      </c>
      <c r="S670" s="32" t="s">
        <v>29</v>
      </c>
      <c r="T670" s="33"/>
      <c r="U670" s="33"/>
    </row>
    <row r="671" ht="15.75" customHeight="1">
      <c r="A671" s="20">
        <v>46127.0</v>
      </c>
      <c r="B671" s="20">
        <v>46127.0</v>
      </c>
      <c r="C671" s="20" t="s">
        <v>25</v>
      </c>
      <c r="D671" s="21" t="s">
        <v>39</v>
      </c>
      <c r="E671" s="21" t="s">
        <v>38</v>
      </c>
      <c r="F671" s="22">
        <v>0.00917824074074074</v>
      </c>
      <c r="G671" s="21" t="s">
        <v>33</v>
      </c>
      <c r="H671" s="24"/>
      <c r="I671" s="25"/>
      <c r="J671" s="26"/>
      <c r="K671" s="21"/>
      <c r="L671" s="27">
        <v>46128.0</v>
      </c>
      <c r="M671" s="28">
        <v>0.041666666666666664</v>
      </c>
      <c r="N671" s="29" t="s">
        <v>69</v>
      </c>
      <c r="O671" s="29" t="s">
        <v>35</v>
      </c>
      <c r="P671" s="34" t="s">
        <v>53</v>
      </c>
      <c r="Q671" s="34">
        <v>1.2006764E7</v>
      </c>
      <c r="R671" s="35">
        <v>46132.0</v>
      </c>
      <c r="S671" s="32" t="s">
        <v>29</v>
      </c>
      <c r="T671" s="33"/>
      <c r="U671" s="33"/>
    </row>
    <row r="672" ht="15.75" customHeight="1">
      <c r="A672" s="20">
        <v>46127.0</v>
      </c>
      <c r="B672" s="20">
        <v>46127.0</v>
      </c>
      <c r="C672" s="20" t="s">
        <v>25</v>
      </c>
      <c r="D672" s="21" t="s">
        <v>39</v>
      </c>
      <c r="E672" s="21" t="s">
        <v>40</v>
      </c>
      <c r="F672" s="22">
        <v>0.01976851851851852</v>
      </c>
      <c r="G672" s="21" t="s">
        <v>33</v>
      </c>
      <c r="H672" s="24"/>
      <c r="I672" s="25"/>
      <c r="J672" s="26"/>
      <c r="K672" s="21"/>
      <c r="L672" s="27">
        <v>46128.0</v>
      </c>
      <c r="M672" s="28">
        <v>0.04861111111111111</v>
      </c>
      <c r="N672" s="29" t="s">
        <v>59</v>
      </c>
      <c r="O672" s="29" t="s">
        <v>35</v>
      </c>
      <c r="P672" s="34" t="s">
        <v>53</v>
      </c>
      <c r="Q672" s="34" t="s">
        <v>789</v>
      </c>
      <c r="R672" s="35">
        <v>46132.0</v>
      </c>
      <c r="S672" s="32" t="s">
        <v>29</v>
      </c>
      <c r="T672" s="33"/>
      <c r="U672" s="33"/>
    </row>
    <row r="673" ht="15.75" customHeight="1">
      <c r="A673" s="20">
        <v>46127.0</v>
      </c>
      <c r="B673" s="20">
        <v>46127.0</v>
      </c>
      <c r="C673" s="20"/>
      <c r="D673" s="21"/>
      <c r="E673" s="21" t="s">
        <v>43</v>
      </c>
      <c r="F673" s="22">
        <v>0.015636574074074074</v>
      </c>
      <c r="G673" s="21" t="s">
        <v>33</v>
      </c>
      <c r="H673" s="24"/>
      <c r="I673" s="25"/>
      <c r="J673" s="26"/>
      <c r="K673" s="21"/>
      <c r="L673" s="27">
        <v>46128.0</v>
      </c>
      <c r="M673" s="28">
        <v>0.041666666666666664</v>
      </c>
      <c r="N673" s="29" t="s">
        <v>57</v>
      </c>
      <c r="O673" s="29" t="s">
        <v>35</v>
      </c>
      <c r="P673" s="30" t="s">
        <v>28</v>
      </c>
      <c r="Q673" s="30" t="s">
        <v>28</v>
      </c>
      <c r="R673" s="31" t="s">
        <v>28</v>
      </c>
      <c r="S673" s="32" t="s">
        <v>29</v>
      </c>
      <c r="T673" s="33"/>
      <c r="U673" s="33"/>
    </row>
    <row r="674" ht="15.75" customHeight="1">
      <c r="A674" s="20">
        <v>46127.0</v>
      </c>
      <c r="B674" s="20">
        <v>46127.0</v>
      </c>
      <c r="C674" s="20" t="s">
        <v>25</v>
      </c>
      <c r="D674" s="21" t="s">
        <v>39</v>
      </c>
      <c r="E674" s="21" t="s">
        <v>87</v>
      </c>
      <c r="F674" s="22">
        <v>0.002013888888888889</v>
      </c>
      <c r="G674" s="21" t="s">
        <v>88</v>
      </c>
      <c r="H674" s="24" t="s">
        <v>790</v>
      </c>
      <c r="I674" s="25" t="s">
        <v>46</v>
      </c>
      <c r="J674" s="26">
        <v>46127.0</v>
      </c>
      <c r="K674" s="21" t="s">
        <v>791</v>
      </c>
      <c r="L674" s="27">
        <v>46219.0</v>
      </c>
      <c r="M674" s="28">
        <v>0.007638888888888889</v>
      </c>
      <c r="N674" s="29" t="s">
        <v>39</v>
      </c>
      <c r="O674" s="29" t="s">
        <v>35</v>
      </c>
      <c r="P674" s="34" t="s">
        <v>53</v>
      </c>
      <c r="Q674" s="34">
        <v>1.2034571E7</v>
      </c>
      <c r="R674" s="35">
        <v>46129.0</v>
      </c>
      <c r="S674" s="32" t="s">
        <v>29</v>
      </c>
      <c r="T674" s="33"/>
      <c r="U674" s="33"/>
    </row>
    <row r="675" ht="15.75" customHeight="1">
      <c r="A675" s="20">
        <v>46128.0</v>
      </c>
      <c r="B675" s="20">
        <v>46128.0</v>
      </c>
      <c r="C675" s="20" t="s">
        <v>25</v>
      </c>
      <c r="D675" s="21" t="s">
        <v>49</v>
      </c>
      <c r="E675" s="21" t="s">
        <v>26</v>
      </c>
      <c r="F675" s="22">
        <v>0.10100694444444444</v>
      </c>
      <c r="G675" s="21" t="s">
        <v>33</v>
      </c>
      <c r="H675" s="24"/>
      <c r="I675" s="25"/>
      <c r="J675" s="26"/>
      <c r="K675" s="21"/>
      <c r="L675" s="27">
        <v>46129.0</v>
      </c>
      <c r="M675" s="28">
        <v>0.20833333333333334</v>
      </c>
      <c r="N675" s="29" t="s">
        <v>57</v>
      </c>
      <c r="O675" s="29" t="s">
        <v>35</v>
      </c>
      <c r="P675" s="34" t="s">
        <v>53</v>
      </c>
      <c r="Q675" s="34" t="s">
        <v>792</v>
      </c>
      <c r="R675" s="35">
        <v>46132.0</v>
      </c>
      <c r="S675" s="32" t="s">
        <v>29</v>
      </c>
      <c r="T675" s="33"/>
      <c r="U675" s="33"/>
    </row>
    <row r="676" ht="15.75" customHeight="1">
      <c r="A676" s="20">
        <v>46128.0</v>
      </c>
      <c r="B676" s="20">
        <v>46128.0</v>
      </c>
      <c r="C676" s="20" t="s">
        <v>613</v>
      </c>
      <c r="D676" s="21" t="s">
        <v>39</v>
      </c>
      <c r="E676" s="21" t="s">
        <v>30</v>
      </c>
      <c r="F676" s="22">
        <v>0.005277777777777778</v>
      </c>
      <c r="G676" s="21" t="s">
        <v>33</v>
      </c>
      <c r="H676" s="24"/>
      <c r="I676" s="25"/>
      <c r="J676" s="26"/>
      <c r="K676" s="21"/>
      <c r="L676" s="27">
        <v>46128.0</v>
      </c>
      <c r="M676" s="28">
        <v>0.014583333333333334</v>
      </c>
      <c r="N676" s="29" t="s">
        <v>39</v>
      </c>
      <c r="O676" s="29" t="s">
        <v>35</v>
      </c>
      <c r="P676" s="34" t="s">
        <v>53</v>
      </c>
      <c r="Q676" s="34" t="s">
        <v>793</v>
      </c>
      <c r="R676" s="35">
        <v>46132.0</v>
      </c>
      <c r="S676" s="32" t="s">
        <v>29</v>
      </c>
      <c r="T676" s="33"/>
      <c r="U676" s="33"/>
    </row>
    <row r="677" ht="15.75" customHeight="1">
      <c r="A677" s="20">
        <v>46128.0</v>
      </c>
      <c r="B677" s="20">
        <v>46128.0</v>
      </c>
      <c r="C677" s="20" t="s">
        <v>25</v>
      </c>
      <c r="D677" s="21" t="s">
        <v>69</v>
      </c>
      <c r="E677" s="21" t="s">
        <v>32</v>
      </c>
      <c r="F677" s="22">
        <v>0.04462962962962963</v>
      </c>
      <c r="G677" s="21" t="s">
        <v>33</v>
      </c>
      <c r="H677" s="24"/>
      <c r="I677" s="25"/>
      <c r="J677" s="26"/>
      <c r="K677" s="21"/>
      <c r="L677" s="27">
        <v>46129.0</v>
      </c>
      <c r="M677" s="28">
        <v>0.125</v>
      </c>
      <c r="N677" s="29" t="s">
        <v>31</v>
      </c>
      <c r="O677" s="29" t="s">
        <v>35</v>
      </c>
      <c r="P677" s="34" t="s">
        <v>53</v>
      </c>
      <c r="Q677" s="34" t="s">
        <v>794</v>
      </c>
      <c r="R677" s="35">
        <v>46132.0</v>
      </c>
      <c r="S677" s="32" t="s">
        <v>29</v>
      </c>
      <c r="T677" s="33"/>
      <c r="U677" s="33"/>
    </row>
    <row r="678" ht="15.75" customHeight="1">
      <c r="A678" s="20">
        <v>46128.0</v>
      </c>
      <c r="B678" s="20">
        <v>46128.0</v>
      </c>
      <c r="C678" s="20" t="s">
        <v>25</v>
      </c>
      <c r="D678" s="21" t="s">
        <v>34</v>
      </c>
      <c r="E678" s="21" t="s">
        <v>38</v>
      </c>
      <c r="F678" s="22">
        <v>0.012789351851851852</v>
      </c>
      <c r="G678" s="21" t="s">
        <v>33</v>
      </c>
      <c r="H678" s="24"/>
      <c r="I678" s="25"/>
      <c r="J678" s="26"/>
      <c r="K678" s="21"/>
      <c r="L678" s="27">
        <v>46129.0</v>
      </c>
      <c r="M678" s="28">
        <v>0.041666666666666664</v>
      </c>
      <c r="N678" s="29" t="s">
        <v>69</v>
      </c>
      <c r="O678" s="29" t="s">
        <v>35</v>
      </c>
      <c r="P678" s="34" t="s">
        <v>53</v>
      </c>
      <c r="Q678" s="34">
        <v>1.2006765E7</v>
      </c>
      <c r="R678" s="35">
        <v>46132.0</v>
      </c>
      <c r="S678" s="32" t="s">
        <v>29</v>
      </c>
      <c r="T678" s="33"/>
      <c r="U678" s="33"/>
    </row>
    <row r="679" ht="15.75" customHeight="1">
      <c r="A679" s="20">
        <v>46128.0</v>
      </c>
      <c r="B679" s="20">
        <v>46128.0</v>
      </c>
      <c r="C679" s="20" t="s">
        <v>25</v>
      </c>
      <c r="D679" s="21" t="s">
        <v>34</v>
      </c>
      <c r="E679" s="21" t="s">
        <v>40</v>
      </c>
      <c r="F679" s="22">
        <v>0.01990740740740741</v>
      </c>
      <c r="G679" s="21" t="s">
        <v>33</v>
      </c>
      <c r="H679" s="24"/>
      <c r="I679" s="25"/>
      <c r="J679" s="26"/>
      <c r="K679" s="21"/>
      <c r="L679" s="27">
        <v>46129.0</v>
      </c>
      <c r="M679" s="28">
        <v>0.05555555555555555</v>
      </c>
      <c r="N679" s="29" t="s">
        <v>59</v>
      </c>
      <c r="O679" s="29" t="s">
        <v>35</v>
      </c>
      <c r="P679" s="34" t="s">
        <v>53</v>
      </c>
      <c r="Q679" s="34" t="s">
        <v>795</v>
      </c>
      <c r="R679" s="35">
        <v>46132.0</v>
      </c>
      <c r="S679" s="32" t="s">
        <v>29</v>
      </c>
      <c r="T679" s="33"/>
      <c r="U679" s="33"/>
    </row>
    <row r="680" ht="15.75" customHeight="1">
      <c r="A680" s="20">
        <v>46128.0</v>
      </c>
      <c r="B680" s="20">
        <v>46128.0</v>
      </c>
      <c r="C680" s="20"/>
      <c r="D680" s="21"/>
      <c r="E680" s="21" t="s">
        <v>43</v>
      </c>
      <c r="F680" s="22">
        <v>0.01685185185185185</v>
      </c>
      <c r="G680" s="21" t="s">
        <v>33</v>
      </c>
      <c r="H680" s="24"/>
      <c r="I680" s="25"/>
      <c r="J680" s="26"/>
      <c r="K680" s="21"/>
      <c r="L680" s="27">
        <v>46129.0</v>
      </c>
      <c r="M680" s="28">
        <v>0.034722222222222224</v>
      </c>
      <c r="N680" s="29" t="s">
        <v>34</v>
      </c>
      <c r="O680" s="29" t="s">
        <v>35</v>
      </c>
      <c r="P680" s="30" t="s">
        <v>28</v>
      </c>
      <c r="Q680" s="30" t="s">
        <v>28</v>
      </c>
      <c r="R680" s="31" t="s">
        <v>28</v>
      </c>
      <c r="S680" s="32" t="s">
        <v>29</v>
      </c>
      <c r="T680" s="33"/>
      <c r="U680" s="33"/>
    </row>
    <row r="681" ht="15.75" customHeight="1">
      <c r="A681" s="20">
        <v>46129.0</v>
      </c>
      <c r="B681" s="20">
        <v>46129.0</v>
      </c>
      <c r="C681" s="20" t="s">
        <v>25</v>
      </c>
      <c r="D681" s="21" t="s">
        <v>49</v>
      </c>
      <c r="E681" s="21" t="s">
        <v>26</v>
      </c>
      <c r="F681" s="133">
        <v>0.10012731481481481</v>
      </c>
      <c r="G681" s="21" t="s">
        <v>33</v>
      </c>
      <c r="H681" s="24"/>
      <c r="I681" s="25"/>
      <c r="J681" s="26"/>
      <c r="K681" s="21"/>
      <c r="L681" s="27">
        <v>46132.0</v>
      </c>
      <c r="M681" s="28">
        <v>0.1875</v>
      </c>
      <c r="N681" s="29" t="s">
        <v>31</v>
      </c>
      <c r="O681" s="29" t="s">
        <v>35</v>
      </c>
      <c r="P681" s="34" t="s">
        <v>53</v>
      </c>
      <c r="Q681" s="34" t="s">
        <v>796</v>
      </c>
      <c r="R681" s="35">
        <v>46132.0</v>
      </c>
      <c r="S681" s="32" t="s">
        <v>29</v>
      </c>
      <c r="T681" s="33"/>
      <c r="U681" s="33"/>
    </row>
    <row r="682" ht="15.75" customHeight="1">
      <c r="A682" s="20">
        <v>46129.0</v>
      </c>
      <c r="B682" s="20">
        <v>46129.0</v>
      </c>
      <c r="C682" s="20" t="s">
        <v>25</v>
      </c>
      <c r="D682" s="21" t="s">
        <v>57</v>
      </c>
      <c r="E682" s="21" t="s">
        <v>30</v>
      </c>
      <c r="F682" s="22">
        <v>0.0070023148148148145</v>
      </c>
      <c r="G682" s="21" t="s">
        <v>33</v>
      </c>
      <c r="H682" s="24"/>
      <c r="I682" s="25"/>
      <c r="J682" s="26"/>
      <c r="K682" s="21"/>
      <c r="L682" s="27">
        <v>46129.0</v>
      </c>
      <c r="M682" s="28">
        <v>0.017361111111111112</v>
      </c>
      <c r="N682" s="29" t="s">
        <v>57</v>
      </c>
      <c r="O682" s="29" t="s">
        <v>35</v>
      </c>
      <c r="P682" s="34" t="s">
        <v>53</v>
      </c>
      <c r="Q682" s="34" t="s">
        <v>797</v>
      </c>
      <c r="R682" s="35">
        <v>46132.0</v>
      </c>
      <c r="S682" s="32" t="s">
        <v>29</v>
      </c>
      <c r="T682" s="33"/>
      <c r="U682" s="33"/>
    </row>
    <row r="683" ht="15.75" customHeight="1">
      <c r="A683" s="20">
        <v>46129.0</v>
      </c>
      <c r="B683" s="20">
        <v>46129.0</v>
      </c>
      <c r="C683" s="20" t="s">
        <v>25</v>
      </c>
      <c r="D683" s="21" t="s">
        <v>69</v>
      </c>
      <c r="E683" s="21" t="s">
        <v>32</v>
      </c>
      <c r="F683" s="22">
        <v>0.04579861111111111</v>
      </c>
      <c r="G683" s="21" t="s">
        <v>33</v>
      </c>
      <c r="H683" s="24"/>
      <c r="I683" s="25"/>
      <c r="J683" s="26"/>
      <c r="K683" s="21"/>
      <c r="L683" s="27">
        <v>46130.0</v>
      </c>
      <c r="M683" s="28">
        <v>0.125</v>
      </c>
      <c r="N683" s="29" t="s">
        <v>31</v>
      </c>
      <c r="O683" s="29" t="s">
        <v>35</v>
      </c>
      <c r="P683" s="34" t="s">
        <v>53</v>
      </c>
      <c r="Q683" s="34" t="s">
        <v>798</v>
      </c>
      <c r="R683" s="35">
        <v>46132.0</v>
      </c>
      <c r="S683" s="32" t="s">
        <v>29</v>
      </c>
      <c r="T683" s="33"/>
      <c r="U683" s="33"/>
    </row>
    <row r="684" ht="15.75" customHeight="1">
      <c r="A684" s="36">
        <v>46129.0</v>
      </c>
      <c r="B684" s="36">
        <v>46129.0</v>
      </c>
      <c r="C684" s="36" t="s">
        <v>25</v>
      </c>
      <c r="D684" s="37" t="s">
        <v>34</v>
      </c>
      <c r="E684" s="37" t="s">
        <v>38</v>
      </c>
      <c r="F684" s="38">
        <v>0.008460648148148148</v>
      </c>
      <c r="G684" s="37" t="s">
        <v>33</v>
      </c>
      <c r="H684" s="39"/>
      <c r="I684" s="40"/>
      <c r="J684" s="41"/>
      <c r="K684" s="37" t="s">
        <v>799</v>
      </c>
      <c r="L684" s="42">
        <v>46135.0</v>
      </c>
      <c r="M684" s="43">
        <v>0.013888888888888888</v>
      </c>
      <c r="N684" s="44" t="s">
        <v>49</v>
      </c>
      <c r="O684" s="44" t="s">
        <v>35</v>
      </c>
      <c r="P684" s="45" t="s">
        <v>36</v>
      </c>
      <c r="Q684" s="45">
        <v>1.2006766E7</v>
      </c>
      <c r="R684" s="35">
        <v>46136.0</v>
      </c>
      <c r="S684" s="54" t="s">
        <v>29</v>
      </c>
      <c r="T684" s="33"/>
      <c r="U684" s="33"/>
    </row>
    <row r="685" ht="15.75" customHeight="1">
      <c r="A685" s="36">
        <v>46129.0</v>
      </c>
      <c r="B685" s="36">
        <v>46129.0</v>
      </c>
      <c r="C685" s="36" t="s">
        <v>25</v>
      </c>
      <c r="D685" s="37" t="s">
        <v>34</v>
      </c>
      <c r="E685" s="37" t="s">
        <v>40</v>
      </c>
      <c r="F685" s="38">
        <v>0.01775462962962963</v>
      </c>
      <c r="G685" s="37" t="s">
        <v>33</v>
      </c>
      <c r="H685" s="39"/>
      <c r="I685" s="40"/>
      <c r="J685" s="41"/>
      <c r="K685" s="37" t="s">
        <v>800</v>
      </c>
      <c r="L685" s="42">
        <v>46132.0</v>
      </c>
      <c r="M685" s="43">
        <v>0.059722222222222225</v>
      </c>
      <c r="N685" s="44" t="s">
        <v>49</v>
      </c>
      <c r="O685" s="44" t="s">
        <v>35</v>
      </c>
      <c r="P685" s="45" t="s">
        <v>53</v>
      </c>
      <c r="Q685" s="45" t="s">
        <v>801</v>
      </c>
      <c r="R685" s="46">
        <v>46132.0</v>
      </c>
      <c r="S685" s="54" t="s">
        <v>29</v>
      </c>
      <c r="T685" s="33"/>
      <c r="U685" s="33"/>
    </row>
    <row r="686" ht="15.75" customHeight="1">
      <c r="A686" s="20">
        <v>46129.0</v>
      </c>
      <c r="B686" s="20">
        <v>46129.0</v>
      </c>
      <c r="C686" s="20"/>
      <c r="D686" s="21"/>
      <c r="E686" s="21" t="s">
        <v>43</v>
      </c>
      <c r="F686" s="22">
        <v>0.016875</v>
      </c>
      <c r="G686" s="21" t="s">
        <v>33</v>
      </c>
      <c r="H686" s="24"/>
      <c r="I686" s="25"/>
      <c r="J686" s="26"/>
      <c r="K686" s="21"/>
      <c r="L686" s="27">
        <v>46134.0</v>
      </c>
      <c r="M686" s="28">
        <v>0.041666666666666664</v>
      </c>
      <c r="N686" s="29" t="s">
        <v>31</v>
      </c>
      <c r="O686" s="29" t="s">
        <v>35</v>
      </c>
      <c r="P686" s="34" t="s">
        <v>28</v>
      </c>
      <c r="Q686" s="34" t="s">
        <v>28</v>
      </c>
      <c r="R686" s="35" t="s">
        <v>28</v>
      </c>
      <c r="S686" s="32" t="s">
        <v>29</v>
      </c>
      <c r="T686" s="33"/>
      <c r="U686" s="33"/>
    </row>
    <row r="687" ht="15.75" customHeight="1">
      <c r="A687" s="20">
        <v>46129.0</v>
      </c>
      <c r="B687" s="20">
        <v>46129.0</v>
      </c>
      <c r="C687" s="20" t="s">
        <v>25</v>
      </c>
      <c r="D687" s="21" t="s">
        <v>39</v>
      </c>
      <c r="E687" s="21" t="s">
        <v>87</v>
      </c>
      <c r="F687" s="22">
        <v>0.002951388888888889</v>
      </c>
      <c r="G687" s="21" t="s">
        <v>88</v>
      </c>
      <c r="H687" s="24" t="s">
        <v>802</v>
      </c>
      <c r="I687" s="25" t="s">
        <v>46</v>
      </c>
      <c r="J687" s="26">
        <v>46129.0</v>
      </c>
      <c r="K687" s="21" t="s">
        <v>803</v>
      </c>
      <c r="L687" s="27">
        <v>46219.0</v>
      </c>
      <c r="M687" s="28">
        <v>0.009722222222222222</v>
      </c>
      <c r="N687" s="29" t="s">
        <v>39</v>
      </c>
      <c r="O687" s="29" t="s">
        <v>35</v>
      </c>
      <c r="P687" s="34" t="s">
        <v>53</v>
      </c>
      <c r="Q687" s="34">
        <v>1.2034832E7</v>
      </c>
      <c r="R687" s="35">
        <v>46136.0</v>
      </c>
      <c r="S687" s="32" t="s">
        <v>29</v>
      </c>
      <c r="T687" s="33"/>
      <c r="U687" s="33"/>
    </row>
    <row r="688" ht="15.75" customHeight="1">
      <c r="A688" s="20">
        <v>46129.0</v>
      </c>
      <c r="B688" s="20">
        <v>46129.0</v>
      </c>
      <c r="C688" s="20" t="s">
        <v>25</v>
      </c>
      <c r="D688" s="21" t="s">
        <v>39</v>
      </c>
      <c r="E688" s="21" t="s">
        <v>87</v>
      </c>
      <c r="F688" s="22">
        <v>0.0016435185185185185</v>
      </c>
      <c r="G688" s="21" t="s">
        <v>88</v>
      </c>
      <c r="H688" s="24" t="s">
        <v>804</v>
      </c>
      <c r="I688" s="25" t="s">
        <v>46</v>
      </c>
      <c r="J688" s="26">
        <v>46129.0</v>
      </c>
      <c r="K688" s="21" t="s">
        <v>805</v>
      </c>
      <c r="L688" s="27">
        <v>46219.0</v>
      </c>
      <c r="M688" s="28">
        <v>0.005555555555555556</v>
      </c>
      <c r="N688" s="29" t="s">
        <v>39</v>
      </c>
      <c r="O688" s="29" t="s">
        <v>35</v>
      </c>
      <c r="P688" s="34" t="s">
        <v>53</v>
      </c>
      <c r="Q688" s="34">
        <v>1.2034833E7</v>
      </c>
      <c r="R688" s="35">
        <v>46136.0</v>
      </c>
      <c r="S688" s="32" t="s">
        <v>29</v>
      </c>
      <c r="T688" s="33"/>
      <c r="U688" s="33"/>
    </row>
    <row r="689" ht="15.75" customHeight="1">
      <c r="A689" s="55">
        <v>46130.0</v>
      </c>
      <c r="B689" s="55">
        <v>46130.0</v>
      </c>
      <c r="C689" s="55" t="s">
        <v>25</v>
      </c>
      <c r="D689" s="56" t="s">
        <v>59</v>
      </c>
      <c r="E689" s="56" t="s">
        <v>32</v>
      </c>
      <c r="F689" s="57">
        <v>0.04962962962962963</v>
      </c>
      <c r="G689" s="56" t="s">
        <v>33</v>
      </c>
      <c r="H689" s="24"/>
      <c r="I689" s="25"/>
      <c r="J689" s="26"/>
      <c r="K689" s="21"/>
      <c r="L689" s="27">
        <v>46132.0</v>
      </c>
      <c r="M689" s="28">
        <v>0.1111111111111111</v>
      </c>
      <c r="N689" s="29" t="s">
        <v>34</v>
      </c>
      <c r="O689" s="29" t="s">
        <v>35</v>
      </c>
      <c r="P689" s="34" t="s">
        <v>53</v>
      </c>
      <c r="Q689" s="34" t="s">
        <v>806</v>
      </c>
      <c r="R689" s="35">
        <v>46132.0</v>
      </c>
      <c r="S689" s="32" t="s">
        <v>29</v>
      </c>
      <c r="T689" s="33"/>
      <c r="U689" s="33"/>
    </row>
    <row r="690" ht="15.75" customHeight="1">
      <c r="A690" s="55">
        <v>46130.0</v>
      </c>
      <c r="B690" s="55">
        <v>46130.0</v>
      </c>
      <c r="C690" s="55" t="s">
        <v>25</v>
      </c>
      <c r="D690" s="56" t="s">
        <v>31</v>
      </c>
      <c r="E690" s="56" t="s">
        <v>40</v>
      </c>
      <c r="F690" s="57">
        <v>0.013935185185185186</v>
      </c>
      <c r="G690" s="56" t="s">
        <v>33</v>
      </c>
      <c r="H690" s="24"/>
      <c r="I690" s="25"/>
      <c r="J690" s="26"/>
      <c r="K690" s="21"/>
      <c r="L690" s="27">
        <v>46132.0</v>
      </c>
      <c r="M690" s="28">
        <v>0.04861111111111111</v>
      </c>
      <c r="N690" s="29" t="s">
        <v>59</v>
      </c>
      <c r="O690" s="29" t="s">
        <v>35</v>
      </c>
      <c r="P690" s="34" t="s">
        <v>36</v>
      </c>
      <c r="Q690" s="34" t="s">
        <v>807</v>
      </c>
      <c r="R690" s="35">
        <v>46134.0</v>
      </c>
      <c r="S690" s="32" t="s">
        <v>29</v>
      </c>
      <c r="T690" s="33"/>
      <c r="U690" s="33"/>
    </row>
    <row r="691" ht="15.75" customHeight="1">
      <c r="A691" s="55">
        <v>46130.0</v>
      </c>
      <c r="B691" s="55">
        <v>46130.0</v>
      </c>
      <c r="C691" s="55"/>
      <c r="D691" s="56"/>
      <c r="E691" s="56" t="s">
        <v>43</v>
      </c>
      <c r="F691" s="57">
        <v>0.016689814814814814</v>
      </c>
      <c r="G691" s="56" t="s">
        <v>33</v>
      </c>
      <c r="H691" s="24"/>
      <c r="I691" s="25"/>
      <c r="J691" s="26"/>
      <c r="K691" s="21"/>
      <c r="L691" s="27">
        <v>46134.0</v>
      </c>
      <c r="M691" s="28">
        <v>0.041666666666666664</v>
      </c>
      <c r="N691" s="29" t="s">
        <v>31</v>
      </c>
      <c r="O691" s="29" t="s">
        <v>35</v>
      </c>
      <c r="P691" s="34" t="s">
        <v>28</v>
      </c>
      <c r="Q691" s="34" t="s">
        <v>28</v>
      </c>
      <c r="R691" s="35" t="s">
        <v>28</v>
      </c>
      <c r="S691" s="32" t="s">
        <v>29</v>
      </c>
      <c r="T691" s="33"/>
      <c r="U691" s="33"/>
    </row>
    <row r="692" ht="15.75" customHeight="1">
      <c r="A692" s="55">
        <v>46130.0</v>
      </c>
      <c r="B692" s="55">
        <v>46130.0</v>
      </c>
      <c r="C692" s="55" t="s">
        <v>25</v>
      </c>
      <c r="D692" s="56" t="s">
        <v>34</v>
      </c>
      <c r="E692" s="56" t="s">
        <v>61</v>
      </c>
      <c r="F692" s="57">
        <v>0.019583333333333335</v>
      </c>
      <c r="G692" s="56" t="s">
        <v>33</v>
      </c>
      <c r="H692" s="24" t="s">
        <v>808</v>
      </c>
      <c r="I692" s="25" t="s">
        <v>46</v>
      </c>
      <c r="J692" s="26">
        <v>46134.58142361111</v>
      </c>
      <c r="K692" s="21" t="s">
        <v>809</v>
      </c>
      <c r="L692" s="27">
        <v>46136.0</v>
      </c>
      <c r="M692" s="28">
        <v>0.06944444444444445</v>
      </c>
      <c r="N692" s="29" t="s">
        <v>59</v>
      </c>
      <c r="O692" s="29" t="s">
        <v>35</v>
      </c>
      <c r="P692" s="34" t="s">
        <v>36</v>
      </c>
      <c r="Q692" s="34" t="s">
        <v>810</v>
      </c>
      <c r="R692" s="35">
        <v>46139.0</v>
      </c>
      <c r="S692" s="32" t="s">
        <v>29</v>
      </c>
      <c r="T692" s="33"/>
      <c r="U692" s="33"/>
    </row>
    <row r="693" ht="15.75" customHeight="1">
      <c r="A693" s="55">
        <v>46130.0</v>
      </c>
      <c r="B693" s="55">
        <v>46130.0</v>
      </c>
      <c r="C693" s="55" t="s">
        <v>25</v>
      </c>
      <c r="D693" s="56" t="s">
        <v>34</v>
      </c>
      <c r="E693" s="56" t="s">
        <v>62</v>
      </c>
      <c r="F693" s="57">
        <v>0.019583333333333335</v>
      </c>
      <c r="G693" s="56" t="s">
        <v>33</v>
      </c>
      <c r="H693" s="24" t="s">
        <v>811</v>
      </c>
      <c r="I693" s="25" t="s">
        <v>46</v>
      </c>
      <c r="J693" s="26">
        <v>46134.58530092592</v>
      </c>
      <c r="K693" s="21" t="s">
        <v>812</v>
      </c>
      <c r="L693" s="27">
        <v>46136.0</v>
      </c>
      <c r="M693" s="28">
        <v>0.003472222222222222</v>
      </c>
      <c r="N693" s="29" t="s">
        <v>59</v>
      </c>
      <c r="O693" s="29" t="s">
        <v>355</v>
      </c>
      <c r="P693" s="34" t="s">
        <v>36</v>
      </c>
      <c r="Q693" s="34" t="s">
        <v>813</v>
      </c>
      <c r="R693" s="35">
        <v>46139.0</v>
      </c>
      <c r="S693" s="32" t="s">
        <v>29</v>
      </c>
      <c r="T693" s="33"/>
      <c r="U693" s="33"/>
    </row>
    <row r="694" ht="15.75" customHeight="1">
      <c r="A694" s="55">
        <v>46130.0</v>
      </c>
      <c r="B694" s="55">
        <v>46130.0</v>
      </c>
      <c r="C694" s="55" t="s">
        <v>25</v>
      </c>
      <c r="D694" s="56" t="s">
        <v>34</v>
      </c>
      <c r="E694" s="56" t="s">
        <v>63</v>
      </c>
      <c r="F694" s="57">
        <v>0.02144675925925926</v>
      </c>
      <c r="G694" s="56" t="s">
        <v>33</v>
      </c>
      <c r="H694" s="24" t="s">
        <v>814</v>
      </c>
      <c r="I694" s="25" t="s">
        <v>46</v>
      </c>
      <c r="J694" s="26">
        <v>46134.697071759256</v>
      </c>
      <c r="K694" s="21" t="s">
        <v>815</v>
      </c>
      <c r="L694" s="27">
        <v>46136.0</v>
      </c>
      <c r="M694" s="28">
        <v>0.0625</v>
      </c>
      <c r="N694" s="29" t="s">
        <v>31</v>
      </c>
      <c r="O694" s="29" t="s">
        <v>35</v>
      </c>
      <c r="P694" s="34" t="s">
        <v>36</v>
      </c>
      <c r="Q694" s="34" t="s">
        <v>816</v>
      </c>
      <c r="R694" s="35">
        <v>46139.0</v>
      </c>
      <c r="S694" s="32" t="s">
        <v>29</v>
      </c>
      <c r="T694" s="33"/>
      <c r="U694" s="33"/>
    </row>
    <row r="695" ht="15.75" customHeight="1">
      <c r="A695" s="55">
        <v>46130.0</v>
      </c>
      <c r="B695" s="55">
        <v>46132.0</v>
      </c>
      <c r="C695" s="55" t="s">
        <v>65</v>
      </c>
      <c r="D695" s="56" t="s">
        <v>59</v>
      </c>
      <c r="E695" s="56" t="s">
        <v>772</v>
      </c>
      <c r="F695" s="57">
        <v>0.02414351851851852</v>
      </c>
      <c r="G695" s="56" t="s">
        <v>33</v>
      </c>
      <c r="H695" s="24"/>
      <c r="I695" s="25"/>
      <c r="J695" s="26"/>
      <c r="K695" s="21" t="s">
        <v>817</v>
      </c>
      <c r="L695" s="27">
        <v>46134.0</v>
      </c>
      <c r="M695" s="28">
        <v>0.003472222222222222</v>
      </c>
      <c r="N695" s="29" t="s">
        <v>49</v>
      </c>
      <c r="O695" s="29" t="s">
        <v>355</v>
      </c>
      <c r="P695" s="34" t="s">
        <v>36</v>
      </c>
      <c r="Q695" s="34" t="s">
        <v>818</v>
      </c>
      <c r="R695" s="35">
        <v>46136.0</v>
      </c>
      <c r="S695" s="32"/>
      <c r="T695" s="33"/>
      <c r="U695" s="33"/>
    </row>
    <row r="696" ht="15.75" customHeight="1">
      <c r="A696" s="60">
        <v>46131.0</v>
      </c>
      <c r="B696" s="60">
        <v>46131.0</v>
      </c>
      <c r="C696" s="60" t="s">
        <v>42</v>
      </c>
      <c r="D696" s="61" t="s">
        <v>34</v>
      </c>
      <c r="E696" s="61" t="s">
        <v>64</v>
      </c>
      <c r="F696" s="62"/>
      <c r="G696" s="63" t="s">
        <v>27</v>
      </c>
      <c r="H696" s="24"/>
      <c r="I696" s="25"/>
      <c r="J696" s="26"/>
      <c r="K696" s="21"/>
      <c r="L696" s="27"/>
      <c r="M696" s="28"/>
      <c r="N696" s="29"/>
      <c r="O696" s="29"/>
      <c r="P696" s="34" t="s">
        <v>28</v>
      </c>
      <c r="Q696" s="34" t="s">
        <v>28</v>
      </c>
      <c r="R696" s="35" t="s">
        <v>28</v>
      </c>
      <c r="S696" s="32" t="s">
        <v>29</v>
      </c>
      <c r="T696" s="33"/>
      <c r="U696" s="33"/>
    </row>
    <row r="697" ht="15.75" customHeight="1">
      <c r="A697" s="60">
        <v>46131.0</v>
      </c>
      <c r="B697" s="60">
        <v>46131.0</v>
      </c>
      <c r="C697" s="60" t="s">
        <v>65</v>
      </c>
      <c r="D697" s="61" t="s">
        <v>34</v>
      </c>
      <c r="E697" s="61" t="s">
        <v>66</v>
      </c>
      <c r="F697" s="62">
        <v>0.020300925925925927</v>
      </c>
      <c r="G697" s="61" t="s">
        <v>33</v>
      </c>
      <c r="H697" s="24" t="s">
        <v>819</v>
      </c>
      <c r="I697" s="25" t="s">
        <v>46</v>
      </c>
      <c r="J697" s="26">
        <v>46132.79375</v>
      </c>
      <c r="K697" s="21" t="s">
        <v>819</v>
      </c>
      <c r="L697" s="27">
        <v>46134.0</v>
      </c>
      <c r="M697" s="28">
        <v>0.027777777777777776</v>
      </c>
      <c r="N697" s="29" t="s">
        <v>69</v>
      </c>
      <c r="O697" s="29" t="s">
        <v>35</v>
      </c>
      <c r="P697" s="34" t="s">
        <v>36</v>
      </c>
      <c r="Q697" s="34" t="s">
        <v>820</v>
      </c>
      <c r="R697" s="35">
        <v>46139.0</v>
      </c>
      <c r="S697" s="32" t="s">
        <v>29</v>
      </c>
      <c r="T697" s="33"/>
      <c r="U697" s="33"/>
    </row>
    <row r="698" ht="15.75" customHeight="1">
      <c r="A698" s="20">
        <v>46132.0</v>
      </c>
      <c r="B698" s="20">
        <v>46132.0</v>
      </c>
      <c r="C698" s="36" t="s">
        <v>25</v>
      </c>
      <c r="D698" s="21" t="s">
        <v>49</v>
      </c>
      <c r="E698" s="21" t="s">
        <v>26</v>
      </c>
      <c r="F698" s="22">
        <v>0.10063657407407407</v>
      </c>
      <c r="G698" s="21" t="s">
        <v>33</v>
      </c>
      <c r="H698" s="24" t="s">
        <v>821</v>
      </c>
      <c r="I698" s="25"/>
      <c r="J698" s="26"/>
      <c r="K698" s="21"/>
      <c r="L698" s="27">
        <v>46133.0</v>
      </c>
      <c r="M698" s="28">
        <v>0.20833333333333334</v>
      </c>
      <c r="N698" s="44" t="s">
        <v>31</v>
      </c>
      <c r="O698" s="29" t="s">
        <v>35</v>
      </c>
      <c r="P698" s="34" t="s">
        <v>36</v>
      </c>
      <c r="Q698" s="45" t="s">
        <v>822</v>
      </c>
      <c r="R698" s="35">
        <v>46136.0</v>
      </c>
      <c r="S698" s="32" t="s">
        <v>29</v>
      </c>
      <c r="T698" s="33"/>
      <c r="U698" s="33"/>
    </row>
    <row r="699" ht="15.75" customHeight="1">
      <c r="A699" s="36">
        <v>46132.0</v>
      </c>
      <c r="B699" s="36">
        <v>46132.0</v>
      </c>
      <c r="C699" s="36" t="s">
        <v>25</v>
      </c>
      <c r="D699" s="37" t="s">
        <v>31</v>
      </c>
      <c r="E699" s="37" t="s">
        <v>30</v>
      </c>
      <c r="F699" s="38">
        <v>0.005613425925925926</v>
      </c>
      <c r="G699" s="37" t="s">
        <v>33</v>
      </c>
      <c r="H699" s="39" t="s">
        <v>823</v>
      </c>
      <c r="I699" s="40" t="s">
        <v>46</v>
      </c>
      <c r="J699" s="41">
        <v>46132.7733912037</v>
      </c>
      <c r="K699" s="37" t="s">
        <v>824</v>
      </c>
      <c r="L699" s="42">
        <v>46133.0</v>
      </c>
      <c r="M699" s="43">
        <v>0.013888888888888888</v>
      </c>
      <c r="N699" s="44" t="s">
        <v>31</v>
      </c>
      <c r="O699" s="44" t="s">
        <v>35</v>
      </c>
      <c r="P699" s="45" t="s">
        <v>36</v>
      </c>
      <c r="Q699" s="45" t="s">
        <v>825</v>
      </c>
      <c r="R699" s="35">
        <v>46136.0</v>
      </c>
      <c r="S699" s="54" t="s">
        <v>29</v>
      </c>
      <c r="T699" s="33"/>
      <c r="U699" s="33"/>
    </row>
    <row r="700" ht="15.75" customHeight="1">
      <c r="A700" s="36">
        <v>46132.0</v>
      </c>
      <c r="B700" s="36">
        <v>46132.0</v>
      </c>
      <c r="C700" s="36" t="s">
        <v>25</v>
      </c>
      <c r="D700" s="37" t="s">
        <v>59</v>
      </c>
      <c r="E700" s="37" t="s">
        <v>32</v>
      </c>
      <c r="F700" s="38">
        <v>0.04712962962962963</v>
      </c>
      <c r="G700" s="37" t="s">
        <v>33</v>
      </c>
      <c r="H700" s="45"/>
      <c r="I700" s="40"/>
      <c r="J700" s="134"/>
      <c r="K700" s="37" t="s">
        <v>826</v>
      </c>
      <c r="L700" s="42">
        <v>46133.0</v>
      </c>
      <c r="M700" s="43">
        <v>0.10416666666666667</v>
      </c>
      <c r="N700" s="44" t="s">
        <v>34</v>
      </c>
      <c r="O700" s="44" t="s">
        <v>35</v>
      </c>
      <c r="P700" s="45" t="s">
        <v>36</v>
      </c>
      <c r="Q700" s="45" t="s">
        <v>827</v>
      </c>
      <c r="R700" s="35">
        <v>46136.0</v>
      </c>
      <c r="S700" s="54" t="s">
        <v>29</v>
      </c>
      <c r="T700" s="33"/>
      <c r="U700" s="33"/>
    </row>
    <row r="701" ht="15.75" customHeight="1">
      <c r="A701" s="36">
        <v>46132.0</v>
      </c>
      <c r="B701" s="36">
        <v>46132.0</v>
      </c>
      <c r="C701" s="36" t="s">
        <v>25</v>
      </c>
      <c r="D701" s="37" t="s">
        <v>59</v>
      </c>
      <c r="E701" s="37" t="s">
        <v>38</v>
      </c>
      <c r="F701" s="38">
        <v>0.008414351851851852</v>
      </c>
      <c r="G701" s="37" t="s">
        <v>33</v>
      </c>
      <c r="H701" s="39"/>
      <c r="I701" s="40"/>
      <c r="J701" s="41"/>
      <c r="K701" s="37"/>
      <c r="L701" s="42">
        <v>46133.0</v>
      </c>
      <c r="M701" s="43">
        <v>0.020833333333333332</v>
      </c>
      <c r="N701" s="44" t="s">
        <v>59</v>
      </c>
      <c r="O701" s="44" t="s">
        <v>35</v>
      </c>
      <c r="P701" s="45" t="s">
        <v>36</v>
      </c>
      <c r="Q701" s="45">
        <v>1.2006767E7</v>
      </c>
      <c r="R701" s="46">
        <v>46134.0</v>
      </c>
      <c r="S701" s="54" t="s">
        <v>29</v>
      </c>
      <c r="T701" s="33"/>
      <c r="U701" s="33"/>
    </row>
    <row r="702" ht="15.75" customHeight="1">
      <c r="A702" s="20">
        <v>46132.0</v>
      </c>
      <c r="B702" s="20">
        <v>46132.0</v>
      </c>
      <c r="C702" s="20" t="s">
        <v>25</v>
      </c>
      <c r="D702" s="21" t="s">
        <v>34</v>
      </c>
      <c r="E702" s="21" t="s">
        <v>40</v>
      </c>
      <c r="F702" s="22">
        <v>0.01925925925925926</v>
      </c>
      <c r="G702" s="21" t="s">
        <v>33</v>
      </c>
      <c r="H702" s="24" t="s">
        <v>828</v>
      </c>
      <c r="I702" s="25" t="s">
        <v>178</v>
      </c>
      <c r="J702" s="26">
        <v>46132.88164351852</v>
      </c>
      <c r="K702" s="21" t="s">
        <v>829</v>
      </c>
      <c r="L702" s="27">
        <v>46133.0</v>
      </c>
      <c r="M702" s="28">
        <v>0.041666666666666664</v>
      </c>
      <c r="N702" s="29" t="s">
        <v>59</v>
      </c>
      <c r="O702" s="29" t="s">
        <v>35</v>
      </c>
      <c r="P702" s="34" t="s">
        <v>36</v>
      </c>
      <c r="Q702" s="34" t="s">
        <v>830</v>
      </c>
      <c r="R702" s="35">
        <v>46136.0</v>
      </c>
      <c r="S702" s="32" t="s">
        <v>29</v>
      </c>
      <c r="T702" s="33"/>
      <c r="U702" s="33"/>
    </row>
    <row r="703" ht="15.75" customHeight="1">
      <c r="A703" s="20">
        <v>46132.0</v>
      </c>
      <c r="B703" s="20">
        <v>46132.0</v>
      </c>
      <c r="C703" s="20"/>
      <c r="D703" s="21"/>
      <c r="E703" s="21" t="s">
        <v>43</v>
      </c>
      <c r="F703" s="22">
        <v>0.016354166666666666</v>
      </c>
      <c r="G703" s="21" t="s">
        <v>33</v>
      </c>
      <c r="H703" s="24"/>
      <c r="I703" s="25"/>
      <c r="J703" s="26"/>
      <c r="K703" s="21"/>
      <c r="L703" s="27">
        <v>46135.0</v>
      </c>
      <c r="M703" s="28">
        <v>0.041666666666666664</v>
      </c>
      <c r="N703" s="29" t="s">
        <v>31</v>
      </c>
      <c r="O703" s="29" t="s">
        <v>35</v>
      </c>
      <c r="P703" s="34" t="s">
        <v>28</v>
      </c>
      <c r="Q703" s="34" t="s">
        <v>28</v>
      </c>
      <c r="R703" s="35" t="s">
        <v>28</v>
      </c>
      <c r="S703" s="32" t="s">
        <v>29</v>
      </c>
      <c r="T703" s="33"/>
      <c r="U703" s="33"/>
    </row>
    <row r="704" ht="15.75" customHeight="1">
      <c r="A704" s="20">
        <v>46133.0</v>
      </c>
      <c r="B704" s="20">
        <v>46133.0</v>
      </c>
      <c r="C704" s="20" t="s">
        <v>25</v>
      </c>
      <c r="D704" s="21" t="s">
        <v>31</v>
      </c>
      <c r="E704" s="21" t="s">
        <v>26</v>
      </c>
      <c r="F704" s="22">
        <v>0.10079861111111112</v>
      </c>
      <c r="G704" s="21" t="s">
        <v>33</v>
      </c>
      <c r="H704" s="24"/>
      <c r="I704" s="25"/>
      <c r="J704" s="26"/>
      <c r="K704" s="21"/>
      <c r="L704" s="27">
        <v>46134.0</v>
      </c>
      <c r="M704" s="28">
        <v>0.20833333333333334</v>
      </c>
      <c r="N704" s="29" t="s">
        <v>59</v>
      </c>
      <c r="O704" s="29" t="s">
        <v>35</v>
      </c>
      <c r="P704" s="34" t="s">
        <v>36</v>
      </c>
      <c r="Q704" s="34" t="s">
        <v>831</v>
      </c>
      <c r="R704" s="35">
        <v>46134.0</v>
      </c>
      <c r="S704" s="32" t="s">
        <v>29</v>
      </c>
      <c r="T704" s="33"/>
      <c r="U704" s="33"/>
    </row>
    <row r="705" ht="15.75" customHeight="1">
      <c r="A705" s="20">
        <v>46133.0</v>
      </c>
      <c r="B705" s="20">
        <v>46133.0</v>
      </c>
      <c r="C705" s="20" t="s">
        <v>25</v>
      </c>
      <c r="D705" s="21" t="s">
        <v>31</v>
      </c>
      <c r="E705" s="21" t="s">
        <v>30</v>
      </c>
      <c r="F705" s="22">
        <v>0.006030092592592593</v>
      </c>
      <c r="G705" s="21" t="s">
        <v>33</v>
      </c>
      <c r="H705" s="24"/>
      <c r="I705" s="25"/>
      <c r="J705" s="26"/>
      <c r="K705" s="21"/>
      <c r="L705" s="27">
        <v>46133.0</v>
      </c>
      <c r="M705" s="28">
        <v>0.013888888888888888</v>
      </c>
      <c r="N705" s="44" t="s">
        <v>31</v>
      </c>
      <c r="O705" s="29" t="s">
        <v>35</v>
      </c>
      <c r="P705" s="34" t="s">
        <v>36</v>
      </c>
      <c r="Q705" s="34" t="s">
        <v>832</v>
      </c>
      <c r="R705" s="35">
        <v>46136.0</v>
      </c>
      <c r="S705" s="32" t="s">
        <v>29</v>
      </c>
      <c r="T705" s="33"/>
      <c r="U705" s="33"/>
    </row>
    <row r="706" ht="15.75" customHeight="1">
      <c r="A706" s="20">
        <v>46133.0</v>
      </c>
      <c r="B706" s="20">
        <v>46133.0</v>
      </c>
      <c r="C706" s="20" t="s">
        <v>25</v>
      </c>
      <c r="D706" s="21" t="s">
        <v>59</v>
      </c>
      <c r="E706" s="21" t="s">
        <v>32</v>
      </c>
      <c r="F706" s="22">
        <v>0.048344907407407406</v>
      </c>
      <c r="G706" s="21" t="s">
        <v>33</v>
      </c>
      <c r="H706" s="24"/>
      <c r="I706" s="25"/>
      <c r="J706" s="26"/>
      <c r="K706" s="21"/>
      <c r="L706" s="27">
        <v>46134.0</v>
      </c>
      <c r="M706" s="28">
        <v>0.1076388888888889</v>
      </c>
      <c r="N706" s="29" t="s">
        <v>34</v>
      </c>
      <c r="O706" s="29" t="s">
        <v>35</v>
      </c>
      <c r="P706" s="34" t="s">
        <v>36</v>
      </c>
      <c r="Q706" s="34" t="s">
        <v>833</v>
      </c>
      <c r="R706" s="35">
        <v>46136.0</v>
      </c>
      <c r="S706" s="32" t="s">
        <v>29</v>
      </c>
      <c r="T706" s="33"/>
      <c r="U706" s="33"/>
    </row>
    <row r="707" ht="15.75" customHeight="1">
      <c r="A707" s="20">
        <v>46133.0</v>
      </c>
      <c r="B707" s="20">
        <v>46133.0</v>
      </c>
      <c r="C707" s="20" t="s">
        <v>25</v>
      </c>
      <c r="D707" s="21" t="s">
        <v>34</v>
      </c>
      <c r="E707" s="21" t="s">
        <v>38</v>
      </c>
      <c r="F707" s="22">
        <v>0.00875</v>
      </c>
      <c r="G707" s="21" t="s">
        <v>33</v>
      </c>
      <c r="H707" s="24"/>
      <c r="I707" s="25"/>
      <c r="J707" s="26"/>
      <c r="K707" s="21"/>
      <c r="L707" s="27">
        <v>46134.0</v>
      </c>
      <c r="M707" s="28">
        <v>0.020833333333333332</v>
      </c>
      <c r="N707" s="29" t="s">
        <v>57</v>
      </c>
      <c r="O707" s="29" t="s">
        <v>35</v>
      </c>
      <c r="P707" s="34" t="s">
        <v>36</v>
      </c>
      <c r="Q707" s="34">
        <v>1.2006768E7</v>
      </c>
      <c r="R707" s="35">
        <v>46134.0</v>
      </c>
      <c r="S707" s="32" t="s">
        <v>29</v>
      </c>
      <c r="T707" s="33"/>
      <c r="U707" s="33"/>
    </row>
    <row r="708" ht="15.75" customHeight="1">
      <c r="A708" s="36">
        <v>46133.0</v>
      </c>
      <c r="B708" s="36">
        <v>46133.0</v>
      </c>
      <c r="C708" s="36" t="s">
        <v>25</v>
      </c>
      <c r="D708" s="37" t="s">
        <v>34</v>
      </c>
      <c r="E708" s="37" t="s">
        <v>40</v>
      </c>
      <c r="F708" s="38">
        <v>0.01840277777777778</v>
      </c>
      <c r="G708" s="37" t="s">
        <v>33</v>
      </c>
      <c r="H708" s="39" t="s">
        <v>834</v>
      </c>
      <c r="I708" s="40" t="s">
        <v>46</v>
      </c>
      <c r="J708" s="41">
        <v>46133.91306712963</v>
      </c>
      <c r="K708" s="37" t="s">
        <v>835</v>
      </c>
      <c r="L708" s="42">
        <v>46134.0</v>
      </c>
      <c r="M708" s="43">
        <v>0.041666666666666664</v>
      </c>
      <c r="N708" s="44" t="s">
        <v>57</v>
      </c>
      <c r="O708" s="44" t="s">
        <v>35</v>
      </c>
      <c r="P708" s="45" t="s">
        <v>36</v>
      </c>
      <c r="Q708" s="45" t="s">
        <v>836</v>
      </c>
      <c r="R708" s="46">
        <v>46136.0</v>
      </c>
      <c r="S708" s="54" t="s">
        <v>29</v>
      </c>
      <c r="T708" s="33"/>
      <c r="U708" s="33"/>
    </row>
    <row r="709" ht="15.75" customHeight="1">
      <c r="A709" s="20">
        <v>46133.0</v>
      </c>
      <c r="B709" s="20">
        <v>46133.0</v>
      </c>
      <c r="C709" s="20"/>
      <c r="D709" s="21"/>
      <c r="E709" s="21" t="s">
        <v>43</v>
      </c>
      <c r="F709" s="22">
        <v>0.015439814814814814</v>
      </c>
      <c r="G709" s="21" t="s">
        <v>33</v>
      </c>
      <c r="H709" s="24"/>
      <c r="I709" s="25"/>
      <c r="J709" s="26"/>
      <c r="K709" s="21"/>
      <c r="L709" s="27">
        <v>46135.0</v>
      </c>
      <c r="M709" s="28">
        <v>0.03125</v>
      </c>
      <c r="N709" s="29" t="s">
        <v>59</v>
      </c>
      <c r="O709" s="29" t="s">
        <v>35</v>
      </c>
      <c r="P709" s="34" t="s">
        <v>28</v>
      </c>
      <c r="Q709" s="34" t="s">
        <v>28</v>
      </c>
      <c r="R709" s="35" t="s">
        <v>28</v>
      </c>
      <c r="S709" s="32" t="s">
        <v>29</v>
      </c>
      <c r="T709" s="33"/>
      <c r="U709" s="33"/>
    </row>
    <row r="710" ht="15.75" customHeight="1">
      <c r="A710" s="20">
        <v>46134.0</v>
      </c>
      <c r="B710" s="20">
        <v>46134.0</v>
      </c>
      <c r="C710" s="36" t="s">
        <v>25</v>
      </c>
      <c r="D710" s="21" t="s">
        <v>49</v>
      </c>
      <c r="E710" s="21" t="s">
        <v>26</v>
      </c>
      <c r="F710" s="22">
        <v>0.10072916666666666</v>
      </c>
      <c r="G710" s="21" t="s">
        <v>33</v>
      </c>
      <c r="H710" s="24"/>
      <c r="I710" s="25"/>
      <c r="J710" s="26"/>
      <c r="K710" s="21"/>
      <c r="L710" s="27">
        <v>46135.0</v>
      </c>
      <c r="M710" s="28">
        <v>0.24305555555555555</v>
      </c>
      <c r="N710" s="29" t="s">
        <v>39</v>
      </c>
      <c r="O710" s="29" t="s">
        <v>35</v>
      </c>
      <c r="P710" s="34" t="s">
        <v>36</v>
      </c>
      <c r="Q710" s="34" t="s">
        <v>837</v>
      </c>
      <c r="R710" s="35">
        <v>46136.0</v>
      </c>
      <c r="S710" s="32" t="s">
        <v>29</v>
      </c>
      <c r="T710" s="33"/>
      <c r="U710" s="33"/>
    </row>
    <row r="711" ht="15.75" customHeight="1">
      <c r="A711" s="20">
        <v>46134.0</v>
      </c>
      <c r="B711" s="20">
        <v>46134.0</v>
      </c>
      <c r="C711" s="20" t="s">
        <v>25</v>
      </c>
      <c r="D711" s="21" t="s">
        <v>59</v>
      </c>
      <c r="E711" s="21" t="s">
        <v>30</v>
      </c>
      <c r="F711" s="22">
        <v>0.0038194444444444443</v>
      </c>
      <c r="G711" s="21" t="s">
        <v>33</v>
      </c>
      <c r="H711" s="24"/>
      <c r="I711" s="25"/>
      <c r="J711" s="26"/>
      <c r="K711" s="21"/>
      <c r="L711" s="27">
        <v>46134.0</v>
      </c>
      <c r="M711" s="28">
        <v>0.010416666666666666</v>
      </c>
      <c r="N711" s="29" t="s">
        <v>59</v>
      </c>
      <c r="O711" s="29" t="s">
        <v>35</v>
      </c>
      <c r="P711" s="34" t="s">
        <v>36</v>
      </c>
      <c r="Q711" s="34" t="s">
        <v>838</v>
      </c>
      <c r="R711" s="35">
        <v>46136.0</v>
      </c>
      <c r="S711" s="32" t="s">
        <v>29</v>
      </c>
      <c r="T711" s="33"/>
      <c r="U711" s="33"/>
    </row>
    <row r="712" ht="15.75" customHeight="1">
      <c r="A712" s="20">
        <v>46134.0</v>
      </c>
      <c r="B712" s="20">
        <v>46134.0</v>
      </c>
      <c r="C712" s="20" t="s">
        <v>25</v>
      </c>
      <c r="D712" s="21" t="s">
        <v>69</v>
      </c>
      <c r="E712" s="21" t="s">
        <v>32</v>
      </c>
      <c r="F712" s="22">
        <v>0.04508101851851852</v>
      </c>
      <c r="G712" s="21" t="s">
        <v>33</v>
      </c>
      <c r="H712" s="24"/>
      <c r="I712" s="25"/>
      <c r="J712" s="26"/>
      <c r="K712" s="21"/>
      <c r="L712" s="27">
        <v>46135.0</v>
      </c>
      <c r="M712" s="28">
        <v>0.09722222222222222</v>
      </c>
      <c r="N712" s="29" t="s">
        <v>34</v>
      </c>
      <c r="O712" s="29" t="s">
        <v>35</v>
      </c>
      <c r="P712" s="34" t="s">
        <v>36</v>
      </c>
      <c r="Q712" s="34" t="s">
        <v>839</v>
      </c>
      <c r="R712" s="35">
        <v>46136.0</v>
      </c>
      <c r="S712" s="32" t="s">
        <v>29</v>
      </c>
      <c r="T712" s="33"/>
      <c r="U712" s="33"/>
    </row>
    <row r="713" ht="15.75" customHeight="1">
      <c r="A713" s="20">
        <v>46134.0</v>
      </c>
      <c r="B713" s="20">
        <v>46134.0</v>
      </c>
      <c r="C713" s="20" t="s">
        <v>25</v>
      </c>
      <c r="D713" s="21" t="s">
        <v>34</v>
      </c>
      <c r="E713" s="21" t="s">
        <v>38</v>
      </c>
      <c r="F713" s="22">
        <v>0.009074074074074075</v>
      </c>
      <c r="G713" s="21" t="s">
        <v>33</v>
      </c>
      <c r="H713" s="24"/>
      <c r="I713" s="25"/>
      <c r="J713" s="26"/>
      <c r="K713" s="21"/>
      <c r="L713" s="27">
        <v>46135.0</v>
      </c>
      <c r="M713" s="28">
        <v>0.024305555555555556</v>
      </c>
      <c r="N713" s="29" t="s">
        <v>57</v>
      </c>
      <c r="O713" s="29" t="s">
        <v>35</v>
      </c>
      <c r="P713" s="34" t="s">
        <v>36</v>
      </c>
      <c r="Q713" s="34">
        <v>1.2006769E7</v>
      </c>
      <c r="R713" s="35">
        <v>46136.0</v>
      </c>
      <c r="S713" s="32" t="s">
        <v>29</v>
      </c>
      <c r="T713" s="33"/>
      <c r="U713" s="33"/>
    </row>
    <row r="714" ht="15.75" customHeight="1">
      <c r="A714" s="20">
        <v>46134.0</v>
      </c>
      <c r="B714" s="20">
        <v>46134.0</v>
      </c>
      <c r="C714" s="20" t="s">
        <v>25</v>
      </c>
      <c r="D714" s="21" t="s">
        <v>39</v>
      </c>
      <c r="E714" s="21" t="s">
        <v>40</v>
      </c>
      <c r="F714" s="22">
        <v>0.020231481481481482</v>
      </c>
      <c r="G714" s="21" t="s">
        <v>33</v>
      </c>
      <c r="H714" s="24" t="s">
        <v>840</v>
      </c>
      <c r="I714" s="25" t="s">
        <v>46</v>
      </c>
      <c r="J714" s="26">
        <v>46135.379166666666</v>
      </c>
      <c r="K714" s="21" t="s">
        <v>841</v>
      </c>
      <c r="L714" s="27">
        <v>46135.0</v>
      </c>
      <c r="M714" s="28">
        <v>0.059027777777777776</v>
      </c>
      <c r="N714" s="29" t="s">
        <v>57</v>
      </c>
      <c r="O714" s="29" t="s">
        <v>35</v>
      </c>
      <c r="P714" s="34" t="s">
        <v>36</v>
      </c>
      <c r="Q714" s="34" t="s">
        <v>842</v>
      </c>
      <c r="R714" s="35">
        <v>46139.0</v>
      </c>
      <c r="S714" s="32" t="s">
        <v>29</v>
      </c>
      <c r="T714" s="33"/>
      <c r="U714" s="33"/>
    </row>
    <row r="715" ht="15.75" customHeight="1">
      <c r="A715" s="20">
        <v>46134.0</v>
      </c>
      <c r="B715" s="20">
        <v>46134.0</v>
      </c>
      <c r="C715" s="20"/>
      <c r="D715" s="21"/>
      <c r="E715" s="21" t="s">
        <v>43</v>
      </c>
      <c r="F715" s="22">
        <v>0.01619212962962963</v>
      </c>
      <c r="G715" s="21" t="s">
        <v>33</v>
      </c>
      <c r="H715" s="24"/>
      <c r="I715" s="25"/>
      <c r="J715" s="26"/>
      <c r="K715" s="21"/>
      <c r="L715" s="27">
        <v>46135.0</v>
      </c>
      <c r="M715" s="28">
        <v>0.041666666666666664</v>
      </c>
      <c r="N715" s="29" t="s">
        <v>59</v>
      </c>
      <c r="O715" s="29" t="s">
        <v>35</v>
      </c>
      <c r="P715" s="34" t="s">
        <v>28</v>
      </c>
      <c r="Q715" s="34" t="s">
        <v>28</v>
      </c>
      <c r="R715" s="35" t="s">
        <v>28</v>
      </c>
      <c r="S715" s="32" t="s">
        <v>29</v>
      </c>
      <c r="T715" s="33"/>
      <c r="U715" s="33"/>
    </row>
    <row r="716" ht="15.75" customHeight="1">
      <c r="A716" s="20">
        <v>46135.0</v>
      </c>
      <c r="B716" s="20">
        <v>46135.0</v>
      </c>
      <c r="C716" s="20" t="s">
        <v>25</v>
      </c>
      <c r="D716" s="21" t="s">
        <v>49</v>
      </c>
      <c r="E716" s="21" t="s">
        <v>26</v>
      </c>
      <c r="F716" s="22">
        <v>0.10027777777777777</v>
      </c>
      <c r="G716" s="21" t="s">
        <v>33</v>
      </c>
      <c r="H716" s="24"/>
      <c r="I716" s="25"/>
      <c r="J716" s="26"/>
      <c r="K716" s="21"/>
      <c r="L716" s="27">
        <v>46136.0</v>
      </c>
      <c r="M716" s="28">
        <v>0.20833333333333334</v>
      </c>
      <c r="N716" s="29" t="s">
        <v>57</v>
      </c>
      <c r="O716" s="29" t="s">
        <v>35</v>
      </c>
      <c r="P716" s="34" t="s">
        <v>36</v>
      </c>
      <c r="Q716" s="34" t="s">
        <v>843</v>
      </c>
      <c r="R716" s="35">
        <v>46136.0</v>
      </c>
      <c r="S716" s="32" t="s">
        <v>29</v>
      </c>
      <c r="T716" s="33"/>
      <c r="U716" s="33"/>
    </row>
    <row r="717" ht="15.75" customHeight="1">
      <c r="A717" s="20">
        <v>46135.0</v>
      </c>
      <c r="B717" s="20">
        <v>46135.0</v>
      </c>
      <c r="C717" s="20" t="s">
        <v>25</v>
      </c>
      <c r="D717" s="21" t="s">
        <v>39</v>
      </c>
      <c r="E717" s="21" t="s">
        <v>30</v>
      </c>
      <c r="F717" s="22">
        <v>0.005462962962962963</v>
      </c>
      <c r="G717" s="21" t="s">
        <v>33</v>
      </c>
      <c r="H717" s="24"/>
      <c r="I717" s="25"/>
      <c r="J717" s="26"/>
      <c r="K717" s="21"/>
      <c r="L717" s="27">
        <v>46135.0</v>
      </c>
      <c r="M717" s="28">
        <v>0.020833333333333332</v>
      </c>
      <c r="N717" s="29" t="s">
        <v>39</v>
      </c>
      <c r="O717" s="29" t="s">
        <v>35</v>
      </c>
      <c r="P717" s="34" t="s">
        <v>36</v>
      </c>
      <c r="Q717" s="34" t="s">
        <v>844</v>
      </c>
      <c r="R717" s="35">
        <v>46136.0</v>
      </c>
      <c r="S717" s="32" t="s">
        <v>29</v>
      </c>
      <c r="T717" s="33"/>
      <c r="U717" s="33"/>
    </row>
    <row r="718" ht="15.75" customHeight="1">
      <c r="A718" s="20">
        <v>46135.0</v>
      </c>
      <c r="B718" s="20">
        <v>46135.0</v>
      </c>
      <c r="C718" s="20" t="s">
        <v>25</v>
      </c>
      <c r="D718" s="21" t="s">
        <v>69</v>
      </c>
      <c r="E718" s="21" t="s">
        <v>32</v>
      </c>
      <c r="F718" s="22">
        <v>0.044814814814814814</v>
      </c>
      <c r="G718" s="21" t="s">
        <v>33</v>
      </c>
      <c r="H718" s="24"/>
      <c r="I718" s="25"/>
      <c r="J718" s="26"/>
      <c r="K718" s="21"/>
      <c r="L718" s="27">
        <v>46136.0</v>
      </c>
      <c r="M718" s="28">
        <v>0.10069444444444445</v>
      </c>
      <c r="N718" s="29" t="s">
        <v>34</v>
      </c>
      <c r="O718" s="29" t="s">
        <v>35</v>
      </c>
      <c r="P718" s="34" t="s">
        <v>36</v>
      </c>
      <c r="Q718" s="34" t="s">
        <v>845</v>
      </c>
      <c r="R718" s="35">
        <v>46136.0</v>
      </c>
      <c r="S718" s="32" t="s">
        <v>29</v>
      </c>
      <c r="T718" s="33"/>
      <c r="U718" s="33"/>
    </row>
    <row r="719" ht="15.75" customHeight="1">
      <c r="A719" s="20">
        <v>46135.0</v>
      </c>
      <c r="B719" s="20">
        <v>46135.0</v>
      </c>
      <c r="C719" s="20" t="s">
        <v>25</v>
      </c>
      <c r="D719" s="21" t="s">
        <v>34</v>
      </c>
      <c r="E719" s="21" t="s">
        <v>38</v>
      </c>
      <c r="F719" s="22">
        <v>0.008460648148148148</v>
      </c>
      <c r="G719" s="21" t="s">
        <v>33</v>
      </c>
      <c r="H719" s="24"/>
      <c r="I719" s="25"/>
      <c r="J719" s="26"/>
      <c r="K719" s="21"/>
      <c r="L719" s="27">
        <v>46136.0</v>
      </c>
      <c r="M719" s="28">
        <v>0.027777777777777776</v>
      </c>
      <c r="N719" s="29" t="s">
        <v>69</v>
      </c>
      <c r="O719" s="29" t="s">
        <v>35</v>
      </c>
      <c r="P719" s="34" t="s">
        <v>36</v>
      </c>
      <c r="Q719" s="34">
        <v>1.200677E7</v>
      </c>
      <c r="R719" s="35">
        <v>46136.0</v>
      </c>
      <c r="S719" s="32" t="s">
        <v>29</v>
      </c>
      <c r="T719" s="33"/>
      <c r="U719" s="33"/>
    </row>
    <row r="720" ht="15.75" customHeight="1">
      <c r="A720" s="20">
        <v>46135.0</v>
      </c>
      <c r="B720" s="20">
        <v>46135.0</v>
      </c>
      <c r="C720" s="20" t="s">
        <v>25</v>
      </c>
      <c r="D720" s="21" t="s">
        <v>34</v>
      </c>
      <c r="E720" s="21" t="s">
        <v>40</v>
      </c>
      <c r="F720" s="22">
        <v>0.01960648148148148</v>
      </c>
      <c r="G720" s="21" t="s">
        <v>33</v>
      </c>
      <c r="H720" s="24"/>
      <c r="I720" s="25"/>
      <c r="J720" s="26"/>
      <c r="K720" s="21"/>
      <c r="L720" s="27">
        <v>46136.0</v>
      </c>
      <c r="M720" s="28">
        <v>0.0625</v>
      </c>
      <c r="N720" s="29" t="s">
        <v>49</v>
      </c>
      <c r="O720" s="29" t="s">
        <v>35</v>
      </c>
      <c r="P720" s="34" t="s">
        <v>36</v>
      </c>
      <c r="Q720" s="34" t="s">
        <v>846</v>
      </c>
      <c r="R720" s="35">
        <v>46136.0</v>
      </c>
      <c r="S720" s="32" t="s">
        <v>29</v>
      </c>
      <c r="T720" s="33"/>
      <c r="U720" s="33"/>
    </row>
    <row r="721" ht="15.75" customHeight="1">
      <c r="A721" s="20">
        <v>46135.0</v>
      </c>
      <c r="B721" s="20">
        <v>46135.0</v>
      </c>
      <c r="C721" s="20"/>
      <c r="D721" s="21"/>
      <c r="E721" s="21" t="s">
        <v>43</v>
      </c>
      <c r="F721" s="22">
        <v>0.017175925925925924</v>
      </c>
      <c r="G721" s="21" t="s">
        <v>33</v>
      </c>
      <c r="H721" s="24"/>
      <c r="I721" s="25"/>
      <c r="J721" s="26"/>
      <c r="K721" s="21"/>
      <c r="L721" s="27">
        <v>46136.0</v>
      </c>
      <c r="M721" s="28">
        <v>0.04861111111111111</v>
      </c>
      <c r="N721" s="29" t="s">
        <v>59</v>
      </c>
      <c r="O721" s="29" t="s">
        <v>35</v>
      </c>
      <c r="P721" s="34" t="s">
        <v>28</v>
      </c>
      <c r="Q721" s="34" t="s">
        <v>28</v>
      </c>
      <c r="R721" s="35" t="s">
        <v>28</v>
      </c>
      <c r="S721" s="32" t="s">
        <v>29</v>
      </c>
      <c r="T721" s="33"/>
      <c r="U721" s="33"/>
    </row>
    <row r="722" ht="15.75" customHeight="1">
      <c r="A722" s="20">
        <v>46136.0</v>
      </c>
      <c r="B722" s="20">
        <v>46136.0</v>
      </c>
      <c r="C722" s="20" t="s">
        <v>25</v>
      </c>
      <c r="D722" s="21" t="s">
        <v>49</v>
      </c>
      <c r="E722" s="21" t="s">
        <v>26</v>
      </c>
      <c r="F722" s="22">
        <v>0.10003472222222222</v>
      </c>
      <c r="G722" s="21" t="s">
        <v>33</v>
      </c>
      <c r="H722" s="24"/>
      <c r="I722" s="25"/>
      <c r="J722" s="26"/>
      <c r="K722" s="21"/>
      <c r="L722" s="27">
        <v>46139.0</v>
      </c>
      <c r="M722" s="28">
        <v>0.1875</v>
      </c>
      <c r="N722" s="29" t="s">
        <v>31</v>
      </c>
      <c r="O722" s="29" t="s">
        <v>35</v>
      </c>
      <c r="P722" s="34" t="s">
        <v>36</v>
      </c>
      <c r="Q722" s="34" t="s">
        <v>847</v>
      </c>
      <c r="R722" s="35">
        <v>46139.0</v>
      </c>
      <c r="S722" s="32" t="s">
        <v>29</v>
      </c>
      <c r="T722" s="33"/>
      <c r="U722" s="33"/>
    </row>
    <row r="723" ht="15.75" customHeight="1">
      <c r="A723" s="20">
        <v>46136.0</v>
      </c>
      <c r="B723" s="20">
        <v>46136.0</v>
      </c>
      <c r="C723" s="20" t="s">
        <v>25</v>
      </c>
      <c r="D723" s="21" t="s">
        <v>57</v>
      </c>
      <c r="E723" s="21" t="s">
        <v>30</v>
      </c>
      <c r="F723" s="22">
        <v>0.0033333333333333335</v>
      </c>
      <c r="G723" s="21" t="s">
        <v>33</v>
      </c>
      <c r="H723" s="24"/>
      <c r="I723" s="25"/>
      <c r="J723" s="26"/>
      <c r="K723" s="21"/>
      <c r="L723" s="27">
        <v>46136.0</v>
      </c>
      <c r="M723" s="28">
        <v>0.00625</v>
      </c>
      <c r="N723" s="29" t="s">
        <v>57</v>
      </c>
      <c r="O723" s="29" t="s">
        <v>35</v>
      </c>
      <c r="P723" s="34" t="s">
        <v>36</v>
      </c>
      <c r="Q723" s="34" t="s">
        <v>848</v>
      </c>
      <c r="R723" s="35">
        <v>46139.0</v>
      </c>
      <c r="S723" s="32" t="s">
        <v>29</v>
      </c>
      <c r="T723" s="33"/>
      <c r="U723" s="33"/>
    </row>
    <row r="724" ht="15.75" customHeight="1">
      <c r="A724" s="20">
        <v>46136.0</v>
      </c>
      <c r="B724" s="20">
        <v>46136.0</v>
      </c>
      <c r="C724" s="20" t="s">
        <v>25</v>
      </c>
      <c r="D724" s="21" t="s">
        <v>69</v>
      </c>
      <c r="E724" s="21" t="s">
        <v>32</v>
      </c>
      <c r="F724" s="22">
        <v>0.047997685185185185</v>
      </c>
      <c r="G724" s="21" t="s">
        <v>33</v>
      </c>
      <c r="H724" s="24"/>
      <c r="I724" s="25"/>
      <c r="J724" s="26"/>
      <c r="K724" s="21"/>
      <c r="L724" s="27"/>
      <c r="M724" s="28"/>
      <c r="N724" s="29" t="s">
        <v>57</v>
      </c>
      <c r="O724" s="29"/>
      <c r="P724" s="34" t="s">
        <v>36</v>
      </c>
      <c r="Q724" s="34" t="s">
        <v>849</v>
      </c>
      <c r="R724" s="35">
        <v>46139.0</v>
      </c>
      <c r="S724" s="32" t="s">
        <v>29</v>
      </c>
      <c r="T724" s="33"/>
      <c r="U724" s="33"/>
    </row>
    <row r="725" ht="15.75" customHeight="1">
      <c r="A725" s="20">
        <v>46136.0</v>
      </c>
      <c r="B725" s="20">
        <v>46136.0</v>
      </c>
      <c r="C725" s="20" t="s">
        <v>25</v>
      </c>
      <c r="D725" s="21" t="s">
        <v>34</v>
      </c>
      <c r="E725" s="21" t="s">
        <v>38</v>
      </c>
      <c r="F725" s="22">
        <v>0.008356481481481482</v>
      </c>
      <c r="G725" s="21" t="s">
        <v>33</v>
      </c>
      <c r="H725" s="24"/>
      <c r="I725" s="25"/>
      <c r="J725" s="26"/>
      <c r="K725" s="21"/>
      <c r="L725" s="27">
        <v>46139.0</v>
      </c>
      <c r="M725" s="28">
        <v>0.017361111111111112</v>
      </c>
      <c r="N725" s="29" t="s">
        <v>49</v>
      </c>
      <c r="O725" s="29" t="s">
        <v>35</v>
      </c>
      <c r="P725" s="34" t="s">
        <v>36</v>
      </c>
      <c r="Q725" s="34">
        <v>1.2006771E7</v>
      </c>
      <c r="R725" s="35">
        <v>46139.0</v>
      </c>
      <c r="S725" s="32" t="s">
        <v>29</v>
      </c>
      <c r="T725" s="33"/>
      <c r="U725" s="33"/>
    </row>
    <row r="726" ht="15.75" customHeight="1">
      <c r="A726" s="20">
        <v>46136.0</v>
      </c>
      <c r="B726" s="20">
        <v>46136.0</v>
      </c>
      <c r="C726" s="20" t="s">
        <v>25</v>
      </c>
      <c r="D726" s="21" t="s">
        <v>39</v>
      </c>
      <c r="E726" s="21" t="s">
        <v>40</v>
      </c>
      <c r="F726" s="22">
        <v>0.01943287037037037</v>
      </c>
      <c r="G726" s="21" t="s">
        <v>33</v>
      </c>
      <c r="H726" s="24"/>
      <c r="I726" s="25"/>
      <c r="J726" s="26"/>
      <c r="K726" s="21"/>
      <c r="L726" s="27">
        <v>46139.0</v>
      </c>
      <c r="M726" s="28">
        <v>0.05763888888888889</v>
      </c>
      <c r="N726" s="29" t="s">
        <v>49</v>
      </c>
      <c r="O726" s="29" t="s">
        <v>35</v>
      </c>
      <c r="P726" s="34" t="s">
        <v>36</v>
      </c>
      <c r="Q726" s="34" t="s">
        <v>850</v>
      </c>
      <c r="R726" s="35">
        <v>46139.0</v>
      </c>
      <c r="S726" s="32" t="s">
        <v>29</v>
      </c>
      <c r="T726" s="33"/>
      <c r="U726" s="33"/>
    </row>
    <row r="727" ht="15.75" customHeight="1">
      <c r="A727" s="20">
        <v>46136.0</v>
      </c>
      <c r="B727" s="20">
        <v>46136.0</v>
      </c>
      <c r="C727" s="20"/>
      <c r="D727" s="21"/>
      <c r="E727" s="21" t="s">
        <v>43</v>
      </c>
      <c r="F727" s="22">
        <v>0.015914351851851853</v>
      </c>
      <c r="G727" s="21" t="s">
        <v>33</v>
      </c>
      <c r="H727" s="24"/>
      <c r="I727" s="25"/>
      <c r="J727" s="26"/>
      <c r="K727" s="21"/>
      <c r="L727" s="27">
        <v>46141.0</v>
      </c>
      <c r="M727" s="28">
        <v>0.03819444444444445</v>
      </c>
      <c r="N727" s="29" t="s">
        <v>34</v>
      </c>
      <c r="O727" s="29" t="s">
        <v>35</v>
      </c>
      <c r="P727" s="30" t="s">
        <v>28</v>
      </c>
      <c r="Q727" s="30" t="s">
        <v>28</v>
      </c>
      <c r="R727" s="31" t="s">
        <v>28</v>
      </c>
      <c r="S727" s="32" t="s">
        <v>29</v>
      </c>
      <c r="T727" s="33"/>
      <c r="U727" s="33"/>
    </row>
    <row r="728" ht="15.75" customHeight="1">
      <c r="A728" s="55">
        <v>46137.0</v>
      </c>
      <c r="B728" s="55">
        <v>46137.0</v>
      </c>
      <c r="C728" s="55" t="s">
        <v>613</v>
      </c>
      <c r="D728" s="56" t="s">
        <v>57</v>
      </c>
      <c r="E728" s="56" t="s">
        <v>32</v>
      </c>
      <c r="F728" s="57">
        <v>0.046030092592592595</v>
      </c>
      <c r="G728" s="56" t="s">
        <v>33</v>
      </c>
      <c r="H728" s="24"/>
      <c r="I728" s="25"/>
      <c r="J728" s="26"/>
      <c r="K728" s="21"/>
      <c r="L728" s="27">
        <v>46139.0</v>
      </c>
      <c r="M728" s="28">
        <v>0.10416666666666667</v>
      </c>
      <c r="N728" s="29" t="s">
        <v>59</v>
      </c>
      <c r="O728" s="29" t="s">
        <v>35</v>
      </c>
      <c r="P728" s="34" t="s">
        <v>36</v>
      </c>
      <c r="Q728" s="34" t="s">
        <v>851</v>
      </c>
      <c r="R728" s="35">
        <v>46139.0</v>
      </c>
      <c r="S728" s="32" t="s">
        <v>29</v>
      </c>
      <c r="T728" s="33"/>
      <c r="U728" s="33"/>
    </row>
    <row r="729" ht="15.75" customHeight="1">
      <c r="A729" s="120">
        <v>46137.0</v>
      </c>
      <c r="B729" s="120">
        <v>46137.0</v>
      </c>
      <c r="C729" s="120" t="s">
        <v>25</v>
      </c>
      <c r="D729" s="82" t="s">
        <v>59</v>
      </c>
      <c r="E729" s="82" t="s">
        <v>40</v>
      </c>
      <c r="F729" s="121">
        <v>0.014155092592592592</v>
      </c>
      <c r="G729" s="82" t="s">
        <v>33</v>
      </c>
      <c r="H729" s="39"/>
      <c r="I729" s="40"/>
      <c r="J729" s="41"/>
      <c r="K729" s="37"/>
      <c r="L729" s="42">
        <v>46139.0</v>
      </c>
      <c r="M729" s="43">
        <v>0.04861111111111111</v>
      </c>
      <c r="N729" s="44" t="s">
        <v>59</v>
      </c>
      <c r="O729" s="44" t="s">
        <v>35</v>
      </c>
      <c r="P729" s="45" t="s">
        <v>36</v>
      </c>
      <c r="Q729" s="45" t="s">
        <v>852</v>
      </c>
      <c r="R729" s="46">
        <v>46141.0</v>
      </c>
      <c r="S729" s="54" t="s">
        <v>29</v>
      </c>
      <c r="T729" s="33"/>
      <c r="U729" s="33"/>
    </row>
    <row r="730" ht="15.75" customHeight="1">
      <c r="A730" s="55">
        <v>46137.0</v>
      </c>
      <c r="B730" s="55">
        <v>46137.0</v>
      </c>
      <c r="C730" s="55"/>
      <c r="D730" s="56"/>
      <c r="E730" s="56" t="s">
        <v>43</v>
      </c>
      <c r="F730" s="57">
        <v>0.01766203703703704</v>
      </c>
      <c r="G730" s="56" t="s">
        <v>33</v>
      </c>
      <c r="H730" s="24"/>
      <c r="I730" s="25"/>
      <c r="J730" s="26"/>
      <c r="K730" s="21"/>
      <c r="L730" s="27"/>
      <c r="M730" s="28">
        <v>0.041666666666666664</v>
      </c>
      <c r="N730" s="29" t="s">
        <v>57</v>
      </c>
      <c r="O730" s="29" t="s">
        <v>35</v>
      </c>
      <c r="P730" s="30" t="s">
        <v>28</v>
      </c>
      <c r="Q730" s="30" t="s">
        <v>28</v>
      </c>
      <c r="R730" s="31" t="s">
        <v>28</v>
      </c>
      <c r="S730" s="32" t="s">
        <v>29</v>
      </c>
      <c r="T730" s="33"/>
      <c r="U730" s="33"/>
    </row>
    <row r="731" ht="15.75" customHeight="1">
      <c r="A731" s="55">
        <v>46137.0</v>
      </c>
      <c r="B731" s="55">
        <v>46137.0</v>
      </c>
      <c r="C731" s="55" t="s">
        <v>25</v>
      </c>
      <c r="D731" s="56" t="s">
        <v>34</v>
      </c>
      <c r="E731" s="56" t="s">
        <v>61</v>
      </c>
      <c r="F731" s="57">
        <v>0.02459490740740741</v>
      </c>
      <c r="G731" s="56" t="s">
        <v>33</v>
      </c>
      <c r="H731" s="135" t="s">
        <v>853</v>
      </c>
      <c r="I731" s="25" t="s">
        <v>46</v>
      </c>
      <c r="J731" s="26">
        <v>46139.63280092592</v>
      </c>
      <c r="K731" s="65" t="s">
        <v>854</v>
      </c>
      <c r="L731" s="27">
        <v>46141.0</v>
      </c>
      <c r="M731" s="28">
        <v>0.05555555555555555</v>
      </c>
      <c r="N731" s="29" t="s">
        <v>34</v>
      </c>
      <c r="O731" s="29" t="s">
        <v>35</v>
      </c>
      <c r="P731" s="34" t="s">
        <v>36</v>
      </c>
      <c r="Q731" s="34" t="s">
        <v>855</v>
      </c>
      <c r="R731" s="35">
        <v>46141.0</v>
      </c>
      <c r="S731" s="32" t="s">
        <v>29</v>
      </c>
      <c r="T731" s="33"/>
      <c r="U731" s="33"/>
    </row>
    <row r="732" ht="15.75" customHeight="1">
      <c r="A732" s="55">
        <v>46137.0</v>
      </c>
      <c r="B732" s="55">
        <v>46137.0</v>
      </c>
      <c r="C732" s="55" t="s">
        <v>25</v>
      </c>
      <c r="D732" s="56" t="s">
        <v>34</v>
      </c>
      <c r="E732" s="56" t="s">
        <v>62</v>
      </c>
      <c r="F732" s="57">
        <v>0.02459490740740741</v>
      </c>
      <c r="G732" s="56" t="s">
        <v>33</v>
      </c>
      <c r="H732" s="24" t="s">
        <v>856</v>
      </c>
      <c r="I732" s="25" t="s">
        <v>46</v>
      </c>
      <c r="J732" s="26">
        <v>46139.6346875</v>
      </c>
      <c r="K732" s="21" t="s">
        <v>857</v>
      </c>
      <c r="L732" s="27">
        <v>46141.0</v>
      </c>
      <c r="M732" s="28">
        <v>0.003472222222222222</v>
      </c>
      <c r="N732" s="29" t="s">
        <v>34</v>
      </c>
      <c r="O732" s="29" t="s">
        <v>355</v>
      </c>
      <c r="P732" s="34" t="s">
        <v>36</v>
      </c>
      <c r="Q732" s="34" t="s">
        <v>858</v>
      </c>
      <c r="R732" s="35">
        <v>46141.0</v>
      </c>
      <c r="S732" s="32" t="s">
        <v>29</v>
      </c>
      <c r="T732" s="33"/>
      <c r="U732" s="33"/>
    </row>
    <row r="733" ht="15.75" customHeight="1">
      <c r="A733" s="55">
        <v>46137.0</v>
      </c>
      <c r="B733" s="55">
        <v>46137.0</v>
      </c>
      <c r="C733" s="55" t="s">
        <v>25</v>
      </c>
      <c r="D733" s="56" t="s">
        <v>34</v>
      </c>
      <c r="E733" s="56" t="s">
        <v>63</v>
      </c>
      <c r="F733" s="57">
        <v>0.02181712962962963</v>
      </c>
      <c r="G733" s="56" t="s">
        <v>33</v>
      </c>
      <c r="H733" s="24" t="s">
        <v>859</v>
      </c>
      <c r="I733" s="25" t="s">
        <v>46</v>
      </c>
      <c r="J733" s="26">
        <v>46139.68472222222</v>
      </c>
      <c r="K733" s="21" t="s">
        <v>860</v>
      </c>
      <c r="L733" s="27">
        <v>46142.0</v>
      </c>
      <c r="M733" s="28">
        <v>0.0625</v>
      </c>
      <c r="N733" s="29" t="s">
        <v>57</v>
      </c>
      <c r="O733" s="29" t="s">
        <v>35</v>
      </c>
      <c r="P733" s="34" t="s">
        <v>36</v>
      </c>
      <c r="Q733" s="136" t="s">
        <v>861</v>
      </c>
      <c r="R733" s="35">
        <v>46141.0</v>
      </c>
      <c r="S733" s="32" t="s">
        <v>29</v>
      </c>
      <c r="T733" s="33"/>
      <c r="U733" s="33"/>
    </row>
    <row r="734" ht="16.5" customHeight="1">
      <c r="A734" s="120">
        <v>46137.0</v>
      </c>
      <c r="B734" s="120">
        <v>46147.0</v>
      </c>
      <c r="C734" s="120" t="s">
        <v>65</v>
      </c>
      <c r="D734" s="82" t="s">
        <v>59</v>
      </c>
      <c r="E734" s="82" t="s">
        <v>772</v>
      </c>
      <c r="F734" s="121">
        <v>0.015219907407407408</v>
      </c>
      <c r="G734" s="82" t="s">
        <v>33</v>
      </c>
      <c r="H734" s="137" t="s">
        <v>862</v>
      </c>
      <c r="I734" s="40" t="s">
        <v>46</v>
      </c>
      <c r="J734" s="41">
        <v>46147.78194444445</v>
      </c>
      <c r="K734" s="37" t="s">
        <v>863</v>
      </c>
      <c r="L734" s="42">
        <v>46142.0</v>
      </c>
      <c r="M734" s="43">
        <v>0.003472222222222222</v>
      </c>
      <c r="N734" s="44" t="s">
        <v>49</v>
      </c>
      <c r="O734" s="44" t="s">
        <v>355</v>
      </c>
      <c r="P734" s="45" t="s">
        <v>36</v>
      </c>
      <c r="Q734" s="138" t="s">
        <v>864</v>
      </c>
      <c r="R734" s="46">
        <v>46150.0</v>
      </c>
      <c r="S734" s="54" t="s">
        <v>29</v>
      </c>
      <c r="T734" s="33"/>
      <c r="U734" s="33"/>
    </row>
    <row r="735" ht="13.5" customHeight="1">
      <c r="A735" s="60">
        <v>46138.0</v>
      </c>
      <c r="B735" s="60">
        <v>46138.0</v>
      </c>
      <c r="C735" s="60"/>
      <c r="D735" s="61"/>
      <c r="E735" s="61" t="s">
        <v>64</v>
      </c>
      <c r="F735" s="62"/>
      <c r="G735" s="63" t="s">
        <v>27</v>
      </c>
      <c r="H735" s="24"/>
      <c r="I735" s="25"/>
      <c r="J735" s="26"/>
      <c r="K735" s="21"/>
      <c r="L735" s="27"/>
      <c r="M735" s="28"/>
      <c r="N735" s="29"/>
      <c r="O735" s="29"/>
      <c r="P735" s="34" t="s">
        <v>28</v>
      </c>
      <c r="Q735" s="34" t="s">
        <v>28</v>
      </c>
      <c r="R735" s="35" t="s">
        <v>28</v>
      </c>
      <c r="S735" s="32" t="s">
        <v>29</v>
      </c>
      <c r="T735" s="33"/>
      <c r="U735" s="33"/>
    </row>
    <row r="736" ht="14.25" customHeight="1">
      <c r="A736" s="60">
        <v>46138.0</v>
      </c>
      <c r="B736" s="60">
        <v>46146.0</v>
      </c>
      <c r="C736" s="60" t="s">
        <v>65</v>
      </c>
      <c r="D736" s="61" t="s">
        <v>59</v>
      </c>
      <c r="E736" s="84" t="s">
        <v>66</v>
      </c>
      <c r="F736" s="62">
        <v>0.02181712962962963</v>
      </c>
      <c r="G736" s="61" t="s">
        <v>33</v>
      </c>
      <c r="H736" s="24"/>
      <c r="I736" s="25" t="s">
        <v>46</v>
      </c>
      <c r="J736" s="26">
        <v>46146.52847222222</v>
      </c>
      <c r="K736" s="21" t="s">
        <v>865</v>
      </c>
      <c r="L736" s="27">
        <v>46147.0</v>
      </c>
      <c r="M736" s="28">
        <v>0.017361111111111112</v>
      </c>
      <c r="N736" s="29" t="s">
        <v>69</v>
      </c>
      <c r="O736" s="29" t="s">
        <v>35</v>
      </c>
      <c r="P736" s="34" t="s">
        <v>36</v>
      </c>
      <c r="Q736" s="34" t="s">
        <v>866</v>
      </c>
      <c r="R736" s="35">
        <v>46149.0</v>
      </c>
      <c r="S736" s="32" t="s">
        <v>29</v>
      </c>
      <c r="T736" s="33"/>
      <c r="U736" s="33"/>
    </row>
    <row r="737" ht="15.75" customHeight="1">
      <c r="A737" s="20">
        <v>46139.0</v>
      </c>
      <c r="B737" s="20">
        <v>46139.0</v>
      </c>
      <c r="C737" s="20" t="s">
        <v>25</v>
      </c>
      <c r="D737" s="21" t="s">
        <v>49</v>
      </c>
      <c r="E737" s="21" t="s">
        <v>26</v>
      </c>
      <c r="F737" s="22">
        <v>0.09980324074074073</v>
      </c>
      <c r="G737" s="21" t="s">
        <v>33</v>
      </c>
      <c r="H737" s="24"/>
      <c r="I737" s="25"/>
      <c r="J737" s="26"/>
      <c r="K737" s="21"/>
      <c r="L737" s="27">
        <v>46140.0</v>
      </c>
      <c r="M737" s="28">
        <v>0.2465277777777778</v>
      </c>
      <c r="N737" s="29" t="s">
        <v>34</v>
      </c>
      <c r="O737" s="29" t="s">
        <v>35</v>
      </c>
      <c r="P737" s="34" t="s">
        <v>36</v>
      </c>
      <c r="Q737" s="34" t="s">
        <v>867</v>
      </c>
      <c r="R737" s="35">
        <v>46141.0</v>
      </c>
      <c r="S737" s="32" t="s">
        <v>29</v>
      </c>
      <c r="T737" s="33"/>
      <c r="U737" s="33"/>
    </row>
    <row r="738" ht="15.75" customHeight="1">
      <c r="A738" s="20">
        <v>46139.0</v>
      </c>
      <c r="B738" s="20">
        <v>46139.0</v>
      </c>
      <c r="C738" s="20"/>
      <c r="D738" s="21"/>
      <c r="E738" s="21" t="s">
        <v>30</v>
      </c>
      <c r="F738" s="22"/>
      <c r="G738" s="23" t="s">
        <v>27</v>
      </c>
      <c r="H738" s="24"/>
      <c r="I738" s="25"/>
      <c r="J738" s="26"/>
      <c r="K738" s="21"/>
      <c r="L738" s="27"/>
      <c r="M738" s="28"/>
      <c r="N738" s="29"/>
      <c r="O738" s="29"/>
      <c r="P738" s="34" t="s">
        <v>28</v>
      </c>
      <c r="Q738" s="34" t="s">
        <v>28</v>
      </c>
      <c r="R738" s="35" t="s">
        <v>28</v>
      </c>
      <c r="S738" s="32" t="s">
        <v>29</v>
      </c>
      <c r="T738" s="33"/>
      <c r="U738" s="33"/>
    </row>
    <row r="739" ht="15.75" customHeight="1">
      <c r="A739" s="20">
        <v>46139.0</v>
      </c>
      <c r="B739" s="20">
        <v>46139.0</v>
      </c>
      <c r="C739" s="20" t="s">
        <v>25</v>
      </c>
      <c r="D739" s="21" t="s">
        <v>39</v>
      </c>
      <c r="E739" s="21" t="s">
        <v>32</v>
      </c>
      <c r="F739" s="22">
        <v>0.04672453703703704</v>
      </c>
      <c r="G739" s="21" t="s">
        <v>33</v>
      </c>
      <c r="H739" s="24"/>
      <c r="I739" s="25"/>
      <c r="J739" s="26"/>
      <c r="K739" s="21"/>
      <c r="L739" s="27">
        <v>46140.0</v>
      </c>
      <c r="M739" s="28">
        <v>0.11805555555555555</v>
      </c>
      <c r="N739" s="29" t="s">
        <v>59</v>
      </c>
      <c r="O739" s="29" t="s">
        <v>35</v>
      </c>
      <c r="P739" s="34" t="s">
        <v>36</v>
      </c>
      <c r="Q739" s="34" t="s">
        <v>868</v>
      </c>
      <c r="R739" s="35">
        <v>46141.0</v>
      </c>
      <c r="S739" s="32" t="s">
        <v>29</v>
      </c>
      <c r="T739" s="33"/>
      <c r="U739" s="33"/>
    </row>
    <row r="740" ht="15.75" customHeight="1">
      <c r="A740" s="20">
        <v>46139.0</v>
      </c>
      <c r="B740" s="20">
        <v>46139.0</v>
      </c>
      <c r="C740" s="20" t="s">
        <v>25</v>
      </c>
      <c r="D740" s="21" t="s">
        <v>39</v>
      </c>
      <c r="E740" s="21" t="s">
        <v>38</v>
      </c>
      <c r="F740" s="22">
        <v>0.00974537037037037</v>
      </c>
      <c r="G740" s="21" t="s">
        <v>33</v>
      </c>
      <c r="H740" s="24"/>
      <c r="I740" s="25"/>
      <c r="J740" s="26"/>
      <c r="K740" s="21"/>
      <c r="L740" s="27">
        <v>46140.0</v>
      </c>
      <c r="M740" s="28">
        <v>0.020833333333333332</v>
      </c>
      <c r="N740" s="29" t="s">
        <v>31</v>
      </c>
      <c r="O740" s="29" t="s">
        <v>35</v>
      </c>
      <c r="P740" s="34" t="s">
        <v>36</v>
      </c>
      <c r="Q740" s="34">
        <v>1.2006772E7</v>
      </c>
      <c r="R740" s="35">
        <v>46141.0</v>
      </c>
      <c r="S740" s="32" t="s">
        <v>29</v>
      </c>
      <c r="T740" s="33"/>
      <c r="U740" s="33"/>
    </row>
    <row r="741" ht="15.75" customHeight="1">
      <c r="A741" s="20">
        <v>46139.0</v>
      </c>
      <c r="B741" s="20">
        <v>46139.0</v>
      </c>
      <c r="C741" s="20" t="s">
        <v>25</v>
      </c>
      <c r="D741" s="21" t="s">
        <v>39</v>
      </c>
      <c r="E741" s="21" t="s">
        <v>40</v>
      </c>
      <c r="F741" s="22">
        <v>0.020972222222222222</v>
      </c>
      <c r="G741" s="21" t="s">
        <v>33</v>
      </c>
      <c r="H741" s="24"/>
      <c r="I741" s="25"/>
      <c r="J741" s="26"/>
      <c r="K741" s="21"/>
      <c r="L741" s="27">
        <v>46140.0</v>
      </c>
      <c r="M741" s="28">
        <v>0.04861111111111111</v>
      </c>
      <c r="N741" s="29" t="s">
        <v>31</v>
      </c>
      <c r="O741" s="29" t="s">
        <v>35</v>
      </c>
      <c r="P741" s="34" t="s">
        <v>36</v>
      </c>
      <c r="Q741" s="34" t="s">
        <v>869</v>
      </c>
      <c r="R741" s="35">
        <v>46141.0</v>
      </c>
      <c r="S741" s="32" t="s">
        <v>29</v>
      </c>
      <c r="T741" s="33"/>
      <c r="U741" s="33"/>
    </row>
    <row r="742" ht="16.5" customHeight="1">
      <c r="A742" s="20">
        <v>46139.0</v>
      </c>
      <c r="B742" s="20">
        <v>46139.0</v>
      </c>
      <c r="C742" s="20"/>
      <c r="D742" s="21"/>
      <c r="E742" s="21" t="s">
        <v>43</v>
      </c>
      <c r="F742" s="22"/>
      <c r="G742" s="21"/>
      <c r="H742" s="135"/>
      <c r="I742" s="25"/>
      <c r="J742" s="26"/>
      <c r="K742" s="65"/>
      <c r="L742" s="27">
        <v>46141.0</v>
      </c>
      <c r="M742" s="28">
        <v>0.059027777777777776</v>
      </c>
      <c r="N742" s="29" t="s">
        <v>57</v>
      </c>
      <c r="O742" s="29" t="s">
        <v>35</v>
      </c>
      <c r="P742" s="30" t="s">
        <v>28</v>
      </c>
      <c r="Q742" s="30" t="s">
        <v>28</v>
      </c>
      <c r="R742" s="31" t="s">
        <v>28</v>
      </c>
      <c r="S742" s="32" t="s">
        <v>29</v>
      </c>
      <c r="T742" s="33"/>
      <c r="U742" s="33"/>
    </row>
    <row r="743" ht="15.75" customHeight="1">
      <c r="A743" s="20">
        <v>46140.0</v>
      </c>
      <c r="B743" s="20">
        <v>46140.0</v>
      </c>
      <c r="C743" s="20" t="s">
        <v>25</v>
      </c>
      <c r="D743" s="21" t="s">
        <v>49</v>
      </c>
      <c r="E743" s="21" t="s">
        <v>26</v>
      </c>
      <c r="F743" s="22">
        <v>0.10112268518518519</v>
      </c>
      <c r="G743" s="21" t="s">
        <v>33</v>
      </c>
      <c r="H743" s="24"/>
      <c r="I743" s="25"/>
      <c r="J743" s="26"/>
      <c r="K743" s="21"/>
      <c r="L743" s="27">
        <v>46141.0</v>
      </c>
      <c r="M743" s="28">
        <v>0.20833333333333334</v>
      </c>
      <c r="N743" s="29" t="s">
        <v>59</v>
      </c>
      <c r="O743" s="29" t="s">
        <v>35</v>
      </c>
      <c r="P743" s="34" t="s">
        <v>36</v>
      </c>
      <c r="Q743" s="34" t="s">
        <v>870</v>
      </c>
      <c r="R743" s="35">
        <v>46141.0</v>
      </c>
      <c r="S743" s="32" t="s">
        <v>29</v>
      </c>
      <c r="T743" s="33"/>
      <c r="U743" s="33"/>
    </row>
    <row r="744" ht="15.75" customHeight="1">
      <c r="A744" s="20">
        <v>46140.0</v>
      </c>
      <c r="B744" s="20">
        <v>46140.0</v>
      </c>
      <c r="C744" s="20" t="s">
        <v>25</v>
      </c>
      <c r="D744" s="21" t="s">
        <v>34</v>
      </c>
      <c r="E744" s="21" t="s">
        <v>30</v>
      </c>
      <c r="F744" s="22">
        <v>0.004502314814814815</v>
      </c>
      <c r="G744" s="21" t="s">
        <v>33</v>
      </c>
      <c r="H744" s="24"/>
      <c r="I744" s="25"/>
      <c r="J744" s="26"/>
      <c r="K744" s="21"/>
      <c r="L744" s="27">
        <v>46140.0</v>
      </c>
      <c r="M744" s="28">
        <v>0.010416666666666666</v>
      </c>
      <c r="N744" s="29" t="s">
        <v>34</v>
      </c>
      <c r="O744" s="29" t="s">
        <v>35</v>
      </c>
      <c r="P744" s="34" t="s">
        <v>36</v>
      </c>
      <c r="Q744" s="136" t="s">
        <v>871</v>
      </c>
      <c r="R744" s="35">
        <v>46141.0</v>
      </c>
      <c r="S744" s="32" t="s">
        <v>29</v>
      </c>
      <c r="T744" s="33"/>
      <c r="U744" s="33"/>
    </row>
    <row r="745" ht="15.75" customHeight="1">
      <c r="A745" s="20">
        <v>46140.0</v>
      </c>
      <c r="B745" s="20">
        <v>46140.0</v>
      </c>
      <c r="C745" s="20" t="s">
        <v>25</v>
      </c>
      <c r="D745" s="21" t="s">
        <v>69</v>
      </c>
      <c r="E745" s="21" t="s">
        <v>32</v>
      </c>
      <c r="F745" s="22">
        <v>0.047650462962962964</v>
      </c>
      <c r="G745" s="21" t="s">
        <v>33</v>
      </c>
      <c r="H745" s="24"/>
      <c r="I745" s="25"/>
      <c r="J745" s="26"/>
      <c r="K745" s="21"/>
      <c r="L745" s="27">
        <v>46141.0</v>
      </c>
      <c r="M745" s="28">
        <v>0.125</v>
      </c>
      <c r="N745" s="29" t="s">
        <v>31</v>
      </c>
      <c r="O745" s="29" t="s">
        <v>35</v>
      </c>
      <c r="P745" s="34" t="s">
        <v>36</v>
      </c>
      <c r="Q745" s="34" t="s">
        <v>872</v>
      </c>
      <c r="R745" s="35">
        <v>46141.0</v>
      </c>
      <c r="S745" s="32" t="s">
        <v>29</v>
      </c>
      <c r="T745" s="33"/>
      <c r="U745" s="33"/>
    </row>
    <row r="746" ht="15.75" customHeight="1">
      <c r="A746" s="20">
        <v>46140.0</v>
      </c>
      <c r="B746" s="20">
        <v>46140.0</v>
      </c>
      <c r="C746" s="20" t="s">
        <v>25</v>
      </c>
      <c r="D746" s="21" t="s">
        <v>39</v>
      </c>
      <c r="E746" s="21" t="s">
        <v>38</v>
      </c>
      <c r="F746" s="22">
        <v>0.008368055555555556</v>
      </c>
      <c r="G746" s="21" t="s">
        <v>33</v>
      </c>
      <c r="H746" s="24"/>
      <c r="I746" s="25"/>
      <c r="J746" s="26"/>
      <c r="K746" s="21"/>
      <c r="L746" s="27">
        <v>46141.0</v>
      </c>
      <c r="M746" s="28">
        <v>0.034722222222222224</v>
      </c>
      <c r="N746" s="29" t="s">
        <v>69</v>
      </c>
      <c r="O746" s="29" t="s">
        <v>35</v>
      </c>
      <c r="P746" s="34" t="s">
        <v>36</v>
      </c>
      <c r="Q746" s="34">
        <v>1.2006773E7</v>
      </c>
      <c r="R746" s="35">
        <v>46141.0</v>
      </c>
      <c r="S746" s="32" t="s">
        <v>29</v>
      </c>
      <c r="T746" s="33"/>
      <c r="U746" s="33"/>
    </row>
    <row r="747" ht="16.5" customHeight="1">
      <c r="A747" s="20">
        <v>46140.0</v>
      </c>
      <c r="B747" s="20">
        <v>46140.0</v>
      </c>
      <c r="C747" s="20" t="s">
        <v>25</v>
      </c>
      <c r="D747" s="21" t="s">
        <v>39</v>
      </c>
      <c r="E747" s="21" t="s">
        <v>40</v>
      </c>
      <c r="F747" s="22">
        <v>0.01945601851851852</v>
      </c>
      <c r="G747" s="21" t="s">
        <v>33</v>
      </c>
      <c r="H747" s="24"/>
      <c r="I747" s="25"/>
      <c r="J747" s="26"/>
      <c r="K747" s="21"/>
      <c r="L747" s="27">
        <v>46141.0</v>
      </c>
      <c r="M747" s="28">
        <v>0.0625</v>
      </c>
      <c r="N747" s="29" t="s">
        <v>49</v>
      </c>
      <c r="O747" s="29" t="s">
        <v>35</v>
      </c>
      <c r="P747" s="34" t="s">
        <v>36</v>
      </c>
      <c r="Q747" s="34" t="s">
        <v>873</v>
      </c>
      <c r="R747" s="35">
        <v>46141.0</v>
      </c>
      <c r="S747" s="32" t="s">
        <v>29</v>
      </c>
      <c r="T747" s="33"/>
      <c r="U747" s="33"/>
    </row>
    <row r="748" ht="15.75" customHeight="1">
      <c r="A748" s="20">
        <v>46140.0</v>
      </c>
      <c r="B748" s="20">
        <v>46140.0</v>
      </c>
      <c r="C748" s="20"/>
      <c r="D748" s="21"/>
      <c r="E748" s="21" t="s">
        <v>43</v>
      </c>
      <c r="F748" s="22">
        <v>0.015416666666666667</v>
      </c>
      <c r="G748" s="21" t="s">
        <v>33</v>
      </c>
      <c r="H748" s="135"/>
      <c r="I748" s="25"/>
      <c r="J748" s="26"/>
      <c r="K748" s="65"/>
      <c r="L748" s="27">
        <v>46141.0</v>
      </c>
      <c r="M748" s="28">
        <v>0.052083333333333336</v>
      </c>
      <c r="N748" s="29" t="s">
        <v>57</v>
      </c>
      <c r="O748" s="29" t="s">
        <v>35</v>
      </c>
      <c r="P748" s="30" t="s">
        <v>28</v>
      </c>
      <c r="Q748" s="30" t="s">
        <v>28</v>
      </c>
      <c r="R748" s="31" t="s">
        <v>28</v>
      </c>
      <c r="S748" s="32" t="s">
        <v>29</v>
      </c>
      <c r="T748" s="33"/>
      <c r="U748" s="33"/>
    </row>
    <row r="749" ht="15.75" customHeight="1">
      <c r="A749" s="20">
        <v>46141.0</v>
      </c>
      <c r="B749" s="20">
        <v>46141.0</v>
      </c>
      <c r="C749" s="20" t="s">
        <v>25</v>
      </c>
      <c r="D749" s="21" t="s">
        <v>49</v>
      </c>
      <c r="E749" s="21" t="s">
        <v>26</v>
      </c>
      <c r="F749" s="22">
        <v>0.10020833333333333</v>
      </c>
      <c r="G749" s="21" t="s">
        <v>33</v>
      </c>
      <c r="H749" s="24"/>
      <c r="I749" s="25"/>
      <c r="J749" s="26"/>
      <c r="K749" s="21"/>
      <c r="L749" s="27">
        <v>46142.0</v>
      </c>
      <c r="M749" s="28">
        <v>0.2423611111111111</v>
      </c>
      <c r="N749" s="29" t="s">
        <v>39</v>
      </c>
      <c r="O749" s="29" t="s">
        <v>35</v>
      </c>
      <c r="P749" s="34" t="s">
        <v>36</v>
      </c>
      <c r="Q749" s="136" t="s">
        <v>874</v>
      </c>
      <c r="R749" s="35">
        <v>46142.0</v>
      </c>
      <c r="S749" s="32" t="s">
        <v>29</v>
      </c>
      <c r="T749" s="33"/>
      <c r="U749" s="33"/>
    </row>
    <row r="750" ht="15.75" customHeight="1">
      <c r="A750" s="20">
        <v>46141.0</v>
      </c>
      <c r="B750" s="20">
        <v>46141.0</v>
      </c>
      <c r="C750" s="20" t="s">
        <v>25</v>
      </c>
      <c r="D750" s="21" t="s">
        <v>59</v>
      </c>
      <c r="E750" s="21" t="s">
        <v>30</v>
      </c>
      <c r="F750" s="22">
        <v>0.007905092592592592</v>
      </c>
      <c r="G750" s="21" t="s">
        <v>33</v>
      </c>
      <c r="H750" s="24"/>
      <c r="I750" s="25"/>
      <c r="J750" s="26"/>
      <c r="K750" s="21"/>
      <c r="L750" s="27">
        <v>46141.0</v>
      </c>
      <c r="M750" s="28">
        <v>0.017361111111111112</v>
      </c>
      <c r="N750" s="29" t="s">
        <v>59</v>
      </c>
      <c r="O750" s="29" t="s">
        <v>35</v>
      </c>
      <c r="P750" s="34" t="s">
        <v>36</v>
      </c>
      <c r="Q750" s="34" t="s">
        <v>875</v>
      </c>
      <c r="R750" s="35">
        <v>46142.0</v>
      </c>
      <c r="S750" s="32" t="s">
        <v>29</v>
      </c>
      <c r="T750" s="33"/>
      <c r="U750" s="33"/>
    </row>
    <row r="751" ht="15.75" customHeight="1">
      <c r="A751" s="20">
        <v>46141.0</v>
      </c>
      <c r="B751" s="20">
        <v>46141.0</v>
      </c>
      <c r="C751" s="20" t="s">
        <v>25</v>
      </c>
      <c r="D751" s="21" t="s">
        <v>69</v>
      </c>
      <c r="E751" s="21" t="s">
        <v>32</v>
      </c>
      <c r="F751" s="22">
        <v>0.04697916666666667</v>
      </c>
      <c r="G751" s="21" t="s">
        <v>33</v>
      </c>
      <c r="H751" s="24"/>
      <c r="I751" s="25"/>
      <c r="J751" s="26"/>
      <c r="K751" s="21"/>
      <c r="L751" s="27">
        <v>46142.0</v>
      </c>
      <c r="M751" s="28">
        <v>0.12152777777777778</v>
      </c>
      <c r="N751" s="29" t="s">
        <v>59</v>
      </c>
      <c r="O751" s="29" t="s">
        <v>35</v>
      </c>
      <c r="P751" s="34" t="s">
        <v>36</v>
      </c>
      <c r="Q751" s="34" t="s">
        <v>876</v>
      </c>
      <c r="R751" s="35">
        <v>46142.0</v>
      </c>
      <c r="S751" s="32" t="s">
        <v>29</v>
      </c>
      <c r="T751" s="33"/>
      <c r="U751" s="33"/>
    </row>
    <row r="752" ht="15.75" customHeight="1">
      <c r="A752" s="20">
        <v>46141.0</v>
      </c>
      <c r="B752" s="20">
        <v>46141.0</v>
      </c>
      <c r="C752" s="20" t="s">
        <v>25</v>
      </c>
      <c r="D752" s="21" t="s">
        <v>34</v>
      </c>
      <c r="E752" s="21" t="s">
        <v>38</v>
      </c>
      <c r="F752" s="22">
        <v>0.008344907407407407</v>
      </c>
      <c r="G752" s="21" t="s">
        <v>33</v>
      </c>
      <c r="H752" s="24"/>
      <c r="I752" s="25"/>
      <c r="J752" s="26"/>
      <c r="K752" s="21"/>
      <c r="L752" s="27">
        <v>46142.0</v>
      </c>
      <c r="M752" s="28">
        <v>0.020833333333333332</v>
      </c>
      <c r="N752" s="29" t="s">
        <v>31</v>
      </c>
      <c r="O752" s="29" t="s">
        <v>35</v>
      </c>
      <c r="P752" s="34" t="s">
        <v>36</v>
      </c>
      <c r="Q752" s="34">
        <v>1.2006774E7</v>
      </c>
      <c r="R752" s="35">
        <v>46142.0</v>
      </c>
      <c r="S752" s="32" t="s">
        <v>29</v>
      </c>
      <c r="T752" s="33"/>
      <c r="U752" s="33"/>
    </row>
    <row r="753" ht="15.75" customHeight="1">
      <c r="A753" s="20">
        <v>46141.0</v>
      </c>
      <c r="B753" s="20">
        <v>46141.0</v>
      </c>
      <c r="C753" s="20" t="s">
        <v>25</v>
      </c>
      <c r="D753" s="21" t="s">
        <v>34</v>
      </c>
      <c r="E753" s="21" t="s">
        <v>40</v>
      </c>
      <c r="F753" s="22">
        <v>0.018171296296296297</v>
      </c>
      <c r="G753" s="21" t="s">
        <v>33</v>
      </c>
      <c r="H753" s="24"/>
      <c r="I753" s="25"/>
      <c r="J753" s="26"/>
      <c r="K753" s="21"/>
      <c r="L753" s="27">
        <v>46142.0</v>
      </c>
      <c r="M753" s="28">
        <v>0.04861111111111111</v>
      </c>
      <c r="N753" s="29" t="s">
        <v>31</v>
      </c>
      <c r="O753" s="29" t="s">
        <v>35</v>
      </c>
      <c r="P753" s="34" t="s">
        <v>36</v>
      </c>
      <c r="Q753" s="34" t="s">
        <v>877</v>
      </c>
      <c r="R753" s="35">
        <v>46142.0</v>
      </c>
      <c r="S753" s="32" t="s">
        <v>29</v>
      </c>
      <c r="T753" s="33"/>
      <c r="U753" s="33"/>
    </row>
    <row r="754" ht="15.75" customHeight="1">
      <c r="A754" s="20">
        <v>46141.0</v>
      </c>
      <c r="B754" s="20">
        <v>46141.0</v>
      </c>
      <c r="C754" s="20"/>
      <c r="D754" s="21"/>
      <c r="E754" s="21" t="s">
        <v>43</v>
      </c>
      <c r="F754" s="22">
        <v>0.017025462962962964</v>
      </c>
      <c r="G754" s="21" t="s">
        <v>33</v>
      </c>
      <c r="H754" s="135"/>
      <c r="I754" s="25"/>
      <c r="J754" s="26"/>
      <c r="K754" s="65"/>
      <c r="L754" s="27">
        <v>46142.0</v>
      </c>
      <c r="M754" s="28">
        <v>0.04861111111111111</v>
      </c>
      <c r="N754" s="29" t="s">
        <v>34</v>
      </c>
      <c r="O754" s="29" t="s">
        <v>35</v>
      </c>
      <c r="P754" s="30" t="s">
        <v>28</v>
      </c>
      <c r="Q754" s="30" t="s">
        <v>28</v>
      </c>
      <c r="R754" s="31" t="s">
        <v>28</v>
      </c>
      <c r="S754" s="32" t="s">
        <v>29</v>
      </c>
      <c r="T754" s="33"/>
      <c r="U754" s="33"/>
    </row>
    <row r="755" ht="15.75" customHeight="1">
      <c r="A755" s="36">
        <v>46142.0</v>
      </c>
      <c r="B755" s="36">
        <v>46142.0</v>
      </c>
      <c r="C755" s="36" t="s">
        <v>25</v>
      </c>
      <c r="D755" s="37" t="s">
        <v>49</v>
      </c>
      <c r="E755" s="37" t="s">
        <v>26</v>
      </c>
      <c r="F755" s="38">
        <v>0.10024305555555556</v>
      </c>
      <c r="G755" s="37" t="s">
        <v>33</v>
      </c>
      <c r="H755" s="39"/>
      <c r="I755" s="40" t="s">
        <v>178</v>
      </c>
      <c r="J755" s="41">
        <v>46142.561111111114</v>
      </c>
      <c r="K755" s="139" t="s">
        <v>878</v>
      </c>
      <c r="L755" s="42">
        <v>46143.0</v>
      </c>
      <c r="M755" s="43">
        <v>0.20833333333333334</v>
      </c>
      <c r="N755" s="44" t="s">
        <v>57</v>
      </c>
      <c r="O755" s="44" t="s">
        <v>35</v>
      </c>
      <c r="P755" s="45" t="s">
        <v>53</v>
      </c>
      <c r="Q755" s="45" t="s">
        <v>879</v>
      </c>
      <c r="R755" s="46">
        <v>46143.0</v>
      </c>
      <c r="S755" s="54" t="s">
        <v>29</v>
      </c>
      <c r="T755" s="33"/>
      <c r="U755" s="33"/>
    </row>
    <row r="756" ht="15.75" customHeight="1">
      <c r="A756" s="20">
        <v>46142.0</v>
      </c>
      <c r="B756" s="20">
        <v>46142.0</v>
      </c>
      <c r="C756" s="20" t="s">
        <v>25</v>
      </c>
      <c r="D756" s="21" t="s">
        <v>39</v>
      </c>
      <c r="E756" s="21" t="s">
        <v>30</v>
      </c>
      <c r="F756" s="22">
        <v>0.005798611111111111</v>
      </c>
      <c r="G756" s="21" t="s">
        <v>33</v>
      </c>
      <c r="H756" s="24"/>
      <c r="I756" s="25"/>
      <c r="J756" s="26"/>
      <c r="K756" s="21"/>
      <c r="L756" s="27">
        <v>46142.0</v>
      </c>
      <c r="M756" s="28">
        <v>0.016666666666666666</v>
      </c>
      <c r="N756" s="29" t="s">
        <v>39</v>
      </c>
      <c r="O756" s="29" t="s">
        <v>35</v>
      </c>
      <c r="P756" s="34" t="s">
        <v>53</v>
      </c>
      <c r="Q756" s="136" t="s">
        <v>880</v>
      </c>
      <c r="R756" s="35">
        <v>46143.0</v>
      </c>
      <c r="S756" s="32" t="s">
        <v>29</v>
      </c>
      <c r="T756" s="33"/>
      <c r="U756" s="33"/>
    </row>
    <row r="757" ht="15.75" customHeight="1">
      <c r="A757" s="36">
        <v>46142.0</v>
      </c>
      <c r="B757" s="36">
        <v>46142.0</v>
      </c>
      <c r="C757" s="36" t="s">
        <v>25</v>
      </c>
      <c r="D757" s="37" t="s">
        <v>69</v>
      </c>
      <c r="E757" s="37" t="s">
        <v>32</v>
      </c>
      <c r="F757" s="38">
        <v>0.04591435185185185</v>
      </c>
      <c r="G757" s="37" t="s">
        <v>33</v>
      </c>
      <c r="H757" s="39"/>
      <c r="I757" s="40"/>
      <c r="J757" s="41"/>
      <c r="K757" s="37"/>
      <c r="L757" s="42">
        <v>46143.0</v>
      </c>
      <c r="M757" s="43">
        <v>0.14583333333333334</v>
      </c>
      <c r="N757" s="44" t="s">
        <v>39</v>
      </c>
      <c r="O757" s="44" t="s">
        <v>35</v>
      </c>
      <c r="P757" s="34" t="s">
        <v>53</v>
      </c>
      <c r="Q757" s="45" t="s">
        <v>881</v>
      </c>
      <c r="R757" s="35">
        <v>46143.0</v>
      </c>
      <c r="S757" s="54" t="s">
        <v>29</v>
      </c>
      <c r="T757" s="33"/>
      <c r="U757" s="33"/>
    </row>
    <row r="758" ht="15.75" customHeight="1">
      <c r="A758" s="20">
        <v>46142.0</v>
      </c>
      <c r="B758" s="20">
        <v>46142.0</v>
      </c>
      <c r="C758" s="20" t="s">
        <v>25</v>
      </c>
      <c r="D758" s="21" t="s">
        <v>34</v>
      </c>
      <c r="E758" s="21" t="s">
        <v>38</v>
      </c>
      <c r="F758" s="22">
        <v>0.008333333333333333</v>
      </c>
      <c r="G758" s="21" t="s">
        <v>33</v>
      </c>
      <c r="H758" s="24"/>
      <c r="I758" s="25"/>
      <c r="J758" s="26"/>
      <c r="K758" s="21"/>
      <c r="L758" s="27">
        <v>46144.0</v>
      </c>
      <c r="M758" s="28">
        <v>0.027777777777777776</v>
      </c>
      <c r="N758" s="29" t="s">
        <v>39</v>
      </c>
      <c r="O758" s="29" t="s">
        <v>35</v>
      </c>
      <c r="P758" s="34" t="s">
        <v>53</v>
      </c>
      <c r="Q758" s="34">
        <v>1.2006775E7</v>
      </c>
      <c r="R758" s="35">
        <v>46143.0</v>
      </c>
      <c r="S758" s="32" t="s">
        <v>29</v>
      </c>
      <c r="T758" s="33"/>
      <c r="U758" s="33"/>
    </row>
    <row r="759" ht="15.75" customHeight="1">
      <c r="A759" s="20">
        <v>46142.0</v>
      </c>
      <c r="B759" s="20">
        <v>46142.0</v>
      </c>
      <c r="C759" s="20" t="s">
        <v>25</v>
      </c>
      <c r="D759" s="21" t="s">
        <v>34</v>
      </c>
      <c r="E759" s="21" t="s">
        <v>40</v>
      </c>
      <c r="F759" s="22">
        <v>0.01861111111111111</v>
      </c>
      <c r="G759" s="21" t="s">
        <v>33</v>
      </c>
      <c r="H759" s="24" t="s">
        <v>882</v>
      </c>
      <c r="I759" s="25" t="s">
        <v>46</v>
      </c>
      <c r="J759" s="26">
        <v>46142.89928240741</v>
      </c>
      <c r="K759" s="21" t="s">
        <v>883</v>
      </c>
      <c r="L759" s="27">
        <v>46143.0</v>
      </c>
      <c r="M759" s="28">
        <v>0.0763888888888889</v>
      </c>
      <c r="N759" s="29" t="s">
        <v>39</v>
      </c>
      <c r="O759" s="29" t="s">
        <v>35</v>
      </c>
      <c r="P759" s="34" t="s">
        <v>36</v>
      </c>
      <c r="Q759" s="34" t="s">
        <v>884</v>
      </c>
      <c r="R759" s="35">
        <v>46144.0</v>
      </c>
      <c r="S759" s="32" t="s">
        <v>29</v>
      </c>
      <c r="T759" s="33"/>
      <c r="U759" s="33"/>
    </row>
    <row r="760" ht="15.75" customHeight="1">
      <c r="A760" s="20">
        <v>46142.0</v>
      </c>
      <c r="B760" s="20">
        <v>46142.0</v>
      </c>
      <c r="C760" s="20"/>
      <c r="D760" s="21"/>
      <c r="E760" s="21" t="s">
        <v>43</v>
      </c>
      <c r="F760" s="22">
        <v>0.017546296296296296</v>
      </c>
      <c r="G760" s="21"/>
      <c r="H760" s="24"/>
      <c r="I760" s="25"/>
      <c r="J760" s="26"/>
      <c r="K760" s="21"/>
      <c r="L760" s="27">
        <v>46195.0</v>
      </c>
      <c r="M760" s="28">
        <v>0.034722222222222224</v>
      </c>
      <c r="N760" s="29" t="s">
        <v>57</v>
      </c>
      <c r="O760" s="29" t="s">
        <v>35</v>
      </c>
      <c r="P760" s="30" t="s">
        <v>28</v>
      </c>
      <c r="Q760" s="30" t="s">
        <v>28</v>
      </c>
      <c r="R760" s="31" t="s">
        <v>28</v>
      </c>
      <c r="S760" s="32" t="s">
        <v>29</v>
      </c>
      <c r="T760" s="33"/>
      <c r="U760" s="33"/>
    </row>
    <row r="761" ht="15.75" customHeight="1">
      <c r="A761" s="20">
        <v>46143.0</v>
      </c>
      <c r="B761" s="20">
        <v>46143.0</v>
      </c>
      <c r="C761" s="20" t="s">
        <v>25</v>
      </c>
      <c r="D761" s="21" t="s">
        <v>57</v>
      </c>
      <c r="E761" s="21" t="s">
        <v>26</v>
      </c>
      <c r="F761" s="22">
        <v>0.10020833333333333</v>
      </c>
      <c r="G761" s="21" t="s">
        <v>33</v>
      </c>
      <c r="H761" s="24"/>
      <c r="I761" s="25"/>
      <c r="J761" s="26"/>
      <c r="K761" s="21"/>
      <c r="L761" s="27">
        <v>46146.0</v>
      </c>
      <c r="M761" s="28">
        <v>0.20833333333333334</v>
      </c>
      <c r="N761" s="29" t="s">
        <v>31</v>
      </c>
      <c r="O761" s="29" t="s">
        <v>35</v>
      </c>
      <c r="P761" s="34" t="s">
        <v>53</v>
      </c>
      <c r="Q761" s="34" t="s">
        <v>885</v>
      </c>
      <c r="R761" s="35">
        <v>46143.0</v>
      </c>
      <c r="S761" s="32" t="s">
        <v>29</v>
      </c>
      <c r="T761" s="33"/>
      <c r="U761" s="33"/>
    </row>
    <row r="762" ht="15.75" customHeight="1">
      <c r="A762" s="20">
        <v>46143.0</v>
      </c>
      <c r="B762" s="20">
        <v>46143.0</v>
      </c>
      <c r="C762" s="20" t="s">
        <v>25</v>
      </c>
      <c r="D762" s="21" t="s">
        <v>57</v>
      </c>
      <c r="E762" s="21" t="s">
        <v>30</v>
      </c>
      <c r="F762" s="22">
        <v>0.002766203703703704</v>
      </c>
      <c r="G762" s="21" t="s">
        <v>33</v>
      </c>
      <c r="H762" s="24"/>
      <c r="I762" s="25"/>
      <c r="J762" s="26"/>
      <c r="K762" s="21"/>
      <c r="L762" s="27"/>
      <c r="M762" s="28"/>
      <c r="N762" s="29" t="s">
        <v>57</v>
      </c>
      <c r="O762" s="29"/>
      <c r="P762" s="34" t="s">
        <v>53</v>
      </c>
      <c r="Q762" s="34" t="s">
        <v>886</v>
      </c>
      <c r="R762" s="35">
        <v>46143.0</v>
      </c>
      <c r="S762" s="32" t="s">
        <v>29</v>
      </c>
      <c r="T762" s="33"/>
      <c r="U762" s="33"/>
    </row>
    <row r="763" ht="15.75" customHeight="1">
      <c r="A763" s="20">
        <v>46143.0</v>
      </c>
      <c r="B763" s="20">
        <v>46143.0</v>
      </c>
      <c r="C763" s="20" t="s">
        <v>25</v>
      </c>
      <c r="D763" s="21" t="s">
        <v>57</v>
      </c>
      <c r="E763" s="21" t="s">
        <v>32</v>
      </c>
      <c r="F763" s="22">
        <v>0.04939814814814815</v>
      </c>
      <c r="G763" s="21" t="s">
        <v>33</v>
      </c>
      <c r="H763" s="24"/>
      <c r="I763" s="25"/>
      <c r="J763" s="26"/>
      <c r="K763" s="21"/>
      <c r="L763" s="27">
        <v>45048.0</v>
      </c>
      <c r="M763" s="28">
        <v>0.1597222222222222</v>
      </c>
      <c r="N763" s="29" t="s">
        <v>39</v>
      </c>
      <c r="O763" s="29" t="s">
        <v>35</v>
      </c>
      <c r="P763" s="34" t="s">
        <v>53</v>
      </c>
      <c r="Q763" s="34" t="s">
        <v>887</v>
      </c>
      <c r="R763" s="35">
        <v>46143.0</v>
      </c>
      <c r="S763" s="32" t="s">
        <v>29</v>
      </c>
      <c r="T763" s="33"/>
      <c r="U763" s="33"/>
    </row>
    <row r="764" ht="15.75" customHeight="1">
      <c r="A764" s="20">
        <v>46143.0</v>
      </c>
      <c r="B764" s="20">
        <v>46143.0</v>
      </c>
      <c r="C764" s="20" t="s">
        <v>25</v>
      </c>
      <c r="D764" s="21" t="s">
        <v>39</v>
      </c>
      <c r="E764" s="21" t="s">
        <v>38</v>
      </c>
      <c r="F764" s="22">
        <v>0.008391203703703705</v>
      </c>
      <c r="G764" s="21" t="s">
        <v>33</v>
      </c>
      <c r="H764" s="24"/>
      <c r="I764" s="25"/>
      <c r="J764" s="26"/>
      <c r="K764" s="21"/>
      <c r="L764" s="27">
        <v>46146.0</v>
      </c>
      <c r="M764" s="28">
        <v>0.017361111111111112</v>
      </c>
      <c r="N764" s="29" t="s">
        <v>49</v>
      </c>
      <c r="O764" s="29" t="s">
        <v>35</v>
      </c>
      <c r="P764" s="34" t="s">
        <v>36</v>
      </c>
      <c r="Q764" s="34">
        <v>1.2006776E7</v>
      </c>
      <c r="R764" s="35">
        <v>46144.0</v>
      </c>
      <c r="S764" s="32" t="s">
        <v>29</v>
      </c>
      <c r="T764" s="33"/>
      <c r="U764" s="33"/>
    </row>
    <row r="765" ht="15.75" customHeight="1">
      <c r="A765" s="20">
        <v>46143.0</v>
      </c>
      <c r="B765" s="20">
        <v>46143.0</v>
      </c>
      <c r="C765" s="20" t="s">
        <v>25</v>
      </c>
      <c r="D765" s="21" t="s">
        <v>39</v>
      </c>
      <c r="E765" s="21" t="s">
        <v>40</v>
      </c>
      <c r="F765" s="22">
        <v>0.018298611111111113</v>
      </c>
      <c r="G765" s="21" t="s">
        <v>33</v>
      </c>
      <c r="H765" s="24"/>
      <c r="I765" s="25"/>
      <c r="J765" s="26"/>
      <c r="K765" s="21"/>
      <c r="L765" s="27">
        <v>46146.0</v>
      </c>
      <c r="M765" s="28">
        <v>0.06388888888888888</v>
      </c>
      <c r="N765" s="29" t="s">
        <v>49</v>
      </c>
      <c r="O765" s="29" t="s">
        <v>35</v>
      </c>
      <c r="P765" s="34" t="s">
        <v>36</v>
      </c>
      <c r="Q765" s="34" t="s">
        <v>888</v>
      </c>
      <c r="R765" s="35">
        <v>46146.0</v>
      </c>
      <c r="S765" s="32" t="s">
        <v>29</v>
      </c>
      <c r="T765" s="33"/>
      <c r="U765" s="33"/>
    </row>
    <row r="766" ht="15.75" customHeight="1">
      <c r="A766" s="20">
        <v>46143.0</v>
      </c>
      <c r="B766" s="20">
        <v>46143.0</v>
      </c>
      <c r="C766" s="20"/>
      <c r="D766" s="21"/>
      <c r="E766" s="21" t="s">
        <v>43</v>
      </c>
      <c r="F766" s="22">
        <v>0.015810185185185184</v>
      </c>
      <c r="G766" s="21" t="s">
        <v>33</v>
      </c>
      <c r="H766" s="24"/>
      <c r="I766" s="25"/>
      <c r="J766" s="26"/>
      <c r="K766" s="21"/>
      <c r="L766" s="27">
        <v>46146.0</v>
      </c>
      <c r="M766" s="28">
        <v>0.041666666666666664</v>
      </c>
      <c r="N766" s="29" t="s">
        <v>59</v>
      </c>
      <c r="O766" s="29" t="s">
        <v>35</v>
      </c>
      <c r="P766" s="30" t="s">
        <v>28</v>
      </c>
      <c r="Q766" s="30" t="s">
        <v>28</v>
      </c>
      <c r="R766" s="31" t="s">
        <v>28</v>
      </c>
      <c r="S766" s="32" t="s">
        <v>29</v>
      </c>
      <c r="T766" s="33"/>
      <c r="U766" s="33"/>
    </row>
    <row r="767" ht="15.75" customHeight="1">
      <c r="A767" s="55">
        <v>46144.0</v>
      </c>
      <c r="B767" s="55">
        <v>46144.0</v>
      </c>
      <c r="C767" s="55" t="s">
        <v>613</v>
      </c>
      <c r="D767" s="56" t="s">
        <v>39</v>
      </c>
      <c r="E767" s="56" t="s">
        <v>32</v>
      </c>
      <c r="F767" s="57">
        <v>0.04928240740740741</v>
      </c>
      <c r="G767" s="56" t="s">
        <v>33</v>
      </c>
      <c r="H767" s="24"/>
      <c r="I767" s="25"/>
      <c r="J767" s="26"/>
      <c r="K767" s="21"/>
      <c r="L767" s="27">
        <v>46146.0</v>
      </c>
      <c r="M767" s="28">
        <v>0.125</v>
      </c>
      <c r="N767" s="29" t="s">
        <v>57</v>
      </c>
      <c r="O767" s="29" t="s">
        <v>35</v>
      </c>
      <c r="P767" s="34" t="s">
        <v>36</v>
      </c>
      <c r="Q767" s="34" t="s">
        <v>889</v>
      </c>
      <c r="R767" s="35">
        <v>46146.0</v>
      </c>
      <c r="S767" s="32" t="s">
        <v>29</v>
      </c>
      <c r="T767" s="33"/>
      <c r="U767" s="33"/>
    </row>
    <row r="768" ht="15.75" customHeight="1">
      <c r="A768" s="55">
        <v>46144.0</v>
      </c>
      <c r="B768" s="55">
        <v>46144.0</v>
      </c>
      <c r="C768" s="55" t="s">
        <v>25</v>
      </c>
      <c r="D768" s="56" t="s">
        <v>57</v>
      </c>
      <c r="E768" s="56" t="s">
        <v>40</v>
      </c>
      <c r="F768" s="57">
        <v>0.011284722222222222</v>
      </c>
      <c r="G768" s="56" t="s">
        <v>33</v>
      </c>
      <c r="H768" s="135"/>
      <c r="I768" s="25"/>
      <c r="J768" s="26"/>
      <c r="K768" s="65"/>
      <c r="L768" s="27">
        <v>46146.0</v>
      </c>
      <c r="M768" s="28">
        <v>0.029166666666666667</v>
      </c>
      <c r="N768" s="29" t="s">
        <v>34</v>
      </c>
      <c r="O768" s="29" t="s">
        <v>35</v>
      </c>
      <c r="P768" s="34" t="s">
        <v>36</v>
      </c>
      <c r="Q768" s="34" t="s">
        <v>890</v>
      </c>
      <c r="R768" s="35">
        <v>46146.0</v>
      </c>
      <c r="S768" s="32" t="s">
        <v>29</v>
      </c>
      <c r="T768" s="33"/>
      <c r="U768" s="33"/>
    </row>
    <row r="769" ht="15.75" customHeight="1">
      <c r="A769" s="55">
        <v>46144.0</v>
      </c>
      <c r="B769" s="55">
        <v>46144.0</v>
      </c>
      <c r="C769" s="55"/>
      <c r="D769" s="56"/>
      <c r="E769" s="56" t="s">
        <v>43</v>
      </c>
      <c r="F769" s="57">
        <v>0.016145833333333335</v>
      </c>
      <c r="G769" s="56" t="s">
        <v>33</v>
      </c>
      <c r="H769" s="108"/>
      <c r="I769" s="40"/>
      <c r="J769" s="41"/>
      <c r="K769" s="65"/>
      <c r="L769" s="27">
        <v>46147.0</v>
      </c>
      <c r="M769" s="28">
        <v>0.05555555555555555</v>
      </c>
      <c r="N769" s="29" t="s">
        <v>59</v>
      </c>
      <c r="O769" s="29" t="s">
        <v>35</v>
      </c>
      <c r="P769" s="30" t="s">
        <v>28</v>
      </c>
      <c r="Q769" s="30" t="s">
        <v>28</v>
      </c>
      <c r="R769" s="31" t="s">
        <v>28</v>
      </c>
      <c r="S769" s="32" t="s">
        <v>29</v>
      </c>
      <c r="T769" s="33"/>
      <c r="U769" s="33"/>
    </row>
    <row r="770" ht="15.75" customHeight="1">
      <c r="A770" s="55">
        <v>46144.0</v>
      </c>
      <c r="B770" s="55">
        <v>46146.0</v>
      </c>
      <c r="C770" s="55" t="s">
        <v>25</v>
      </c>
      <c r="D770" s="56" t="s">
        <v>59</v>
      </c>
      <c r="E770" s="56" t="s">
        <v>61</v>
      </c>
      <c r="F770" s="57">
        <v>0.018993055555555555</v>
      </c>
      <c r="G770" s="56" t="s">
        <v>33</v>
      </c>
      <c r="H770" s="24"/>
      <c r="I770" s="25" t="s">
        <v>46</v>
      </c>
      <c r="J770" s="26">
        <v>46146.53125</v>
      </c>
      <c r="K770" s="21" t="s">
        <v>891</v>
      </c>
      <c r="L770" s="27">
        <v>46148.0</v>
      </c>
      <c r="M770" s="28">
        <v>0.0625</v>
      </c>
      <c r="N770" s="29" t="s">
        <v>31</v>
      </c>
      <c r="O770" s="29" t="s">
        <v>35</v>
      </c>
      <c r="P770" s="34" t="s">
        <v>36</v>
      </c>
      <c r="Q770" s="34" t="s">
        <v>892</v>
      </c>
      <c r="R770" s="35">
        <v>46148.0</v>
      </c>
      <c r="S770" s="32" t="s">
        <v>29</v>
      </c>
      <c r="T770" s="33"/>
      <c r="U770" s="33"/>
    </row>
    <row r="771" ht="15.75" customHeight="1">
      <c r="A771" s="55">
        <v>46144.0</v>
      </c>
      <c r="B771" s="55">
        <v>46146.0</v>
      </c>
      <c r="C771" s="55" t="s">
        <v>25</v>
      </c>
      <c r="D771" s="56" t="s">
        <v>59</v>
      </c>
      <c r="E771" s="56" t="s">
        <v>62</v>
      </c>
      <c r="F771" s="57">
        <v>0.018993055555555555</v>
      </c>
      <c r="G771" s="56" t="s">
        <v>33</v>
      </c>
      <c r="H771" s="24"/>
      <c r="I771" s="25" t="s">
        <v>46</v>
      </c>
      <c r="J771" s="26">
        <v>46146.53333333333</v>
      </c>
      <c r="K771" s="21" t="s">
        <v>893</v>
      </c>
      <c r="L771" s="27">
        <v>46148.0</v>
      </c>
      <c r="M771" s="28">
        <v>0.003472222222222222</v>
      </c>
      <c r="N771" s="29" t="s">
        <v>31</v>
      </c>
      <c r="O771" s="29" t="s">
        <v>355</v>
      </c>
      <c r="P771" s="34" t="s">
        <v>36</v>
      </c>
      <c r="Q771" s="34" t="s">
        <v>894</v>
      </c>
      <c r="R771" s="35">
        <v>46148.0</v>
      </c>
      <c r="S771" s="32" t="s">
        <v>29</v>
      </c>
      <c r="T771" s="33"/>
      <c r="U771" s="33"/>
    </row>
    <row r="772" ht="15.75" customHeight="1">
      <c r="A772" s="55">
        <v>46144.0</v>
      </c>
      <c r="B772" s="55">
        <v>46144.0</v>
      </c>
      <c r="C772" s="55" t="s">
        <v>25</v>
      </c>
      <c r="D772" s="56" t="s">
        <v>39</v>
      </c>
      <c r="E772" s="56" t="s">
        <v>63</v>
      </c>
      <c r="F772" s="57">
        <v>0.018935185185185187</v>
      </c>
      <c r="G772" s="56" t="s">
        <v>33</v>
      </c>
      <c r="H772" s="24" t="s">
        <v>895</v>
      </c>
      <c r="I772" s="25" t="s">
        <v>46</v>
      </c>
      <c r="J772" s="26">
        <v>46146.618055555555</v>
      </c>
      <c r="K772" s="21" t="s">
        <v>896</v>
      </c>
      <c r="L772" s="27">
        <v>46149.0</v>
      </c>
      <c r="M772" s="28">
        <v>0.05555555555555555</v>
      </c>
      <c r="N772" s="29" t="s">
        <v>59</v>
      </c>
      <c r="O772" s="29" t="s">
        <v>35</v>
      </c>
      <c r="P772" s="34" t="s">
        <v>36</v>
      </c>
      <c r="Q772" s="140" t="s">
        <v>897</v>
      </c>
      <c r="R772" s="35">
        <v>46148.0</v>
      </c>
      <c r="S772" s="32" t="s">
        <v>29</v>
      </c>
      <c r="T772" s="33"/>
      <c r="U772" s="33"/>
    </row>
    <row r="773" ht="17.25" customHeight="1">
      <c r="A773" s="120">
        <v>46144.0</v>
      </c>
      <c r="B773" s="120">
        <v>46146.0</v>
      </c>
      <c r="C773" s="120" t="s">
        <v>65</v>
      </c>
      <c r="D773" s="82" t="s">
        <v>59</v>
      </c>
      <c r="E773" s="82" t="s">
        <v>772</v>
      </c>
      <c r="F773" s="121">
        <v>0.020185185185185184</v>
      </c>
      <c r="G773" s="82" t="s">
        <v>33</v>
      </c>
      <c r="H773" s="141" t="s">
        <v>898</v>
      </c>
      <c r="I773" s="40" t="s">
        <v>46</v>
      </c>
      <c r="J773" s="41">
        <v>46146.77569444444</v>
      </c>
      <c r="K773" s="37" t="s">
        <v>899</v>
      </c>
      <c r="L773" s="42">
        <v>46153.0</v>
      </c>
      <c r="M773" s="43">
        <v>0.003472222222222222</v>
      </c>
      <c r="N773" s="44" t="s">
        <v>49</v>
      </c>
      <c r="O773" s="44" t="s">
        <v>355</v>
      </c>
      <c r="P773" s="45" t="s">
        <v>36</v>
      </c>
      <c r="Q773" s="142" t="s">
        <v>900</v>
      </c>
      <c r="R773" s="46">
        <v>46148.0</v>
      </c>
      <c r="S773" s="32" t="s">
        <v>29</v>
      </c>
      <c r="T773" s="33"/>
      <c r="U773" s="33"/>
    </row>
    <row r="774" ht="15.75" customHeight="1">
      <c r="A774" s="60">
        <v>46145.0</v>
      </c>
      <c r="B774" s="60">
        <v>46145.0</v>
      </c>
      <c r="C774" s="60"/>
      <c r="D774" s="61"/>
      <c r="E774" s="61" t="s">
        <v>64</v>
      </c>
      <c r="F774" s="62"/>
      <c r="G774" s="63" t="s">
        <v>27</v>
      </c>
      <c r="H774" s="24"/>
      <c r="I774" s="25"/>
      <c r="J774" s="26"/>
      <c r="K774" s="21"/>
      <c r="L774" s="27"/>
      <c r="M774" s="28"/>
      <c r="N774" s="29"/>
      <c r="O774" s="29"/>
      <c r="P774" s="34" t="s">
        <v>28</v>
      </c>
      <c r="Q774" s="34" t="s">
        <v>28</v>
      </c>
      <c r="R774" s="35" t="s">
        <v>28</v>
      </c>
      <c r="S774" s="32" t="s">
        <v>29</v>
      </c>
      <c r="T774" s="33"/>
      <c r="U774" s="33"/>
    </row>
    <row r="775" ht="15.75" customHeight="1">
      <c r="A775" s="60">
        <v>46145.0</v>
      </c>
      <c r="B775" s="60">
        <v>46145.0</v>
      </c>
      <c r="C775" s="60" t="s">
        <v>65</v>
      </c>
      <c r="D775" s="61" t="s">
        <v>59</v>
      </c>
      <c r="E775" s="61" t="s">
        <v>66</v>
      </c>
      <c r="F775" s="62">
        <v>0.02060185185185185</v>
      </c>
      <c r="G775" s="61" t="s">
        <v>33</v>
      </c>
      <c r="H775" s="24"/>
      <c r="I775" s="40"/>
      <c r="J775" s="41"/>
      <c r="K775" s="21" t="s">
        <v>901</v>
      </c>
      <c r="L775" s="27">
        <v>46148.0</v>
      </c>
      <c r="M775" s="28">
        <v>0.020833333333333332</v>
      </c>
      <c r="N775" s="29" t="s">
        <v>69</v>
      </c>
      <c r="O775" s="29" t="s">
        <v>35</v>
      </c>
      <c r="P775" s="34" t="s">
        <v>36</v>
      </c>
      <c r="Q775" s="34" t="s">
        <v>902</v>
      </c>
      <c r="R775" s="35">
        <v>46149.0</v>
      </c>
      <c r="S775" s="32" t="s">
        <v>29</v>
      </c>
      <c r="T775" s="33"/>
      <c r="U775" s="33"/>
    </row>
    <row r="776" ht="15.75" customHeight="1">
      <c r="A776" s="36">
        <v>46146.0</v>
      </c>
      <c r="B776" s="36">
        <v>46146.0</v>
      </c>
      <c r="C776" s="36" t="s">
        <v>25</v>
      </c>
      <c r="D776" s="37" t="s">
        <v>49</v>
      </c>
      <c r="E776" s="37" t="s">
        <v>26</v>
      </c>
      <c r="F776" s="38">
        <v>0.10050925925925926</v>
      </c>
      <c r="G776" s="37" t="s">
        <v>33</v>
      </c>
      <c r="H776" s="39" t="s">
        <v>903</v>
      </c>
      <c r="I776" s="40" t="s">
        <v>46</v>
      </c>
      <c r="J776" s="41">
        <v>46146.601875</v>
      </c>
      <c r="K776" s="37" t="s">
        <v>904</v>
      </c>
      <c r="L776" s="42">
        <v>46147.0</v>
      </c>
      <c r="M776" s="43">
        <v>0.2534722222222222</v>
      </c>
      <c r="N776" s="44" t="s">
        <v>34</v>
      </c>
      <c r="O776" s="44" t="s">
        <v>35</v>
      </c>
      <c r="P776" s="45" t="s">
        <v>36</v>
      </c>
      <c r="Q776" s="45" t="s">
        <v>905</v>
      </c>
      <c r="R776" s="46">
        <v>46148.0</v>
      </c>
      <c r="S776" s="54" t="s">
        <v>29</v>
      </c>
      <c r="T776" s="33"/>
      <c r="U776" s="33"/>
    </row>
    <row r="777" ht="15.75" customHeight="1">
      <c r="A777" s="20">
        <v>46146.0</v>
      </c>
      <c r="B777" s="20">
        <v>46146.0</v>
      </c>
      <c r="C777" s="20" t="s">
        <v>25</v>
      </c>
      <c r="D777" s="21" t="s">
        <v>31</v>
      </c>
      <c r="E777" s="21" t="s">
        <v>30</v>
      </c>
      <c r="F777" s="22">
        <v>0.007233796296296296</v>
      </c>
      <c r="G777" s="21" t="s">
        <v>33</v>
      </c>
      <c r="H777" s="24"/>
      <c r="I777" s="25"/>
      <c r="J777" s="26"/>
      <c r="K777" s="21"/>
      <c r="L777" s="27">
        <v>46146.0</v>
      </c>
      <c r="M777" s="28">
        <v>0.020833333333333332</v>
      </c>
      <c r="N777" s="29" t="s">
        <v>31</v>
      </c>
      <c r="O777" s="29" t="s">
        <v>35</v>
      </c>
      <c r="P777" s="34" t="s">
        <v>36</v>
      </c>
      <c r="Q777" s="34" t="s">
        <v>906</v>
      </c>
      <c r="R777" s="35">
        <v>46148.0</v>
      </c>
      <c r="S777" s="32" t="s">
        <v>29</v>
      </c>
      <c r="T777" s="33"/>
      <c r="U777" s="33"/>
    </row>
    <row r="778" ht="15.75" customHeight="1">
      <c r="A778" s="20">
        <v>46146.0</v>
      </c>
      <c r="B778" s="20">
        <v>46146.0</v>
      </c>
      <c r="C778" s="20" t="s">
        <v>25</v>
      </c>
      <c r="D778" s="21" t="s">
        <v>34</v>
      </c>
      <c r="E778" s="21" t="s">
        <v>32</v>
      </c>
      <c r="F778" s="22">
        <v>0.06674768518518519</v>
      </c>
      <c r="G778" s="21" t="s">
        <v>33</v>
      </c>
      <c r="H778" s="24"/>
      <c r="I778" s="25"/>
      <c r="J778" s="26"/>
      <c r="K778" s="21"/>
      <c r="L778" s="27">
        <v>46147.0</v>
      </c>
      <c r="M778" s="28">
        <v>0.125</v>
      </c>
      <c r="N778" s="29" t="s">
        <v>57</v>
      </c>
      <c r="O778" s="29" t="s">
        <v>35</v>
      </c>
      <c r="P778" s="34" t="s">
        <v>36</v>
      </c>
      <c r="Q778" s="34" t="s">
        <v>907</v>
      </c>
      <c r="R778" s="35">
        <v>46148.0</v>
      </c>
      <c r="S778" s="32" t="s">
        <v>29</v>
      </c>
      <c r="T778" s="33"/>
      <c r="U778" s="33"/>
    </row>
    <row r="779" ht="15.75" customHeight="1">
      <c r="A779" s="36">
        <v>46146.0</v>
      </c>
      <c r="B779" s="36">
        <v>46146.0</v>
      </c>
      <c r="C779" s="36" t="s">
        <v>25</v>
      </c>
      <c r="D779" s="37" t="s">
        <v>59</v>
      </c>
      <c r="E779" s="37" t="s">
        <v>38</v>
      </c>
      <c r="F779" s="38">
        <v>0.055601851851851854</v>
      </c>
      <c r="G779" s="37" t="s">
        <v>33</v>
      </c>
      <c r="H779" s="39"/>
      <c r="I779" s="40"/>
      <c r="J779" s="41"/>
      <c r="K779" s="37"/>
      <c r="L779" s="42">
        <v>46148.0</v>
      </c>
      <c r="M779" s="43">
        <v>0.10416666666666667</v>
      </c>
      <c r="N779" s="44" t="s">
        <v>49</v>
      </c>
      <c r="O779" s="44" t="s">
        <v>35</v>
      </c>
      <c r="P779" s="45" t="s">
        <v>36</v>
      </c>
      <c r="Q779" s="45">
        <v>1.2021334E7</v>
      </c>
      <c r="R779" s="46">
        <v>46148.0</v>
      </c>
      <c r="S779" s="54" t="s">
        <v>29</v>
      </c>
      <c r="T779" s="48"/>
      <c r="U779" s="48"/>
    </row>
    <row r="780" ht="15.75" customHeight="1">
      <c r="A780" s="36">
        <v>46146.0</v>
      </c>
      <c r="B780" s="36">
        <v>46146.0</v>
      </c>
      <c r="C780" s="36" t="s">
        <v>25</v>
      </c>
      <c r="D780" s="37" t="s">
        <v>59</v>
      </c>
      <c r="E780" s="37" t="s">
        <v>38</v>
      </c>
      <c r="F780" s="38">
        <v>0.009756944444444445</v>
      </c>
      <c r="G780" s="37" t="s">
        <v>33</v>
      </c>
      <c r="H780" s="24"/>
      <c r="I780" s="40" t="s">
        <v>46</v>
      </c>
      <c r="J780" s="41" t="s">
        <v>908</v>
      </c>
      <c r="K780" s="37" t="s">
        <v>909</v>
      </c>
      <c r="L780" s="42">
        <v>46147.0</v>
      </c>
      <c r="M780" s="43">
        <v>0.041666666666666664</v>
      </c>
      <c r="N780" s="44" t="s">
        <v>69</v>
      </c>
      <c r="O780" s="44" t="s">
        <v>35</v>
      </c>
      <c r="P780" s="45" t="s">
        <v>36</v>
      </c>
      <c r="Q780" s="45">
        <v>1.2043994E7</v>
      </c>
      <c r="R780" s="46">
        <v>46149.0</v>
      </c>
      <c r="S780" s="54" t="s">
        <v>29</v>
      </c>
      <c r="T780" s="33"/>
      <c r="U780" s="33"/>
    </row>
    <row r="781" ht="15.75" customHeight="1">
      <c r="A781" s="20">
        <v>46146.0</v>
      </c>
      <c r="B781" s="20">
        <v>46146.0</v>
      </c>
      <c r="C781" s="20" t="s">
        <v>25</v>
      </c>
      <c r="D781" s="21" t="s">
        <v>39</v>
      </c>
      <c r="E781" s="21" t="s">
        <v>40</v>
      </c>
      <c r="F781" s="22">
        <v>0.022546296296296297</v>
      </c>
      <c r="G781" s="21" t="s">
        <v>33</v>
      </c>
      <c r="H781" s="24"/>
      <c r="I781" s="25"/>
      <c r="J781" s="26"/>
      <c r="K781" s="21"/>
      <c r="L781" s="27">
        <v>46147.0</v>
      </c>
      <c r="M781" s="28">
        <v>0.07291666666666667</v>
      </c>
      <c r="N781" s="29" t="s">
        <v>49</v>
      </c>
      <c r="O781" s="29" t="s">
        <v>35</v>
      </c>
      <c r="P781" s="34" t="s">
        <v>36</v>
      </c>
      <c r="Q781" s="34" t="s">
        <v>910</v>
      </c>
      <c r="R781" s="35">
        <v>46148.0</v>
      </c>
      <c r="S781" s="32" t="s">
        <v>29</v>
      </c>
      <c r="T781" s="33"/>
      <c r="U781" s="33"/>
    </row>
    <row r="782" ht="15.75" customHeight="1">
      <c r="A782" s="20">
        <v>46146.0</v>
      </c>
      <c r="B782" s="20">
        <v>46146.0</v>
      </c>
      <c r="C782" s="20"/>
      <c r="D782" s="21"/>
      <c r="E782" s="21" t="s">
        <v>43</v>
      </c>
      <c r="F782" s="22"/>
      <c r="G782" s="23" t="s">
        <v>27</v>
      </c>
      <c r="H782" s="24"/>
      <c r="I782" s="25"/>
      <c r="J782" s="26"/>
      <c r="K782" s="21"/>
      <c r="L782" s="27"/>
      <c r="M782" s="28"/>
      <c r="N782" s="29"/>
      <c r="O782" s="29"/>
      <c r="P782" s="30" t="s">
        <v>28</v>
      </c>
      <c r="Q782" s="30" t="s">
        <v>28</v>
      </c>
      <c r="R782" s="31" t="s">
        <v>28</v>
      </c>
      <c r="S782" s="32" t="s">
        <v>29</v>
      </c>
      <c r="T782" s="33"/>
      <c r="U782" s="33"/>
    </row>
    <row r="783" ht="15.75" customHeight="1">
      <c r="A783" s="20">
        <v>46147.0</v>
      </c>
      <c r="B783" s="20">
        <v>46147.0</v>
      </c>
      <c r="C783" s="20" t="s">
        <v>25</v>
      </c>
      <c r="D783" s="21" t="s">
        <v>49</v>
      </c>
      <c r="E783" s="21" t="s">
        <v>26</v>
      </c>
      <c r="F783" s="22">
        <v>0.10016203703703704</v>
      </c>
      <c r="G783" s="21" t="s">
        <v>33</v>
      </c>
      <c r="H783" s="24"/>
      <c r="I783" s="25"/>
      <c r="J783" s="26"/>
      <c r="K783" s="21"/>
      <c r="L783" s="27">
        <v>46148.0</v>
      </c>
      <c r="M783" s="28">
        <v>0.20833333333333334</v>
      </c>
      <c r="N783" s="29" t="s">
        <v>59</v>
      </c>
      <c r="O783" s="29" t="s">
        <v>35</v>
      </c>
      <c r="P783" s="34" t="s">
        <v>36</v>
      </c>
      <c r="Q783" s="136" t="s">
        <v>911</v>
      </c>
      <c r="R783" s="35">
        <v>46148.0</v>
      </c>
      <c r="S783" s="32" t="s">
        <v>29</v>
      </c>
      <c r="T783" s="33"/>
      <c r="U783" s="33"/>
    </row>
    <row r="784" ht="15.75" customHeight="1">
      <c r="A784" s="20">
        <v>46147.0</v>
      </c>
      <c r="B784" s="20">
        <v>46147.0</v>
      </c>
      <c r="C784" s="20" t="s">
        <v>25</v>
      </c>
      <c r="D784" s="21" t="s">
        <v>34</v>
      </c>
      <c r="E784" s="21" t="s">
        <v>30</v>
      </c>
      <c r="F784" s="22">
        <v>0.00369212962962963</v>
      </c>
      <c r="G784" s="21" t="s">
        <v>33</v>
      </c>
      <c r="H784" s="24"/>
      <c r="I784" s="25"/>
      <c r="J784" s="26"/>
      <c r="K784" s="21"/>
      <c r="L784" s="27">
        <v>46148.0</v>
      </c>
      <c r="M784" s="28">
        <v>0.009027777777777777</v>
      </c>
      <c r="N784" s="29" t="s">
        <v>34</v>
      </c>
      <c r="O784" s="29" t="s">
        <v>35</v>
      </c>
      <c r="P784" s="34" t="s">
        <v>36</v>
      </c>
      <c r="Q784" s="34" t="s">
        <v>912</v>
      </c>
      <c r="R784" s="35">
        <v>46148.0</v>
      </c>
      <c r="S784" s="32" t="s">
        <v>29</v>
      </c>
      <c r="T784" s="33"/>
      <c r="U784" s="33"/>
    </row>
    <row r="785" ht="15.75" customHeight="1">
      <c r="A785" s="20">
        <v>46147.0</v>
      </c>
      <c r="B785" s="20">
        <v>46147.0</v>
      </c>
      <c r="C785" s="20" t="s">
        <v>25</v>
      </c>
      <c r="D785" s="21" t="s">
        <v>69</v>
      </c>
      <c r="E785" s="21" t="s">
        <v>32</v>
      </c>
      <c r="F785" s="22">
        <v>0.048935185185185186</v>
      </c>
      <c r="G785" s="21" t="s">
        <v>33</v>
      </c>
      <c r="H785" s="24"/>
      <c r="I785" s="25"/>
      <c r="J785" s="26"/>
      <c r="K785" s="21"/>
      <c r="L785" s="27">
        <v>46148.0</v>
      </c>
      <c r="M785" s="28">
        <v>0.125</v>
      </c>
      <c r="N785" s="29" t="s">
        <v>57</v>
      </c>
      <c r="O785" s="29" t="s">
        <v>35</v>
      </c>
      <c r="P785" s="34" t="s">
        <v>36</v>
      </c>
      <c r="Q785" s="34" t="s">
        <v>913</v>
      </c>
      <c r="R785" s="35">
        <v>46148.0</v>
      </c>
      <c r="S785" s="32" t="s">
        <v>29</v>
      </c>
      <c r="T785" s="33"/>
      <c r="U785" s="33"/>
    </row>
    <row r="786" ht="15.75" customHeight="1">
      <c r="A786" s="20">
        <v>46147.0</v>
      </c>
      <c r="B786" s="20">
        <v>46147.0</v>
      </c>
      <c r="C786" s="20" t="s">
        <v>25</v>
      </c>
      <c r="D786" s="21" t="s">
        <v>59</v>
      </c>
      <c r="E786" s="21" t="s">
        <v>38</v>
      </c>
      <c r="F786" s="22">
        <v>0.008703703703703703</v>
      </c>
      <c r="G786" s="21" t="s">
        <v>33</v>
      </c>
      <c r="H786" s="24"/>
      <c r="I786" s="25"/>
      <c r="J786" s="26"/>
      <c r="K786" s="21"/>
      <c r="L786" s="27">
        <v>46148.0</v>
      </c>
      <c r="M786" s="28">
        <v>0.0625</v>
      </c>
      <c r="N786" s="29" t="s">
        <v>69</v>
      </c>
      <c r="O786" s="29" t="s">
        <v>35</v>
      </c>
      <c r="P786" s="34" t="s">
        <v>36</v>
      </c>
      <c r="Q786" s="34">
        <v>1.2021335E7</v>
      </c>
      <c r="R786" s="35">
        <v>46148.0</v>
      </c>
      <c r="S786" s="32" t="s">
        <v>29</v>
      </c>
      <c r="T786" s="33"/>
      <c r="U786" s="33"/>
    </row>
    <row r="787" ht="15.75" customHeight="1">
      <c r="A787" s="20">
        <v>46147.0</v>
      </c>
      <c r="B787" s="20">
        <v>46147.0</v>
      </c>
      <c r="C787" s="20" t="s">
        <v>25</v>
      </c>
      <c r="D787" s="21" t="s">
        <v>39</v>
      </c>
      <c r="E787" s="21" t="s">
        <v>40</v>
      </c>
      <c r="F787" s="22">
        <v>0.020300925925925927</v>
      </c>
      <c r="G787" s="21" t="s">
        <v>33</v>
      </c>
      <c r="H787" s="24"/>
      <c r="I787" s="25"/>
      <c r="J787" s="26"/>
      <c r="K787" s="21"/>
      <c r="L787" s="27">
        <v>46148.0</v>
      </c>
      <c r="M787" s="28">
        <v>0.04861111111111111</v>
      </c>
      <c r="N787" s="29" t="s">
        <v>34</v>
      </c>
      <c r="O787" s="29" t="s">
        <v>35</v>
      </c>
      <c r="P787" s="34" t="s">
        <v>36</v>
      </c>
      <c r="Q787" s="34" t="s">
        <v>914</v>
      </c>
      <c r="R787" s="35">
        <v>46148.0</v>
      </c>
      <c r="S787" s="32" t="s">
        <v>29</v>
      </c>
      <c r="T787" s="33"/>
      <c r="U787" s="33"/>
    </row>
    <row r="788" ht="15.75" customHeight="1">
      <c r="A788" s="20">
        <v>46147.0</v>
      </c>
      <c r="B788" s="20">
        <v>46147.0</v>
      </c>
      <c r="C788" s="20"/>
      <c r="D788" s="21"/>
      <c r="E788" s="21" t="s">
        <v>43</v>
      </c>
      <c r="F788" s="22">
        <v>0.01611111111111111</v>
      </c>
      <c r="G788" s="21" t="s">
        <v>33</v>
      </c>
      <c r="H788" s="24"/>
      <c r="I788" s="25"/>
      <c r="J788" s="26"/>
      <c r="K788" s="65"/>
      <c r="L788" s="27">
        <v>46149.0</v>
      </c>
      <c r="M788" s="28">
        <v>0.041666666666666664</v>
      </c>
      <c r="N788" s="29" t="s">
        <v>31</v>
      </c>
      <c r="O788" s="29" t="s">
        <v>35</v>
      </c>
      <c r="P788" s="30" t="s">
        <v>28</v>
      </c>
      <c r="Q788" s="30" t="s">
        <v>28</v>
      </c>
      <c r="R788" s="31" t="s">
        <v>28</v>
      </c>
      <c r="S788" s="32" t="s">
        <v>29</v>
      </c>
      <c r="T788" s="33"/>
      <c r="U788" s="33"/>
    </row>
    <row r="789" ht="15.75" customHeight="1">
      <c r="A789" s="20">
        <v>46147.0</v>
      </c>
      <c r="B789" s="20">
        <v>46147.0</v>
      </c>
      <c r="C789" s="20" t="s">
        <v>25</v>
      </c>
      <c r="D789" s="21" t="s">
        <v>39</v>
      </c>
      <c r="E789" s="21" t="s">
        <v>87</v>
      </c>
      <c r="F789" s="22">
        <v>0.00787037037037037</v>
      </c>
      <c r="G789" s="21" t="s">
        <v>88</v>
      </c>
      <c r="H789" s="135" t="s">
        <v>915</v>
      </c>
      <c r="I789" s="25" t="s">
        <v>46</v>
      </c>
      <c r="J789" s="26">
        <v>46147.0</v>
      </c>
      <c r="K789" s="65" t="s">
        <v>916</v>
      </c>
      <c r="L789" s="27">
        <v>46219.0</v>
      </c>
      <c r="M789" s="28">
        <v>0.0125</v>
      </c>
      <c r="N789" s="29" t="s">
        <v>39</v>
      </c>
      <c r="O789" s="29" t="s">
        <v>35</v>
      </c>
      <c r="P789" s="34" t="s">
        <v>53</v>
      </c>
      <c r="Q789" s="34">
        <v>1.2043945E7</v>
      </c>
      <c r="R789" s="35">
        <v>46148.0</v>
      </c>
      <c r="S789" s="32" t="s">
        <v>29</v>
      </c>
      <c r="T789" s="33"/>
      <c r="U789" s="33"/>
    </row>
    <row r="790" ht="13.5" customHeight="1">
      <c r="A790" s="20">
        <v>46148.0</v>
      </c>
      <c r="B790" s="20">
        <v>46148.0</v>
      </c>
      <c r="C790" s="20" t="s">
        <v>25</v>
      </c>
      <c r="D790" s="21" t="s">
        <v>49</v>
      </c>
      <c r="E790" s="21" t="s">
        <v>26</v>
      </c>
      <c r="F790" s="22">
        <v>0.1006712962962963</v>
      </c>
      <c r="G790" s="21" t="s">
        <v>33</v>
      </c>
      <c r="H790" s="24"/>
      <c r="I790" s="25"/>
      <c r="J790" s="26"/>
      <c r="K790" s="65"/>
      <c r="L790" s="27">
        <v>46149.0</v>
      </c>
      <c r="M790" s="28">
        <v>0.20833333333333334</v>
      </c>
      <c r="N790" s="29" t="s">
        <v>57</v>
      </c>
      <c r="O790" s="29" t="s">
        <v>35</v>
      </c>
      <c r="P790" s="34" t="s">
        <v>36</v>
      </c>
      <c r="Q790" s="34" t="s">
        <v>917</v>
      </c>
      <c r="R790" s="35">
        <v>46149.0</v>
      </c>
      <c r="S790" s="32" t="s">
        <v>29</v>
      </c>
      <c r="T790" s="33"/>
      <c r="U790" s="33"/>
    </row>
    <row r="791" ht="15.75" customHeight="1">
      <c r="A791" s="88">
        <v>46148.0</v>
      </c>
      <c r="B791" s="88">
        <v>46148.0</v>
      </c>
      <c r="C791" s="88" t="s">
        <v>25</v>
      </c>
      <c r="D791" s="89" t="s">
        <v>59</v>
      </c>
      <c r="E791" s="89" t="s">
        <v>30</v>
      </c>
      <c r="F791" s="90">
        <v>0.007094907407407407</v>
      </c>
      <c r="G791" s="89" t="s">
        <v>33</v>
      </c>
      <c r="H791" s="91"/>
      <c r="I791" s="92"/>
      <c r="J791" s="93"/>
      <c r="K791" s="89" t="s">
        <v>918</v>
      </c>
      <c r="L791" s="94">
        <v>46149.0</v>
      </c>
      <c r="M791" s="95">
        <v>0.0125</v>
      </c>
      <c r="N791" s="96" t="s">
        <v>59</v>
      </c>
      <c r="O791" s="96" t="s">
        <v>35</v>
      </c>
      <c r="P791" s="97" t="s">
        <v>53</v>
      </c>
      <c r="Q791" s="97" t="s">
        <v>919</v>
      </c>
      <c r="R791" s="35">
        <v>46153.0</v>
      </c>
      <c r="S791" s="32" t="s">
        <v>29</v>
      </c>
      <c r="T791" s="99"/>
      <c r="U791" s="99"/>
    </row>
    <row r="792" ht="15.75" customHeight="1">
      <c r="A792" s="20">
        <v>46148.0</v>
      </c>
      <c r="B792" s="20">
        <v>46148.0</v>
      </c>
      <c r="C792" s="20" t="s">
        <v>25</v>
      </c>
      <c r="D792" s="21" t="s">
        <v>69</v>
      </c>
      <c r="E792" s="21" t="s">
        <v>32</v>
      </c>
      <c r="F792" s="22">
        <v>0.048206018518518516</v>
      </c>
      <c r="G792" s="21" t="s">
        <v>33</v>
      </c>
      <c r="H792" s="24"/>
      <c r="I792" s="25"/>
      <c r="J792" s="26"/>
      <c r="K792" s="21"/>
      <c r="L792" s="27">
        <v>46149.0</v>
      </c>
      <c r="M792" s="28">
        <v>0.1111111111111111</v>
      </c>
      <c r="N792" s="29" t="s">
        <v>34</v>
      </c>
      <c r="O792" s="29" t="s">
        <v>35</v>
      </c>
      <c r="P792" s="34" t="s">
        <v>36</v>
      </c>
      <c r="Q792" s="34" t="s">
        <v>920</v>
      </c>
      <c r="R792" s="35">
        <v>46149.0</v>
      </c>
      <c r="S792" s="32" t="s">
        <v>29</v>
      </c>
      <c r="T792" s="33"/>
      <c r="U792" s="33"/>
    </row>
    <row r="793" ht="15.75" customHeight="1">
      <c r="A793" s="88">
        <v>46148.0</v>
      </c>
      <c r="B793" s="88">
        <v>46148.0</v>
      </c>
      <c r="C793" s="88" t="s">
        <v>25</v>
      </c>
      <c r="D793" s="89" t="s">
        <v>39</v>
      </c>
      <c r="E793" s="89" t="s">
        <v>38</v>
      </c>
      <c r="F793" s="90">
        <v>0.008368055555555556</v>
      </c>
      <c r="G793" s="89" t="s">
        <v>33</v>
      </c>
      <c r="H793" s="91" t="s">
        <v>921</v>
      </c>
      <c r="I793" s="92" t="s">
        <v>600</v>
      </c>
      <c r="J793" s="93">
        <v>46149.707233796296</v>
      </c>
      <c r="K793" s="89" t="s">
        <v>922</v>
      </c>
      <c r="L793" s="94">
        <v>46149.0</v>
      </c>
      <c r="M793" s="95">
        <v>0.01875</v>
      </c>
      <c r="N793" s="96" t="s">
        <v>34</v>
      </c>
      <c r="O793" s="96" t="s">
        <v>35</v>
      </c>
      <c r="P793" s="97" t="s">
        <v>53</v>
      </c>
      <c r="Q793" s="97">
        <v>1.2021336E7</v>
      </c>
      <c r="R793" s="35">
        <v>46153.0</v>
      </c>
      <c r="S793" s="32" t="s">
        <v>29</v>
      </c>
      <c r="T793" s="99"/>
      <c r="U793" s="99"/>
    </row>
    <row r="794" ht="15.75" customHeight="1">
      <c r="A794" s="36">
        <v>46148.0</v>
      </c>
      <c r="B794" s="36">
        <v>46148.0</v>
      </c>
      <c r="C794" s="36" t="s">
        <v>25</v>
      </c>
      <c r="D794" s="37" t="s">
        <v>39</v>
      </c>
      <c r="E794" s="37" t="s">
        <v>40</v>
      </c>
      <c r="F794" s="38">
        <v>0.01810185185185185</v>
      </c>
      <c r="G794" s="37" t="s">
        <v>33</v>
      </c>
      <c r="H794" s="39"/>
      <c r="I794" s="40"/>
      <c r="J794" s="41"/>
      <c r="K794" s="37"/>
      <c r="L794" s="42">
        <v>46149.0</v>
      </c>
      <c r="M794" s="43">
        <v>0.0625</v>
      </c>
      <c r="N794" s="44" t="s">
        <v>49</v>
      </c>
      <c r="O794" s="44" t="s">
        <v>35</v>
      </c>
      <c r="P794" s="45" t="s">
        <v>36</v>
      </c>
      <c r="Q794" s="45" t="s">
        <v>923</v>
      </c>
      <c r="R794" s="35">
        <v>46150.0</v>
      </c>
      <c r="S794" s="32" t="s">
        <v>29</v>
      </c>
      <c r="T794" s="33"/>
      <c r="U794" s="33"/>
    </row>
    <row r="795" ht="15.75" customHeight="1">
      <c r="A795" s="20">
        <v>46148.0</v>
      </c>
      <c r="B795" s="20">
        <v>46148.0</v>
      </c>
      <c r="C795" s="20"/>
      <c r="D795" s="21"/>
      <c r="E795" s="21" t="s">
        <v>43</v>
      </c>
      <c r="F795" s="22">
        <v>0.015509259259259259</v>
      </c>
      <c r="G795" s="21" t="s">
        <v>33</v>
      </c>
      <c r="H795" s="24"/>
      <c r="I795" s="25"/>
      <c r="J795" s="26"/>
      <c r="K795" s="21"/>
      <c r="L795" s="27">
        <v>46150.0</v>
      </c>
      <c r="M795" s="28">
        <v>0.041666666666666664</v>
      </c>
      <c r="N795" s="29" t="s">
        <v>31</v>
      </c>
      <c r="O795" s="29" t="s">
        <v>35</v>
      </c>
      <c r="P795" s="30" t="s">
        <v>28</v>
      </c>
      <c r="Q795" s="30" t="s">
        <v>28</v>
      </c>
      <c r="R795" s="31" t="s">
        <v>28</v>
      </c>
      <c r="S795" s="32" t="s">
        <v>29</v>
      </c>
      <c r="T795" s="33"/>
      <c r="U795" s="33"/>
    </row>
    <row r="796" ht="15.75" customHeight="1">
      <c r="A796" s="20">
        <v>46148.0</v>
      </c>
      <c r="B796" s="20">
        <v>46148.0</v>
      </c>
      <c r="C796" s="20" t="s">
        <v>25</v>
      </c>
      <c r="D796" s="21" t="s">
        <v>39</v>
      </c>
      <c r="E796" s="21" t="s">
        <v>87</v>
      </c>
      <c r="F796" s="22">
        <v>0.002662037037037037</v>
      </c>
      <c r="G796" s="21" t="s">
        <v>88</v>
      </c>
      <c r="H796" s="101" t="s">
        <v>924</v>
      </c>
      <c r="I796" s="25" t="s">
        <v>600</v>
      </c>
      <c r="J796" s="26">
        <v>46148.0</v>
      </c>
      <c r="K796" s="21" t="s">
        <v>925</v>
      </c>
      <c r="L796" s="27">
        <v>46220.0</v>
      </c>
      <c r="M796" s="28">
        <v>0.008333333333333333</v>
      </c>
      <c r="N796" s="29" t="s">
        <v>39</v>
      </c>
      <c r="O796" s="29" t="s">
        <v>35</v>
      </c>
      <c r="P796" s="34" t="s">
        <v>53</v>
      </c>
      <c r="Q796" s="34">
        <v>1.204541E7</v>
      </c>
      <c r="R796" s="35">
        <v>46154.0</v>
      </c>
      <c r="S796" s="32"/>
      <c r="T796" s="33"/>
      <c r="U796" s="33"/>
    </row>
    <row r="797" ht="15.75" customHeight="1">
      <c r="A797" s="20">
        <v>46149.0</v>
      </c>
      <c r="B797" s="20">
        <v>46149.0</v>
      </c>
      <c r="C797" s="20" t="s">
        <v>25</v>
      </c>
      <c r="D797" s="21" t="s">
        <v>49</v>
      </c>
      <c r="E797" s="21" t="s">
        <v>26</v>
      </c>
      <c r="F797" s="22">
        <v>0.09917824074074075</v>
      </c>
      <c r="G797" s="21" t="s">
        <v>33</v>
      </c>
      <c r="H797" s="24"/>
      <c r="I797" s="25"/>
      <c r="J797" s="26"/>
      <c r="K797" s="21"/>
      <c r="L797" s="27">
        <v>46150.0</v>
      </c>
      <c r="M797" s="28">
        <v>0.24305555555555555</v>
      </c>
      <c r="N797" s="29" t="s">
        <v>39</v>
      </c>
      <c r="O797" s="29" t="s">
        <v>35</v>
      </c>
      <c r="P797" s="34" t="s">
        <v>36</v>
      </c>
      <c r="Q797" s="34" t="s">
        <v>926</v>
      </c>
      <c r="R797" s="35">
        <v>46150.0</v>
      </c>
      <c r="S797" s="32" t="s">
        <v>29</v>
      </c>
      <c r="T797" s="33"/>
      <c r="U797" s="33"/>
    </row>
    <row r="798" ht="15.75" customHeight="1">
      <c r="A798" s="88">
        <v>46149.0</v>
      </c>
      <c r="B798" s="88">
        <v>46149.0</v>
      </c>
      <c r="C798" s="88" t="s">
        <v>25</v>
      </c>
      <c r="D798" s="89" t="s">
        <v>57</v>
      </c>
      <c r="E798" s="89" t="s">
        <v>30</v>
      </c>
      <c r="F798" s="90">
        <v>0.006655092592592593</v>
      </c>
      <c r="G798" s="89" t="s">
        <v>33</v>
      </c>
      <c r="H798" s="91"/>
      <c r="I798" s="92"/>
      <c r="J798" s="93"/>
      <c r="K798" s="89" t="s">
        <v>927</v>
      </c>
      <c r="L798" s="94">
        <v>46150.0</v>
      </c>
      <c r="M798" s="95">
        <v>0.027777777777777776</v>
      </c>
      <c r="N798" s="96" t="s">
        <v>57</v>
      </c>
      <c r="O798" s="96" t="s">
        <v>35</v>
      </c>
      <c r="P798" s="97" t="s">
        <v>53</v>
      </c>
      <c r="Q798" s="97" t="s">
        <v>928</v>
      </c>
      <c r="R798" s="98">
        <v>46153.0</v>
      </c>
      <c r="S798" s="32" t="s">
        <v>29</v>
      </c>
      <c r="T798" s="99"/>
      <c r="U798" s="99"/>
    </row>
    <row r="799" ht="15.75" customHeight="1">
      <c r="A799" s="20">
        <v>46149.0</v>
      </c>
      <c r="B799" s="20">
        <v>46149.0</v>
      </c>
      <c r="C799" s="20" t="s">
        <v>25</v>
      </c>
      <c r="D799" s="21" t="s">
        <v>69</v>
      </c>
      <c r="E799" s="21" t="s">
        <v>32</v>
      </c>
      <c r="F799" s="22">
        <v>0.04739583333333333</v>
      </c>
      <c r="G799" s="21" t="s">
        <v>33</v>
      </c>
      <c r="H799" s="24"/>
      <c r="I799" s="25"/>
      <c r="J799" s="26"/>
      <c r="K799" s="21"/>
      <c r="L799" s="27">
        <v>46150.0</v>
      </c>
      <c r="M799" s="28">
        <v>0.125</v>
      </c>
      <c r="N799" s="29" t="s">
        <v>57</v>
      </c>
      <c r="O799" s="29" t="s">
        <v>35</v>
      </c>
      <c r="P799" s="34" t="s">
        <v>36</v>
      </c>
      <c r="Q799" s="136" t="s">
        <v>929</v>
      </c>
      <c r="R799" s="35">
        <v>46150.0</v>
      </c>
      <c r="S799" s="32" t="s">
        <v>29</v>
      </c>
      <c r="T799" s="33"/>
      <c r="U799" s="33"/>
    </row>
    <row r="800" ht="15.75" customHeight="1">
      <c r="A800" s="20">
        <v>46149.0</v>
      </c>
      <c r="B800" s="20">
        <v>46149.0</v>
      </c>
      <c r="C800" s="20" t="s">
        <v>25</v>
      </c>
      <c r="D800" s="21" t="s">
        <v>39</v>
      </c>
      <c r="E800" s="21" t="s">
        <v>38</v>
      </c>
      <c r="F800" s="22">
        <v>0.00917824074074074</v>
      </c>
      <c r="G800" s="21" t="s">
        <v>33</v>
      </c>
      <c r="H800" s="24"/>
      <c r="I800" s="25"/>
      <c r="J800" s="26"/>
      <c r="K800" s="21"/>
      <c r="L800" s="27">
        <v>46150.0</v>
      </c>
      <c r="M800" s="28">
        <v>0.034722222222222224</v>
      </c>
      <c r="N800" s="29" t="s">
        <v>69</v>
      </c>
      <c r="O800" s="29" t="s">
        <v>35</v>
      </c>
      <c r="P800" s="34" t="s">
        <v>36</v>
      </c>
      <c r="Q800" s="34">
        <v>1.2021337E7</v>
      </c>
      <c r="R800" s="35">
        <v>46150.0</v>
      </c>
      <c r="S800" s="32" t="s">
        <v>29</v>
      </c>
      <c r="T800" s="33"/>
      <c r="U800" s="33"/>
    </row>
    <row r="801" ht="15.75" customHeight="1">
      <c r="A801" s="20">
        <v>46149.0</v>
      </c>
      <c r="B801" s="20">
        <v>46149.0</v>
      </c>
      <c r="C801" s="20" t="s">
        <v>930</v>
      </c>
      <c r="D801" s="21" t="s">
        <v>34</v>
      </c>
      <c r="E801" s="21" t="s">
        <v>40</v>
      </c>
      <c r="F801" s="22">
        <v>0.01863425925925926</v>
      </c>
      <c r="G801" s="21" t="s">
        <v>33</v>
      </c>
      <c r="H801" s="24"/>
      <c r="I801" s="25"/>
      <c r="J801" s="26"/>
      <c r="K801" s="21"/>
      <c r="L801" s="27">
        <v>46150.0</v>
      </c>
      <c r="M801" s="28">
        <v>0.04513888888888889</v>
      </c>
      <c r="N801" s="29" t="s">
        <v>34</v>
      </c>
      <c r="O801" s="29" t="s">
        <v>35</v>
      </c>
      <c r="P801" s="34" t="s">
        <v>36</v>
      </c>
      <c r="Q801" s="34" t="s">
        <v>931</v>
      </c>
      <c r="R801" s="35">
        <v>46150.0</v>
      </c>
      <c r="S801" s="32" t="s">
        <v>29</v>
      </c>
      <c r="T801" s="33"/>
      <c r="U801" s="33"/>
    </row>
    <row r="802" ht="16.5" customHeight="1">
      <c r="A802" s="20">
        <v>46149.0</v>
      </c>
      <c r="B802" s="20">
        <v>46149.0</v>
      </c>
      <c r="C802" s="20"/>
      <c r="D802" s="21"/>
      <c r="E802" s="21" t="s">
        <v>43</v>
      </c>
      <c r="F802" s="22">
        <v>0.016064814814814816</v>
      </c>
      <c r="G802" s="21" t="s">
        <v>33</v>
      </c>
      <c r="H802" s="24"/>
      <c r="I802" s="25"/>
      <c r="J802" s="26"/>
      <c r="K802" s="21"/>
      <c r="L802" s="27">
        <v>46150.0</v>
      </c>
      <c r="M802" s="28">
        <v>0.041666666666666664</v>
      </c>
      <c r="N802" s="29" t="s">
        <v>59</v>
      </c>
      <c r="O802" s="29" t="s">
        <v>35</v>
      </c>
      <c r="P802" s="30" t="s">
        <v>28</v>
      </c>
      <c r="Q802" s="30" t="s">
        <v>28</v>
      </c>
      <c r="R802" s="31" t="s">
        <v>28</v>
      </c>
      <c r="S802" s="32" t="s">
        <v>29</v>
      </c>
      <c r="T802" s="33"/>
      <c r="U802" s="33"/>
    </row>
    <row r="803" ht="16.5" customHeight="1">
      <c r="A803" s="20">
        <v>46149.0</v>
      </c>
      <c r="B803" s="20">
        <v>46149.0</v>
      </c>
      <c r="C803" s="20" t="s">
        <v>930</v>
      </c>
      <c r="D803" s="21" t="s">
        <v>39</v>
      </c>
      <c r="E803" s="21" t="s">
        <v>87</v>
      </c>
      <c r="F803" s="22">
        <v>0.004039351851851852</v>
      </c>
      <c r="G803" s="21" t="s">
        <v>88</v>
      </c>
      <c r="H803" s="24" t="s">
        <v>932</v>
      </c>
      <c r="I803" s="25" t="s">
        <v>600</v>
      </c>
      <c r="J803" s="26">
        <v>46149.0</v>
      </c>
      <c r="K803" s="21" t="s">
        <v>933</v>
      </c>
      <c r="L803" s="27">
        <v>46220.0</v>
      </c>
      <c r="M803" s="28">
        <v>0.0125</v>
      </c>
      <c r="N803" s="29" t="s">
        <v>39</v>
      </c>
      <c r="O803" s="29" t="s">
        <v>35</v>
      </c>
      <c r="P803" s="34" t="s">
        <v>53</v>
      </c>
      <c r="Q803" s="34">
        <v>1.20446E7</v>
      </c>
      <c r="R803" s="35">
        <v>46153.0</v>
      </c>
      <c r="S803" s="32"/>
      <c r="T803" s="33"/>
      <c r="U803" s="33"/>
    </row>
    <row r="804" ht="16.5" customHeight="1">
      <c r="A804" s="20">
        <v>46149.0</v>
      </c>
      <c r="B804" s="20">
        <v>46149.0</v>
      </c>
      <c r="C804" s="20" t="s">
        <v>930</v>
      </c>
      <c r="D804" s="21" t="s">
        <v>39</v>
      </c>
      <c r="E804" s="21" t="s">
        <v>87</v>
      </c>
      <c r="F804" s="22">
        <v>0.002361111111111111</v>
      </c>
      <c r="G804" s="21" t="s">
        <v>88</v>
      </c>
      <c r="H804" s="24" t="s">
        <v>934</v>
      </c>
      <c r="I804" s="25" t="s">
        <v>600</v>
      </c>
      <c r="J804" s="26">
        <v>46149.0</v>
      </c>
      <c r="K804" s="21" t="s">
        <v>935</v>
      </c>
      <c r="L804" s="27">
        <v>46220.0</v>
      </c>
      <c r="M804" s="28">
        <v>0.006944444444444444</v>
      </c>
      <c r="N804" s="29" t="s">
        <v>39</v>
      </c>
      <c r="O804" s="29" t="s">
        <v>35</v>
      </c>
      <c r="P804" s="34" t="s">
        <v>53</v>
      </c>
      <c r="Q804" s="34">
        <v>1.2044601E7</v>
      </c>
      <c r="R804" s="35">
        <v>46153.0</v>
      </c>
      <c r="S804" s="32"/>
      <c r="T804" s="33"/>
      <c r="U804" s="33"/>
    </row>
    <row r="805" ht="16.5" customHeight="1">
      <c r="A805" s="20">
        <v>46149.0</v>
      </c>
      <c r="B805" s="20">
        <v>46149.0</v>
      </c>
      <c r="C805" s="20" t="s">
        <v>930</v>
      </c>
      <c r="D805" s="21" t="s">
        <v>39</v>
      </c>
      <c r="E805" s="21" t="s">
        <v>87</v>
      </c>
      <c r="F805" s="22">
        <v>0.0028703703703703703</v>
      </c>
      <c r="G805" s="21" t="s">
        <v>88</v>
      </c>
      <c r="H805" s="24" t="s">
        <v>936</v>
      </c>
      <c r="I805" s="25" t="s">
        <v>600</v>
      </c>
      <c r="J805" s="26">
        <v>46149.0</v>
      </c>
      <c r="K805" s="21" t="s">
        <v>937</v>
      </c>
      <c r="L805" s="27"/>
      <c r="M805" s="28"/>
      <c r="N805" s="29"/>
      <c r="O805" s="29"/>
      <c r="P805" s="34" t="s">
        <v>53</v>
      </c>
      <c r="Q805" s="34">
        <v>1.2044602E7</v>
      </c>
      <c r="R805" s="35">
        <v>46153.0</v>
      </c>
      <c r="S805" s="32"/>
      <c r="T805" s="33"/>
      <c r="U805" s="33"/>
    </row>
    <row r="806" ht="16.5" customHeight="1">
      <c r="A806" s="20">
        <v>46149.0</v>
      </c>
      <c r="B806" s="20">
        <v>46149.0</v>
      </c>
      <c r="C806" s="20" t="s">
        <v>930</v>
      </c>
      <c r="D806" s="21" t="s">
        <v>39</v>
      </c>
      <c r="E806" s="21" t="s">
        <v>87</v>
      </c>
      <c r="F806" s="22">
        <v>0.003310185185185185</v>
      </c>
      <c r="G806" s="21" t="s">
        <v>88</v>
      </c>
      <c r="H806" s="24" t="s">
        <v>938</v>
      </c>
      <c r="I806" s="25" t="s">
        <v>600</v>
      </c>
      <c r="J806" s="26">
        <v>46149.0</v>
      </c>
      <c r="K806" s="21" t="s">
        <v>939</v>
      </c>
      <c r="L806" s="27"/>
      <c r="M806" s="28"/>
      <c r="N806" s="29"/>
      <c r="O806" s="29"/>
      <c r="P806" s="34" t="s">
        <v>53</v>
      </c>
      <c r="Q806" s="34">
        <v>1.2044603E7</v>
      </c>
      <c r="R806" s="35">
        <v>46153.0</v>
      </c>
      <c r="S806" s="32"/>
      <c r="T806" s="33"/>
      <c r="U806" s="33"/>
    </row>
    <row r="807" ht="15.75" customHeight="1">
      <c r="A807" s="20">
        <v>46150.0</v>
      </c>
      <c r="B807" s="20">
        <v>46150.0</v>
      </c>
      <c r="C807" s="20" t="s">
        <v>930</v>
      </c>
      <c r="D807" s="21" t="s">
        <v>49</v>
      </c>
      <c r="E807" s="21" t="s">
        <v>26</v>
      </c>
      <c r="F807" s="22">
        <v>0.10023148148148148</v>
      </c>
      <c r="G807" s="21" t="s">
        <v>33</v>
      </c>
      <c r="H807" s="24" t="s">
        <v>940</v>
      </c>
      <c r="I807" s="25" t="s">
        <v>600</v>
      </c>
      <c r="J807" s="26">
        <v>46150.0</v>
      </c>
      <c r="K807" s="21" t="s">
        <v>941</v>
      </c>
      <c r="L807" s="27">
        <v>46153.0</v>
      </c>
      <c r="M807" s="28">
        <v>0.1875</v>
      </c>
      <c r="N807" s="29" t="s">
        <v>31</v>
      </c>
      <c r="O807" s="29" t="s">
        <v>35</v>
      </c>
      <c r="P807" s="34" t="s">
        <v>36</v>
      </c>
      <c r="Q807" s="34" t="s">
        <v>942</v>
      </c>
      <c r="R807" s="105">
        <v>46155.0</v>
      </c>
      <c r="S807" s="32" t="s">
        <v>29</v>
      </c>
      <c r="T807" s="33"/>
      <c r="U807" s="33"/>
    </row>
    <row r="808" ht="15.0" customHeight="1">
      <c r="A808" s="20">
        <v>46150.0</v>
      </c>
      <c r="B808" s="20">
        <v>46150.0</v>
      </c>
      <c r="C808" s="20" t="s">
        <v>25</v>
      </c>
      <c r="D808" s="21" t="s">
        <v>39</v>
      </c>
      <c r="E808" s="21" t="s">
        <v>30</v>
      </c>
      <c r="F808" s="22">
        <v>0.004780092592592593</v>
      </c>
      <c r="G808" s="21" t="s">
        <v>33</v>
      </c>
      <c r="H808" s="24" t="s">
        <v>943</v>
      </c>
      <c r="I808" s="25" t="s">
        <v>600</v>
      </c>
      <c r="J808" s="26">
        <v>46150.0</v>
      </c>
      <c r="K808" s="21" t="s">
        <v>944</v>
      </c>
      <c r="L808" s="27">
        <v>46150.0</v>
      </c>
      <c r="M808" s="28">
        <v>0.017361111111111112</v>
      </c>
      <c r="N808" s="29" t="s">
        <v>39</v>
      </c>
      <c r="O808" s="29" t="s">
        <v>35</v>
      </c>
      <c r="P808" s="34" t="s">
        <v>36</v>
      </c>
      <c r="Q808" s="34" t="s">
        <v>945</v>
      </c>
      <c r="R808" s="105">
        <v>46155.0</v>
      </c>
      <c r="S808" s="32" t="s">
        <v>29</v>
      </c>
      <c r="T808" s="33"/>
      <c r="U808" s="33"/>
    </row>
    <row r="809" ht="15.75" customHeight="1">
      <c r="A809" s="20">
        <v>46150.0</v>
      </c>
      <c r="B809" s="20">
        <v>46150.0</v>
      </c>
      <c r="C809" s="20" t="s">
        <v>25</v>
      </c>
      <c r="D809" s="21" t="s">
        <v>69</v>
      </c>
      <c r="E809" s="21" t="s">
        <v>32</v>
      </c>
      <c r="F809" s="22">
        <v>0.044849537037037035</v>
      </c>
      <c r="G809" s="21" t="s">
        <v>33</v>
      </c>
      <c r="H809" s="24" t="s">
        <v>946</v>
      </c>
      <c r="I809" s="25" t="s">
        <v>178</v>
      </c>
      <c r="J809" s="26">
        <v>46150.63346064815</v>
      </c>
      <c r="K809" s="21" t="s">
        <v>947</v>
      </c>
      <c r="L809" s="27">
        <v>46151.0</v>
      </c>
      <c r="M809" s="28">
        <v>0.10069444444444445</v>
      </c>
      <c r="N809" s="29" t="s">
        <v>34</v>
      </c>
      <c r="O809" s="29" t="s">
        <v>35</v>
      </c>
      <c r="P809" s="34" t="s">
        <v>36</v>
      </c>
      <c r="Q809" s="34" t="s">
        <v>948</v>
      </c>
      <c r="R809" s="105">
        <v>46155.0</v>
      </c>
      <c r="S809" s="32" t="s">
        <v>29</v>
      </c>
      <c r="T809" s="33"/>
      <c r="U809" s="33"/>
    </row>
    <row r="810" ht="16.5" customHeight="1">
      <c r="A810" s="20">
        <v>46150.0</v>
      </c>
      <c r="B810" s="20">
        <v>46150.0</v>
      </c>
      <c r="C810" s="20" t="s">
        <v>25</v>
      </c>
      <c r="D810" s="21" t="s">
        <v>34</v>
      </c>
      <c r="E810" s="21" t="s">
        <v>38</v>
      </c>
      <c r="F810" s="22">
        <v>0.0069791666666666665</v>
      </c>
      <c r="G810" s="21" t="s">
        <v>33</v>
      </c>
      <c r="H810" s="24"/>
      <c r="I810" s="25"/>
      <c r="J810" s="26"/>
      <c r="K810" s="21"/>
      <c r="L810" s="27">
        <v>46153.0</v>
      </c>
      <c r="M810" s="28">
        <v>0.021527777777777778</v>
      </c>
      <c r="N810" s="29" t="s">
        <v>49</v>
      </c>
      <c r="O810" s="29" t="s">
        <v>35</v>
      </c>
      <c r="P810" s="34" t="s">
        <v>53</v>
      </c>
      <c r="Q810" s="34">
        <v>1.2021338E7</v>
      </c>
      <c r="R810" s="35">
        <v>46153.0</v>
      </c>
      <c r="S810" s="32" t="s">
        <v>29</v>
      </c>
      <c r="T810" s="33"/>
      <c r="U810" s="33"/>
    </row>
    <row r="811" ht="16.5" customHeight="1">
      <c r="A811" s="20">
        <v>46150.0</v>
      </c>
      <c r="B811" s="20">
        <v>46150.0</v>
      </c>
      <c r="C811" s="20" t="s">
        <v>25</v>
      </c>
      <c r="D811" s="21" t="s">
        <v>34</v>
      </c>
      <c r="E811" s="21" t="s">
        <v>40</v>
      </c>
      <c r="F811" s="22">
        <v>0.018206018518518517</v>
      </c>
      <c r="G811" s="21" t="s">
        <v>33</v>
      </c>
      <c r="H811" s="24"/>
      <c r="I811" s="25"/>
      <c r="J811" s="26"/>
      <c r="K811" s="21"/>
      <c r="L811" s="27">
        <v>46153.0</v>
      </c>
      <c r="M811" s="28">
        <v>0.05555555555555555</v>
      </c>
      <c r="N811" s="29" t="s">
        <v>49</v>
      </c>
      <c r="O811" s="29" t="s">
        <v>35</v>
      </c>
      <c r="P811" s="34" t="s">
        <v>53</v>
      </c>
      <c r="Q811" s="34" t="s">
        <v>949</v>
      </c>
      <c r="R811" s="35">
        <v>46153.0</v>
      </c>
      <c r="S811" s="32" t="s">
        <v>29</v>
      </c>
      <c r="T811" s="33"/>
      <c r="U811" s="33"/>
    </row>
    <row r="812" ht="15.75" customHeight="1">
      <c r="A812" s="20">
        <v>46150.0</v>
      </c>
      <c r="B812" s="20">
        <v>46150.0</v>
      </c>
      <c r="C812" s="20"/>
      <c r="D812" s="21"/>
      <c r="E812" s="21" t="s">
        <v>43</v>
      </c>
      <c r="F812" s="22">
        <v>0.015671296296296298</v>
      </c>
      <c r="G812" s="21" t="s">
        <v>33</v>
      </c>
      <c r="H812" s="24"/>
      <c r="I812" s="25"/>
      <c r="J812" s="26"/>
      <c r="K812" s="21"/>
      <c r="L812" s="27">
        <v>46155.0</v>
      </c>
      <c r="M812" s="28">
        <v>0.034722222222222224</v>
      </c>
      <c r="N812" s="29" t="s">
        <v>34</v>
      </c>
      <c r="O812" s="29" t="s">
        <v>35</v>
      </c>
      <c r="P812" s="30" t="s">
        <v>28</v>
      </c>
      <c r="Q812" s="30" t="s">
        <v>28</v>
      </c>
      <c r="R812" s="31" t="s">
        <v>28</v>
      </c>
      <c r="S812" s="32" t="s">
        <v>29</v>
      </c>
      <c r="T812" s="33"/>
      <c r="U812" s="33"/>
    </row>
    <row r="813" ht="15.75" customHeight="1">
      <c r="A813" s="55">
        <v>46151.0</v>
      </c>
      <c r="B813" s="55">
        <v>46151.0</v>
      </c>
      <c r="C813" s="55" t="s">
        <v>25</v>
      </c>
      <c r="D813" s="56" t="s">
        <v>34</v>
      </c>
      <c r="E813" s="56" t="s">
        <v>32</v>
      </c>
      <c r="F813" s="57">
        <v>0.049074074074074076</v>
      </c>
      <c r="G813" s="56" t="s">
        <v>33</v>
      </c>
      <c r="H813" s="24"/>
      <c r="I813" s="25"/>
      <c r="J813" s="26"/>
      <c r="K813" s="21"/>
      <c r="L813" s="27">
        <v>46153.0</v>
      </c>
      <c r="M813" s="28">
        <v>0.10416666666666667</v>
      </c>
      <c r="N813" s="29" t="s">
        <v>59</v>
      </c>
      <c r="O813" s="29" t="s">
        <v>35</v>
      </c>
      <c r="P813" s="34" t="s">
        <v>53</v>
      </c>
      <c r="Q813" s="34" t="s">
        <v>950</v>
      </c>
      <c r="R813" s="35">
        <v>46153.0</v>
      </c>
      <c r="S813" s="32" t="s">
        <v>29</v>
      </c>
      <c r="T813" s="33"/>
      <c r="U813" s="33"/>
    </row>
    <row r="814" ht="15.75" customHeight="1">
      <c r="A814" s="55">
        <v>46151.0</v>
      </c>
      <c r="B814" s="55">
        <v>46151.0</v>
      </c>
      <c r="C814" s="55" t="s">
        <v>25</v>
      </c>
      <c r="D814" s="56" t="s">
        <v>59</v>
      </c>
      <c r="E814" s="56" t="s">
        <v>40</v>
      </c>
      <c r="F814" s="57">
        <v>0.01150462962962963</v>
      </c>
      <c r="G814" s="56" t="s">
        <v>33</v>
      </c>
      <c r="H814" s="24"/>
      <c r="I814" s="25"/>
      <c r="J814" s="26"/>
      <c r="K814" s="21"/>
      <c r="L814" s="27">
        <v>46153.0</v>
      </c>
      <c r="M814" s="28">
        <v>0.041666666666666664</v>
      </c>
      <c r="N814" s="29" t="s">
        <v>59</v>
      </c>
      <c r="O814" s="29" t="s">
        <v>35</v>
      </c>
      <c r="P814" s="34" t="s">
        <v>53</v>
      </c>
      <c r="Q814" s="34" t="s">
        <v>951</v>
      </c>
      <c r="R814" s="35">
        <v>46153.0</v>
      </c>
      <c r="S814" s="32" t="s">
        <v>29</v>
      </c>
      <c r="T814" s="33"/>
      <c r="U814" s="33"/>
    </row>
    <row r="815" ht="15.75" customHeight="1">
      <c r="A815" s="55">
        <v>46151.0</v>
      </c>
      <c r="B815" s="55">
        <v>46151.0</v>
      </c>
      <c r="C815" s="55"/>
      <c r="D815" s="56"/>
      <c r="E815" s="56" t="s">
        <v>43</v>
      </c>
      <c r="F815" s="57">
        <v>0.017974537037037035</v>
      </c>
      <c r="G815" s="56" t="s">
        <v>33</v>
      </c>
      <c r="H815" s="24"/>
      <c r="I815" s="25"/>
      <c r="J815" s="26"/>
      <c r="K815" s="21"/>
      <c r="L815" s="27">
        <v>46155.0</v>
      </c>
      <c r="M815" s="28">
        <v>0.03819444444444445</v>
      </c>
      <c r="N815" s="29" t="s">
        <v>34</v>
      </c>
      <c r="O815" s="29" t="s">
        <v>35</v>
      </c>
      <c r="P815" s="30" t="s">
        <v>28</v>
      </c>
      <c r="Q815" s="143" t="s">
        <v>28</v>
      </c>
      <c r="R815" s="31" t="s">
        <v>28</v>
      </c>
      <c r="S815" s="32" t="s">
        <v>29</v>
      </c>
      <c r="T815" s="33"/>
      <c r="U815" s="33"/>
    </row>
    <row r="816" ht="15.75" customHeight="1">
      <c r="A816" s="55">
        <v>46151.0</v>
      </c>
      <c r="B816" s="55">
        <v>46151.0</v>
      </c>
      <c r="C816" s="55" t="s">
        <v>25</v>
      </c>
      <c r="D816" s="56" t="s">
        <v>57</v>
      </c>
      <c r="E816" s="56" t="s">
        <v>61</v>
      </c>
      <c r="F816" s="57">
        <v>0.020949074074074075</v>
      </c>
      <c r="G816" s="56" t="s">
        <v>33</v>
      </c>
      <c r="H816" s="24" t="s">
        <v>952</v>
      </c>
      <c r="I816" s="25" t="s">
        <v>600</v>
      </c>
      <c r="J816" s="26">
        <v>46153.549305555556</v>
      </c>
      <c r="K816" s="21" t="s">
        <v>953</v>
      </c>
      <c r="L816" s="27">
        <v>46156.0</v>
      </c>
      <c r="M816" s="28">
        <v>0.06944444444444445</v>
      </c>
      <c r="N816" s="29" t="s">
        <v>57</v>
      </c>
      <c r="O816" s="29" t="s">
        <v>35</v>
      </c>
      <c r="P816" s="34" t="s">
        <v>36</v>
      </c>
      <c r="Q816" s="34" t="s">
        <v>954</v>
      </c>
      <c r="R816" s="35">
        <v>46154.0</v>
      </c>
      <c r="S816" s="32" t="s">
        <v>29</v>
      </c>
      <c r="T816" s="33"/>
      <c r="U816" s="33"/>
    </row>
    <row r="817" ht="15.75" customHeight="1">
      <c r="A817" s="55">
        <v>46151.0</v>
      </c>
      <c r="B817" s="55">
        <v>46151.0</v>
      </c>
      <c r="C817" s="55" t="s">
        <v>25</v>
      </c>
      <c r="D817" s="56" t="s">
        <v>57</v>
      </c>
      <c r="E817" s="56" t="s">
        <v>62</v>
      </c>
      <c r="F817" s="57">
        <v>0.020949074074074075</v>
      </c>
      <c r="G817" s="56" t="s">
        <v>33</v>
      </c>
      <c r="H817" s="24" t="s">
        <v>955</v>
      </c>
      <c r="I817" s="25" t="s">
        <v>600</v>
      </c>
      <c r="J817" s="26">
        <v>46153.57361111111</v>
      </c>
      <c r="K817" s="21" t="s">
        <v>956</v>
      </c>
      <c r="L817" s="27">
        <v>46156.0</v>
      </c>
      <c r="M817" s="28">
        <v>0.003472222222222222</v>
      </c>
      <c r="N817" s="29" t="s">
        <v>57</v>
      </c>
      <c r="O817" s="29" t="s">
        <v>355</v>
      </c>
      <c r="P817" s="34" t="s">
        <v>36</v>
      </c>
      <c r="Q817" s="34" t="s">
        <v>957</v>
      </c>
      <c r="R817" s="46">
        <v>46157.0</v>
      </c>
      <c r="S817" s="32" t="s">
        <v>29</v>
      </c>
      <c r="T817" s="33"/>
      <c r="U817" s="33"/>
    </row>
    <row r="818" ht="15.75" customHeight="1">
      <c r="A818" s="55">
        <v>46151.0</v>
      </c>
      <c r="B818" s="55">
        <v>46153.0</v>
      </c>
      <c r="C818" s="55" t="s">
        <v>25</v>
      </c>
      <c r="D818" s="56" t="s">
        <v>57</v>
      </c>
      <c r="E818" s="82" t="s">
        <v>772</v>
      </c>
      <c r="F818" s="57">
        <v>0.021493055555555557</v>
      </c>
      <c r="G818" s="56" t="s">
        <v>33</v>
      </c>
      <c r="H818" s="24" t="s">
        <v>958</v>
      </c>
      <c r="I818" s="25" t="s">
        <v>600</v>
      </c>
      <c r="J818" s="26">
        <v>46153.45138888889</v>
      </c>
      <c r="K818" s="21" t="s">
        <v>959</v>
      </c>
      <c r="L818" s="27">
        <v>46156.0</v>
      </c>
      <c r="M818" s="28">
        <v>0.003472222222222222</v>
      </c>
      <c r="N818" s="29" t="s">
        <v>49</v>
      </c>
      <c r="O818" s="29" t="s">
        <v>355</v>
      </c>
      <c r="P818" s="34" t="s">
        <v>36</v>
      </c>
      <c r="Q818" s="34" t="s">
        <v>960</v>
      </c>
      <c r="R818" s="35">
        <v>46154.0</v>
      </c>
      <c r="S818" s="32"/>
      <c r="T818" s="33"/>
      <c r="U818" s="33"/>
    </row>
    <row r="819" ht="15.75" customHeight="1">
      <c r="A819" s="55">
        <v>46151.0</v>
      </c>
      <c r="B819" s="55">
        <v>46151.0</v>
      </c>
      <c r="C819" s="55" t="s">
        <v>930</v>
      </c>
      <c r="D819" s="56" t="s">
        <v>34</v>
      </c>
      <c r="E819" s="56" t="s">
        <v>63</v>
      </c>
      <c r="F819" s="57">
        <v>0.02056712962962963</v>
      </c>
      <c r="G819" s="56" t="s">
        <v>33</v>
      </c>
      <c r="H819" s="24" t="s">
        <v>961</v>
      </c>
      <c r="I819" s="25" t="s">
        <v>46</v>
      </c>
      <c r="J819" s="26">
        <v>46153.657638888886</v>
      </c>
      <c r="K819" s="21" t="s">
        <v>962</v>
      </c>
      <c r="L819" s="27">
        <v>46156.0</v>
      </c>
      <c r="M819" s="28">
        <v>0.052083333333333336</v>
      </c>
      <c r="N819" s="29" t="s">
        <v>34</v>
      </c>
      <c r="O819" s="29" t="s">
        <v>35</v>
      </c>
      <c r="P819" s="34" t="s">
        <v>36</v>
      </c>
      <c r="Q819" s="34" t="s">
        <v>963</v>
      </c>
      <c r="R819" s="35">
        <v>46154.0</v>
      </c>
      <c r="S819" s="32" t="s">
        <v>29</v>
      </c>
      <c r="T819" s="33"/>
      <c r="U819" s="33"/>
    </row>
    <row r="820" ht="15.75" customHeight="1">
      <c r="A820" s="60">
        <v>46152.0</v>
      </c>
      <c r="B820" s="60">
        <v>46152.0</v>
      </c>
      <c r="C820" s="60"/>
      <c r="D820" s="61"/>
      <c r="E820" s="61" t="s">
        <v>64</v>
      </c>
      <c r="F820" s="62"/>
      <c r="G820" s="63" t="s">
        <v>27</v>
      </c>
      <c r="H820" s="24"/>
      <c r="I820" s="25"/>
      <c r="J820" s="26"/>
      <c r="K820" s="21"/>
      <c r="L820" s="27"/>
      <c r="M820" s="28"/>
      <c r="N820" s="29"/>
      <c r="O820" s="29"/>
      <c r="P820" s="34" t="s">
        <v>28</v>
      </c>
      <c r="Q820" s="34" t="s">
        <v>28</v>
      </c>
      <c r="R820" s="35" t="s">
        <v>28</v>
      </c>
      <c r="S820" s="32" t="s">
        <v>29</v>
      </c>
      <c r="T820" s="33"/>
      <c r="U820" s="33"/>
    </row>
    <row r="821" ht="15.75" customHeight="1">
      <c r="A821" s="60">
        <v>46152.0</v>
      </c>
      <c r="B821" s="60">
        <v>46152.0</v>
      </c>
      <c r="C821" s="60" t="s">
        <v>65</v>
      </c>
      <c r="D821" s="61" t="s">
        <v>57</v>
      </c>
      <c r="E821" s="61" t="s">
        <v>66</v>
      </c>
      <c r="F821" s="62">
        <v>0.020729166666666667</v>
      </c>
      <c r="G821" s="61" t="s">
        <v>33</v>
      </c>
      <c r="H821" s="24" t="s">
        <v>964</v>
      </c>
      <c r="I821" s="25" t="s">
        <v>600</v>
      </c>
      <c r="J821" s="26">
        <v>46152.36597222222</v>
      </c>
      <c r="K821" s="21" t="s">
        <v>965</v>
      </c>
      <c r="L821" s="27">
        <v>46156.0</v>
      </c>
      <c r="M821" s="28">
        <v>0.020833333333333332</v>
      </c>
      <c r="N821" s="29" t="s">
        <v>69</v>
      </c>
      <c r="O821" s="29" t="s">
        <v>35</v>
      </c>
      <c r="P821" s="34" t="s">
        <v>36</v>
      </c>
      <c r="Q821" s="34" t="s">
        <v>966</v>
      </c>
      <c r="R821" s="46">
        <v>46157.0</v>
      </c>
      <c r="S821" s="32" t="s">
        <v>29</v>
      </c>
      <c r="T821" s="33"/>
      <c r="U821" s="33"/>
    </row>
    <row r="822" ht="15.75" customHeight="1">
      <c r="A822" s="20">
        <v>46153.0</v>
      </c>
      <c r="B822" s="20">
        <v>46153.0</v>
      </c>
      <c r="C822" s="20" t="s">
        <v>25</v>
      </c>
      <c r="D822" s="21" t="s">
        <v>49</v>
      </c>
      <c r="E822" s="21" t="s">
        <v>26</v>
      </c>
      <c r="F822" s="22">
        <v>0.10042824074074073</v>
      </c>
      <c r="G822" s="21" t="s">
        <v>33</v>
      </c>
      <c r="H822" s="24"/>
      <c r="I822" s="25"/>
      <c r="J822" s="26"/>
      <c r="K822" s="21"/>
      <c r="L822" s="27">
        <v>46154.0</v>
      </c>
      <c r="M822" s="28">
        <v>0.2569444444444444</v>
      </c>
      <c r="N822" s="29" t="s">
        <v>34</v>
      </c>
      <c r="O822" s="29" t="s">
        <v>35</v>
      </c>
      <c r="P822" s="34" t="s">
        <v>36</v>
      </c>
      <c r="Q822" s="34" t="s">
        <v>967</v>
      </c>
      <c r="R822" s="35">
        <v>46155.0</v>
      </c>
      <c r="S822" s="32" t="s">
        <v>29</v>
      </c>
      <c r="T822" s="33"/>
      <c r="U822" s="33"/>
    </row>
    <row r="823" ht="17.25" customHeight="1">
      <c r="A823" s="20">
        <v>46153.0</v>
      </c>
      <c r="B823" s="20">
        <v>46153.0</v>
      </c>
      <c r="C823" s="20" t="s">
        <v>25</v>
      </c>
      <c r="D823" s="21" t="s">
        <v>31</v>
      </c>
      <c r="E823" s="21" t="s">
        <v>30</v>
      </c>
      <c r="F823" s="22">
        <v>0.005127314814814815</v>
      </c>
      <c r="G823" s="21" t="s">
        <v>33</v>
      </c>
      <c r="H823" s="108"/>
      <c r="I823" s="40"/>
      <c r="J823" s="41"/>
      <c r="K823" s="21"/>
      <c r="L823" s="27">
        <v>46153.0</v>
      </c>
      <c r="M823" s="28">
        <v>0.013888888888888888</v>
      </c>
      <c r="N823" s="29" t="s">
        <v>31</v>
      </c>
      <c r="O823" s="29" t="s">
        <v>35</v>
      </c>
      <c r="P823" s="34" t="s">
        <v>36</v>
      </c>
      <c r="Q823" s="34" t="s">
        <v>968</v>
      </c>
      <c r="R823" s="35">
        <v>46155.0</v>
      </c>
      <c r="S823" s="32" t="s">
        <v>29</v>
      </c>
      <c r="T823" s="33"/>
      <c r="U823" s="33"/>
    </row>
    <row r="824" ht="15.75" customHeight="1">
      <c r="A824" s="20">
        <v>46153.0</v>
      </c>
      <c r="B824" s="20">
        <v>46153.0</v>
      </c>
      <c r="C824" s="20" t="s">
        <v>930</v>
      </c>
      <c r="D824" s="21" t="s">
        <v>39</v>
      </c>
      <c r="E824" s="21" t="s">
        <v>32</v>
      </c>
      <c r="F824" s="22">
        <v>0.046875</v>
      </c>
      <c r="G824" s="21" t="s">
        <v>33</v>
      </c>
      <c r="H824" s="24"/>
      <c r="I824" s="25"/>
      <c r="J824" s="26"/>
      <c r="K824" s="21"/>
      <c r="L824" s="27">
        <v>46154.0</v>
      </c>
      <c r="M824" s="28">
        <v>0.125</v>
      </c>
      <c r="N824" s="29" t="s">
        <v>31</v>
      </c>
      <c r="O824" s="29" t="s">
        <v>35</v>
      </c>
      <c r="P824" s="34" t="s">
        <v>36</v>
      </c>
      <c r="Q824" s="34" t="s">
        <v>969</v>
      </c>
      <c r="R824" s="35">
        <v>46155.0</v>
      </c>
      <c r="S824" s="32" t="s">
        <v>29</v>
      </c>
      <c r="T824" s="33"/>
      <c r="U824" s="33"/>
    </row>
    <row r="825" ht="15.75" customHeight="1">
      <c r="A825" s="20">
        <v>46153.0</v>
      </c>
      <c r="B825" s="20">
        <v>46153.0</v>
      </c>
      <c r="C825" s="20" t="s">
        <v>25</v>
      </c>
      <c r="D825" s="21" t="s">
        <v>34</v>
      </c>
      <c r="E825" s="21" t="s">
        <v>38</v>
      </c>
      <c r="F825" s="22">
        <v>0.010787037037037038</v>
      </c>
      <c r="G825" s="21" t="s">
        <v>33</v>
      </c>
      <c r="H825" s="24"/>
      <c r="I825" s="25"/>
      <c r="J825" s="26"/>
      <c r="K825" s="21"/>
      <c r="L825" s="27">
        <v>46154.0</v>
      </c>
      <c r="M825" s="28">
        <v>0.034722222222222224</v>
      </c>
      <c r="N825" s="29" t="s">
        <v>69</v>
      </c>
      <c r="O825" s="29" t="s">
        <v>35</v>
      </c>
      <c r="P825" s="34" t="s">
        <v>36</v>
      </c>
      <c r="Q825" s="34">
        <v>1.2021339E7</v>
      </c>
      <c r="R825" s="35">
        <v>46155.0</v>
      </c>
      <c r="S825" s="32" t="s">
        <v>29</v>
      </c>
      <c r="T825" s="33"/>
      <c r="U825" s="33"/>
    </row>
    <row r="826" ht="15.75" customHeight="1">
      <c r="A826" s="20">
        <v>46153.0</v>
      </c>
      <c r="B826" s="20">
        <v>46153.0</v>
      </c>
      <c r="C826" s="20" t="s">
        <v>25</v>
      </c>
      <c r="D826" s="21" t="s">
        <v>34</v>
      </c>
      <c r="E826" s="21" t="s">
        <v>40</v>
      </c>
      <c r="F826" s="22">
        <v>0.019074074074074073</v>
      </c>
      <c r="G826" s="21" t="s">
        <v>33</v>
      </c>
      <c r="H826" s="24"/>
      <c r="I826" s="25"/>
      <c r="J826" s="26"/>
      <c r="K826" s="21"/>
      <c r="L826" s="27">
        <v>46154.0</v>
      </c>
      <c r="M826" s="28">
        <v>0.05555555555555555</v>
      </c>
      <c r="N826" s="29" t="s">
        <v>59</v>
      </c>
      <c r="O826" s="29" t="s">
        <v>35</v>
      </c>
      <c r="P826" s="34" t="s">
        <v>36</v>
      </c>
      <c r="Q826" s="99" t="s">
        <v>970</v>
      </c>
      <c r="R826" s="35">
        <v>46155.0</v>
      </c>
      <c r="S826" s="32" t="s">
        <v>29</v>
      </c>
      <c r="T826" s="33"/>
      <c r="U826" s="33"/>
    </row>
    <row r="827" ht="15.75" customHeight="1">
      <c r="A827" s="20">
        <v>46153.0</v>
      </c>
      <c r="B827" s="20">
        <v>46153.0</v>
      </c>
      <c r="C827" s="20"/>
      <c r="D827" s="21"/>
      <c r="E827" s="21" t="s">
        <v>43</v>
      </c>
      <c r="F827" s="22">
        <v>0.01619212962962963</v>
      </c>
      <c r="G827" s="21" t="s">
        <v>33</v>
      </c>
      <c r="H827" s="24"/>
      <c r="I827" s="25"/>
      <c r="J827" s="26"/>
      <c r="K827" s="21"/>
      <c r="L827" s="27"/>
      <c r="M827" s="28"/>
      <c r="N827" s="29" t="s">
        <v>57</v>
      </c>
      <c r="O827" s="29"/>
      <c r="P827" s="34" t="s">
        <v>28</v>
      </c>
      <c r="Q827" s="140" t="s">
        <v>28</v>
      </c>
      <c r="R827" s="46" t="s">
        <v>28</v>
      </c>
      <c r="S827" s="32" t="s">
        <v>29</v>
      </c>
      <c r="T827" s="33"/>
      <c r="U827" s="33"/>
    </row>
    <row r="828" ht="15.75" customHeight="1">
      <c r="A828" s="20">
        <v>46153.0</v>
      </c>
      <c r="B828" s="36">
        <v>46153.0</v>
      </c>
      <c r="C828" s="20" t="s">
        <v>930</v>
      </c>
      <c r="D828" s="21" t="s">
        <v>39</v>
      </c>
      <c r="E828" s="21" t="s">
        <v>87</v>
      </c>
      <c r="F828" s="22">
        <v>0.013796296296296296</v>
      </c>
      <c r="G828" s="21" t="s">
        <v>88</v>
      </c>
      <c r="H828" s="24" t="s">
        <v>971</v>
      </c>
      <c r="I828" s="25" t="s">
        <v>46</v>
      </c>
      <c r="J828" s="26">
        <v>46153.0</v>
      </c>
      <c r="K828" s="21" t="s">
        <v>972</v>
      </c>
      <c r="L828" s="27"/>
      <c r="M828" s="28"/>
      <c r="N828" s="29"/>
      <c r="O828" s="29"/>
      <c r="P828" s="34" t="s">
        <v>53</v>
      </c>
      <c r="Q828" s="34">
        <v>1.2045411E7</v>
      </c>
      <c r="R828" s="46">
        <v>46154.0</v>
      </c>
      <c r="S828" s="32"/>
      <c r="T828" s="33"/>
      <c r="U828" s="33"/>
    </row>
    <row r="829" ht="15.75" customHeight="1">
      <c r="A829" s="20">
        <v>46153.0</v>
      </c>
      <c r="B829" s="20">
        <v>46153.0</v>
      </c>
      <c r="C829" s="20" t="s">
        <v>930</v>
      </c>
      <c r="D829" s="21" t="s">
        <v>39</v>
      </c>
      <c r="E829" s="21" t="s">
        <v>87</v>
      </c>
      <c r="F829" s="22">
        <v>0.00443287037037037</v>
      </c>
      <c r="G829" s="21" t="s">
        <v>88</v>
      </c>
      <c r="H829" s="24" t="s">
        <v>973</v>
      </c>
      <c r="I829" s="25" t="s">
        <v>46</v>
      </c>
      <c r="J829" s="26">
        <v>46153.0</v>
      </c>
      <c r="K829" s="119" t="s">
        <v>974</v>
      </c>
      <c r="L829" s="27"/>
      <c r="M829" s="28"/>
      <c r="N829" s="29"/>
      <c r="O829" s="29"/>
      <c r="P829" s="34" t="s">
        <v>53</v>
      </c>
      <c r="Q829" s="34">
        <v>1.2045412E7</v>
      </c>
      <c r="R829" s="46">
        <v>46154.0</v>
      </c>
      <c r="S829" s="32"/>
      <c r="T829" s="33"/>
      <c r="U829" s="33"/>
    </row>
    <row r="830" ht="15.75" customHeight="1">
      <c r="A830" s="20">
        <v>46153.0</v>
      </c>
      <c r="B830" s="20">
        <v>46153.0</v>
      </c>
      <c r="C830" s="20" t="s">
        <v>930</v>
      </c>
      <c r="D830" s="21" t="s">
        <v>39</v>
      </c>
      <c r="E830" s="21" t="s">
        <v>87</v>
      </c>
      <c r="F830" s="22">
        <v>0.0014699074074074074</v>
      </c>
      <c r="G830" s="21" t="s">
        <v>88</v>
      </c>
      <c r="H830" s="24" t="s">
        <v>975</v>
      </c>
      <c r="I830" s="25" t="s">
        <v>46</v>
      </c>
      <c r="J830" s="26">
        <v>46153.0</v>
      </c>
      <c r="K830" s="21" t="s">
        <v>976</v>
      </c>
      <c r="L830" s="27"/>
      <c r="M830" s="28"/>
      <c r="N830" s="29"/>
      <c r="O830" s="29"/>
      <c r="P830" s="34" t="s">
        <v>53</v>
      </c>
      <c r="Q830" s="34">
        <v>1.2045413E7</v>
      </c>
      <c r="R830" s="46">
        <v>46154.0</v>
      </c>
      <c r="S830" s="32"/>
      <c r="T830" s="33"/>
      <c r="U830" s="33"/>
    </row>
    <row r="831" ht="15.75" customHeight="1">
      <c r="A831" s="20">
        <v>46153.0</v>
      </c>
      <c r="B831" s="20">
        <v>46153.0</v>
      </c>
      <c r="C831" s="20" t="s">
        <v>930</v>
      </c>
      <c r="D831" s="21" t="s">
        <v>39</v>
      </c>
      <c r="E831" s="21" t="s">
        <v>87</v>
      </c>
      <c r="F831" s="22">
        <v>0.003946759259259259</v>
      </c>
      <c r="G831" s="21" t="s">
        <v>88</v>
      </c>
      <c r="H831" s="24" t="s">
        <v>977</v>
      </c>
      <c r="I831" s="25" t="s">
        <v>46</v>
      </c>
      <c r="J831" s="26">
        <v>46153.0</v>
      </c>
      <c r="K831" s="21" t="s">
        <v>978</v>
      </c>
      <c r="L831" s="27"/>
      <c r="M831" s="28"/>
      <c r="N831" s="29"/>
      <c r="O831" s="29"/>
      <c r="P831" s="34" t="s">
        <v>53</v>
      </c>
      <c r="Q831" s="34">
        <v>1.2045414E7</v>
      </c>
      <c r="R831" s="46">
        <v>46154.0</v>
      </c>
      <c r="S831" s="32"/>
      <c r="T831" s="33"/>
      <c r="U831" s="33"/>
    </row>
    <row r="832" ht="15.75" customHeight="1">
      <c r="A832" s="20">
        <v>46154.0</v>
      </c>
      <c r="B832" s="20">
        <v>46154.0</v>
      </c>
      <c r="C832" s="20" t="s">
        <v>930</v>
      </c>
      <c r="D832" s="21" t="s">
        <v>49</v>
      </c>
      <c r="E832" s="21" t="s">
        <v>26</v>
      </c>
      <c r="F832" s="22">
        <v>0.1011574074074074</v>
      </c>
      <c r="G832" s="21" t="s">
        <v>33</v>
      </c>
      <c r="H832" s="108"/>
      <c r="I832" s="25"/>
      <c r="J832" s="26"/>
      <c r="K832" s="21"/>
      <c r="L832" s="27">
        <v>46155.0</v>
      </c>
      <c r="M832" s="28">
        <v>0.22916666666666666</v>
      </c>
      <c r="N832" s="29" t="s">
        <v>59</v>
      </c>
      <c r="O832" s="29" t="s">
        <v>35</v>
      </c>
      <c r="P832" s="34" t="s">
        <v>36</v>
      </c>
      <c r="Q832" s="34" t="s">
        <v>979</v>
      </c>
      <c r="R832" s="35">
        <v>46155.0</v>
      </c>
      <c r="S832" s="32" t="s">
        <v>29</v>
      </c>
      <c r="T832" s="33"/>
      <c r="U832" s="33"/>
    </row>
    <row r="833" ht="15.75" customHeight="1">
      <c r="A833" s="20">
        <v>46154.0</v>
      </c>
      <c r="B833" s="20">
        <v>46154.0</v>
      </c>
      <c r="C833" s="20" t="s">
        <v>25</v>
      </c>
      <c r="D833" s="21" t="s">
        <v>34</v>
      </c>
      <c r="E833" s="21" t="s">
        <v>30</v>
      </c>
      <c r="F833" s="22">
        <v>0.0033912037037037036</v>
      </c>
      <c r="G833" s="21" t="s">
        <v>33</v>
      </c>
      <c r="H833" s="144"/>
      <c r="I833" s="25"/>
      <c r="J833" s="26"/>
      <c r="K833" s="21"/>
      <c r="L833" s="27">
        <v>46154.0</v>
      </c>
      <c r="M833" s="28">
        <v>0.007638888888888889</v>
      </c>
      <c r="N833" s="29" t="s">
        <v>34</v>
      </c>
      <c r="O833" s="29" t="s">
        <v>35</v>
      </c>
      <c r="P833" s="34" t="s">
        <v>36</v>
      </c>
      <c r="Q833" s="34" t="s">
        <v>980</v>
      </c>
      <c r="R833" s="46">
        <v>46155.0</v>
      </c>
      <c r="S833" s="32" t="s">
        <v>29</v>
      </c>
      <c r="T833" s="33"/>
      <c r="U833" s="33"/>
    </row>
    <row r="834" ht="15.75" customHeight="1">
      <c r="A834" s="20">
        <v>46154.0</v>
      </c>
      <c r="B834" s="20">
        <v>46154.0</v>
      </c>
      <c r="C834" s="20" t="s">
        <v>25</v>
      </c>
      <c r="D834" s="21" t="s">
        <v>69</v>
      </c>
      <c r="E834" s="21" t="s">
        <v>32</v>
      </c>
      <c r="F834" s="22">
        <v>0.050416666666666665</v>
      </c>
      <c r="G834" s="21" t="s">
        <v>33</v>
      </c>
      <c r="H834" s="24"/>
      <c r="I834" s="25"/>
      <c r="J834" s="26"/>
      <c r="K834" s="21"/>
      <c r="L834" s="27">
        <v>46155.0</v>
      </c>
      <c r="M834" s="28">
        <v>0.125</v>
      </c>
      <c r="N834" s="29" t="s">
        <v>31</v>
      </c>
      <c r="O834" s="29" t="s">
        <v>35</v>
      </c>
      <c r="P834" s="34" t="s">
        <v>36</v>
      </c>
      <c r="Q834" s="136" t="s">
        <v>981</v>
      </c>
      <c r="R834" s="35">
        <v>46155.0</v>
      </c>
      <c r="S834" s="32" t="s">
        <v>29</v>
      </c>
      <c r="T834" s="33"/>
      <c r="U834" s="33"/>
    </row>
    <row r="835" ht="15.75" customHeight="1">
      <c r="A835" s="36">
        <v>46154.0</v>
      </c>
      <c r="B835" s="36">
        <v>46154.0</v>
      </c>
      <c r="C835" s="36" t="s">
        <v>25</v>
      </c>
      <c r="D835" s="37" t="s">
        <v>59</v>
      </c>
      <c r="E835" s="37" t="s">
        <v>38</v>
      </c>
      <c r="F835" s="38">
        <v>0.010474537037037037</v>
      </c>
      <c r="G835" s="37" t="s">
        <v>33</v>
      </c>
      <c r="H835" s="39"/>
      <c r="I835" s="40"/>
      <c r="J835" s="41"/>
      <c r="K835" s="37"/>
      <c r="L835" s="42">
        <v>46155.0</v>
      </c>
      <c r="M835" s="43">
        <v>0.027777777777777776</v>
      </c>
      <c r="N835" s="44" t="s">
        <v>69</v>
      </c>
      <c r="O835" s="44" t="s">
        <v>35</v>
      </c>
      <c r="P835" s="45" t="s">
        <v>36</v>
      </c>
      <c r="Q835" s="33">
        <v>1.202134E7</v>
      </c>
      <c r="R835" s="46">
        <v>46155.0</v>
      </c>
      <c r="S835" s="54" t="s">
        <v>29</v>
      </c>
      <c r="T835" s="48"/>
      <c r="U835" s="48"/>
    </row>
    <row r="836" ht="16.5" customHeight="1">
      <c r="A836" s="20">
        <v>46154.0</v>
      </c>
      <c r="B836" s="20">
        <v>46154.0</v>
      </c>
      <c r="C836" s="20" t="s">
        <v>930</v>
      </c>
      <c r="D836" s="21" t="s">
        <v>39</v>
      </c>
      <c r="E836" s="21" t="s">
        <v>40</v>
      </c>
      <c r="F836" s="22">
        <v>0.023171296296296297</v>
      </c>
      <c r="G836" s="21" t="s">
        <v>33</v>
      </c>
      <c r="H836" s="24"/>
      <c r="I836" s="25"/>
      <c r="J836" s="26"/>
      <c r="K836" s="21"/>
      <c r="L836" s="27">
        <v>46155.0</v>
      </c>
      <c r="M836" s="28">
        <v>0.059027777777777776</v>
      </c>
      <c r="N836" s="29" t="s">
        <v>49</v>
      </c>
      <c r="O836" s="29" t="s">
        <v>35</v>
      </c>
      <c r="P836" s="34" t="s">
        <v>36</v>
      </c>
      <c r="Q836" s="34" t="s">
        <v>982</v>
      </c>
      <c r="R836" s="35">
        <v>46155.0</v>
      </c>
      <c r="S836" s="32" t="s">
        <v>29</v>
      </c>
      <c r="T836" s="33"/>
      <c r="U836" s="33"/>
    </row>
    <row r="837" ht="18.0" customHeight="1">
      <c r="A837" s="20">
        <v>46154.0</v>
      </c>
      <c r="B837" s="20">
        <v>46154.0</v>
      </c>
      <c r="C837" s="20"/>
      <c r="D837" s="21"/>
      <c r="E837" s="21" t="s">
        <v>43</v>
      </c>
      <c r="F837" s="22">
        <v>0.015335648148148149</v>
      </c>
      <c r="G837" s="21" t="s">
        <v>33</v>
      </c>
      <c r="H837" s="145"/>
      <c r="I837" s="25"/>
      <c r="J837" s="26"/>
      <c r="K837" s="21"/>
      <c r="L837" s="27">
        <v>46155.0</v>
      </c>
      <c r="M837" s="28">
        <v>0.04861111111111111</v>
      </c>
      <c r="N837" s="29" t="s">
        <v>57</v>
      </c>
      <c r="O837" s="29" t="s">
        <v>35</v>
      </c>
      <c r="P837" s="34" t="s">
        <v>28</v>
      </c>
      <c r="Q837" s="34" t="s">
        <v>28</v>
      </c>
      <c r="R837" s="35" t="s">
        <v>28</v>
      </c>
      <c r="S837" s="32" t="s">
        <v>29</v>
      </c>
      <c r="T837" s="33"/>
      <c r="U837" s="33"/>
    </row>
    <row r="838" ht="18.0" customHeight="1">
      <c r="A838" s="36">
        <v>46155.0</v>
      </c>
      <c r="B838" s="36">
        <v>46155.0</v>
      </c>
      <c r="C838" s="36" t="s">
        <v>930</v>
      </c>
      <c r="D838" s="37" t="s">
        <v>49</v>
      </c>
      <c r="E838" s="37" t="s">
        <v>26</v>
      </c>
      <c r="F838" s="38">
        <v>0.10017361111111112</v>
      </c>
      <c r="G838" s="37" t="s">
        <v>33</v>
      </c>
      <c r="H838" s="108"/>
      <c r="I838" s="40" t="s">
        <v>983</v>
      </c>
      <c r="J838" s="41">
        <v>46155.56527777778</v>
      </c>
      <c r="K838" s="37" t="s">
        <v>984</v>
      </c>
      <c r="L838" s="42">
        <v>46156.0</v>
      </c>
      <c r="M838" s="43">
        <v>0.2465277777777778</v>
      </c>
      <c r="N838" s="44" t="s">
        <v>39</v>
      </c>
      <c r="O838" s="44" t="s">
        <v>35</v>
      </c>
      <c r="P838" s="45" t="s">
        <v>36</v>
      </c>
      <c r="Q838" s="45" t="s">
        <v>985</v>
      </c>
      <c r="R838" s="46">
        <v>46157.0</v>
      </c>
      <c r="S838" s="54" t="s">
        <v>29</v>
      </c>
      <c r="T838" s="48"/>
      <c r="U838" s="48"/>
    </row>
    <row r="839" ht="14.25" customHeight="1">
      <c r="A839" s="20">
        <v>46155.0</v>
      </c>
      <c r="B839" s="20">
        <v>46155.0</v>
      </c>
      <c r="C839" s="20" t="s">
        <v>25</v>
      </c>
      <c r="D839" s="21" t="s">
        <v>59</v>
      </c>
      <c r="E839" s="21" t="s">
        <v>30</v>
      </c>
      <c r="F839" s="22">
        <v>0.004201388888888889</v>
      </c>
      <c r="G839" s="21" t="s">
        <v>33</v>
      </c>
      <c r="H839" s="24"/>
      <c r="I839" s="25"/>
      <c r="J839" s="26"/>
      <c r="K839" s="21"/>
      <c r="L839" s="27">
        <v>46155.0</v>
      </c>
      <c r="M839" s="28">
        <v>0.010416666666666666</v>
      </c>
      <c r="N839" s="29" t="s">
        <v>59</v>
      </c>
      <c r="O839" s="29" t="s">
        <v>35</v>
      </c>
      <c r="P839" s="34" t="s">
        <v>36</v>
      </c>
      <c r="Q839" s="34" t="s">
        <v>986</v>
      </c>
      <c r="R839" s="79">
        <v>46170.0</v>
      </c>
      <c r="S839" s="32" t="s">
        <v>29</v>
      </c>
      <c r="T839" s="33"/>
      <c r="U839" s="33"/>
    </row>
    <row r="840" ht="16.5" customHeight="1">
      <c r="A840" s="20">
        <v>46155.0</v>
      </c>
      <c r="B840" s="20">
        <v>46155.0</v>
      </c>
      <c r="C840" s="20" t="s">
        <v>25</v>
      </c>
      <c r="D840" s="21" t="s">
        <v>69</v>
      </c>
      <c r="E840" s="21" t="s">
        <v>32</v>
      </c>
      <c r="F840" s="22">
        <v>0.047060185185185184</v>
      </c>
      <c r="G840" s="21" t="s">
        <v>33</v>
      </c>
      <c r="H840" s="24"/>
      <c r="I840" s="25"/>
      <c r="J840" s="26"/>
      <c r="K840" s="21"/>
      <c r="L840" s="27">
        <v>46156.0</v>
      </c>
      <c r="M840" s="28">
        <v>0.1388888888888889</v>
      </c>
      <c r="N840" s="29" t="s">
        <v>31</v>
      </c>
      <c r="O840" s="29" t="s">
        <v>35</v>
      </c>
      <c r="P840" s="34" t="s">
        <v>36</v>
      </c>
      <c r="Q840" s="34" t="s">
        <v>987</v>
      </c>
      <c r="R840" s="46">
        <v>46157.0</v>
      </c>
      <c r="S840" s="32" t="s">
        <v>29</v>
      </c>
      <c r="T840" s="33"/>
      <c r="U840" s="33"/>
    </row>
    <row r="841" ht="15.75" customHeight="1">
      <c r="A841" s="20">
        <v>46155.0</v>
      </c>
      <c r="B841" s="20">
        <v>46155.0</v>
      </c>
      <c r="C841" s="20" t="s">
        <v>25</v>
      </c>
      <c r="D841" s="21" t="s">
        <v>34</v>
      </c>
      <c r="E841" s="21" t="s">
        <v>38</v>
      </c>
      <c r="F841" s="22">
        <v>0.009039351851851852</v>
      </c>
      <c r="G841" s="21" t="s">
        <v>33</v>
      </c>
      <c r="H841" s="24"/>
      <c r="I841" s="25"/>
      <c r="J841" s="26"/>
      <c r="K841" s="21"/>
      <c r="L841" s="27">
        <v>46156.0</v>
      </c>
      <c r="M841" s="28">
        <v>0.020833333333333332</v>
      </c>
      <c r="N841" s="29" t="s">
        <v>69</v>
      </c>
      <c r="O841" s="29" t="s">
        <v>35</v>
      </c>
      <c r="P841" s="34" t="s">
        <v>36</v>
      </c>
      <c r="Q841" s="34">
        <v>1.2021341E7</v>
      </c>
      <c r="R841" s="35">
        <v>46157.0</v>
      </c>
      <c r="S841" s="32" t="s">
        <v>29</v>
      </c>
      <c r="T841" s="33"/>
      <c r="U841" s="33"/>
    </row>
    <row r="842" ht="15.75" customHeight="1">
      <c r="A842" s="20">
        <v>46155.0</v>
      </c>
      <c r="B842" s="20">
        <v>46155.0</v>
      </c>
      <c r="C842" s="20" t="s">
        <v>25</v>
      </c>
      <c r="D842" s="21" t="s">
        <v>34</v>
      </c>
      <c r="E842" s="21" t="s">
        <v>40</v>
      </c>
      <c r="F842" s="22">
        <v>0.019131944444444444</v>
      </c>
      <c r="G842" s="21" t="s">
        <v>33</v>
      </c>
      <c r="H842" s="24"/>
      <c r="I842" s="25"/>
      <c r="J842" s="26"/>
      <c r="K842" s="21"/>
      <c r="L842" s="27">
        <v>46156.0</v>
      </c>
      <c r="M842" s="28">
        <v>0.0625</v>
      </c>
      <c r="N842" s="29" t="s">
        <v>59</v>
      </c>
      <c r="O842" s="29" t="s">
        <v>35</v>
      </c>
      <c r="P842" s="34" t="s">
        <v>36</v>
      </c>
      <c r="Q842" s="99" t="s">
        <v>988</v>
      </c>
      <c r="R842" s="35">
        <v>46157.0</v>
      </c>
      <c r="S842" s="32" t="s">
        <v>29</v>
      </c>
      <c r="T842" s="33"/>
      <c r="U842" s="33"/>
    </row>
    <row r="843" ht="15.75" customHeight="1">
      <c r="A843" s="20">
        <v>46155.0</v>
      </c>
      <c r="B843" s="20">
        <v>46155.0</v>
      </c>
      <c r="C843" s="20"/>
      <c r="D843" s="21"/>
      <c r="E843" s="21" t="s">
        <v>43</v>
      </c>
      <c r="F843" s="22">
        <v>0.015162037037037036</v>
      </c>
      <c r="G843" s="21" t="s">
        <v>33</v>
      </c>
      <c r="H843" s="24"/>
      <c r="I843" s="25"/>
      <c r="J843" s="26"/>
      <c r="K843" s="21"/>
      <c r="L843" s="27">
        <v>46156.0</v>
      </c>
      <c r="M843" s="28">
        <v>0.04861111111111111</v>
      </c>
      <c r="N843" s="29" t="s">
        <v>57</v>
      </c>
      <c r="O843" s="29" t="s">
        <v>35</v>
      </c>
      <c r="P843" s="34" t="s">
        <v>28</v>
      </c>
      <c r="Q843" s="136" t="s">
        <v>28</v>
      </c>
      <c r="R843" s="35" t="s">
        <v>28</v>
      </c>
      <c r="S843" s="32" t="s">
        <v>29</v>
      </c>
      <c r="T843" s="33"/>
      <c r="U843" s="33"/>
    </row>
    <row r="844" ht="18.0" customHeight="1">
      <c r="A844" s="20">
        <v>46156.0</v>
      </c>
      <c r="B844" s="20">
        <v>46156.0</v>
      </c>
      <c r="C844" s="20" t="s">
        <v>25</v>
      </c>
      <c r="D844" s="21" t="s">
        <v>49</v>
      </c>
      <c r="E844" s="21" t="s">
        <v>26</v>
      </c>
      <c r="F844" s="22">
        <v>0.10046296296296296</v>
      </c>
      <c r="G844" s="21" t="s">
        <v>33</v>
      </c>
      <c r="H844" s="24"/>
      <c r="I844" s="25"/>
      <c r="J844" s="26"/>
      <c r="K844" s="21"/>
      <c r="L844" s="27">
        <v>46157.0</v>
      </c>
      <c r="M844" s="28">
        <v>0.20833333333333334</v>
      </c>
      <c r="N844" s="29" t="s">
        <v>57</v>
      </c>
      <c r="O844" s="29" t="s">
        <v>35</v>
      </c>
      <c r="P844" s="34" t="s">
        <v>36</v>
      </c>
      <c r="Q844" s="34" t="s">
        <v>989</v>
      </c>
      <c r="R844" s="35">
        <v>46157.0</v>
      </c>
      <c r="S844" s="32" t="s">
        <v>29</v>
      </c>
      <c r="T844" s="33"/>
      <c r="U844" s="33"/>
    </row>
    <row r="845" ht="15.75" customHeight="1">
      <c r="A845" s="20">
        <v>46156.0</v>
      </c>
      <c r="B845" s="20">
        <v>46156.0</v>
      </c>
      <c r="C845" s="20" t="s">
        <v>25</v>
      </c>
      <c r="D845" s="21" t="s">
        <v>39</v>
      </c>
      <c r="E845" s="21" t="s">
        <v>30</v>
      </c>
      <c r="F845" s="22">
        <v>0.0036342592592592594</v>
      </c>
      <c r="G845" s="21" t="s">
        <v>33</v>
      </c>
      <c r="H845" s="24"/>
      <c r="I845" s="25"/>
      <c r="J845" s="26"/>
      <c r="K845" s="21"/>
      <c r="L845" s="27">
        <v>46156.0</v>
      </c>
      <c r="M845" s="28">
        <v>0.0125</v>
      </c>
      <c r="N845" s="29" t="s">
        <v>39</v>
      </c>
      <c r="O845" s="29" t="s">
        <v>35</v>
      </c>
      <c r="P845" s="34" t="s">
        <v>36</v>
      </c>
      <c r="Q845" s="34" t="s">
        <v>990</v>
      </c>
      <c r="R845" s="35">
        <v>46157.0</v>
      </c>
      <c r="S845" s="32" t="s">
        <v>29</v>
      </c>
      <c r="T845" s="33"/>
      <c r="U845" s="33"/>
    </row>
    <row r="846" ht="15.75" customHeight="1">
      <c r="A846" s="20">
        <v>46156.0</v>
      </c>
      <c r="B846" s="20">
        <v>46156.0</v>
      </c>
      <c r="C846" s="20" t="s">
        <v>25</v>
      </c>
      <c r="D846" s="21" t="s">
        <v>69</v>
      </c>
      <c r="E846" s="21" t="s">
        <v>32</v>
      </c>
      <c r="F846" s="22">
        <v>0.04605324074074074</v>
      </c>
      <c r="G846" s="21" t="s">
        <v>33</v>
      </c>
      <c r="H846" s="24"/>
      <c r="I846" s="25"/>
      <c r="J846" s="26"/>
      <c r="K846" s="21"/>
      <c r="L846" s="27">
        <v>46157.0</v>
      </c>
      <c r="M846" s="28">
        <v>0.125</v>
      </c>
      <c r="N846" s="29" t="s">
        <v>31</v>
      </c>
      <c r="O846" s="29" t="s">
        <v>35</v>
      </c>
      <c r="P846" s="34" t="s">
        <v>36</v>
      </c>
      <c r="Q846" s="34" t="s">
        <v>991</v>
      </c>
      <c r="R846" s="35">
        <v>46157.0</v>
      </c>
      <c r="S846" s="32" t="s">
        <v>29</v>
      </c>
      <c r="T846" s="33"/>
      <c r="U846" s="33"/>
    </row>
    <row r="847" ht="15.75" customHeight="1">
      <c r="A847" s="20">
        <v>46156.0</v>
      </c>
      <c r="B847" s="20">
        <v>46156.0</v>
      </c>
      <c r="C847" s="20" t="s">
        <v>25</v>
      </c>
      <c r="D847" s="21" t="s">
        <v>34</v>
      </c>
      <c r="E847" s="21" t="s">
        <v>38</v>
      </c>
      <c r="F847" s="22">
        <v>0.008402777777777778</v>
      </c>
      <c r="G847" s="21" t="s">
        <v>33</v>
      </c>
      <c r="H847" s="24"/>
      <c r="I847" s="25"/>
      <c r="J847" s="26"/>
      <c r="K847" s="21"/>
      <c r="L847" s="27">
        <v>46157.0</v>
      </c>
      <c r="M847" s="28">
        <v>0.027777777777777776</v>
      </c>
      <c r="N847" s="29" t="s">
        <v>69</v>
      </c>
      <c r="O847" s="29" t="s">
        <v>35</v>
      </c>
      <c r="P847" s="34" t="s">
        <v>36</v>
      </c>
      <c r="Q847" s="34">
        <v>1.2021342E7</v>
      </c>
      <c r="R847" s="35">
        <v>46157.0</v>
      </c>
      <c r="S847" s="32" t="s">
        <v>29</v>
      </c>
      <c r="T847" s="33"/>
      <c r="U847" s="33"/>
    </row>
    <row r="848" ht="14.25" customHeight="1">
      <c r="A848" s="20">
        <v>46156.0</v>
      </c>
      <c r="B848" s="20">
        <v>46156.0</v>
      </c>
      <c r="C848" s="20" t="s">
        <v>25</v>
      </c>
      <c r="D848" s="21" t="s">
        <v>34</v>
      </c>
      <c r="E848" s="21" t="s">
        <v>40</v>
      </c>
      <c r="F848" s="22">
        <v>0.019467592592592592</v>
      </c>
      <c r="G848" s="21" t="s">
        <v>33</v>
      </c>
      <c r="H848" s="24"/>
      <c r="I848" s="25"/>
      <c r="J848" s="26"/>
      <c r="K848" s="21"/>
      <c r="L848" s="27">
        <v>46157.0</v>
      </c>
      <c r="M848" s="28">
        <v>0.059027777777777776</v>
      </c>
      <c r="N848" s="29" t="s">
        <v>59</v>
      </c>
      <c r="O848" s="29" t="s">
        <v>35</v>
      </c>
      <c r="P848" s="34" t="s">
        <v>36</v>
      </c>
      <c r="Q848" s="34" t="s">
        <v>992</v>
      </c>
      <c r="R848" s="35">
        <v>46157.0</v>
      </c>
      <c r="S848" s="32" t="s">
        <v>29</v>
      </c>
      <c r="T848" s="33"/>
      <c r="U848" s="33"/>
    </row>
    <row r="849" ht="16.5" customHeight="1">
      <c r="A849" s="20">
        <v>46156.0</v>
      </c>
      <c r="B849" s="20">
        <v>46156.0</v>
      </c>
      <c r="C849" s="20"/>
      <c r="D849" s="21"/>
      <c r="E849" s="21" t="s">
        <v>43</v>
      </c>
      <c r="F849" s="22">
        <v>0.01783564814814815</v>
      </c>
      <c r="G849" s="21" t="s">
        <v>33</v>
      </c>
      <c r="H849" s="24"/>
      <c r="I849" s="25"/>
      <c r="J849" s="26"/>
      <c r="K849" s="21"/>
      <c r="L849" s="27">
        <v>46157.0</v>
      </c>
      <c r="M849" s="28">
        <v>0.041666666666666664</v>
      </c>
      <c r="N849" s="29" t="s">
        <v>34</v>
      </c>
      <c r="O849" s="29" t="s">
        <v>35</v>
      </c>
      <c r="P849" s="34" t="s">
        <v>28</v>
      </c>
      <c r="Q849" s="34" t="s">
        <v>28</v>
      </c>
      <c r="R849" s="35" t="s">
        <v>28</v>
      </c>
      <c r="S849" s="32" t="s">
        <v>29</v>
      </c>
      <c r="T849" s="33"/>
      <c r="U849" s="33"/>
    </row>
    <row r="850" ht="15.75" customHeight="1">
      <c r="A850" s="36">
        <v>46157.0</v>
      </c>
      <c r="B850" s="36">
        <v>46157.0</v>
      </c>
      <c r="C850" s="36" t="s">
        <v>25</v>
      </c>
      <c r="D850" s="37" t="s">
        <v>49</v>
      </c>
      <c r="E850" s="37" t="s">
        <v>26</v>
      </c>
      <c r="F850" s="38">
        <v>0.10025462962962962</v>
      </c>
      <c r="G850" s="37" t="s">
        <v>33</v>
      </c>
      <c r="H850" s="39" t="s">
        <v>993</v>
      </c>
      <c r="I850" s="40" t="s">
        <v>178</v>
      </c>
      <c r="J850" s="41">
        <v>46157.61736111111</v>
      </c>
      <c r="K850" s="37" t="s">
        <v>993</v>
      </c>
      <c r="L850" s="42">
        <v>46160.0</v>
      </c>
      <c r="M850" s="43">
        <v>0.1875</v>
      </c>
      <c r="N850" s="44" t="s">
        <v>31</v>
      </c>
      <c r="O850" s="44" t="s">
        <v>35</v>
      </c>
      <c r="P850" s="45" t="s">
        <v>36</v>
      </c>
      <c r="Q850" s="138" t="s">
        <v>994</v>
      </c>
      <c r="R850" s="46">
        <v>46162.0</v>
      </c>
      <c r="S850" s="54" t="s">
        <v>29</v>
      </c>
      <c r="T850" s="33"/>
      <c r="U850" s="33"/>
    </row>
    <row r="851" ht="15.0" customHeight="1">
      <c r="A851" s="20">
        <v>46157.0</v>
      </c>
      <c r="B851" s="20">
        <v>46157.0</v>
      </c>
      <c r="C851" s="20" t="s">
        <v>25</v>
      </c>
      <c r="D851" s="21" t="s">
        <v>57</v>
      </c>
      <c r="E851" s="21" t="s">
        <v>30</v>
      </c>
      <c r="F851" s="22">
        <v>0.005648148148148148</v>
      </c>
      <c r="G851" s="21" t="s">
        <v>33</v>
      </c>
      <c r="H851" s="24"/>
      <c r="I851" s="25"/>
      <c r="J851" s="26"/>
      <c r="K851" s="21"/>
      <c r="L851" s="27">
        <v>46157.0</v>
      </c>
      <c r="M851" s="28">
        <v>0.013888888888888888</v>
      </c>
      <c r="N851" s="29" t="s">
        <v>57</v>
      </c>
      <c r="O851" s="29" t="s">
        <v>35</v>
      </c>
      <c r="P851" s="34" t="s">
        <v>36</v>
      </c>
      <c r="Q851" s="34" t="s">
        <v>995</v>
      </c>
      <c r="R851" s="46">
        <v>46161.0</v>
      </c>
      <c r="S851" s="32" t="s">
        <v>29</v>
      </c>
      <c r="T851" s="33"/>
      <c r="U851" s="33"/>
    </row>
    <row r="852" ht="15.75" customHeight="1">
      <c r="A852" s="20">
        <v>46157.0</v>
      </c>
      <c r="B852" s="20">
        <v>46157.0</v>
      </c>
      <c r="C852" s="20" t="s">
        <v>25</v>
      </c>
      <c r="D852" s="21" t="s">
        <v>69</v>
      </c>
      <c r="E852" s="21" t="s">
        <v>32</v>
      </c>
      <c r="F852" s="22">
        <v>0.04743055555555555</v>
      </c>
      <c r="G852" s="21" t="s">
        <v>33</v>
      </c>
      <c r="H852" s="108"/>
      <c r="I852" s="25"/>
      <c r="J852" s="26"/>
      <c r="K852" s="21"/>
      <c r="L852" s="27">
        <v>46158.0</v>
      </c>
      <c r="M852" s="28">
        <v>0.11805555555555555</v>
      </c>
      <c r="N852" s="29" t="s">
        <v>59</v>
      </c>
      <c r="O852" s="29" t="s">
        <v>35</v>
      </c>
      <c r="P852" s="34" t="s">
        <v>36</v>
      </c>
      <c r="Q852" s="34" t="s">
        <v>996</v>
      </c>
      <c r="R852" s="46">
        <v>46161.0</v>
      </c>
      <c r="S852" s="32" t="s">
        <v>29</v>
      </c>
      <c r="T852" s="33"/>
      <c r="U852" s="33"/>
    </row>
    <row r="853" ht="15.75" customHeight="1">
      <c r="A853" s="20">
        <v>46157.0</v>
      </c>
      <c r="B853" s="20">
        <v>46157.0</v>
      </c>
      <c r="C853" s="20" t="s">
        <v>25</v>
      </c>
      <c r="D853" s="21" t="s">
        <v>34</v>
      </c>
      <c r="E853" s="21" t="s">
        <v>38</v>
      </c>
      <c r="F853" s="22">
        <v>0.0090625</v>
      </c>
      <c r="G853" s="21" t="s">
        <v>33</v>
      </c>
      <c r="H853" s="108"/>
      <c r="I853" s="25"/>
      <c r="J853" s="26"/>
      <c r="K853" s="21"/>
      <c r="L853" s="27">
        <v>46160.0</v>
      </c>
      <c r="M853" s="28">
        <v>0.022916666666666665</v>
      </c>
      <c r="N853" s="29" t="s">
        <v>49</v>
      </c>
      <c r="O853" s="29" t="s">
        <v>35</v>
      </c>
      <c r="P853" s="34" t="s">
        <v>36</v>
      </c>
      <c r="Q853" s="34">
        <v>1.2021343E7</v>
      </c>
      <c r="R853" s="46">
        <v>46161.0</v>
      </c>
      <c r="S853" s="32" t="s">
        <v>29</v>
      </c>
      <c r="T853" s="33"/>
      <c r="U853" s="33"/>
    </row>
    <row r="854" ht="15.75" customHeight="1">
      <c r="A854" s="20">
        <v>46157.0</v>
      </c>
      <c r="B854" s="20">
        <v>46157.0</v>
      </c>
      <c r="C854" s="20" t="s">
        <v>25</v>
      </c>
      <c r="D854" s="21" t="s">
        <v>34</v>
      </c>
      <c r="E854" s="21" t="s">
        <v>40</v>
      </c>
      <c r="F854" s="22">
        <v>0.0196875</v>
      </c>
      <c r="G854" s="21" t="s">
        <v>33</v>
      </c>
      <c r="H854" s="24"/>
      <c r="I854" s="25"/>
      <c r="J854" s="26"/>
      <c r="K854" s="21"/>
      <c r="L854" s="27">
        <v>46160.0</v>
      </c>
      <c r="M854" s="28">
        <v>0.06597222222222222</v>
      </c>
      <c r="N854" s="29" t="s">
        <v>49</v>
      </c>
      <c r="O854" s="29" t="s">
        <v>35</v>
      </c>
      <c r="P854" s="34" t="s">
        <v>36</v>
      </c>
      <c r="Q854" s="34" t="s">
        <v>997</v>
      </c>
      <c r="R854" s="46">
        <v>46161.0</v>
      </c>
      <c r="S854" s="32" t="s">
        <v>29</v>
      </c>
      <c r="T854" s="33"/>
      <c r="U854" s="33"/>
    </row>
    <row r="855" ht="15.75" customHeight="1">
      <c r="A855" s="20">
        <v>46157.0</v>
      </c>
      <c r="B855" s="20">
        <v>46157.0</v>
      </c>
      <c r="C855" s="20"/>
      <c r="D855" s="21"/>
      <c r="E855" s="21" t="s">
        <v>43</v>
      </c>
      <c r="F855" s="22">
        <v>0.015960648148148147</v>
      </c>
      <c r="G855" s="21" t="s">
        <v>33</v>
      </c>
      <c r="H855" s="24"/>
      <c r="I855" s="25"/>
      <c r="J855" s="26"/>
      <c r="K855" s="21"/>
      <c r="L855" s="27">
        <v>46161.0</v>
      </c>
      <c r="M855" s="28">
        <v>0.041666666666666664</v>
      </c>
      <c r="N855" s="29" t="s">
        <v>31</v>
      </c>
      <c r="O855" s="29" t="s">
        <v>35</v>
      </c>
      <c r="P855" s="34" t="s">
        <v>28</v>
      </c>
      <c r="Q855" s="34" t="s">
        <v>28</v>
      </c>
      <c r="R855" s="35" t="s">
        <v>28</v>
      </c>
      <c r="S855" s="32" t="s">
        <v>29</v>
      </c>
      <c r="T855" s="33"/>
      <c r="U855" s="33"/>
    </row>
    <row r="856" ht="15.75" customHeight="1">
      <c r="A856" s="55">
        <v>46158.0</v>
      </c>
      <c r="B856" s="55">
        <v>46158.0</v>
      </c>
      <c r="C856" s="55" t="s">
        <v>998</v>
      </c>
      <c r="D856" s="56" t="s">
        <v>59</v>
      </c>
      <c r="E856" s="56" t="s">
        <v>32</v>
      </c>
      <c r="F856" s="57">
        <v>0.04815972222222222</v>
      </c>
      <c r="G856" s="56" t="s">
        <v>33</v>
      </c>
      <c r="H856" s="24"/>
      <c r="I856" s="25"/>
      <c r="J856" s="26"/>
      <c r="K856" s="21"/>
      <c r="L856" s="27">
        <v>46160.0</v>
      </c>
      <c r="M856" s="28">
        <v>0.11458333333333333</v>
      </c>
      <c r="N856" s="29" t="s">
        <v>34</v>
      </c>
      <c r="O856" s="29" t="s">
        <v>35</v>
      </c>
      <c r="P856" s="34" t="s">
        <v>36</v>
      </c>
      <c r="Q856" s="34" t="s">
        <v>999</v>
      </c>
      <c r="R856" s="35">
        <v>46161.0</v>
      </c>
      <c r="S856" s="32" t="s">
        <v>29</v>
      </c>
      <c r="T856" s="33"/>
      <c r="U856" s="33"/>
    </row>
    <row r="857" ht="15.75" customHeight="1">
      <c r="A857" s="55">
        <v>46158.0</v>
      </c>
      <c r="B857" s="55">
        <v>46158.0</v>
      </c>
      <c r="C857" s="55" t="s">
        <v>25</v>
      </c>
      <c r="D857" s="56" t="s">
        <v>57</v>
      </c>
      <c r="E857" s="56" t="s">
        <v>40</v>
      </c>
      <c r="F857" s="57">
        <v>0.013518518518518518</v>
      </c>
      <c r="G857" s="56" t="s">
        <v>33</v>
      </c>
      <c r="H857" s="24"/>
      <c r="I857" s="25"/>
      <c r="J857" s="26"/>
      <c r="K857" s="21"/>
      <c r="L857" s="27">
        <v>46160.0</v>
      </c>
      <c r="M857" s="28">
        <v>0.041666666666666664</v>
      </c>
      <c r="N857" s="29" t="s">
        <v>57</v>
      </c>
      <c r="O857" s="29" t="s">
        <v>35</v>
      </c>
      <c r="P857" s="34" t="s">
        <v>36</v>
      </c>
      <c r="Q857" s="34" t="s">
        <v>1000</v>
      </c>
      <c r="R857" s="35">
        <v>46161.0</v>
      </c>
      <c r="S857" s="32" t="s">
        <v>29</v>
      </c>
      <c r="T857" s="33"/>
      <c r="U857" s="33"/>
    </row>
    <row r="858" ht="15.75" customHeight="1">
      <c r="A858" s="55">
        <v>46158.0</v>
      </c>
      <c r="B858" s="55">
        <v>46158.0</v>
      </c>
      <c r="C858" s="55"/>
      <c r="D858" s="56"/>
      <c r="E858" s="56" t="s">
        <v>43</v>
      </c>
      <c r="F858" s="57">
        <v>0.017314814814814814</v>
      </c>
      <c r="G858" s="56" t="s">
        <v>33</v>
      </c>
      <c r="H858" s="24"/>
      <c r="I858" s="25"/>
      <c r="J858" s="26"/>
      <c r="K858" s="21"/>
      <c r="L858" s="27">
        <v>46161.0</v>
      </c>
      <c r="M858" s="28">
        <v>0.041666666666666664</v>
      </c>
      <c r="N858" s="29" t="s">
        <v>31</v>
      </c>
      <c r="O858" s="29" t="s">
        <v>35</v>
      </c>
      <c r="P858" s="34" t="s">
        <v>28</v>
      </c>
      <c r="Q858" s="99" t="s">
        <v>28</v>
      </c>
      <c r="R858" s="35" t="s">
        <v>28</v>
      </c>
      <c r="S858" s="32" t="s">
        <v>29</v>
      </c>
      <c r="T858" s="33"/>
      <c r="U858" s="33"/>
    </row>
    <row r="859" ht="15.75" customHeight="1">
      <c r="A859" s="55">
        <v>46158.0</v>
      </c>
      <c r="B859" s="55">
        <v>46158.0</v>
      </c>
      <c r="C859" s="55" t="s">
        <v>25</v>
      </c>
      <c r="D859" s="56" t="s">
        <v>59</v>
      </c>
      <c r="E859" s="56" t="s">
        <v>61</v>
      </c>
      <c r="F859" s="57">
        <v>0.02158564814814815</v>
      </c>
      <c r="G859" s="56" t="s">
        <v>33</v>
      </c>
      <c r="H859" s="146"/>
      <c r="I859" s="25" t="s">
        <v>46</v>
      </c>
      <c r="J859" s="26">
        <v>46160.49513888889</v>
      </c>
      <c r="K859" s="21" t="s">
        <v>1001</v>
      </c>
      <c r="L859" s="27">
        <v>46161.0</v>
      </c>
      <c r="M859" s="28">
        <v>0.06597222222222222</v>
      </c>
      <c r="N859" s="29" t="s">
        <v>59</v>
      </c>
      <c r="O859" s="29" t="s">
        <v>35</v>
      </c>
      <c r="P859" s="34" t="s">
        <v>36</v>
      </c>
      <c r="Q859" s="34" t="s">
        <v>1002</v>
      </c>
      <c r="R859" s="35">
        <v>46162.0</v>
      </c>
      <c r="S859" s="32" t="s">
        <v>29</v>
      </c>
      <c r="T859" s="33"/>
      <c r="U859" s="33"/>
    </row>
    <row r="860" ht="15.75" customHeight="1">
      <c r="A860" s="55">
        <v>46158.0</v>
      </c>
      <c r="B860" s="55">
        <v>46158.0</v>
      </c>
      <c r="C860" s="55" t="s">
        <v>25</v>
      </c>
      <c r="D860" s="56" t="s">
        <v>59</v>
      </c>
      <c r="E860" s="56" t="s">
        <v>62</v>
      </c>
      <c r="F860" s="57">
        <v>0.02158564814814815</v>
      </c>
      <c r="G860" s="56" t="s">
        <v>33</v>
      </c>
      <c r="H860" s="24"/>
      <c r="I860" s="25" t="s">
        <v>46</v>
      </c>
      <c r="J860" s="26">
        <v>46160.47777777778</v>
      </c>
      <c r="K860" s="21" t="s">
        <v>1003</v>
      </c>
      <c r="L860" s="27">
        <v>46161.0</v>
      </c>
      <c r="M860" s="28">
        <v>0.003472222222222222</v>
      </c>
      <c r="N860" s="29" t="s">
        <v>59</v>
      </c>
      <c r="O860" s="29" t="s">
        <v>355</v>
      </c>
      <c r="P860" s="34" t="s">
        <v>36</v>
      </c>
      <c r="Q860" s="136" t="s">
        <v>1004</v>
      </c>
      <c r="R860" s="35">
        <v>46162.0</v>
      </c>
      <c r="S860" s="32" t="s">
        <v>29</v>
      </c>
      <c r="T860" s="33"/>
      <c r="U860" s="33"/>
    </row>
    <row r="861" ht="15.75" customHeight="1">
      <c r="A861" s="55">
        <v>46158.0</v>
      </c>
      <c r="B861" s="55">
        <v>46158.0</v>
      </c>
      <c r="C861" s="55" t="s">
        <v>25</v>
      </c>
      <c r="D861" s="56" t="s">
        <v>39</v>
      </c>
      <c r="E861" s="56" t="s">
        <v>63</v>
      </c>
      <c r="F861" s="57">
        <v>0.021111111111111112</v>
      </c>
      <c r="G861" s="56" t="s">
        <v>33</v>
      </c>
      <c r="H861" s="146" t="s">
        <v>1005</v>
      </c>
      <c r="I861" s="25" t="s">
        <v>46</v>
      </c>
      <c r="J861" s="26">
        <v>46160.618055555555</v>
      </c>
      <c r="K861" s="21" t="s">
        <v>1006</v>
      </c>
      <c r="L861" s="27">
        <v>46163.0</v>
      </c>
      <c r="M861" s="28">
        <v>0.0625</v>
      </c>
      <c r="N861" s="29" t="s">
        <v>31</v>
      </c>
      <c r="O861" s="29" t="s">
        <v>35</v>
      </c>
      <c r="P861" s="34" t="s">
        <v>36</v>
      </c>
      <c r="Q861" s="34" t="s">
        <v>1007</v>
      </c>
      <c r="R861" s="35">
        <v>46163.0</v>
      </c>
      <c r="S861" s="32" t="s">
        <v>29</v>
      </c>
      <c r="T861" s="33"/>
      <c r="U861" s="33"/>
    </row>
    <row r="862" ht="15.75" customHeight="1">
      <c r="A862" s="55">
        <v>46158.0</v>
      </c>
      <c r="B862" s="55">
        <v>46158.0</v>
      </c>
      <c r="C862" s="55"/>
      <c r="D862" s="56"/>
      <c r="E862" s="56" t="s">
        <v>1008</v>
      </c>
      <c r="F862" s="57">
        <v>0.022997685185185184</v>
      </c>
      <c r="G862" s="56" t="s">
        <v>33</v>
      </c>
      <c r="H862" s="146"/>
      <c r="I862" s="25"/>
      <c r="J862" s="26"/>
      <c r="K862" s="21" t="s">
        <v>1009</v>
      </c>
      <c r="L862" s="27">
        <v>46164.0</v>
      </c>
      <c r="M862" s="28">
        <v>0.06597222222222222</v>
      </c>
      <c r="N862" s="29" t="s">
        <v>59</v>
      </c>
      <c r="O862" s="29" t="s">
        <v>35</v>
      </c>
      <c r="P862" s="34" t="s">
        <v>36</v>
      </c>
      <c r="Q862" s="34" t="s">
        <v>1010</v>
      </c>
      <c r="R862" s="35">
        <v>46162.0</v>
      </c>
      <c r="S862" s="32"/>
      <c r="T862" s="33"/>
      <c r="U862" s="33"/>
    </row>
    <row r="863" ht="15.75" customHeight="1">
      <c r="A863" s="60">
        <v>46159.0</v>
      </c>
      <c r="B863" s="60">
        <v>46159.0</v>
      </c>
      <c r="C863" s="60"/>
      <c r="D863" s="61"/>
      <c r="E863" s="61" t="s">
        <v>64</v>
      </c>
      <c r="F863" s="62"/>
      <c r="G863" s="61"/>
      <c r="H863" s="147" t="s">
        <v>1011</v>
      </c>
      <c r="I863" s="25"/>
      <c r="J863" s="26"/>
      <c r="K863" s="21"/>
      <c r="L863" s="27"/>
      <c r="M863" s="28"/>
      <c r="N863" s="29"/>
      <c r="O863" s="29"/>
      <c r="P863" s="34" t="s">
        <v>28</v>
      </c>
      <c r="Q863" s="34" t="s">
        <v>28</v>
      </c>
      <c r="R863" s="35" t="s">
        <v>28</v>
      </c>
      <c r="S863" s="32" t="s">
        <v>29</v>
      </c>
      <c r="T863" s="33"/>
      <c r="U863" s="33"/>
    </row>
    <row r="864" ht="15.75" customHeight="1">
      <c r="A864" s="60">
        <v>46159.0</v>
      </c>
      <c r="B864" s="60">
        <v>46159.0</v>
      </c>
      <c r="C864" s="60" t="s">
        <v>65</v>
      </c>
      <c r="D864" s="61" t="s">
        <v>59</v>
      </c>
      <c r="E864" s="61" t="s">
        <v>66</v>
      </c>
      <c r="F864" s="62">
        <v>0.0209375</v>
      </c>
      <c r="G864" s="61" t="s">
        <v>33</v>
      </c>
      <c r="H864" s="24"/>
      <c r="I864" s="25" t="s">
        <v>46</v>
      </c>
      <c r="J864" s="26">
        <v>46158.631944444445</v>
      </c>
      <c r="K864" s="21" t="s">
        <v>1012</v>
      </c>
      <c r="L864" s="27">
        <v>46161.0</v>
      </c>
      <c r="M864" s="28">
        <v>0.020833333333333332</v>
      </c>
      <c r="N864" s="29" t="s">
        <v>69</v>
      </c>
      <c r="O864" s="29" t="s">
        <v>35</v>
      </c>
      <c r="P864" s="34" t="s">
        <v>36</v>
      </c>
      <c r="Q864" s="34" t="s">
        <v>1013</v>
      </c>
      <c r="R864" s="35">
        <v>46162.0</v>
      </c>
      <c r="S864" s="32" t="s">
        <v>29</v>
      </c>
      <c r="T864" s="33"/>
      <c r="U864" s="33"/>
    </row>
    <row r="865" ht="15.75" customHeight="1">
      <c r="A865" s="36">
        <v>46160.0</v>
      </c>
      <c r="B865" s="36">
        <v>46160.0</v>
      </c>
      <c r="C865" s="36" t="s">
        <v>25</v>
      </c>
      <c r="D865" s="37" t="s">
        <v>49</v>
      </c>
      <c r="E865" s="37" t="s">
        <v>26</v>
      </c>
      <c r="F865" s="38">
        <v>0.10072916666666666</v>
      </c>
      <c r="G865" s="37" t="s">
        <v>33</v>
      </c>
      <c r="H865" s="148"/>
      <c r="I865" s="40"/>
      <c r="J865" s="41"/>
      <c r="K865" s="37"/>
      <c r="L865" s="42">
        <v>46161.0</v>
      </c>
      <c r="M865" s="43">
        <v>0.2638888888888889</v>
      </c>
      <c r="N865" s="44" t="s">
        <v>34</v>
      </c>
      <c r="O865" s="44" t="s">
        <v>35</v>
      </c>
      <c r="P865" s="45" t="s">
        <v>36</v>
      </c>
      <c r="Q865" s="45" t="s">
        <v>1014</v>
      </c>
      <c r="R865" s="46">
        <v>46162.0</v>
      </c>
      <c r="S865" s="54" t="s">
        <v>29</v>
      </c>
      <c r="T865" s="33"/>
      <c r="U865" s="33"/>
    </row>
    <row r="866" ht="15.75" customHeight="1">
      <c r="A866" s="20">
        <v>46160.0</v>
      </c>
      <c r="B866" s="20">
        <v>46160.0</v>
      </c>
      <c r="C866" s="20" t="s">
        <v>25</v>
      </c>
      <c r="D866" s="21" t="s">
        <v>31</v>
      </c>
      <c r="E866" s="21" t="s">
        <v>30</v>
      </c>
      <c r="F866" s="22">
        <v>0.005856481481481482</v>
      </c>
      <c r="G866" s="21" t="s">
        <v>33</v>
      </c>
      <c r="H866" s="149"/>
      <c r="I866" s="25"/>
      <c r="J866" s="26"/>
      <c r="K866" s="21"/>
      <c r="L866" s="27">
        <v>46160.0</v>
      </c>
      <c r="M866" s="28">
        <v>0.017361111111111112</v>
      </c>
      <c r="N866" s="29" t="s">
        <v>31</v>
      </c>
      <c r="O866" s="29" t="s">
        <v>35</v>
      </c>
      <c r="P866" s="34" t="s">
        <v>36</v>
      </c>
      <c r="Q866" s="34" t="s">
        <v>1015</v>
      </c>
      <c r="R866" s="35">
        <v>46162.0</v>
      </c>
      <c r="S866" s="32" t="s">
        <v>29</v>
      </c>
      <c r="T866" s="33"/>
      <c r="U866" s="33"/>
    </row>
    <row r="867" ht="15.75" customHeight="1">
      <c r="A867" s="36">
        <v>46160.0</v>
      </c>
      <c r="B867" s="36">
        <v>46160.0</v>
      </c>
      <c r="C867" s="36" t="s">
        <v>25</v>
      </c>
      <c r="D867" s="37" t="s">
        <v>39</v>
      </c>
      <c r="E867" s="37" t="s">
        <v>32</v>
      </c>
      <c r="F867" s="38">
        <v>0.047372685185185184</v>
      </c>
      <c r="G867" s="37" t="s">
        <v>33</v>
      </c>
      <c r="H867" s="150" t="s">
        <v>1016</v>
      </c>
      <c r="I867" s="40" t="s">
        <v>46</v>
      </c>
      <c r="J867" s="41">
        <v>46191.0</v>
      </c>
      <c r="K867" s="37" t="s">
        <v>1017</v>
      </c>
      <c r="L867" s="42">
        <v>46161.0</v>
      </c>
      <c r="M867" s="43">
        <v>0.12152777777777778</v>
      </c>
      <c r="N867" s="44" t="s">
        <v>57</v>
      </c>
      <c r="O867" s="44" t="s">
        <v>35</v>
      </c>
      <c r="P867" s="45" t="s">
        <v>36</v>
      </c>
      <c r="Q867" s="45" t="s">
        <v>1018</v>
      </c>
      <c r="R867" s="35">
        <v>46162.0</v>
      </c>
      <c r="S867" s="54" t="s">
        <v>29</v>
      </c>
      <c r="T867" s="33"/>
      <c r="U867" s="33"/>
    </row>
    <row r="868" ht="15.75" customHeight="1">
      <c r="A868" s="20">
        <v>46160.0</v>
      </c>
      <c r="B868" s="20">
        <v>46160.0</v>
      </c>
      <c r="C868" s="20"/>
      <c r="D868" s="21"/>
      <c r="E868" s="21" t="s">
        <v>38</v>
      </c>
      <c r="F868" s="22"/>
      <c r="G868" s="23" t="s">
        <v>27</v>
      </c>
      <c r="H868" s="149"/>
      <c r="I868" s="25"/>
      <c r="J868" s="26"/>
      <c r="K868" s="21"/>
      <c r="L868" s="27"/>
      <c r="M868" s="28"/>
      <c r="N868" s="29"/>
      <c r="O868" s="29"/>
      <c r="P868" s="34" t="s">
        <v>28</v>
      </c>
      <c r="Q868" s="99" t="s">
        <v>28</v>
      </c>
      <c r="R868" s="35" t="s">
        <v>28</v>
      </c>
      <c r="S868" s="32" t="s">
        <v>29</v>
      </c>
      <c r="T868" s="33"/>
      <c r="U868" s="33"/>
    </row>
    <row r="869" ht="15.75" customHeight="1">
      <c r="A869" s="20">
        <v>46160.0</v>
      </c>
      <c r="B869" s="20">
        <v>46160.0</v>
      </c>
      <c r="C869" s="20" t="s">
        <v>25</v>
      </c>
      <c r="D869" s="21" t="s">
        <v>39</v>
      </c>
      <c r="E869" s="21" t="s">
        <v>40</v>
      </c>
      <c r="F869" s="22">
        <v>0.011284722222222222</v>
      </c>
      <c r="G869" s="21" t="s">
        <v>33</v>
      </c>
      <c r="H869" s="149"/>
      <c r="I869" s="25"/>
      <c r="J869" s="26"/>
      <c r="K869" s="21"/>
      <c r="L869" s="27">
        <v>46160.0</v>
      </c>
      <c r="M869" s="28">
        <v>0.052083333333333336</v>
      </c>
      <c r="N869" s="29" t="s">
        <v>49</v>
      </c>
      <c r="O869" s="29" t="s">
        <v>35</v>
      </c>
      <c r="P869" s="34" t="s">
        <v>36</v>
      </c>
      <c r="Q869" s="34" t="s">
        <v>1019</v>
      </c>
      <c r="R869" s="35">
        <v>46162.0</v>
      </c>
      <c r="S869" s="32" t="s">
        <v>29</v>
      </c>
      <c r="T869" s="33"/>
      <c r="U869" s="33"/>
    </row>
    <row r="870" ht="15.75" customHeight="1">
      <c r="A870" s="20">
        <v>46160.0</v>
      </c>
      <c r="B870" s="20">
        <v>46160.0</v>
      </c>
      <c r="C870" s="20"/>
      <c r="D870" s="21"/>
      <c r="E870" s="21" t="s">
        <v>43</v>
      </c>
      <c r="F870" s="22">
        <v>0.018738425925925926</v>
      </c>
      <c r="G870" s="21" t="s">
        <v>33</v>
      </c>
      <c r="H870" s="149"/>
      <c r="I870" s="25"/>
      <c r="J870" s="26"/>
      <c r="K870" s="21"/>
      <c r="L870" s="27">
        <v>46162.0</v>
      </c>
      <c r="M870" s="28">
        <v>0.041666666666666664</v>
      </c>
      <c r="N870" s="29" t="s">
        <v>31</v>
      </c>
      <c r="O870" s="29" t="s">
        <v>35</v>
      </c>
      <c r="P870" s="34" t="s">
        <v>28</v>
      </c>
      <c r="Q870" s="34" t="s">
        <v>28</v>
      </c>
      <c r="R870" s="35" t="s">
        <v>28</v>
      </c>
      <c r="S870" s="32" t="s">
        <v>29</v>
      </c>
      <c r="T870" s="33"/>
      <c r="U870" s="33"/>
    </row>
    <row r="871" ht="15.75" customHeight="1">
      <c r="A871" s="20">
        <v>46160.0</v>
      </c>
      <c r="B871" s="20">
        <v>46160.0</v>
      </c>
      <c r="C871" s="20" t="s">
        <v>25</v>
      </c>
      <c r="D871" s="21" t="s">
        <v>39</v>
      </c>
      <c r="E871" s="21" t="s">
        <v>87</v>
      </c>
      <c r="F871" s="22">
        <v>0.008136574074074074</v>
      </c>
      <c r="G871" s="21" t="s">
        <v>88</v>
      </c>
      <c r="H871" s="149" t="s">
        <v>1020</v>
      </c>
      <c r="I871" s="25" t="s">
        <v>46</v>
      </c>
      <c r="J871" s="26">
        <v>46160.0</v>
      </c>
      <c r="K871" s="21" t="s">
        <v>1021</v>
      </c>
      <c r="L871" s="27"/>
      <c r="M871" s="28"/>
      <c r="N871" s="29"/>
      <c r="O871" s="29"/>
      <c r="P871" s="34" t="s">
        <v>53</v>
      </c>
      <c r="Q871" s="34">
        <v>1.2059924E7</v>
      </c>
      <c r="R871" s="35">
        <v>46170.0</v>
      </c>
      <c r="S871" s="32"/>
      <c r="T871" s="33"/>
      <c r="U871" s="33"/>
    </row>
    <row r="872" ht="15.75" customHeight="1">
      <c r="A872" s="20">
        <v>46160.0</v>
      </c>
      <c r="B872" s="20">
        <v>46160.0</v>
      </c>
      <c r="C872" s="20" t="s">
        <v>25</v>
      </c>
      <c r="D872" s="21" t="s">
        <v>39</v>
      </c>
      <c r="E872" s="21" t="s">
        <v>87</v>
      </c>
      <c r="F872" s="22">
        <v>0.0014467592592592592</v>
      </c>
      <c r="G872" s="21" t="s">
        <v>88</v>
      </c>
      <c r="H872" s="80" t="s">
        <v>1022</v>
      </c>
      <c r="I872" s="25" t="s">
        <v>46</v>
      </c>
      <c r="J872" s="26">
        <v>46160.0</v>
      </c>
      <c r="K872" s="21" t="s">
        <v>1023</v>
      </c>
      <c r="L872" s="27">
        <v>46213.0</v>
      </c>
      <c r="M872" s="28">
        <v>0.003472222222222222</v>
      </c>
      <c r="N872" s="29" t="s">
        <v>34</v>
      </c>
      <c r="O872" s="29" t="s">
        <v>35</v>
      </c>
      <c r="P872" s="34" t="s">
        <v>53</v>
      </c>
      <c r="Q872" s="34">
        <v>1.2059925E7</v>
      </c>
      <c r="R872" s="35">
        <v>46170.0</v>
      </c>
      <c r="S872" s="32"/>
      <c r="T872" s="33"/>
      <c r="U872" s="33"/>
    </row>
    <row r="873" ht="15.75" customHeight="1">
      <c r="A873" s="20">
        <v>46161.0</v>
      </c>
      <c r="B873" s="20">
        <v>46161.0</v>
      </c>
      <c r="C873" s="20" t="s">
        <v>25</v>
      </c>
      <c r="D873" s="21" t="s">
        <v>49</v>
      </c>
      <c r="E873" s="21" t="s">
        <v>26</v>
      </c>
      <c r="F873" s="22">
        <v>0.10107638888888888</v>
      </c>
      <c r="G873" s="21" t="s">
        <v>33</v>
      </c>
      <c r="H873" s="149"/>
      <c r="I873" s="25"/>
      <c r="J873" s="26"/>
      <c r="K873" s="21"/>
      <c r="L873" s="27">
        <v>46162.0</v>
      </c>
      <c r="M873" s="28">
        <v>0.19444444444444445</v>
      </c>
      <c r="N873" s="29" t="s">
        <v>59</v>
      </c>
      <c r="O873" s="29" t="s">
        <v>35</v>
      </c>
      <c r="P873" s="34" t="s">
        <v>36</v>
      </c>
      <c r="Q873" s="34" t="s">
        <v>1024</v>
      </c>
      <c r="R873" s="35">
        <v>46162.0</v>
      </c>
      <c r="S873" s="32" t="s">
        <v>29</v>
      </c>
      <c r="T873" s="33"/>
      <c r="U873" s="33"/>
    </row>
    <row r="874" ht="15.75" customHeight="1">
      <c r="A874" s="20">
        <v>46161.0</v>
      </c>
      <c r="B874" s="20">
        <v>46161.0</v>
      </c>
      <c r="C874" s="20" t="s">
        <v>25</v>
      </c>
      <c r="D874" s="21" t="s">
        <v>34</v>
      </c>
      <c r="E874" s="21" t="s">
        <v>30</v>
      </c>
      <c r="F874" s="22">
        <v>0.0035185185185185185</v>
      </c>
      <c r="G874" s="21" t="s">
        <v>33</v>
      </c>
      <c r="H874" s="148"/>
      <c r="I874" s="25"/>
      <c r="J874" s="26"/>
      <c r="K874" s="21"/>
      <c r="L874" s="27">
        <v>46161.0</v>
      </c>
      <c r="M874" s="28">
        <v>0.009027777777777777</v>
      </c>
      <c r="N874" s="29" t="s">
        <v>34</v>
      </c>
      <c r="O874" s="29" t="s">
        <v>35</v>
      </c>
      <c r="P874" s="34" t="s">
        <v>36</v>
      </c>
      <c r="Q874" s="34" t="s">
        <v>1025</v>
      </c>
      <c r="R874" s="35">
        <v>46162.0</v>
      </c>
      <c r="S874" s="32" t="s">
        <v>29</v>
      </c>
      <c r="T874" s="33"/>
      <c r="U874" s="33"/>
    </row>
    <row r="875" ht="15.75" customHeight="1">
      <c r="A875" s="20">
        <v>46161.0</v>
      </c>
      <c r="B875" s="20">
        <v>46161.0</v>
      </c>
      <c r="C875" s="20" t="s">
        <v>25</v>
      </c>
      <c r="D875" s="21" t="s">
        <v>69</v>
      </c>
      <c r="E875" s="21" t="s">
        <v>32</v>
      </c>
      <c r="F875" s="22">
        <v>0.048483796296296296</v>
      </c>
      <c r="G875" s="21" t="s">
        <v>33</v>
      </c>
      <c r="H875" s="149"/>
      <c r="I875" s="25"/>
      <c r="J875" s="26"/>
      <c r="K875" s="21"/>
      <c r="L875" s="27">
        <v>46162.0</v>
      </c>
      <c r="M875" s="28">
        <v>0.1111111111111111</v>
      </c>
      <c r="N875" s="29" t="s">
        <v>57</v>
      </c>
      <c r="O875" s="29" t="s">
        <v>35</v>
      </c>
      <c r="P875" s="34" t="s">
        <v>36</v>
      </c>
      <c r="Q875" s="34" t="s">
        <v>1026</v>
      </c>
      <c r="R875" s="35">
        <v>46162.0</v>
      </c>
      <c r="S875" s="32" t="s">
        <v>29</v>
      </c>
      <c r="T875" s="33"/>
      <c r="U875" s="33"/>
    </row>
    <row r="876" ht="15.75" customHeight="1">
      <c r="A876" s="20">
        <v>46161.0</v>
      </c>
      <c r="B876" s="20">
        <v>46161.0</v>
      </c>
      <c r="C876" s="20" t="s">
        <v>25</v>
      </c>
      <c r="D876" s="21" t="s">
        <v>39</v>
      </c>
      <c r="E876" s="21" t="s">
        <v>38</v>
      </c>
      <c r="F876" s="22">
        <v>0.009074074074074075</v>
      </c>
      <c r="G876" s="21" t="s">
        <v>33</v>
      </c>
      <c r="H876" s="149"/>
      <c r="I876" s="25"/>
      <c r="J876" s="26"/>
      <c r="K876" s="21"/>
      <c r="L876" s="27">
        <v>46162.0</v>
      </c>
      <c r="M876" s="28">
        <v>0.041666666666666664</v>
      </c>
      <c r="N876" s="29" t="s">
        <v>69</v>
      </c>
      <c r="O876" s="29" t="s">
        <v>35</v>
      </c>
      <c r="P876" s="34" t="s">
        <v>36</v>
      </c>
      <c r="Q876" s="34">
        <v>1.2021345E7</v>
      </c>
      <c r="R876" s="35">
        <v>46162.0</v>
      </c>
      <c r="S876" s="32" t="s">
        <v>29</v>
      </c>
      <c r="T876" s="33"/>
      <c r="U876" s="33"/>
    </row>
    <row r="877" ht="15.75" customHeight="1">
      <c r="A877" s="20">
        <v>46161.0</v>
      </c>
      <c r="B877" s="20">
        <v>46161.0</v>
      </c>
      <c r="C877" s="20" t="s">
        <v>25</v>
      </c>
      <c r="D877" s="21" t="s">
        <v>34</v>
      </c>
      <c r="E877" s="21" t="s">
        <v>40</v>
      </c>
      <c r="F877" s="22">
        <v>0.01888888888888889</v>
      </c>
      <c r="G877" s="21" t="s">
        <v>33</v>
      </c>
      <c r="H877" s="149"/>
      <c r="I877" s="25"/>
      <c r="J877" s="26"/>
      <c r="K877" s="21"/>
      <c r="L877" s="27">
        <v>46162.0</v>
      </c>
      <c r="M877" s="28">
        <v>0.05555555555555555</v>
      </c>
      <c r="N877" s="29" t="s">
        <v>49</v>
      </c>
      <c r="O877" s="29" t="s">
        <v>35</v>
      </c>
      <c r="P877" s="34" t="s">
        <v>36</v>
      </c>
      <c r="Q877" s="136" t="s">
        <v>1027</v>
      </c>
      <c r="R877" s="35">
        <v>46162.0</v>
      </c>
      <c r="S877" s="32" t="s">
        <v>29</v>
      </c>
      <c r="T877" s="33"/>
      <c r="U877" s="33"/>
    </row>
    <row r="878" ht="15.75" customHeight="1">
      <c r="A878" s="20">
        <v>46161.0</v>
      </c>
      <c r="B878" s="20">
        <v>46161.0</v>
      </c>
      <c r="C878" s="20"/>
      <c r="D878" s="21"/>
      <c r="E878" s="21" t="s">
        <v>43</v>
      </c>
      <c r="F878" s="22"/>
      <c r="G878" s="21"/>
      <c r="H878" s="149"/>
      <c r="I878" s="25"/>
      <c r="J878" s="26"/>
      <c r="K878" s="21"/>
      <c r="L878" s="27">
        <v>46163.0</v>
      </c>
      <c r="M878" s="28">
        <v>0.03819444444444445</v>
      </c>
      <c r="N878" s="29" t="s">
        <v>59</v>
      </c>
      <c r="O878" s="29" t="s">
        <v>35</v>
      </c>
      <c r="P878" s="30" t="s">
        <v>28</v>
      </c>
      <c r="Q878" s="30" t="s">
        <v>28</v>
      </c>
      <c r="R878" s="31" t="s">
        <v>28</v>
      </c>
      <c r="S878" s="32" t="s">
        <v>29</v>
      </c>
      <c r="T878" s="33"/>
      <c r="U878" s="33"/>
    </row>
    <row r="879" ht="15.75" customHeight="1">
      <c r="A879" s="20">
        <v>46162.0</v>
      </c>
      <c r="B879" s="20">
        <v>46162.0</v>
      </c>
      <c r="C879" s="20" t="s">
        <v>25</v>
      </c>
      <c r="D879" s="21" t="s">
        <v>49</v>
      </c>
      <c r="E879" s="21" t="s">
        <v>26</v>
      </c>
      <c r="F879" s="22">
        <v>0.10013888888888889</v>
      </c>
      <c r="G879" s="21" t="s">
        <v>33</v>
      </c>
      <c r="H879" s="149"/>
      <c r="I879" s="25"/>
      <c r="J879" s="26"/>
      <c r="K879" s="21"/>
      <c r="L879" s="27">
        <v>46163.0</v>
      </c>
      <c r="M879" s="28">
        <v>0.24513888888888888</v>
      </c>
      <c r="N879" s="29" t="s">
        <v>39</v>
      </c>
      <c r="O879" s="29" t="s">
        <v>35</v>
      </c>
      <c r="P879" s="34" t="s">
        <v>36</v>
      </c>
      <c r="Q879" s="34" t="s">
        <v>1028</v>
      </c>
      <c r="R879" s="46">
        <v>46163.0</v>
      </c>
      <c r="S879" s="32" t="s">
        <v>29</v>
      </c>
      <c r="T879" s="33"/>
      <c r="U879" s="33"/>
    </row>
    <row r="880" ht="15.75" customHeight="1">
      <c r="A880" s="20">
        <v>46162.0</v>
      </c>
      <c r="B880" s="20">
        <v>46162.0</v>
      </c>
      <c r="C880" s="20" t="s">
        <v>25</v>
      </c>
      <c r="D880" s="21" t="s">
        <v>59</v>
      </c>
      <c r="E880" s="21" t="s">
        <v>30</v>
      </c>
      <c r="F880" s="22">
        <v>0.005636574074074074</v>
      </c>
      <c r="G880" s="21" t="s">
        <v>33</v>
      </c>
      <c r="H880" s="149"/>
      <c r="I880" s="25"/>
      <c r="J880" s="26"/>
      <c r="K880" s="21"/>
      <c r="L880" s="27">
        <v>46162.0</v>
      </c>
      <c r="M880" s="28">
        <v>0.013888888888888888</v>
      </c>
      <c r="N880" s="29" t="s">
        <v>59</v>
      </c>
      <c r="O880" s="29" t="s">
        <v>35</v>
      </c>
      <c r="P880" s="34" t="s">
        <v>36</v>
      </c>
      <c r="Q880" s="34" t="s">
        <v>1029</v>
      </c>
      <c r="R880" s="35">
        <v>46163.0</v>
      </c>
      <c r="S880" s="32" t="s">
        <v>29</v>
      </c>
      <c r="T880" s="33"/>
      <c r="U880" s="33"/>
    </row>
    <row r="881" ht="15.75" customHeight="1">
      <c r="A881" s="20">
        <v>46162.0</v>
      </c>
      <c r="B881" s="20">
        <v>46162.0</v>
      </c>
      <c r="C881" s="20" t="s">
        <v>25</v>
      </c>
      <c r="D881" s="21" t="s">
        <v>69</v>
      </c>
      <c r="E881" s="21" t="s">
        <v>32</v>
      </c>
      <c r="F881" s="22">
        <v>0.0484375</v>
      </c>
      <c r="G881" s="21" t="s">
        <v>33</v>
      </c>
      <c r="H881" s="149"/>
      <c r="I881" s="25"/>
      <c r="J881" s="26"/>
      <c r="K881" s="21"/>
      <c r="L881" s="27">
        <v>46163.0</v>
      </c>
      <c r="M881" s="28">
        <v>0.09027777777777778</v>
      </c>
      <c r="N881" s="29" t="s">
        <v>57</v>
      </c>
      <c r="O881" s="29" t="s">
        <v>35</v>
      </c>
      <c r="P881" s="34" t="s">
        <v>36</v>
      </c>
      <c r="Q881" s="34" t="s">
        <v>1030</v>
      </c>
      <c r="R881" s="35">
        <v>46163.0</v>
      </c>
      <c r="S881" s="32" t="s">
        <v>29</v>
      </c>
      <c r="T881" s="33"/>
      <c r="U881" s="33"/>
    </row>
    <row r="882" ht="15.75" customHeight="1">
      <c r="A882" s="20">
        <v>46162.0</v>
      </c>
      <c r="B882" s="20">
        <v>46162.0</v>
      </c>
      <c r="C882" s="20" t="s">
        <v>25</v>
      </c>
      <c r="D882" s="21" t="s">
        <v>39</v>
      </c>
      <c r="E882" s="21" t="s">
        <v>38</v>
      </c>
      <c r="F882" s="22">
        <v>0.009050925925925926</v>
      </c>
      <c r="G882" s="21" t="s">
        <v>33</v>
      </c>
      <c r="H882" s="149"/>
      <c r="I882" s="25"/>
      <c r="J882" s="26"/>
      <c r="K882" s="21"/>
      <c r="L882" s="27">
        <v>46163.0</v>
      </c>
      <c r="M882" s="28">
        <v>0.041666666666666664</v>
      </c>
      <c r="N882" s="29" t="s">
        <v>69</v>
      </c>
      <c r="O882" s="29" t="s">
        <v>35</v>
      </c>
      <c r="P882" s="34" t="s">
        <v>36</v>
      </c>
      <c r="Q882" s="140">
        <v>1.2021346E7</v>
      </c>
      <c r="R882" s="35">
        <v>46164.0</v>
      </c>
      <c r="S882" s="32" t="s">
        <v>29</v>
      </c>
      <c r="T882" s="33"/>
      <c r="U882" s="33"/>
    </row>
    <row r="883" ht="15.75" customHeight="1">
      <c r="A883" s="20">
        <v>46162.0</v>
      </c>
      <c r="B883" s="20">
        <v>46162.0</v>
      </c>
      <c r="C883" s="20" t="s">
        <v>25</v>
      </c>
      <c r="D883" s="21" t="s">
        <v>39</v>
      </c>
      <c r="E883" s="21" t="s">
        <v>40</v>
      </c>
      <c r="F883" s="22">
        <v>0.020243055555555556</v>
      </c>
      <c r="G883" s="21" t="s">
        <v>33</v>
      </c>
      <c r="H883" s="149"/>
      <c r="I883" s="25"/>
      <c r="J883" s="26"/>
      <c r="K883" s="21"/>
      <c r="L883" s="27">
        <v>46163.0</v>
      </c>
      <c r="M883" s="28">
        <v>0.06666666666666667</v>
      </c>
      <c r="N883" s="29" t="s">
        <v>49</v>
      </c>
      <c r="O883" s="29" t="s">
        <v>35</v>
      </c>
      <c r="P883" s="34" t="s">
        <v>36</v>
      </c>
      <c r="Q883" s="34" t="s">
        <v>1031</v>
      </c>
      <c r="R883" s="35">
        <v>46164.0</v>
      </c>
      <c r="S883" s="32" t="s">
        <v>29</v>
      </c>
      <c r="T883" s="33"/>
      <c r="U883" s="33"/>
    </row>
    <row r="884" ht="15.75" customHeight="1">
      <c r="A884" s="20">
        <v>46162.0</v>
      </c>
      <c r="B884" s="20">
        <v>46162.0</v>
      </c>
      <c r="C884" s="20"/>
      <c r="D884" s="21"/>
      <c r="E884" s="21" t="s">
        <v>43</v>
      </c>
      <c r="F884" s="22">
        <v>0.015694444444444445</v>
      </c>
      <c r="G884" s="21" t="s">
        <v>33</v>
      </c>
      <c r="H884" s="149"/>
      <c r="I884" s="25"/>
      <c r="J884" s="26"/>
      <c r="K884" s="21"/>
      <c r="L884" s="27">
        <v>46163.0</v>
      </c>
      <c r="M884" s="28">
        <v>0.041666666666666664</v>
      </c>
      <c r="N884" s="29" t="s">
        <v>59</v>
      </c>
      <c r="O884" s="29" t="s">
        <v>35</v>
      </c>
      <c r="P884" s="34" t="s">
        <v>28</v>
      </c>
      <c r="Q884" s="34" t="s">
        <v>28</v>
      </c>
      <c r="R884" s="35" t="s">
        <v>28</v>
      </c>
      <c r="S884" s="32"/>
      <c r="T884" s="33"/>
      <c r="U884" s="33"/>
    </row>
    <row r="885" ht="15.75" customHeight="1">
      <c r="A885" s="20">
        <v>46162.0</v>
      </c>
      <c r="B885" s="20">
        <v>46162.0</v>
      </c>
      <c r="C885" s="20" t="s">
        <v>25</v>
      </c>
      <c r="D885" s="21" t="s">
        <v>39</v>
      </c>
      <c r="E885" s="21" t="s">
        <v>87</v>
      </c>
      <c r="F885" s="22">
        <v>0.0038888888888888888</v>
      </c>
      <c r="G885" s="21" t="s">
        <v>88</v>
      </c>
      <c r="H885" s="80" t="s">
        <v>1032</v>
      </c>
      <c r="I885" s="25" t="s">
        <v>46</v>
      </c>
      <c r="J885" s="26">
        <v>46162.0</v>
      </c>
      <c r="K885" s="21" t="s">
        <v>1033</v>
      </c>
      <c r="L885" s="27"/>
      <c r="M885" s="28"/>
      <c r="N885" s="29"/>
      <c r="O885" s="29"/>
      <c r="P885" s="34" t="s">
        <v>53</v>
      </c>
      <c r="Q885" s="34">
        <v>1.2059926E7</v>
      </c>
      <c r="R885" s="35">
        <v>46170.0</v>
      </c>
      <c r="S885" s="32"/>
      <c r="T885" s="33"/>
      <c r="U885" s="33"/>
    </row>
    <row r="886" ht="15.75" customHeight="1">
      <c r="A886" s="20">
        <v>46162.0</v>
      </c>
      <c r="B886" s="20">
        <v>46162.0</v>
      </c>
      <c r="C886" s="20" t="s">
        <v>25</v>
      </c>
      <c r="D886" s="21" t="s">
        <v>39</v>
      </c>
      <c r="E886" s="21" t="s">
        <v>87</v>
      </c>
      <c r="F886" s="22">
        <v>0.0013541666666666667</v>
      </c>
      <c r="G886" s="21" t="s">
        <v>88</v>
      </c>
      <c r="H886" s="80" t="s">
        <v>1034</v>
      </c>
      <c r="I886" s="25" t="s">
        <v>46</v>
      </c>
      <c r="J886" s="26">
        <v>46162.0</v>
      </c>
      <c r="K886" s="21" t="s">
        <v>1035</v>
      </c>
      <c r="L886" s="27"/>
      <c r="M886" s="28"/>
      <c r="N886" s="29"/>
      <c r="O886" s="29"/>
      <c r="P886" s="34" t="s">
        <v>53</v>
      </c>
      <c r="Q886" s="34">
        <v>1.2059927E7</v>
      </c>
      <c r="R886" s="35">
        <v>46170.0</v>
      </c>
      <c r="S886" s="32"/>
      <c r="T886" s="33"/>
      <c r="U886" s="33"/>
    </row>
    <row r="887" ht="15.75" customHeight="1">
      <c r="A887" s="20">
        <v>46162.0</v>
      </c>
      <c r="B887" s="20">
        <v>46162.0</v>
      </c>
      <c r="C887" s="20" t="s">
        <v>25</v>
      </c>
      <c r="D887" s="21" t="s">
        <v>39</v>
      </c>
      <c r="E887" s="21" t="s">
        <v>87</v>
      </c>
      <c r="F887" s="22">
        <v>0.003287037037037037</v>
      </c>
      <c r="G887" s="21" t="s">
        <v>88</v>
      </c>
      <c r="H887" s="80" t="s">
        <v>1036</v>
      </c>
      <c r="I887" s="25" t="s">
        <v>46</v>
      </c>
      <c r="J887" s="26">
        <v>46162.0</v>
      </c>
      <c r="K887" s="21" t="s">
        <v>1037</v>
      </c>
      <c r="L887" s="27"/>
      <c r="M887" s="28"/>
      <c r="N887" s="29"/>
      <c r="O887" s="29"/>
      <c r="P887" s="34" t="s">
        <v>53</v>
      </c>
      <c r="Q887" s="34">
        <v>1.2059928E7</v>
      </c>
      <c r="R887" s="35">
        <v>46170.0</v>
      </c>
      <c r="S887" s="32"/>
      <c r="T887" s="33"/>
      <c r="U887" s="33"/>
    </row>
    <row r="888" ht="15.75" customHeight="1">
      <c r="A888" s="20">
        <v>46163.0</v>
      </c>
      <c r="B888" s="20">
        <v>46163.0</v>
      </c>
      <c r="C888" s="20" t="s">
        <v>25</v>
      </c>
      <c r="D888" s="21" t="s">
        <v>49</v>
      </c>
      <c r="E888" s="21" t="s">
        <v>26</v>
      </c>
      <c r="F888" s="22">
        <v>0.09875</v>
      </c>
      <c r="G888" s="21" t="s">
        <v>33</v>
      </c>
      <c r="H888" s="80"/>
      <c r="I888" s="25"/>
      <c r="J888" s="26"/>
      <c r="K888" s="21"/>
      <c r="L888" s="27">
        <v>46164.0</v>
      </c>
      <c r="M888" s="28">
        <v>0.20833333333333334</v>
      </c>
      <c r="N888" s="29" t="s">
        <v>57</v>
      </c>
      <c r="O888" s="29" t="s">
        <v>35</v>
      </c>
      <c r="P888" s="34" t="s">
        <v>36</v>
      </c>
      <c r="Q888" s="34" t="s">
        <v>1038</v>
      </c>
      <c r="R888" s="35">
        <v>46164.0</v>
      </c>
      <c r="S888" s="32" t="s">
        <v>29</v>
      </c>
      <c r="T888" s="33"/>
      <c r="U888" s="33"/>
    </row>
    <row r="889" ht="15.75" customHeight="1">
      <c r="A889" s="20">
        <v>46163.0</v>
      </c>
      <c r="B889" s="20">
        <v>46163.0</v>
      </c>
      <c r="C889" s="20" t="s">
        <v>25</v>
      </c>
      <c r="D889" s="21" t="s">
        <v>39</v>
      </c>
      <c r="E889" s="21" t="s">
        <v>30</v>
      </c>
      <c r="F889" s="22">
        <v>0.0052893518518518515</v>
      </c>
      <c r="G889" s="21" t="s">
        <v>33</v>
      </c>
      <c r="H889" s="80"/>
      <c r="I889" s="25"/>
      <c r="J889" s="26"/>
      <c r="K889" s="21"/>
      <c r="L889" s="27">
        <v>46163.0</v>
      </c>
      <c r="M889" s="28">
        <v>0.010416666666666666</v>
      </c>
      <c r="N889" s="29" t="s">
        <v>39</v>
      </c>
      <c r="O889" s="29" t="s">
        <v>35</v>
      </c>
      <c r="P889" s="34" t="s">
        <v>36</v>
      </c>
      <c r="Q889" s="34" t="s">
        <v>1039</v>
      </c>
      <c r="R889" s="35">
        <v>46164.0</v>
      </c>
      <c r="S889" s="32" t="s">
        <v>29</v>
      </c>
      <c r="T889" s="33"/>
      <c r="U889" s="33"/>
    </row>
    <row r="890" ht="15.75" customHeight="1">
      <c r="A890" s="20">
        <v>46163.0</v>
      </c>
      <c r="B890" s="20">
        <v>46163.0</v>
      </c>
      <c r="C890" s="20" t="s">
        <v>25</v>
      </c>
      <c r="D890" s="21" t="s">
        <v>69</v>
      </c>
      <c r="E890" s="21" t="s">
        <v>32</v>
      </c>
      <c r="F890" s="22">
        <v>0.046064814814814815</v>
      </c>
      <c r="G890" s="21" t="s">
        <v>33</v>
      </c>
      <c r="H890" s="80"/>
      <c r="I890" s="25"/>
      <c r="J890" s="26"/>
      <c r="K890" s="21"/>
      <c r="L890" s="27">
        <v>46164.0</v>
      </c>
      <c r="M890" s="28">
        <v>0.125</v>
      </c>
      <c r="N890" s="29" t="s">
        <v>31</v>
      </c>
      <c r="O890" s="29" t="s">
        <v>35</v>
      </c>
      <c r="P890" s="34" t="s">
        <v>36</v>
      </c>
      <c r="Q890" s="34" t="s">
        <v>1040</v>
      </c>
      <c r="R890" s="35">
        <v>46164.0</v>
      </c>
      <c r="S890" s="32" t="s">
        <v>29</v>
      </c>
      <c r="T890" s="33"/>
      <c r="U890" s="33"/>
    </row>
    <row r="891" ht="15.75" customHeight="1">
      <c r="A891" s="20">
        <v>46163.0</v>
      </c>
      <c r="B891" s="20">
        <v>46163.0</v>
      </c>
      <c r="C891" s="20" t="s">
        <v>25</v>
      </c>
      <c r="D891" s="21" t="s">
        <v>59</v>
      </c>
      <c r="E891" s="21" t="s">
        <v>38</v>
      </c>
      <c r="F891" s="22">
        <v>0.008402777777777778</v>
      </c>
      <c r="G891" s="21" t="s">
        <v>33</v>
      </c>
      <c r="H891" s="80"/>
      <c r="I891" s="25"/>
      <c r="J891" s="26"/>
      <c r="K891" s="21"/>
      <c r="L891" s="27">
        <v>46164.0</v>
      </c>
      <c r="M891" s="28">
        <v>0.041666666666666664</v>
      </c>
      <c r="N891" s="29" t="s">
        <v>69</v>
      </c>
      <c r="O891" s="29" t="s">
        <v>35</v>
      </c>
      <c r="P891" s="34" t="s">
        <v>36</v>
      </c>
      <c r="Q891" s="34">
        <v>1.2021347E7</v>
      </c>
      <c r="R891" s="35">
        <v>46164.0</v>
      </c>
      <c r="S891" s="32" t="s">
        <v>29</v>
      </c>
      <c r="T891" s="33"/>
      <c r="U891" s="33"/>
    </row>
    <row r="892" ht="15.75" customHeight="1">
      <c r="A892" s="36">
        <v>46163.0</v>
      </c>
      <c r="B892" s="36">
        <v>46163.0</v>
      </c>
      <c r="C892" s="36" t="s">
        <v>25</v>
      </c>
      <c r="D892" s="37" t="s">
        <v>59</v>
      </c>
      <c r="E892" s="37" t="s">
        <v>40</v>
      </c>
      <c r="F892" s="38">
        <v>0.01951388888888889</v>
      </c>
      <c r="G892" s="37" t="s">
        <v>33</v>
      </c>
      <c r="H892" s="81"/>
      <c r="I892" s="40"/>
      <c r="J892" s="41"/>
      <c r="K892" s="37" t="s">
        <v>1041</v>
      </c>
      <c r="L892" s="42">
        <v>46163.0</v>
      </c>
      <c r="M892" s="28">
        <v>0.06666666666666667</v>
      </c>
      <c r="N892" s="44" t="s">
        <v>49</v>
      </c>
      <c r="O892" s="44" t="s">
        <v>35</v>
      </c>
      <c r="P892" s="45" t="s">
        <v>36</v>
      </c>
      <c r="Q892" s="45" t="s">
        <v>1042</v>
      </c>
      <c r="R892" s="46">
        <v>46167.0</v>
      </c>
      <c r="S892" s="54" t="s">
        <v>29</v>
      </c>
      <c r="T892" s="33"/>
      <c r="U892" s="33"/>
    </row>
    <row r="893" ht="15.75" customHeight="1">
      <c r="A893" s="20">
        <v>46163.0</v>
      </c>
      <c r="B893" s="20">
        <v>46163.0</v>
      </c>
      <c r="C893" s="20"/>
      <c r="D893" s="21"/>
      <c r="E893" s="21" t="s">
        <v>43</v>
      </c>
      <c r="F893" s="22">
        <v>0.01861111111111111</v>
      </c>
      <c r="G893" s="21" t="s">
        <v>33</v>
      </c>
      <c r="H893" s="80"/>
      <c r="I893" s="25"/>
      <c r="J893" s="26"/>
      <c r="K893" s="21"/>
      <c r="L893" s="27">
        <v>46164.0</v>
      </c>
      <c r="M893" s="28">
        <v>0.03819444444444445</v>
      </c>
      <c r="N893" s="29" t="s">
        <v>59</v>
      </c>
      <c r="O893" s="29" t="s">
        <v>35</v>
      </c>
      <c r="P893" s="34" t="s">
        <v>28</v>
      </c>
      <c r="Q893" s="34" t="s">
        <v>28</v>
      </c>
      <c r="R893" s="35" t="s">
        <v>28</v>
      </c>
      <c r="S893" s="32" t="s">
        <v>29</v>
      </c>
      <c r="T893" s="33"/>
      <c r="U893" s="33"/>
    </row>
    <row r="894" ht="15.75" customHeight="1">
      <c r="A894" s="20">
        <v>46164.0</v>
      </c>
      <c r="B894" s="20">
        <v>46164.0</v>
      </c>
      <c r="C894" s="20" t="s">
        <v>25</v>
      </c>
      <c r="D894" s="21" t="s">
        <v>49</v>
      </c>
      <c r="E894" s="21" t="s">
        <v>26</v>
      </c>
      <c r="F894" s="22">
        <v>0.0973611111111111</v>
      </c>
      <c r="G894" s="21" t="s">
        <v>33</v>
      </c>
      <c r="H894" s="80"/>
      <c r="I894" s="25"/>
      <c r="J894" s="26"/>
      <c r="K894" s="21"/>
      <c r="L894" s="27">
        <v>46167.0</v>
      </c>
      <c r="M894" s="28">
        <v>0.1875</v>
      </c>
      <c r="N894" s="29" t="s">
        <v>31</v>
      </c>
      <c r="O894" s="29" t="s">
        <v>35</v>
      </c>
      <c r="P894" s="34" t="s">
        <v>36</v>
      </c>
      <c r="Q894" s="34" t="s">
        <v>1043</v>
      </c>
      <c r="R894" s="35">
        <v>46168.0</v>
      </c>
      <c r="S894" s="32" t="s">
        <v>29</v>
      </c>
      <c r="T894" s="33"/>
      <c r="U894" s="33"/>
    </row>
    <row r="895" ht="15.75" customHeight="1">
      <c r="A895" s="20">
        <v>46164.0</v>
      </c>
      <c r="B895" s="20">
        <v>46164.0</v>
      </c>
      <c r="C895" s="20" t="s">
        <v>25</v>
      </c>
      <c r="D895" s="21" t="s">
        <v>57</v>
      </c>
      <c r="E895" s="21" t="s">
        <v>30</v>
      </c>
      <c r="F895" s="22">
        <v>0.005752314814814815</v>
      </c>
      <c r="G895" s="21" t="s">
        <v>33</v>
      </c>
      <c r="H895" s="80"/>
      <c r="I895" s="25"/>
      <c r="J895" s="26"/>
      <c r="K895" s="21"/>
      <c r="L895" s="27">
        <v>46164.0</v>
      </c>
      <c r="M895" s="28">
        <v>0.017361111111111112</v>
      </c>
      <c r="N895" s="29" t="s">
        <v>57</v>
      </c>
      <c r="O895" s="29" t="s">
        <v>35</v>
      </c>
      <c r="P895" s="34" t="s">
        <v>36</v>
      </c>
      <c r="Q895" s="136" t="s">
        <v>1044</v>
      </c>
      <c r="R895" s="35">
        <v>46167.0</v>
      </c>
      <c r="S895" s="32" t="s">
        <v>29</v>
      </c>
      <c r="T895" s="33"/>
      <c r="U895" s="33"/>
    </row>
    <row r="896" ht="15.75" customHeight="1">
      <c r="A896" s="20">
        <v>46164.0</v>
      </c>
      <c r="B896" s="20">
        <v>46164.0</v>
      </c>
      <c r="C896" s="20" t="s">
        <v>25</v>
      </c>
      <c r="D896" s="21" t="s">
        <v>39</v>
      </c>
      <c r="E896" s="21" t="s">
        <v>32</v>
      </c>
      <c r="F896" s="22">
        <v>0.04807870370370371</v>
      </c>
      <c r="G896" s="21" t="s">
        <v>33</v>
      </c>
      <c r="H896" s="80"/>
      <c r="I896" s="25"/>
      <c r="J896" s="26"/>
      <c r="K896" s="21"/>
      <c r="L896" s="27">
        <v>46165.0</v>
      </c>
      <c r="M896" s="28">
        <v>0.125</v>
      </c>
      <c r="N896" s="29" t="s">
        <v>31</v>
      </c>
      <c r="O896" s="29" t="s">
        <v>35</v>
      </c>
      <c r="P896" s="34" t="s">
        <v>36</v>
      </c>
      <c r="Q896" s="34" t="s">
        <v>1045</v>
      </c>
      <c r="R896" s="35">
        <v>46167.0</v>
      </c>
      <c r="S896" s="32" t="s">
        <v>29</v>
      </c>
      <c r="T896" s="33"/>
      <c r="U896" s="33"/>
    </row>
    <row r="897" ht="15.75" customHeight="1">
      <c r="A897" s="20">
        <v>46164.0</v>
      </c>
      <c r="B897" s="20">
        <v>46164.0</v>
      </c>
      <c r="C897" s="20" t="s">
        <v>25</v>
      </c>
      <c r="D897" s="21" t="s">
        <v>59</v>
      </c>
      <c r="E897" s="21" t="s">
        <v>38</v>
      </c>
      <c r="F897" s="22">
        <v>0.009849537037037037</v>
      </c>
      <c r="G897" s="21" t="s">
        <v>33</v>
      </c>
      <c r="H897" s="80"/>
      <c r="I897" s="25"/>
      <c r="J897" s="26"/>
      <c r="K897" s="21"/>
      <c r="L897" s="27">
        <v>46167.0</v>
      </c>
      <c r="M897" s="28">
        <v>0.020833333333333332</v>
      </c>
      <c r="N897" s="29" t="s">
        <v>49</v>
      </c>
      <c r="O897" s="29" t="s">
        <v>35</v>
      </c>
      <c r="P897" s="34" t="s">
        <v>36</v>
      </c>
      <c r="Q897" s="34">
        <v>1.2021348E7</v>
      </c>
      <c r="R897" s="35">
        <v>46167.0</v>
      </c>
      <c r="S897" s="32" t="s">
        <v>29</v>
      </c>
      <c r="T897" s="33"/>
      <c r="U897" s="33"/>
    </row>
    <row r="898" ht="15.75" customHeight="1">
      <c r="A898" s="20">
        <v>46164.0</v>
      </c>
      <c r="B898" s="20">
        <v>46164.0</v>
      </c>
      <c r="C898" s="20" t="s">
        <v>25</v>
      </c>
      <c r="D898" s="21" t="s">
        <v>39</v>
      </c>
      <c r="E898" s="21" t="s">
        <v>40</v>
      </c>
      <c r="F898" s="22">
        <v>0.020729166666666667</v>
      </c>
      <c r="G898" s="21" t="s">
        <v>33</v>
      </c>
      <c r="H898" s="80"/>
      <c r="I898" s="25"/>
      <c r="J898" s="26"/>
      <c r="K898" s="21"/>
      <c r="L898" s="27">
        <v>46167.0</v>
      </c>
      <c r="M898" s="28">
        <v>0.06388888888888888</v>
      </c>
      <c r="N898" s="29" t="s">
        <v>49</v>
      </c>
      <c r="O898" s="29" t="s">
        <v>35</v>
      </c>
      <c r="P898" s="34" t="s">
        <v>36</v>
      </c>
      <c r="Q898" s="99" t="s">
        <v>1046</v>
      </c>
      <c r="R898" s="35">
        <v>46167.0</v>
      </c>
      <c r="S898" s="32" t="s">
        <v>29</v>
      </c>
      <c r="T898" s="33"/>
      <c r="U898" s="33"/>
    </row>
    <row r="899" ht="15.75" customHeight="1">
      <c r="A899" s="20">
        <v>46164.0</v>
      </c>
      <c r="B899" s="20">
        <v>46164.0</v>
      </c>
      <c r="C899" s="20"/>
      <c r="D899" s="21"/>
      <c r="E899" s="21" t="s">
        <v>43</v>
      </c>
      <c r="F899" s="22">
        <v>0.01681712962962963</v>
      </c>
      <c r="G899" s="21" t="s">
        <v>33</v>
      </c>
      <c r="H899" s="80"/>
      <c r="I899" s="25"/>
      <c r="J899" s="26"/>
      <c r="K899" s="21"/>
      <c r="L899" s="27">
        <v>46167.0</v>
      </c>
      <c r="M899" s="28">
        <v>0.027777777777777776</v>
      </c>
      <c r="N899" s="29" t="s">
        <v>57</v>
      </c>
      <c r="O899" s="29" t="s">
        <v>35</v>
      </c>
      <c r="P899" s="34" t="s">
        <v>28</v>
      </c>
      <c r="Q899" s="34" t="s">
        <v>28</v>
      </c>
      <c r="R899" s="35" t="s">
        <v>28</v>
      </c>
      <c r="S899" s="32" t="s">
        <v>29</v>
      </c>
      <c r="T899" s="33"/>
      <c r="U899" s="33"/>
    </row>
    <row r="900" ht="15.75" customHeight="1">
      <c r="A900" s="55">
        <v>46165.0</v>
      </c>
      <c r="B900" s="55">
        <v>46165.0</v>
      </c>
      <c r="C900" s="55" t="s">
        <v>25</v>
      </c>
      <c r="D900" s="56" t="s">
        <v>31</v>
      </c>
      <c r="E900" s="56" t="s">
        <v>32</v>
      </c>
      <c r="F900" s="57">
        <v>0.049386574074074076</v>
      </c>
      <c r="G900" s="56" t="s">
        <v>33</v>
      </c>
      <c r="H900" s="80"/>
      <c r="I900" s="25"/>
      <c r="J900" s="26"/>
      <c r="K900" s="21"/>
      <c r="L900" s="27">
        <v>46167.0</v>
      </c>
      <c r="M900" s="28">
        <v>0.125</v>
      </c>
      <c r="N900" s="29" t="s">
        <v>59</v>
      </c>
      <c r="O900" s="29" t="s">
        <v>35</v>
      </c>
      <c r="P900" s="34" t="s">
        <v>36</v>
      </c>
      <c r="Q900" s="136" t="s">
        <v>1047</v>
      </c>
      <c r="R900" s="35">
        <v>46167.0</v>
      </c>
      <c r="S900" s="32" t="s">
        <v>29</v>
      </c>
      <c r="T900" s="33"/>
      <c r="U900" s="33"/>
    </row>
    <row r="901" ht="15.75" customHeight="1">
      <c r="A901" s="55">
        <v>46165.0</v>
      </c>
      <c r="B901" s="55">
        <v>46165.0</v>
      </c>
      <c r="C901" s="55" t="s">
        <v>25</v>
      </c>
      <c r="D901" s="56" t="s">
        <v>57</v>
      </c>
      <c r="E901" s="56" t="s">
        <v>40</v>
      </c>
      <c r="F901" s="57">
        <v>0.01068287037037037</v>
      </c>
      <c r="G901" s="56" t="s">
        <v>33</v>
      </c>
      <c r="H901" s="80"/>
      <c r="I901" s="25"/>
      <c r="J901" s="26"/>
      <c r="K901" s="21"/>
      <c r="L901" s="27">
        <v>46167.0</v>
      </c>
      <c r="M901" s="28">
        <v>0.03819444444444445</v>
      </c>
      <c r="N901" s="29" t="s">
        <v>57</v>
      </c>
      <c r="O901" s="29" t="s">
        <v>35</v>
      </c>
      <c r="P901" s="34" t="s">
        <v>36</v>
      </c>
      <c r="Q901" s="34" t="s">
        <v>1048</v>
      </c>
      <c r="R901" s="35">
        <v>46167.0</v>
      </c>
      <c r="S901" s="32" t="s">
        <v>29</v>
      </c>
      <c r="T901" s="33"/>
      <c r="U901" s="33"/>
    </row>
    <row r="902" ht="15.75" customHeight="1">
      <c r="A902" s="55">
        <v>46165.0</v>
      </c>
      <c r="B902" s="55">
        <v>46165.0</v>
      </c>
      <c r="C902" s="55"/>
      <c r="D902" s="56"/>
      <c r="E902" s="56" t="s">
        <v>43</v>
      </c>
      <c r="F902" s="57">
        <v>0.01597222222222222</v>
      </c>
      <c r="G902" s="56" t="s">
        <v>33</v>
      </c>
      <c r="H902" s="80"/>
      <c r="I902" s="25"/>
      <c r="J902" s="26"/>
      <c r="K902" s="21"/>
      <c r="L902" s="27">
        <v>46167.0</v>
      </c>
      <c r="M902" s="28">
        <v>0.03819444444444445</v>
      </c>
      <c r="N902" s="29" t="s">
        <v>57</v>
      </c>
      <c r="O902" s="29" t="s">
        <v>35</v>
      </c>
      <c r="P902" s="34" t="s">
        <v>28</v>
      </c>
      <c r="Q902" s="34" t="s">
        <v>28</v>
      </c>
      <c r="R902" s="35" t="s">
        <v>28</v>
      </c>
      <c r="S902" s="32" t="s">
        <v>29</v>
      </c>
      <c r="T902" s="33"/>
      <c r="U902" s="33"/>
    </row>
    <row r="903" ht="15.75" customHeight="1">
      <c r="A903" s="55">
        <v>46165.0</v>
      </c>
      <c r="B903" s="55">
        <v>46165.0</v>
      </c>
      <c r="C903" s="55"/>
      <c r="D903" s="56"/>
      <c r="E903" s="56" t="s">
        <v>61</v>
      </c>
      <c r="F903" s="57"/>
      <c r="G903" s="59" t="s">
        <v>27</v>
      </c>
      <c r="H903" s="80"/>
      <c r="I903" s="25"/>
      <c r="J903" s="26"/>
      <c r="K903" s="21"/>
      <c r="L903" s="27"/>
      <c r="M903" s="28"/>
      <c r="N903" s="29"/>
      <c r="O903" s="29"/>
      <c r="P903" s="34" t="s">
        <v>28</v>
      </c>
      <c r="Q903" s="34" t="s">
        <v>28</v>
      </c>
      <c r="R903" s="35" t="s">
        <v>28</v>
      </c>
      <c r="S903" s="32" t="s">
        <v>29</v>
      </c>
      <c r="T903" s="33"/>
      <c r="U903" s="33"/>
    </row>
    <row r="904" ht="15.75" customHeight="1">
      <c r="A904" s="55">
        <v>46165.0</v>
      </c>
      <c r="B904" s="55">
        <v>46165.0</v>
      </c>
      <c r="C904" s="55"/>
      <c r="D904" s="56"/>
      <c r="E904" s="56" t="s">
        <v>62</v>
      </c>
      <c r="F904" s="57"/>
      <c r="G904" s="59" t="s">
        <v>27</v>
      </c>
      <c r="H904" s="80"/>
      <c r="I904" s="25"/>
      <c r="J904" s="26"/>
      <c r="K904" s="21"/>
      <c r="L904" s="27"/>
      <c r="M904" s="28"/>
      <c r="N904" s="29"/>
      <c r="O904" s="29"/>
      <c r="P904" s="34" t="s">
        <v>28</v>
      </c>
      <c r="Q904" s="34" t="s">
        <v>28</v>
      </c>
      <c r="R904" s="35" t="s">
        <v>28</v>
      </c>
      <c r="S904" s="32" t="s">
        <v>29</v>
      </c>
      <c r="T904" s="33"/>
      <c r="U904" s="33"/>
    </row>
    <row r="905" ht="15.75" customHeight="1">
      <c r="A905" s="55">
        <v>46165.0</v>
      </c>
      <c r="B905" s="55">
        <v>46165.0</v>
      </c>
      <c r="C905" s="55"/>
      <c r="D905" s="56"/>
      <c r="E905" s="56" t="s">
        <v>63</v>
      </c>
      <c r="F905" s="57"/>
      <c r="G905" s="59" t="s">
        <v>27</v>
      </c>
      <c r="H905" s="80"/>
      <c r="I905" s="25"/>
      <c r="J905" s="26"/>
      <c r="K905" s="21"/>
      <c r="L905" s="27"/>
      <c r="M905" s="28"/>
      <c r="N905" s="29"/>
      <c r="O905" s="29"/>
      <c r="P905" s="34" t="s">
        <v>28</v>
      </c>
      <c r="Q905" s="34" t="s">
        <v>28</v>
      </c>
      <c r="R905" s="35" t="s">
        <v>28</v>
      </c>
      <c r="S905" s="32" t="s">
        <v>29</v>
      </c>
      <c r="T905" s="33"/>
      <c r="U905" s="33"/>
    </row>
    <row r="906" ht="15.75" customHeight="1">
      <c r="A906" s="120">
        <v>46165.0</v>
      </c>
      <c r="B906" s="120">
        <v>46165.0</v>
      </c>
      <c r="C906" s="120" t="s">
        <v>25</v>
      </c>
      <c r="D906" s="82" t="s">
        <v>59</v>
      </c>
      <c r="E906" s="82" t="s">
        <v>1049</v>
      </c>
      <c r="F906" s="121">
        <v>0.022546296296296297</v>
      </c>
      <c r="G906" s="82" t="s">
        <v>33</v>
      </c>
      <c r="H906" s="150" t="s">
        <v>1050</v>
      </c>
      <c r="I906" s="40" t="s">
        <v>46</v>
      </c>
      <c r="J906" s="41">
        <v>46164.0</v>
      </c>
      <c r="K906" s="37" t="s">
        <v>1051</v>
      </c>
      <c r="L906" s="42">
        <v>46170.0</v>
      </c>
      <c r="M906" s="43">
        <v>0.0625</v>
      </c>
      <c r="N906" s="44" t="s">
        <v>39</v>
      </c>
      <c r="O906" s="44" t="s">
        <v>35</v>
      </c>
      <c r="P906" s="45" t="s">
        <v>36</v>
      </c>
      <c r="Q906" s="34" t="s">
        <v>1052</v>
      </c>
      <c r="R906" s="46">
        <v>46168.0</v>
      </c>
      <c r="S906" s="54"/>
      <c r="T906" s="48"/>
      <c r="U906" s="48"/>
    </row>
    <row r="907" ht="15.75" customHeight="1">
      <c r="A907" s="60">
        <v>46166.0</v>
      </c>
      <c r="B907" s="60">
        <v>46166.0</v>
      </c>
      <c r="C907" s="60" t="s">
        <v>25</v>
      </c>
      <c r="D907" s="61" t="s">
        <v>57</v>
      </c>
      <c r="E907" s="61" t="s">
        <v>66</v>
      </c>
      <c r="F907" s="62">
        <v>0.019756944444444445</v>
      </c>
      <c r="G907" s="61" t="s">
        <v>33</v>
      </c>
      <c r="H907" s="80"/>
      <c r="I907" s="25"/>
      <c r="J907" s="26">
        <v>46167.291666666664</v>
      </c>
      <c r="K907" s="21" t="s">
        <v>1053</v>
      </c>
      <c r="L907" s="27">
        <v>46170.0</v>
      </c>
      <c r="M907" s="28">
        <v>0.027777777777777776</v>
      </c>
      <c r="N907" s="29" t="s">
        <v>69</v>
      </c>
      <c r="O907" s="29" t="s">
        <v>35</v>
      </c>
      <c r="P907" s="34" t="s">
        <v>36</v>
      </c>
      <c r="Q907" s="34" t="s">
        <v>1054</v>
      </c>
      <c r="R907" s="35">
        <v>46171.0</v>
      </c>
      <c r="S907" s="32" t="s">
        <v>29</v>
      </c>
      <c r="T907" s="33"/>
      <c r="U907" s="33"/>
    </row>
    <row r="908" ht="15.75" customHeight="1">
      <c r="A908" s="20">
        <v>46167.0</v>
      </c>
      <c r="B908" s="20">
        <v>46167.0</v>
      </c>
      <c r="C908" s="20" t="s">
        <v>25</v>
      </c>
      <c r="D908" s="21" t="s">
        <v>49</v>
      </c>
      <c r="E908" s="21" t="s">
        <v>26</v>
      </c>
      <c r="F908" s="22">
        <v>0.09931712962962963</v>
      </c>
      <c r="G908" s="21" t="s">
        <v>33</v>
      </c>
      <c r="H908" s="80"/>
      <c r="I908" s="25"/>
      <c r="J908" s="26"/>
      <c r="K908" s="21"/>
      <c r="L908" s="27">
        <v>46168.0</v>
      </c>
      <c r="M908" s="28">
        <v>0.23958333333333334</v>
      </c>
      <c r="N908" s="29" t="s">
        <v>39</v>
      </c>
      <c r="O908" s="29" t="s">
        <v>35</v>
      </c>
      <c r="P908" s="34" t="s">
        <v>36</v>
      </c>
      <c r="Q908" s="34" t="s">
        <v>1055</v>
      </c>
      <c r="R908" s="35">
        <v>46168.0</v>
      </c>
      <c r="S908" s="32" t="s">
        <v>29</v>
      </c>
      <c r="T908" s="33"/>
      <c r="U908" s="33"/>
    </row>
    <row r="909" ht="15.75" customHeight="1">
      <c r="A909" s="20">
        <v>46167.0</v>
      </c>
      <c r="B909" s="20">
        <v>46167.0</v>
      </c>
      <c r="C909" s="20" t="s">
        <v>25</v>
      </c>
      <c r="D909" s="21" t="s">
        <v>31</v>
      </c>
      <c r="E909" s="21" t="s">
        <v>30</v>
      </c>
      <c r="F909" s="22">
        <v>0.004618055555555556</v>
      </c>
      <c r="G909" s="21" t="s">
        <v>33</v>
      </c>
      <c r="H909" s="80"/>
      <c r="I909" s="25"/>
      <c r="J909" s="26"/>
      <c r="K909" s="21"/>
      <c r="L909" s="27">
        <v>46167.0</v>
      </c>
      <c r="M909" s="28">
        <v>0.0125</v>
      </c>
      <c r="N909" s="29" t="s">
        <v>31</v>
      </c>
      <c r="O909" s="29" t="s">
        <v>35</v>
      </c>
      <c r="P909" s="34" t="s">
        <v>36</v>
      </c>
      <c r="Q909" s="34" t="s">
        <v>1056</v>
      </c>
      <c r="R909" s="35">
        <v>46168.0</v>
      </c>
      <c r="S909" s="32" t="s">
        <v>29</v>
      </c>
      <c r="T909" s="33"/>
      <c r="U909" s="33"/>
    </row>
    <row r="910" ht="15.75" customHeight="1">
      <c r="A910" s="20">
        <v>46167.0</v>
      </c>
      <c r="B910" s="20">
        <v>46167.0</v>
      </c>
      <c r="C910" s="20" t="s">
        <v>25</v>
      </c>
      <c r="D910" s="21" t="s">
        <v>39</v>
      </c>
      <c r="E910" s="21" t="s">
        <v>32</v>
      </c>
      <c r="F910" s="22">
        <v>0.04663194444444444</v>
      </c>
      <c r="G910" s="21" t="s">
        <v>33</v>
      </c>
      <c r="H910" s="80"/>
      <c r="I910" s="25"/>
      <c r="J910" s="26"/>
      <c r="K910" s="21"/>
      <c r="L910" s="27">
        <v>46168.0</v>
      </c>
      <c r="M910" s="28">
        <v>0.125</v>
      </c>
      <c r="N910" s="29" t="s">
        <v>31</v>
      </c>
      <c r="O910" s="29" t="s">
        <v>35</v>
      </c>
      <c r="P910" s="34" t="s">
        <v>36</v>
      </c>
      <c r="Q910" s="34" t="s">
        <v>1057</v>
      </c>
      <c r="R910" s="35">
        <v>46168.0</v>
      </c>
      <c r="S910" s="32" t="s">
        <v>29</v>
      </c>
      <c r="T910" s="33"/>
      <c r="U910" s="33"/>
    </row>
    <row r="911" ht="15.75" customHeight="1">
      <c r="A911" s="36">
        <v>46167.0</v>
      </c>
      <c r="B911" s="36">
        <v>46167.0</v>
      </c>
      <c r="C911" s="36" t="s">
        <v>25</v>
      </c>
      <c r="D911" s="37" t="s">
        <v>59</v>
      </c>
      <c r="E911" s="37" t="s">
        <v>38</v>
      </c>
      <c r="F911" s="38">
        <v>0.01085648148148148</v>
      </c>
      <c r="G911" s="37" t="s">
        <v>33</v>
      </c>
      <c r="H911" s="81"/>
      <c r="I911" s="40"/>
      <c r="J911" s="41"/>
      <c r="K911" s="37"/>
      <c r="L911" s="42">
        <v>46168.0</v>
      </c>
      <c r="M911" s="43">
        <v>0.041666666666666664</v>
      </c>
      <c r="N911" s="44" t="s">
        <v>69</v>
      </c>
      <c r="O911" s="44" t="s">
        <v>35</v>
      </c>
      <c r="P911" s="45" t="s">
        <v>36</v>
      </c>
      <c r="Q911" s="45">
        <v>1.2021349E7</v>
      </c>
      <c r="R911" s="46">
        <v>46168.0</v>
      </c>
      <c r="S911" s="54" t="s">
        <v>29</v>
      </c>
      <c r="T911" s="33"/>
      <c r="U911" s="33"/>
    </row>
    <row r="912" ht="12.75" customHeight="1">
      <c r="A912" s="20">
        <v>46167.0</v>
      </c>
      <c r="B912" s="20">
        <v>46167.0</v>
      </c>
      <c r="C912" s="20" t="s">
        <v>25</v>
      </c>
      <c r="D912" s="21" t="s">
        <v>39</v>
      </c>
      <c r="E912" s="21" t="s">
        <v>40</v>
      </c>
      <c r="F912" s="22">
        <v>0.019837962962962963</v>
      </c>
      <c r="G912" s="21" t="s">
        <v>33</v>
      </c>
      <c r="H912" s="80"/>
      <c r="I912" s="25"/>
      <c r="J912" s="26"/>
      <c r="K912" s="21"/>
      <c r="L912" s="27">
        <v>46168.0</v>
      </c>
      <c r="M912" s="28">
        <v>0.059027777777777776</v>
      </c>
      <c r="N912" s="29" t="s">
        <v>59</v>
      </c>
      <c r="O912" s="29" t="s">
        <v>35</v>
      </c>
      <c r="P912" s="34" t="s">
        <v>36</v>
      </c>
      <c r="Q912" s="34" t="s">
        <v>1058</v>
      </c>
      <c r="R912" s="35">
        <v>46168.0</v>
      </c>
      <c r="S912" s="32" t="s">
        <v>29</v>
      </c>
      <c r="T912" s="33"/>
      <c r="U912" s="33"/>
    </row>
    <row r="913" ht="15.75" customHeight="1">
      <c r="A913" s="20">
        <v>46167.0</v>
      </c>
      <c r="B913" s="20">
        <v>46167.0</v>
      </c>
      <c r="C913" s="20"/>
      <c r="D913" s="21"/>
      <c r="E913" s="21" t="s">
        <v>43</v>
      </c>
      <c r="F913" s="22">
        <v>0.017997685185185186</v>
      </c>
      <c r="G913" s="21" t="s">
        <v>33</v>
      </c>
      <c r="H913" s="80"/>
      <c r="I913" s="25"/>
      <c r="J913" s="26"/>
      <c r="K913" s="21"/>
      <c r="L913" s="27">
        <v>46168.0</v>
      </c>
      <c r="M913" s="28">
        <v>0.04513888888888889</v>
      </c>
      <c r="N913" s="29" t="s">
        <v>57</v>
      </c>
      <c r="O913" s="29" t="s">
        <v>35</v>
      </c>
      <c r="P913" s="34" t="s">
        <v>28</v>
      </c>
      <c r="Q913" s="34" t="s">
        <v>28</v>
      </c>
      <c r="R913" s="35" t="s">
        <v>28</v>
      </c>
      <c r="S913" s="32" t="s">
        <v>29</v>
      </c>
      <c r="T913" s="33"/>
      <c r="U913" s="33"/>
    </row>
    <row r="914" ht="15.75" customHeight="1">
      <c r="A914" s="36">
        <v>46168.0</v>
      </c>
      <c r="B914" s="36">
        <v>46168.0</v>
      </c>
      <c r="C914" s="36" t="s">
        <v>25</v>
      </c>
      <c r="D914" s="37" t="s">
        <v>49</v>
      </c>
      <c r="E914" s="37" t="s">
        <v>26</v>
      </c>
      <c r="F914" s="38">
        <v>0.0998263888888889</v>
      </c>
      <c r="G914" s="37" t="s">
        <v>33</v>
      </c>
      <c r="H914" s="81"/>
      <c r="I914" s="40" t="s">
        <v>220</v>
      </c>
      <c r="J914" s="41">
        <v>46168.61597222222</v>
      </c>
      <c r="K914" s="37" t="s">
        <v>1059</v>
      </c>
      <c r="L914" s="42">
        <v>46169.0</v>
      </c>
      <c r="M914" s="43">
        <v>0.2013888888888889</v>
      </c>
      <c r="N914" s="44" t="s">
        <v>59</v>
      </c>
      <c r="O914" s="44" t="s">
        <v>35</v>
      </c>
      <c r="P914" s="45" t="s">
        <v>36</v>
      </c>
      <c r="Q914" s="45" t="s">
        <v>1060</v>
      </c>
      <c r="R914" s="46">
        <v>46169.0</v>
      </c>
      <c r="S914" s="54" t="s">
        <v>29</v>
      </c>
      <c r="T914" s="33"/>
      <c r="U914" s="33"/>
    </row>
    <row r="915" ht="15.75" customHeight="1">
      <c r="A915" s="20">
        <v>46168.0</v>
      </c>
      <c r="B915" s="20">
        <v>46168.0</v>
      </c>
      <c r="C915" s="20" t="s">
        <v>25</v>
      </c>
      <c r="D915" s="21" t="s">
        <v>39</v>
      </c>
      <c r="E915" s="21" t="s">
        <v>30</v>
      </c>
      <c r="F915" s="22">
        <v>0.005300925925925926</v>
      </c>
      <c r="G915" s="21" t="s">
        <v>33</v>
      </c>
      <c r="H915" s="80"/>
      <c r="I915" s="25"/>
      <c r="J915" s="26"/>
      <c r="K915" s="21"/>
      <c r="L915" s="27">
        <v>46168.0</v>
      </c>
      <c r="M915" s="28">
        <v>0.017361111111111112</v>
      </c>
      <c r="N915" s="29" t="s">
        <v>39</v>
      </c>
      <c r="O915" s="29" t="s">
        <v>35</v>
      </c>
      <c r="P915" s="34" t="s">
        <v>36</v>
      </c>
      <c r="Q915" s="34" t="s">
        <v>1061</v>
      </c>
      <c r="R915" s="35">
        <v>46169.0</v>
      </c>
      <c r="S915" s="32" t="s">
        <v>29</v>
      </c>
      <c r="T915" s="33"/>
      <c r="U915" s="33"/>
    </row>
    <row r="916" ht="15.75" customHeight="1">
      <c r="A916" s="20">
        <v>46168.0</v>
      </c>
      <c r="B916" s="20">
        <v>46168.0</v>
      </c>
      <c r="C916" s="20" t="s">
        <v>25</v>
      </c>
      <c r="D916" s="21" t="s">
        <v>69</v>
      </c>
      <c r="E916" s="21" t="s">
        <v>32</v>
      </c>
      <c r="F916" s="22">
        <v>0.04695601851851852</v>
      </c>
      <c r="G916" s="21" t="s">
        <v>33</v>
      </c>
      <c r="H916" s="80"/>
      <c r="I916" s="25"/>
      <c r="J916" s="26"/>
      <c r="K916" s="21"/>
      <c r="L916" s="27">
        <v>46169.0</v>
      </c>
      <c r="M916" s="28">
        <v>0.125</v>
      </c>
      <c r="N916" s="29" t="s">
        <v>31</v>
      </c>
      <c r="O916" s="29" t="s">
        <v>35</v>
      </c>
      <c r="P916" s="34" t="s">
        <v>36</v>
      </c>
      <c r="Q916" s="34" t="s">
        <v>1062</v>
      </c>
      <c r="R916" s="35">
        <v>46169.0</v>
      </c>
      <c r="S916" s="32" t="s">
        <v>29</v>
      </c>
      <c r="T916" s="33"/>
      <c r="U916" s="33"/>
    </row>
    <row r="917" ht="15.75" customHeight="1">
      <c r="A917" s="20">
        <v>46168.0</v>
      </c>
      <c r="B917" s="20">
        <v>46168.0</v>
      </c>
      <c r="C917" s="20" t="s">
        <v>25</v>
      </c>
      <c r="D917" s="21" t="s">
        <v>59</v>
      </c>
      <c r="E917" s="21" t="s">
        <v>38</v>
      </c>
      <c r="F917" s="22">
        <v>0.010694444444444444</v>
      </c>
      <c r="G917" s="21" t="s">
        <v>33</v>
      </c>
      <c r="H917" s="80"/>
      <c r="I917" s="25"/>
      <c r="J917" s="26"/>
      <c r="K917" s="21"/>
      <c r="L917" s="27">
        <v>46169.0</v>
      </c>
      <c r="M917" s="28">
        <v>0.041666666666666664</v>
      </c>
      <c r="N917" s="29" t="s">
        <v>69</v>
      </c>
      <c r="O917" s="29" t="s">
        <v>35</v>
      </c>
      <c r="P917" s="34" t="s">
        <v>36</v>
      </c>
      <c r="Q917" s="34">
        <v>1.202135E7</v>
      </c>
      <c r="R917" s="35">
        <v>46169.0</v>
      </c>
      <c r="S917" s="32" t="s">
        <v>29</v>
      </c>
      <c r="T917" s="33"/>
      <c r="U917" s="33"/>
    </row>
    <row r="918" ht="15.75" customHeight="1">
      <c r="A918" s="20">
        <v>46168.0</v>
      </c>
      <c r="B918" s="20">
        <v>46168.0</v>
      </c>
      <c r="C918" s="20" t="s">
        <v>25</v>
      </c>
      <c r="D918" s="21" t="s">
        <v>59</v>
      </c>
      <c r="E918" s="21" t="s">
        <v>40</v>
      </c>
      <c r="F918" s="38">
        <v>0.018726851851851852</v>
      </c>
      <c r="G918" s="21" t="s">
        <v>33</v>
      </c>
      <c r="H918" s="80"/>
      <c r="I918" s="25"/>
      <c r="J918" s="26"/>
      <c r="K918" s="21" t="s">
        <v>1063</v>
      </c>
      <c r="L918" s="27">
        <v>46169.0</v>
      </c>
      <c r="M918" s="28">
        <v>0.0625</v>
      </c>
      <c r="N918" s="29" t="s">
        <v>49</v>
      </c>
      <c r="O918" s="29" t="s">
        <v>35</v>
      </c>
      <c r="P918" s="30" t="s">
        <v>36</v>
      </c>
      <c r="Q918" s="151" t="s">
        <v>1064</v>
      </c>
      <c r="R918" s="46">
        <v>46169.0</v>
      </c>
      <c r="S918" s="32" t="s">
        <v>29</v>
      </c>
      <c r="T918" s="33"/>
      <c r="U918" s="33"/>
    </row>
    <row r="919" ht="15.75" customHeight="1">
      <c r="A919" s="20">
        <v>46168.0</v>
      </c>
      <c r="B919" s="20">
        <v>46168.0</v>
      </c>
      <c r="C919" s="20"/>
      <c r="D919" s="21"/>
      <c r="E919" s="21" t="s">
        <v>43</v>
      </c>
      <c r="F919" s="22">
        <v>0.015960648148148147</v>
      </c>
      <c r="G919" s="21" t="s">
        <v>33</v>
      </c>
      <c r="H919" s="80"/>
      <c r="I919" s="25"/>
      <c r="J919" s="26"/>
      <c r="K919" s="21"/>
      <c r="L919" s="27">
        <v>46169.0</v>
      </c>
      <c r="M919" s="28">
        <v>0.03819444444444445</v>
      </c>
      <c r="N919" s="29" t="s">
        <v>57</v>
      </c>
      <c r="O919" s="29" t="s">
        <v>35</v>
      </c>
      <c r="P919" s="34" t="s">
        <v>28</v>
      </c>
      <c r="Q919" s="34" t="s">
        <v>28</v>
      </c>
      <c r="R919" s="35" t="s">
        <v>28</v>
      </c>
      <c r="S919" s="32" t="s">
        <v>29</v>
      </c>
      <c r="T919" s="33"/>
      <c r="U919" s="33"/>
    </row>
    <row r="920" ht="15.75" customHeight="1">
      <c r="A920" s="20">
        <v>46169.0</v>
      </c>
      <c r="B920" s="20">
        <v>46169.0</v>
      </c>
      <c r="C920" s="20" t="s">
        <v>25</v>
      </c>
      <c r="D920" s="21" t="s">
        <v>49</v>
      </c>
      <c r="E920" s="21" t="s">
        <v>26</v>
      </c>
      <c r="F920" s="22">
        <v>0.09805555555555556</v>
      </c>
      <c r="G920" s="21" t="s">
        <v>33</v>
      </c>
      <c r="H920" s="80"/>
      <c r="I920" s="25"/>
      <c r="J920" s="26"/>
      <c r="K920" s="21"/>
      <c r="L920" s="27">
        <v>46170.0</v>
      </c>
      <c r="M920" s="28">
        <v>0.23958333333333334</v>
      </c>
      <c r="N920" s="29" t="s">
        <v>39</v>
      </c>
      <c r="O920" s="29" t="s">
        <v>35</v>
      </c>
      <c r="P920" s="34" t="s">
        <v>36</v>
      </c>
      <c r="Q920" s="34" t="s">
        <v>1065</v>
      </c>
      <c r="R920" s="35">
        <v>46170.0</v>
      </c>
      <c r="S920" s="32" t="s">
        <v>29</v>
      </c>
      <c r="T920" s="33"/>
      <c r="U920" s="33"/>
    </row>
    <row r="921" ht="15.75" customHeight="1">
      <c r="A921" s="20">
        <v>46169.0</v>
      </c>
      <c r="B921" s="20">
        <v>46169.0</v>
      </c>
      <c r="C921" s="20" t="s">
        <v>25</v>
      </c>
      <c r="D921" s="21" t="s">
        <v>59</v>
      </c>
      <c r="E921" s="21" t="s">
        <v>30</v>
      </c>
      <c r="F921" s="22">
        <v>0.0033449074074074076</v>
      </c>
      <c r="G921" s="21" t="s">
        <v>33</v>
      </c>
      <c r="H921" s="80"/>
      <c r="I921" s="25"/>
      <c r="J921" s="26"/>
      <c r="K921" s="21"/>
      <c r="L921" s="27">
        <v>46169.0</v>
      </c>
      <c r="M921" s="28">
        <v>0.008333333333333333</v>
      </c>
      <c r="N921" s="29" t="s">
        <v>59</v>
      </c>
      <c r="O921" s="29" t="s">
        <v>35</v>
      </c>
      <c r="P921" s="34" t="s">
        <v>36</v>
      </c>
      <c r="Q921" s="99" t="s">
        <v>1066</v>
      </c>
      <c r="R921" s="35">
        <v>46171.0</v>
      </c>
      <c r="S921" s="32" t="s">
        <v>29</v>
      </c>
      <c r="T921" s="33"/>
      <c r="U921" s="33"/>
    </row>
    <row r="922" ht="15.75" customHeight="1">
      <c r="A922" s="20">
        <v>46169.0</v>
      </c>
      <c r="B922" s="20">
        <v>46169.0</v>
      </c>
      <c r="C922" s="20" t="s">
        <v>25</v>
      </c>
      <c r="D922" s="21" t="s">
        <v>69</v>
      </c>
      <c r="E922" s="21" t="s">
        <v>32</v>
      </c>
      <c r="F922" s="22">
        <v>0.047685185185185185</v>
      </c>
      <c r="G922" s="21" t="s">
        <v>33</v>
      </c>
      <c r="H922" s="80"/>
      <c r="I922" s="25"/>
      <c r="J922" s="26"/>
      <c r="K922" s="21"/>
      <c r="L922" s="27">
        <v>46170.0</v>
      </c>
      <c r="M922" s="28">
        <v>0.125</v>
      </c>
      <c r="N922" s="29" t="s">
        <v>31</v>
      </c>
      <c r="O922" s="29" t="s">
        <v>35</v>
      </c>
      <c r="P922" s="33" t="s">
        <v>36</v>
      </c>
      <c r="Q922" s="33" t="s">
        <v>1067</v>
      </c>
      <c r="R922" s="35">
        <v>46171.0</v>
      </c>
      <c r="S922" s="32" t="s">
        <v>29</v>
      </c>
      <c r="T922" s="33"/>
      <c r="U922" s="33"/>
    </row>
    <row r="923" ht="15.75" customHeight="1">
      <c r="A923" s="20">
        <v>46169.0</v>
      </c>
      <c r="B923" s="20">
        <v>46169.0</v>
      </c>
      <c r="C923" s="20" t="s">
        <v>25</v>
      </c>
      <c r="D923" s="21" t="s">
        <v>39</v>
      </c>
      <c r="E923" s="21" t="s">
        <v>38</v>
      </c>
      <c r="F923" s="22">
        <v>0.00974537037037037</v>
      </c>
      <c r="G923" s="21" t="s">
        <v>33</v>
      </c>
      <c r="H923" s="80"/>
      <c r="I923" s="25"/>
      <c r="J923" s="26"/>
      <c r="K923" s="21"/>
      <c r="L923" s="27">
        <v>46170.0</v>
      </c>
      <c r="M923" s="28">
        <v>0.03333333333333333</v>
      </c>
      <c r="N923" s="29" t="s">
        <v>69</v>
      </c>
      <c r="O923" s="29" t="s">
        <v>35</v>
      </c>
      <c r="P923" s="33" t="s">
        <v>36</v>
      </c>
      <c r="Q923" s="33">
        <v>1.2021351E7</v>
      </c>
      <c r="R923" s="35">
        <v>46170.0</v>
      </c>
      <c r="S923" s="32" t="s">
        <v>29</v>
      </c>
      <c r="T923" s="33"/>
      <c r="U923" s="33"/>
    </row>
    <row r="924" ht="15.75" customHeight="1">
      <c r="A924" s="20">
        <v>46169.0</v>
      </c>
      <c r="B924" s="20">
        <v>46169.0</v>
      </c>
      <c r="C924" s="20" t="s">
        <v>25</v>
      </c>
      <c r="D924" s="21" t="s">
        <v>31</v>
      </c>
      <c r="E924" s="21" t="s">
        <v>40</v>
      </c>
      <c r="F924" s="22">
        <v>0.01733796296296296</v>
      </c>
      <c r="G924" s="21" t="s">
        <v>33</v>
      </c>
      <c r="H924" s="80"/>
      <c r="I924" s="25"/>
      <c r="J924" s="26"/>
      <c r="K924" s="21"/>
      <c r="L924" s="27">
        <v>46170.0</v>
      </c>
      <c r="M924" s="28">
        <v>0.0625</v>
      </c>
      <c r="N924" s="29" t="s">
        <v>59</v>
      </c>
      <c r="O924" s="29" t="s">
        <v>35</v>
      </c>
      <c r="P924" s="33" t="s">
        <v>36</v>
      </c>
      <c r="Q924" s="33" t="s">
        <v>1068</v>
      </c>
      <c r="R924" s="35">
        <v>46170.0</v>
      </c>
      <c r="S924" s="32" t="s">
        <v>29</v>
      </c>
      <c r="T924" s="33"/>
      <c r="U924" s="33"/>
    </row>
    <row r="925" ht="15.75" customHeight="1">
      <c r="A925" s="20">
        <v>46169.0</v>
      </c>
      <c r="B925" s="20">
        <v>46169.0</v>
      </c>
      <c r="C925" s="20"/>
      <c r="D925" s="21"/>
      <c r="E925" s="21" t="s">
        <v>43</v>
      </c>
      <c r="F925" s="22">
        <v>0.016134259259259258</v>
      </c>
      <c r="G925" s="21" t="s">
        <v>33</v>
      </c>
      <c r="H925" s="80"/>
      <c r="I925" s="25"/>
      <c r="J925" s="26"/>
      <c r="K925" s="21"/>
      <c r="L925" s="27">
        <v>46170.0</v>
      </c>
      <c r="M925" s="28">
        <v>0.03125</v>
      </c>
      <c r="N925" s="29" t="s">
        <v>57</v>
      </c>
      <c r="O925" s="29" t="s">
        <v>35</v>
      </c>
      <c r="P925" s="33" t="s">
        <v>28</v>
      </c>
      <c r="Q925" s="33" t="s">
        <v>28</v>
      </c>
      <c r="R925" s="102" t="s">
        <v>28</v>
      </c>
      <c r="S925" s="32" t="s">
        <v>29</v>
      </c>
      <c r="T925" s="33"/>
      <c r="U925" s="33"/>
    </row>
    <row r="926" ht="15.75" customHeight="1">
      <c r="A926" s="20">
        <v>46170.0</v>
      </c>
      <c r="B926" s="20">
        <v>46170.0</v>
      </c>
      <c r="C926" s="20" t="s">
        <v>25</v>
      </c>
      <c r="D926" s="21" t="s">
        <v>49</v>
      </c>
      <c r="E926" s="21" t="s">
        <v>26</v>
      </c>
      <c r="F926" s="22">
        <v>0.09929398148148148</v>
      </c>
      <c r="G926" s="21" t="s">
        <v>33</v>
      </c>
      <c r="H926" s="80"/>
      <c r="I926" s="25"/>
      <c r="J926" s="26"/>
      <c r="K926" s="21"/>
      <c r="L926" s="27">
        <v>46171.0</v>
      </c>
      <c r="M926" s="28">
        <v>0.20833333333333334</v>
      </c>
      <c r="N926" s="29" t="s">
        <v>57</v>
      </c>
      <c r="O926" s="29" t="s">
        <v>35</v>
      </c>
      <c r="P926" s="34" t="s">
        <v>36</v>
      </c>
      <c r="Q926" s="34" t="s">
        <v>1069</v>
      </c>
      <c r="R926" s="35">
        <v>46171.0</v>
      </c>
      <c r="S926" s="32" t="s">
        <v>29</v>
      </c>
      <c r="T926" s="33"/>
      <c r="U926" s="33"/>
    </row>
    <row r="927" ht="15.75" customHeight="1">
      <c r="A927" s="20">
        <v>46170.0</v>
      </c>
      <c r="B927" s="20">
        <v>46170.0</v>
      </c>
      <c r="C927" s="20" t="s">
        <v>25</v>
      </c>
      <c r="D927" s="21" t="s">
        <v>39</v>
      </c>
      <c r="E927" s="21" t="s">
        <v>30</v>
      </c>
      <c r="F927" s="22">
        <v>0.0060416666666666665</v>
      </c>
      <c r="G927" s="21" t="s">
        <v>33</v>
      </c>
      <c r="H927" s="80"/>
      <c r="I927" s="25"/>
      <c r="J927" s="26"/>
      <c r="K927" s="21"/>
      <c r="L927" s="27">
        <v>46170.0</v>
      </c>
      <c r="M927" s="28">
        <v>0.017361111111111112</v>
      </c>
      <c r="N927" s="29" t="s">
        <v>39</v>
      </c>
      <c r="O927" s="29" t="s">
        <v>35</v>
      </c>
      <c r="P927" s="34" t="s">
        <v>36</v>
      </c>
      <c r="Q927" s="34" t="s">
        <v>1070</v>
      </c>
      <c r="R927" s="35">
        <v>46171.0</v>
      </c>
      <c r="S927" s="32" t="s">
        <v>29</v>
      </c>
      <c r="T927" s="33"/>
      <c r="U927" s="33"/>
    </row>
    <row r="928" ht="15.75" customHeight="1">
      <c r="A928" s="20">
        <v>46170.0</v>
      </c>
      <c r="B928" s="20">
        <v>46170.0</v>
      </c>
      <c r="C928" s="20" t="s">
        <v>25</v>
      </c>
      <c r="D928" s="21" t="s">
        <v>69</v>
      </c>
      <c r="E928" s="21" t="s">
        <v>32</v>
      </c>
      <c r="F928" s="22">
        <v>0.04767361111111111</v>
      </c>
      <c r="G928" s="21" t="s">
        <v>33</v>
      </c>
      <c r="H928" s="80"/>
      <c r="I928" s="25"/>
      <c r="J928" s="26"/>
      <c r="K928" s="21"/>
      <c r="L928" s="27">
        <v>46171.0</v>
      </c>
      <c r="M928" s="28">
        <v>0.1284722222222222</v>
      </c>
      <c r="N928" s="29" t="s">
        <v>59</v>
      </c>
      <c r="O928" s="29" t="s">
        <v>35</v>
      </c>
      <c r="P928" s="34" t="s">
        <v>36</v>
      </c>
      <c r="Q928" s="34" t="s">
        <v>1071</v>
      </c>
      <c r="R928" s="35">
        <v>46171.0</v>
      </c>
      <c r="S928" s="32" t="s">
        <v>29</v>
      </c>
      <c r="T928" s="33"/>
      <c r="U928" s="33"/>
    </row>
    <row r="929" ht="15.75" customHeight="1">
      <c r="A929" s="20">
        <v>46170.0</v>
      </c>
      <c r="B929" s="20">
        <v>46170.0</v>
      </c>
      <c r="C929" s="20" t="s">
        <v>25</v>
      </c>
      <c r="D929" s="21" t="s">
        <v>59</v>
      </c>
      <c r="E929" s="21" t="s">
        <v>38</v>
      </c>
      <c r="F929" s="22">
        <v>0.00863425925925926</v>
      </c>
      <c r="G929" s="21" t="s">
        <v>33</v>
      </c>
      <c r="H929" s="80"/>
      <c r="I929" s="25"/>
      <c r="J929" s="26"/>
      <c r="K929" s="21"/>
      <c r="L929" s="27">
        <v>46171.0</v>
      </c>
      <c r="M929" s="28">
        <v>0.041666666666666664</v>
      </c>
      <c r="N929" s="29" t="s">
        <v>69</v>
      </c>
      <c r="O929" s="29" t="s">
        <v>35</v>
      </c>
      <c r="P929" s="34" t="s">
        <v>36</v>
      </c>
      <c r="Q929" s="34">
        <v>1.2021352E7</v>
      </c>
      <c r="R929" s="35">
        <v>46171.0</v>
      </c>
      <c r="S929" s="32" t="s">
        <v>29</v>
      </c>
      <c r="T929" s="33"/>
      <c r="U929" s="33"/>
    </row>
    <row r="930" ht="16.5" customHeight="1">
      <c r="A930" s="20">
        <v>46170.0</v>
      </c>
      <c r="B930" s="20">
        <v>46170.0</v>
      </c>
      <c r="C930" s="20" t="s">
        <v>25</v>
      </c>
      <c r="D930" s="21" t="s">
        <v>59</v>
      </c>
      <c r="E930" s="21" t="s">
        <v>40</v>
      </c>
      <c r="F930" s="22">
        <v>0.018414351851851852</v>
      </c>
      <c r="G930" s="21" t="s">
        <v>33</v>
      </c>
      <c r="H930" s="80"/>
      <c r="I930" s="25"/>
      <c r="J930" s="26"/>
      <c r="K930" s="21"/>
      <c r="L930" s="27">
        <v>46171.0</v>
      </c>
      <c r="M930" s="28">
        <v>0.04861111111111111</v>
      </c>
      <c r="N930" s="29" t="s">
        <v>31</v>
      </c>
      <c r="O930" s="29" t="s">
        <v>35</v>
      </c>
      <c r="P930" s="34" t="s">
        <v>36</v>
      </c>
      <c r="Q930" s="34" t="s">
        <v>1072</v>
      </c>
      <c r="R930" s="35">
        <v>46171.0</v>
      </c>
      <c r="S930" s="32" t="s">
        <v>29</v>
      </c>
      <c r="T930" s="33"/>
      <c r="U930" s="33"/>
    </row>
    <row r="931" ht="15.75" customHeight="1">
      <c r="A931" s="20">
        <v>46170.0</v>
      </c>
      <c r="B931" s="20">
        <v>46170.0</v>
      </c>
      <c r="C931" s="20"/>
      <c r="D931" s="21"/>
      <c r="E931" s="21" t="s">
        <v>43</v>
      </c>
      <c r="F931" s="22">
        <v>0.016863425925925928</v>
      </c>
      <c r="G931" s="21" t="s">
        <v>33</v>
      </c>
      <c r="H931" s="80"/>
      <c r="I931" s="25"/>
      <c r="J931" s="26"/>
      <c r="K931" s="21"/>
      <c r="L931" s="27">
        <v>46196.0</v>
      </c>
      <c r="M931" s="28">
        <v>0.041666666666666664</v>
      </c>
      <c r="N931" s="29" t="s">
        <v>57</v>
      </c>
      <c r="O931" s="29" t="s">
        <v>35</v>
      </c>
      <c r="P931" s="34" t="s">
        <v>28</v>
      </c>
      <c r="Q931" s="34" t="s">
        <v>28</v>
      </c>
      <c r="R931" s="35" t="s">
        <v>28</v>
      </c>
      <c r="S931" s="32" t="s">
        <v>29</v>
      </c>
      <c r="T931" s="33"/>
      <c r="U931" s="33"/>
    </row>
    <row r="932" ht="15.75" customHeight="1">
      <c r="A932" s="20">
        <v>46171.0</v>
      </c>
      <c r="B932" s="20">
        <v>46171.0</v>
      </c>
      <c r="C932" s="20" t="s">
        <v>25</v>
      </c>
      <c r="D932" s="21" t="s">
        <v>49</v>
      </c>
      <c r="E932" s="21" t="s">
        <v>26</v>
      </c>
      <c r="F932" s="22">
        <v>0.0979513888888889</v>
      </c>
      <c r="G932" s="21" t="s">
        <v>33</v>
      </c>
      <c r="H932" s="80"/>
      <c r="I932" s="25"/>
      <c r="J932" s="26"/>
      <c r="K932" s="21"/>
      <c r="L932" s="27">
        <v>46174.0</v>
      </c>
      <c r="M932" s="28">
        <v>0.1875</v>
      </c>
      <c r="N932" s="29" t="s">
        <v>31</v>
      </c>
      <c r="O932" s="29" t="s">
        <v>35</v>
      </c>
      <c r="P932" s="34" t="s">
        <v>36</v>
      </c>
      <c r="Q932" s="34" t="s">
        <v>1073</v>
      </c>
      <c r="R932" s="35">
        <v>46174.0</v>
      </c>
      <c r="S932" s="32" t="s">
        <v>29</v>
      </c>
      <c r="T932" s="33"/>
      <c r="U932" s="33"/>
    </row>
    <row r="933" ht="16.5" customHeight="1">
      <c r="A933" s="20">
        <v>46171.0</v>
      </c>
      <c r="B933" s="20">
        <v>46171.0</v>
      </c>
      <c r="C933" s="20" t="s">
        <v>25</v>
      </c>
      <c r="D933" s="21" t="s">
        <v>57</v>
      </c>
      <c r="E933" s="21" t="s">
        <v>30</v>
      </c>
      <c r="F933" s="22">
        <v>0.0028125</v>
      </c>
      <c r="G933" s="21" t="s">
        <v>33</v>
      </c>
      <c r="H933" s="80"/>
      <c r="I933" s="25"/>
      <c r="J933" s="26"/>
      <c r="K933" s="21"/>
      <c r="L933" s="27">
        <v>46171.0</v>
      </c>
      <c r="M933" s="28">
        <v>0.008333333333333333</v>
      </c>
      <c r="N933" s="29" t="s">
        <v>57</v>
      </c>
      <c r="O933" s="29" t="s">
        <v>35</v>
      </c>
      <c r="P933" s="34" t="s">
        <v>36</v>
      </c>
      <c r="Q933" s="34" t="s">
        <v>1074</v>
      </c>
      <c r="R933" s="35">
        <v>46171.0</v>
      </c>
      <c r="S933" s="32" t="s">
        <v>29</v>
      </c>
      <c r="T933" s="33"/>
      <c r="U933" s="33"/>
    </row>
    <row r="934" ht="15.75" customHeight="1">
      <c r="A934" s="20">
        <v>46171.0</v>
      </c>
      <c r="B934" s="20">
        <v>46171.0</v>
      </c>
      <c r="C934" s="20" t="s">
        <v>25</v>
      </c>
      <c r="D934" s="21" t="s">
        <v>69</v>
      </c>
      <c r="E934" s="21" t="s">
        <v>32</v>
      </c>
      <c r="F934" s="22">
        <v>0.044780092592592594</v>
      </c>
      <c r="G934" s="21" t="s">
        <v>33</v>
      </c>
      <c r="H934" s="149"/>
      <c r="I934" s="25"/>
      <c r="J934" s="26"/>
      <c r="K934" s="21" t="s">
        <v>1075</v>
      </c>
      <c r="L934" s="27">
        <v>46172.0</v>
      </c>
      <c r="M934" s="28">
        <v>0.11805555555555555</v>
      </c>
      <c r="N934" s="29" t="s">
        <v>57</v>
      </c>
      <c r="O934" s="29" t="s">
        <v>35</v>
      </c>
      <c r="P934" s="34" t="s">
        <v>53</v>
      </c>
      <c r="Q934" s="99" t="s">
        <v>1076</v>
      </c>
      <c r="R934" s="35">
        <v>46176.0</v>
      </c>
      <c r="S934" s="32" t="s">
        <v>29</v>
      </c>
      <c r="T934" s="33"/>
      <c r="U934" s="33"/>
    </row>
    <row r="935" ht="15.75" customHeight="1">
      <c r="A935" s="20">
        <v>46171.0</v>
      </c>
      <c r="B935" s="20">
        <v>46171.0</v>
      </c>
      <c r="C935" s="20" t="s">
        <v>25</v>
      </c>
      <c r="D935" s="21" t="s">
        <v>39</v>
      </c>
      <c r="E935" s="21" t="s">
        <v>38</v>
      </c>
      <c r="F935" s="22">
        <v>0.00986111111111111</v>
      </c>
      <c r="G935" s="21" t="s">
        <v>33</v>
      </c>
      <c r="H935" s="149"/>
      <c r="I935" s="25"/>
      <c r="J935" s="26"/>
      <c r="K935" s="21"/>
      <c r="L935" s="27">
        <v>46174.0</v>
      </c>
      <c r="M935" s="28">
        <v>0.022222222222222223</v>
      </c>
      <c r="N935" s="29" t="s">
        <v>49</v>
      </c>
      <c r="O935" s="29" t="s">
        <v>35</v>
      </c>
      <c r="P935" s="34" t="s">
        <v>36</v>
      </c>
      <c r="Q935" s="34">
        <v>1.2021353E7</v>
      </c>
      <c r="R935" s="35">
        <v>46174.0</v>
      </c>
      <c r="S935" s="32" t="s">
        <v>29</v>
      </c>
      <c r="T935" s="33"/>
      <c r="U935" s="33"/>
    </row>
    <row r="936" ht="15.75" customHeight="1">
      <c r="A936" s="20">
        <v>46171.0</v>
      </c>
      <c r="B936" s="20">
        <v>46171.0</v>
      </c>
      <c r="C936" s="20" t="s">
        <v>25</v>
      </c>
      <c r="D936" s="21" t="s">
        <v>39</v>
      </c>
      <c r="E936" s="21" t="s">
        <v>40</v>
      </c>
      <c r="F936" s="22">
        <v>0.020162037037037037</v>
      </c>
      <c r="G936" s="21" t="s">
        <v>33</v>
      </c>
      <c r="H936" s="149"/>
      <c r="I936" s="25"/>
      <c r="J936" s="26"/>
      <c r="K936" s="21"/>
      <c r="L936" s="27">
        <v>46174.0</v>
      </c>
      <c r="M936" s="28">
        <v>0.04861111111111111</v>
      </c>
      <c r="N936" s="29" t="s">
        <v>49</v>
      </c>
      <c r="O936" s="29" t="s">
        <v>35</v>
      </c>
      <c r="P936" s="34" t="s">
        <v>36</v>
      </c>
      <c r="Q936" s="34" t="s">
        <v>1077</v>
      </c>
      <c r="R936" s="35">
        <v>46174.0</v>
      </c>
      <c r="S936" s="32" t="s">
        <v>29</v>
      </c>
      <c r="T936" s="33"/>
      <c r="U936" s="33"/>
    </row>
    <row r="937" ht="15.75" customHeight="1">
      <c r="A937" s="20">
        <v>46171.0</v>
      </c>
      <c r="B937" s="20">
        <v>46171.0</v>
      </c>
      <c r="C937" s="20"/>
      <c r="D937" s="21"/>
      <c r="E937" s="21" t="s">
        <v>43</v>
      </c>
      <c r="F937" s="22">
        <v>0.0178125</v>
      </c>
      <c r="G937" s="21" t="s">
        <v>33</v>
      </c>
      <c r="H937" s="149"/>
      <c r="I937" s="25"/>
      <c r="J937" s="26"/>
      <c r="K937" s="21"/>
      <c r="L937" s="27">
        <v>46174.0</v>
      </c>
      <c r="M937" s="28">
        <v>0.041666666666666664</v>
      </c>
      <c r="N937" s="29" t="s">
        <v>59</v>
      </c>
      <c r="O937" s="29" t="s">
        <v>35</v>
      </c>
      <c r="P937" s="34" t="s">
        <v>28</v>
      </c>
      <c r="Q937" s="34" t="s">
        <v>28</v>
      </c>
      <c r="R937" s="35" t="s">
        <v>28</v>
      </c>
      <c r="S937" s="32" t="s">
        <v>29</v>
      </c>
      <c r="T937" s="33"/>
      <c r="U937" s="33"/>
    </row>
    <row r="938" ht="15.75" customHeight="1">
      <c r="A938" s="55">
        <v>46172.0</v>
      </c>
      <c r="B938" s="55">
        <v>46172.0</v>
      </c>
      <c r="C938" s="55" t="s">
        <v>25</v>
      </c>
      <c r="D938" s="56" t="s">
        <v>57</v>
      </c>
      <c r="E938" s="56" t="s">
        <v>32</v>
      </c>
      <c r="F938" s="57">
        <v>0.05</v>
      </c>
      <c r="G938" s="56" t="s">
        <v>33</v>
      </c>
      <c r="H938" s="149"/>
      <c r="I938" s="25"/>
      <c r="J938" s="26"/>
      <c r="K938" s="21"/>
      <c r="L938" s="27">
        <v>46174.0</v>
      </c>
      <c r="M938" s="28">
        <v>0.11458333333333333</v>
      </c>
      <c r="N938" s="29" t="s">
        <v>57</v>
      </c>
      <c r="O938" s="29" t="s">
        <v>35</v>
      </c>
      <c r="P938" s="34" t="s">
        <v>36</v>
      </c>
      <c r="Q938" s="34" t="s">
        <v>1078</v>
      </c>
      <c r="R938" s="35">
        <v>46174.0</v>
      </c>
      <c r="S938" s="32" t="s">
        <v>29</v>
      </c>
      <c r="T938" s="33"/>
      <c r="U938" s="33"/>
    </row>
    <row r="939" ht="15.75" customHeight="1">
      <c r="A939" s="55">
        <v>46172.0</v>
      </c>
      <c r="B939" s="55">
        <v>46172.0</v>
      </c>
      <c r="C939" s="55" t="s">
        <v>25</v>
      </c>
      <c r="D939" s="56" t="s">
        <v>59</v>
      </c>
      <c r="E939" s="56" t="s">
        <v>40</v>
      </c>
      <c r="F939" s="57">
        <v>0.011307870370370371</v>
      </c>
      <c r="G939" s="56" t="s">
        <v>33</v>
      </c>
      <c r="H939" s="149"/>
      <c r="I939" s="25"/>
      <c r="J939" s="26"/>
      <c r="K939" s="21"/>
      <c r="L939" s="27">
        <v>46174.0</v>
      </c>
      <c r="M939" s="28">
        <v>0.041666666666666664</v>
      </c>
      <c r="N939" s="29" t="s">
        <v>59</v>
      </c>
      <c r="O939" s="29" t="s">
        <v>35</v>
      </c>
      <c r="P939" s="34" t="s">
        <v>36</v>
      </c>
      <c r="Q939" s="34" t="s">
        <v>1079</v>
      </c>
      <c r="R939" s="35">
        <v>46174.0</v>
      </c>
      <c r="S939" s="32" t="s">
        <v>29</v>
      </c>
      <c r="T939" s="33"/>
      <c r="U939" s="33"/>
    </row>
    <row r="940" ht="15.75" customHeight="1">
      <c r="A940" s="55">
        <v>46172.0</v>
      </c>
      <c r="B940" s="55">
        <v>46172.0</v>
      </c>
      <c r="C940" s="55"/>
      <c r="D940" s="56"/>
      <c r="E940" s="56" t="s">
        <v>43</v>
      </c>
      <c r="F940" s="57">
        <v>0.005324074074074074</v>
      </c>
      <c r="G940" s="56" t="s">
        <v>33</v>
      </c>
      <c r="H940" s="149"/>
      <c r="I940" s="25"/>
      <c r="J940" s="26"/>
      <c r="K940" s="21"/>
      <c r="L940" s="27">
        <v>46176.0</v>
      </c>
      <c r="M940" s="28">
        <v>0.013888888888888888</v>
      </c>
      <c r="N940" s="29" t="s">
        <v>31</v>
      </c>
      <c r="O940" s="29" t="s">
        <v>35</v>
      </c>
      <c r="P940" s="34" t="s">
        <v>28</v>
      </c>
      <c r="Q940" s="34" t="s">
        <v>28</v>
      </c>
      <c r="R940" s="35" t="s">
        <v>28</v>
      </c>
      <c r="S940" s="32" t="s">
        <v>29</v>
      </c>
      <c r="T940" s="33"/>
      <c r="U940" s="33"/>
    </row>
    <row r="941" ht="15.75" customHeight="1">
      <c r="A941" s="55">
        <v>46172.0</v>
      </c>
      <c r="B941" s="55">
        <v>46172.0</v>
      </c>
      <c r="C941" s="55"/>
      <c r="D941" s="56"/>
      <c r="E941" s="56" t="s">
        <v>61</v>
      </c>
      <c r="F941" s="57"/>
      <c r="G941" s="59" t="s">
        <v>102</v>
      </c>
      <c r="H941" s="149"/>
      <c r="I941" s="25"/>
      <c r="J941" s="26"/>
      <c r="K941" s="21"/>
      <c r="L941" s="27"/>
      <c r="M941" s="28"/>
      <c r="N941" s="29"/>
      <c r="O941" s="29"/>
      <c r="P941" s="30" t="s">
        <v>28</v>
      </c>
      <c r="Q941" s="152" t="s">
        <v>28</v>
      </c>
      <c r="R941" s="31" t="s">
        <v>28</v>
      </c>
      <c r="S941" s="32" t="s">
        <v>29</v>
      </c>
      <c r="T941" s="33"/>
      <c r="U941" s="33"/>
    </row>
    <row r="942" ht="15.75" customHeight="1">
      <c r="A942" s="55">
        <v>46172.0</v>
      </c>
      <c r="B942" s="55">
        <v>46172.0</v>
      </c>
      <c r="C942" s="55"/>
      <c r="D942" s="56"/>
      <c r="E942" s="56" t="s">
        <v>62</v>
      </c>
      <c r="F942" s="57"/>
      <c r="G942" s="59" t="s">
        <v>102</v>
      </c>
      <c r="H942" s="149"/>
      <c r="I942" s="25"/>
      <c r="J942" s="26"/>
      <c r="K942" s="21"/>
      <c r="L942" s="27"/>
      <c r="M942" s="28"/>
      <c r="N942" s="29"/>
      <c r="O942" s="29"/>
      <c r="P942" s="30" t="s">
        <v>28</v>
      </c>
      <c r="Q942" s="30" t="s">
        <v>28</v>
      </c>
      <c r="R942" s="31" t="s">
        <v>28</v>
      </c>
      <c r="S942" s="32" t="s">
        <v>29</v>
      </c>
      <c r="T942" s="33"/>
      <c r="U942" s="33"/>
    </row>
    <row r="943" ht="15.75" customHeight="1">
      <c r="A943" s="120">
        <v>46172.0</v>
      </c>
      <c r="B943" s="120">
        <v>46172.0</v>
      </c>
      <c r="C943" s="120" t="s">
        <v>25</v>
      </c>
      <c r="D943" s="82" t="s">
        <v>39</v>
      </c>
      <c r="E943" s="82" t="s">
        <v>63</v>
      </c>
      <c r="F943" s="121">
        <v>0.02744212962962963</v>
      </c>
      <c r="G943" s="82" t="s">
        <v>33</v>
      </c>
      <c r="H943" s="150" t="s">
        <v>1080</v>
      </c>
      <c r="I943" s="40" t="s">
        <v>46</v>
      </c>
      <c r="J943" s="41">
        <v>46174.0</v>
      </c>
      <c r="K943" s="37" t="s">
        <v>1081</v>
      </c>
      <c r="L943" s="27">
        <v>46188.0</v>
      </c>
      <c r="M943" s="28">
        <v>0.06597222222222222</v>
      </c>
      <c r="N943" s="29" t="s">
        <v>59</v>
      </c>
      <c r="O943" s="29" t="s">
        <v>35</v>
      </c>
      <c r="P943" s="34" t="s">
        <v>53</v>
      </c>
      <c r="Q943" s="34" t="s">
        <v>1082</v>
      </c>
      <c r="R943" s="35">
        <v>46176.0</v>
      </c>
      <c r="S943" s="32" t="s">
        <v>29</v>
      </c>
      <c r="T943" s="33"/>
      <c r="U943" s="33"/>
    </row>
    <row r="944" ht="15.75" customHeight="1">
      <c r="A944" s="60">
        <v>46173.0</v>
      </c>
      <c r="B944" s="60">
        <v>46173.0</v>
      </c>
      <c r="C944" s="60" t="s">
        <v>25</v>
      </c>
      <c r="D944" s="61" t="s">
        <v>57</v>
      </c>
      <c r="E944" s="61" t="s">
        <v>66</v>
      </c>
      <c r="F944" s="62">
        <v>0.01925925925925926</v>
      </c>
      <c r="G944" s="61" t="s">
        <v>33</v>
      </c>
      <c r="H944" s="149" t="s">
        <v>1083</v>
      </c>
      <c r="I944" s="25"/>
      <c r="J944" s="26"/>
      <c r="K944" s="21" t="s">
        <v>1083</v>
      </c>
      <c r="L944" s="27">
        <v>46176.0</v>
      </c>
      <c r="M944" s="28">
        <v>0.020833333333333332</v>
      </c>
      <c r="N944" s="29" t="s">
        <v>69</v>
      </c>
      <c r="O944" s="29" t="s">
        <v>35</v>
      </c>
      <c r="P944" s="34" t="s">
        <v>36</v>
      </c>
      <c r="Q944" s="34" t="s">
        <v>1084</v>
      </c>
      <c r="R944" s="79">
        <v>46182.0</v>
      </c>
      <c r="S944" s="32" t="s">
        <v>29</v>
      </c>
      <c r="T944" s="33"/>
      <c r="U944" s="33"/>
    </row>
    <row r="945" ht="15.75" customHeight="1">
      <c r="A945" s="20">
        <v>46174.0</v>
      </c>
      <c r="B945" s="20">
        <v>46174.0</v>
      </c>
      <c r="C945" s="20" t="s">
        <v>25</v>
      </c>
      <c r="D945" s="21" t="s">
        <v>49</v>
      </c>
      <c r="E945" s="21" t="s">
        <v>26</v>
      </c>
      <c r="F945" s="22">
        <v>0.10043981481481482</v>
      </c>
      <c r="G945" s="21" t="s">
        <v>33</v>
      </c>
      <c r="H945" s="149"/>
      <c r="I945" s="25"/>
      <c r="J945" s="26"/>
      <c r="K945" s="21"/>
      <c r="L945" s="27">
        <v>46175.0</v>
      </c>
      <c r="M945" s="28">
        <v>0.20833333333333334</v>
      </c>
      <c r="N945" s="29" t="s">
        <v>31</v>
      </c>
      <c r="O945" s="29" t="s">
        <v>35</v>
      </c>
      <c r="P945" s="34" t="s">
        <v>53</v>
      </c>
      <c r="Q945" s="34" t="s">
        <v>1085</v>
      </c>
      <c r="R945" s="35">
        <v>46176.0</v>
      </c>
      <c r="S945" s="32" t="s">
        <v>29</v>
      </c>
      <c r="T945" s="33"/>
      <c r="U945" s="33"/>
    </row>
    <row r="946" ht="15.75" customHeight="1">
      <c r="A946" s="20">
        <v>46174.0</v>
      </c>
      <c r="B946" s="20">
        <v>46174.0</v>
      </c>
      <c r="C946" s="20" t="s">
        <v>25</v>
      </c>
      <c r="D946" s="21" t="s">
        <v>31</v>
      </c>
      <c r="E946" s="21" t="s">
        <v>30</v>
      </c>
      <c r="F946" s="22">
        <v>0.005150462962962963</v>
      </c>
      <c r="G946" s="21" t="s">
        <v>33</v>
      </c>
      <c r="H946" s="149"/>
      <c r="I946" s="25"/>
      <c r="J946" s="26"/>
      <c r="K946" s="21"/>
      <c r="L946" s="27">
        <v>46174.0</v>
      </c>
      <c r="M946" s="28">
        <v>0.013888888888888888</v>
      </c>
      <c r="N946" s="29" t="s">
        <v>31</v>
      </c>
      <c r="O946" s="29" t="s">
        <v>35</v>
      </c>
      <c r="P946" s="34" t="s">
        <v>53</v>
      </c>
      <c r="Q946" s="34" t="s">
        <v>1086</v>
      </c>
      <c r="R946" s="35">
        <v>46176.0</v>
      </c>
      <c r="S946" s="32" t="s">
        <v>29</v>
      </c>
      <c r="T946" s="33"/>
      <c r="U946" s="33"/>
    </row>
    <row r="947" ht="15.75" customHeight="1">
      <c r="A947" s="20">
        <v>46174.0</v>
      </c>
      <c r="B947" s="20">
        <v>46174.0</v>
      </c>
      <c r="C947" s="20" t="s">
        <v>25</v>
      </c>
      <c r="D947" s="21" t="s">
        <v>39</v>
      </c>
      <c r="E947" s="21" t="s">
        <v>32</v>
      </c>
      <c r="F947" s="22">
        <v>0.049618055555555554</v>
      </c>
      <c r="G947" s="21" t="s">
        <v>33</v>
      </c>
      <c r="H947" s="149"/>
      <c r="I947" s="25"/>
      <c r="J947" s="26"/>
      <c r="K947" s="21"/>
      <c r="L947" s="27">
        <v>46175.0</v>
      </c>
      <c r="M947" s="28">
        <v>0.125</v>
      </c>
      <c r="N947" s="29" t="s">
        <v>57</v>
      </c>
      <c r="O947" s="29" t="s">
        <v>35</v>
      </c>
      <c r="P947" s="34" t="s">
        <v>53</v>
      </c>
      <c r="Q947" s="34" t="s">
        <v>1087</v>
      </c>
      <c r="R947" s="35">
        <v>46176.0</v>
      </c>
      <c r="S947" s="32" t="s">
        <v>29</v>
      </c>
      <c r="T947" s="33"/>
      <c r="U947" s="33"/>
    </row>
    <row r="948" ht="15.75" customHeight="1">
      <c r="A948" s="20">
        <v>46174.0</v>
      </c>
      <c r="B948" s="20">
        <v>46174.0</v>
      </c>
      <c r="C948" s="20" t="s">
        <v>25</v>
      </c>
      <c r="D948" s="21" t="s">
        <v>39</v>
      </c>
      <c r="E948" s="21" t="s">
        <v>38</v>
      </c>
      <c r="F948" s="22">
        <v>0.00863425925925926</v>
      </c>
      <c r="G948" s="21" t="s">
        <v>33</v>
      </c>
      <c r="H948" s="149"/>
      <c r="I948" s="25"/>
      <c r="J948" s="26"/>
      <c r="K948" s="21"/>
      <c r="L948" s="27">
        <v>46175.0</v>
      </c>
      <c r="M948" s="28">
        <v>0.024305555555555556</v>
      </c>
      <c r="N948" s="29" t="s">
        <v>69</v>
      </c>
      <c r="O948" s="29" t="s">
        <v>35</v>
      </c>
      <c r="P948" s="34" t="s">
        <v>53</v>
      </c>
      <c r="Q948" s="34">
        <v>1.2047544E7</v>
      </c>
      <c r="R948" s="35">
        <v>46176.0</v>
      </c>
      <c r="S948" s="32" t="s">
        <v>29</v>
      </c>
      <c r="T948" s="33"/>
      <c r="U948" s="33"/>
    </row>
    <row r="949" ht="15.75" customHeight="1">
      <c r="A949" s="20">
        <v>46174.0</v>
      </c>
      <c r="B949" s="20">
        <v>46174.0</v>
      </c>
      <c r="C949" s="20" t="s">
        <v>25</v>
      </c>
      <c r="D949" s="21" t="s">
        <v>39</v>
      </c>
      <c r="E949" s="21" t="s">
        <v>40</v>
      </c>
      <c r="F949" s="22">
        <v>0.01855324074074074</v>
      </c>
      <c r="G949" s="21" t="s">
        <v>33</v>
      </c>
      <c r="H949" s="149"/>
      <c r="I949" s="25"/>
      <c r="J949" s="26"/>
      <c r="K949" s="21"/>
      <c r="L949" s="27">
        <v>46175.0</v>
      </c>
      <c r="M949" s="28">
        <v>0.06944444444444445</v>
      </c>
      <c r="N949" s="29" t="s">
        <v>49</v>
      </c>
      <c r="O949" s="29" t="s">
        <v>35</v>
      </c>
      <c r="P949" s="34" t="s">
        <v>53</v>
      </c>
      <c r="Q949" s="34" t="s">
        <v>1088</v>
      </c>
      <c r="R949" s="35">
        <v>46176.0</v>
      </c>
      <c r="S949" s="32" t="s">
        <v>29</v>
      </c>
      <c r="T949" s="33"/>
      <c r="U949" s="33"/>
    </row>
    <row r="950" ht="15.75" customHeight="1">
      <c r="A950" s="20">
        <v>46174.0</v>
      </c>
      <c r="B950" s="20">
        <v>46174.0</v>
      </c>
      <c r="C950" s="20"/>
      <c r="D950" s="21"/>
      <c r="E950" s="21" t="s">
        <v>43</v>
      </c>
      <c r="F950" s="22">
        <v>0.015775462962962963</v>
      </c>
      <c r="G950" s="21" t="s">
        <v>33</v>
      </c>
      <c r="H950" s="149"/>
      <c r="I950" s="25"/>
      <c r="J950" s="26"/>
      <c r="K950" s="21"/>
      <c r="L950" s="27">
        <v>46185.0</v>
      </c>
      <c r="M950" s="28">
        <v>0.034722222222222224</v>
      </c>
      <c r="N950" s="29" t="s">
        <v>59</v>
      </c>
      <c r="O950" s="29" t="s">
        <v>35</v>
      </c>
      <c r="P950" s="34" t="s">
        <v>28</v>
      </c>
      <c r="Q950" s="99" t="s">
        <v>28</v>
      </c>
      <c r="R950" s="35" t="s">
        <v>28</v>
      </c>
      <c r="S950" s="32" t="s">
        <v>29</v>
      </c>
      <c r="T950" s="33"/>
      <c r="U950" s="33"/>
    </row>
    <row r="951" ht="15.75" customHeight="1">
      <c r="A951" s="36">
        <v>46175.0</v>
      </c>
      <c r="B951" s="36">
        <v>46175.0</v>
      </c>
      <c r="C951" s="36" t="s">
        <v>25</v>
      </c>
      <c r="D951" s="37" t="s">
        <v>49</v>
      </c>
      <c r="E951" s="37" t="s">
        <v>26</v>
      </c>
      <c r="F951" s="38">
        <v>0.10106481481481482</v>
      </c>
      <c r="G951" s="37" t="s">
        <v>33</v>
      </c>
      <c r="H951" s="150"/>
      <c r="I951" s="40"/>
      <c r="J951" s="41"/>
      <c r="K951" s="37"/>
      <c r="L951" s="42">
        <v>46176.0</v>
      </c>
      <c r="M951" s="43">
        <v>0.19791666666666666</v>
      </c>
      <c r="N951" s="44" t="s">
        <v>59</v>
      </c>
      <c r="O951" s="44" t="s">
        <v>35</v>
      </c>
      <c r="P951" s="34" t="s">
        <v>53</v>
      </c>
      <c r="Q951" s="45" t="s">
        <v>1089</v>
      </c>
      <c r="R951" s="35">
        <v>46176.0</v>
      </c>
      <c r="S951" s="54" t="s">
        <v>29</v>
      </c>
      <c r="T951" s="33"/>
      <c r="U951" s="33"/>
    </row>
    <row r="952" ht="15.75" customHeight="1">
      <c r="A952" s="20">
        <v>46175.0</v>
      </c>
      <c r="B952" s="20">
        <v>46175.0</v>
      </c>
      <c r="C952" s="20" t="s">
        <v>25</v>
      </c>
      <c r="D952" s="21" t="s">
        <v>31</v>
      </c>
      <c r="E952" s="21" t="s">
        <v>30</v>
      </c>
      <c r="F952" s="22">
        <v>0.002916666666666667</v>
      </c>
      <c r="G952" s="21" t="s">
        <v>33</v>
      </c>
      <c r="H952" s="149"/>
      <c r="I952" s="25"/>
      <c r="J952" s="26"/>
      <c r="K952" s="21"/>
      <c r="L952" s="27">
        <v>46175.0</v>
      </c>
      <c r="M952" s="28">
        <v>0.006944444444444444</v>
      </c>
      <c r="N952" s="29" t="s">
        <v>31</v>
      </c>
      <c r="O952" s="29" t="s">
        <v>35</v>
      </c>
      <c r="P952" s="34" t="s">
        <v>53</v>
      </c>
      <c r="Q952" s="34" t="s">
        <v>1090</v>
      </c>
      <c r="R952" s="35">
        <v>46176.0</v>
      </c>
      <c r="S952" s="32" t="s">
        <v>29</v>
      </c>
      <c r="T952" s="33"/>
      <c r="U952" s="33"/>
    </row>
    <row r="953" ht="15.75" customHeight="1">
      <c r="A953" s="20">
        <v>46175.0</v>
      </c>
      <c r="B953" s="20">
        <v>46175.0</v>
      </c>
      <c r="C953" s="20" t="s">
        <v>25</v>
      </c>
      <c r="D953" s="21" t="s">
        <v>69</v>
      </c>
      <c r="E953" s="21" t="s">
        <v>32</v>
      </c>
      <c r="F953" s="22">
        <v>0.049791666666666665</v>
      </c>
      <c r="G953" s="21" t="s">
        <v>33</v>
      </c>
      <c r="H953" s="149"/>
      <c r="I953" s="25"/>
      <c r="J953" s="26"/>
      <c r="K953" s="21"/>
      <c r="L953" s="27">
        <v>46176.0</v>
      </c>
      <c r="M953" s="28">
        <v>0.125</v>
      </c>
      <c r="N953" s="29" t="s">
        <v>57</v>
      </c>
      <c r="O953" s="29" t="s">
        <v>35</v>
      </c>
      <c r="P953" s="34" t="s">
        <v>53</v>
      </c>
      <c r="Q953" s="34" t="s">
        <v>1091</v>
      </c>
      <c r="R953" s="35">
        <v>46176.0</v>
      </c>
      <c r="S953" s="32" t="s">
        <v>29</v>
      </c>
      <c r="T953" s="33"/>
      <c r="U953" s="33"/>
    </row>
    <row r="954" ht="15.75" customHeight="1">
      <c r="A954" s="20">
        <v>46175.0</v>
      </c>
      <c r="B954" s="20">
        <v>46175.0</v>
      </c>
      <c r="C954" s="20" t="s">
        <v>25</v>
      </c>
      <c r="D954" s="21" t="s">
        <v>39</v>
      </c>
      <c r="E954" s="21" t="s">
        <v>38</v>
      </c>
      <c r="F954" s="22">
        <v>0.009768518518518518</v>
      </c>
      <c r="G954" s="21" t="s">
        <v>33</v>
      </c>
      <c r="H954" s="149"/>
      <c r="I954" s="25"/>
      <c r="J954" s="26"/>
      <c r="K954" s="21"/>
      <c r="L954" s="27"/>
      <c r="M954" s="28"/>
      <c r="N954" s="29" t="s">
        <v>69</v>
      </c>
      <c r="O954" s="29"/>
      <c r="P954" s="34" t="s">
        <v>53</v>
      </c>
      <c r="Q954" s="34">
        <v>1.2047545E7</v>
      </c>
      <c r="R954" s="35">
        <v>46176.0</v>
      </c>
      <c r="S954" s="32" t="s">
        <v>29</v>
      </c>
      <c r="T954" s="33"/>
      <c r="U954" s="33"/>
    </row>
    <row r="955" ht="15.75" customHeight="1">
      <c r="A955" s="20">
        <v>46175.0</v>
      </c>
      <c r="B955" s="20">
        <v>46175.0</v>
      </c>
      <c r="C955" s="20" t="s">
        <v>25</v>
      </c>
      <c r="D955" s="21" t="s">
        <v>39</v>
      </c>
      <c r="E955" s="21" t="s">
        <v>40</v>
      </c>
      <c r="F955" s="22">
        <v>0.019583333333333335</v>
      </c>
      <c r="G955" s="21" t="s">
        <v>33</v>
      </c>
      <c r="H955" s="149"/>
      <c r="I955" s="25"/>
      <c r="J955" s="26"/>
      <c r="K955" s="21"/>
      <c r="L955" s="27">
        <v>46176.0</v>
      </c>
      <c r="M955" s="28">
        <v>0.0625</v>
      </c>
      <c r="N955" s="29" t="s">
        <v>49</v>
      </c>
      <c r="O955" s="29" t="s">
        <v>35</v>
      </c>
      <c r="P955" s="34" t="s">
        <v>53</v>
      </c>
      <c r="Q955" s="34" t="s">
        <v>1092</v>
      </c>
      <c r="R955" s="35">
        <v>46176.0</v>
      </c>
      <c r="S955" s="32" t="s">
        <v>29</v>
      </c>
      <c r="T955" s="33"/>
      <c r="U955" s="33"/>
    </row>
    <row r="956" ht="15.75" customHeight="1">
      <c r="A956" s="20">
        <v>46175.0</v>
      </c>
      <c r="B956" s="20">
        <v>46175.0</v>
      </c>
      <c r="C956" s="20"/>
      <c r="D956" s="21"/>
      <c r="E956" s="21" t="s">
        <v>43</v>
      </c>
      <c r="F956" s="22">
        <v>0.015011574074074075</v>
      </c>
      <c r="G956" s="21" t="s">
        <v>33</v>
      </c>
      <c r="H956" s="149"/>
      <c r="I956" s="25"/>
      <c r="J956" s="26"/>
      <c r="K956" s="21"/>
      <c r="L956" s="27">
        <v>46185.0</v>
      </c>
      <c r="M956" s="28">
        <v>0.03125</v>
      </c>
      <c r="N956" s="29" t="s">
        <v>59</v>
      </c>
      <c r="O956" s="29" t="s">
        <v>35</v>
      </c>
      <c r="P956" s="34" t="s">
        <v>28</v>
      </c>
      <c r="Q956" s="34" t="s">
        <v>28</v>
      </c>
      <c r="R956" s="35" t="s">
        <v>28</v>
      </c>
      <c r="S956" s="32" t="s">
        <v>29</v>
      </c>
      <c r="T956" s="33"/>
      <c r="U956" s="33"/>
    </row>
    <row r="957" ht="15.75" customHeight="1">
      <c r="A957" s="20">
        <v>46176.0</v>
      </c>
      <c r="B957" s="20">
        <v>46176.0</v>
      </c>
      <c r="C957" s="20" t="s">
        <v>25</v>
      </c>
      <c r="D957" s="21" t="s">
        <v>49</v>
      </c>
      <c r="E957" s="21" t="s">
        <v>26</v>
      </c>
      <c r="F957" s="22">
        <v>0.10030092592592593</v>
      </c>
      <c r="G957" s="21" t="s">
        <v>33</v>
      </c>
      <c r="H957" s="149"/>
      <c r="I957" s="25"/>
      <c r="J957" s="26"/>
      <c r="K957" s="21"/>
      <c r="L957" s="27">
        <v>46177.0</v>
      </c>
      <c r="M957" s="28">
        <v>0.20833333333333334</v>
      </c>
      <c r="N957" s="29" t="s">
        <v>57</v>
      </c>
      <c r="O957" s="29" t="s">
        <v>35</v>
      </c>
      <c r="P957" s="34" t="s">
        <v>53</v>
      </c>
      <c r="Q957" s="34" t="s">
        <v>1093</v>
      </c>
      <c r="R957" s="35">
        <v>46176.0</v>
      </c>
      <c r="S957" s="32" t="s">
        <v>29</v>
      </c>
      <c r="T957" s="33"/>
      <c r="U957" s="33"/>
    </row>
    <row r="958" ht="15.75" customHeight="1">
      <c r="A958" s="20">
        <v>46176.0</v>
      </c>
      <c r="B958" s="20">
        <v>46176.0</v>
      </c>
      <c r="C958" s="20" t="s">
        <v>25</v>
      </c>
      <c r="D958" s="21" t="s">
        <v>59</v>
      </c>
      <c r="E958" s="21" t="s">
        <v>30</v>
      </c>
      <c r="F958" s="22">
        <v>0.00375</v>
      </c>
      <c r="G958" s="21" t="s">
        <v>33</v>
      </c>
      <c r="H958" s="149"/>
      <c r="I958" s="25"/>
      <c r="J958" s="26"/>
      <c r="K958" s="21"/>
      <c r="L958" s="27">
        <v>46177.0</v>
      </c>
      <c r="M958" s="28">
        <v>0.008333333333333333</v>
      </c>
      <c r="N958" s="29" t="s">
        <v>59</v>
      </c>
      <c r="O958" s="29" t="s">
        <v>35</v>
      </c>
      <c r="P958" s="34" t="s">
        <v>36</v>
      </c>
      <c r="Q958" s="34" t="s">
        <v>1094</v>
      </c>
      <c r="R958" s="35">
        <v>46177.0</v>
      </c>
      <c r="S958" s="32" t="s">
        <v>29</v>
      </c>
      <c r="T958" s="33"/>
      <c r="U958" s="33"/>
    </row>
    <row r="959" ht="15.75" customHeight="1">
      <c r="A959" s="20">
        <v>46176.0</v>
      </c>
      <c r="B959" s="20">
        <v>46176.0</v>
      </c>
      <c r="C959" s="20" t="s">
        <v>25</v>
      </c>
      <c r="D959" s="21" t="s">
        <v>69</v>
      </c>
      <c r="E959" s="21" t="s">
        <v>32</v>
      </c>
      <c r="F959" s="22">
        <v>0.049479166666666664</v>
      </c>
      <c r="G959" s="21" t="s">
        <v>33</v>
      </c>
      <c r="H959" s="149"/>
      <c r="I959" s="25"/>
      <c r="J959" s="26"/>
      <c r="K959" s="21"/>
      <c r="L959" s="27">
        <v>46177.0</v>
      </c>
      <c r="M959" s="28">
        <v>0.0024305555555555556</v>
      </c>
      <c r="N959" s="29" t="s">
        <v>39</v>
      </c>
      <c r="O959" s="29" t="s">
        <v>35</v>
      </c>
      <c r="P959" s="34" t="s">
        <v>36</v>
      </c>
      <c r="Q959" s="34" t="s">
        <v>1095</v>
      </c>
      <c r="R959" s="35">
        <v>46177.0</v>
      </c>
      <c r="S959" s="32" t="s">
        <v>29</v>
      </c>
      <c r="T959" s="33"/>
      <c r="U959" s="33"/>
    </row>
    <row r="960" ht="15.75" customHeight="1">
      <c r="A960" s="20">
        <v>46176.0</v>
      </c>
      <c r="B960" s="20">
        <v>46176.0</v>
      </c>
      <c r="C960" s="20" t="s">
        <v>25</v>
      </c>
      <c r="D960" s="21" t="s">
        <v>39</v>
      </c>
      <c r="E960" s="21" t="s">
        <v>38</v>
      </c>
      <c r="F960" s="22">
        <v>0.009050925925925926</v>
      </c>
      <c r="G960" s="21" t="s">
        <v>33</v>
      </c>
      <c r="H960" s="149"/>
      <c r="I960" s="25"/>
      <c r="J960" s="26"/>
      <c r="K960" s="21"/>
      <c r="L960" s="27">
        <v>46178.0</v>
      </c>
      <c r="M960" s="28">
        <v>0.027777777777777776</v>
      </c>
      <c r="N960" s="29" t="s">
        <v>39</v>
      </c>
      <c r="O960" s="29" t="s">
        <v>35</v>
      </c>
      <c r="P960" s="34" t="s">
        <v>36</v>
      </c>
      <c r="Q960" s="34">
        <v>1.2047546E7</v>
      </c>
      <c r="R960" s="35">
        <v>46177.0</v>
      </c>
      <c r="S960" s="32" t="s">
        <v>29</v>
      </c>
      <c r="T960" s="33"/>
      <c r="U960" s="33"/>
    </row>
    <row r="961" ht="15.75" customHeight="1">
      <c r="A961" s="20">
        <v>46176.0</v>
      </c>
      <c r="B961" s="20">
        <v>46176.0</v>
      </c>
      <c r="C961" s="20" t="s">
        <v>25</v>
      </c>
      <c r="D961" s="21" t="s">
        <v>39</v>
      </c>
      <c r="E961" s="21" t="s">
        <v>40</v>
      </c>
      <c r="F961" s="22">
        <v>0.01880787037037037</v>
      </c>
      <c r="G961" s="37" t="s">
        <v>33</v>
      </c>
      <c r="H961" s="149"/>
      <c r="I961" s="25"/>
      <c r="J961" s="26"/>
      <c r="K961" s="21"/>
      <c r="L961" s="27">
        <v>46178.0</v>
      </c>
      <c r="M961" s="28">
        <v>0.06944444444444445</v>
      </c>
      <c r="N961" s="29" t="s">
        <v>39</v>
      </c>
      <c r="O961" s="29" t="s">
        <v>35</v>
      </c>
      <c r="P961" s="30" t="s">
        <v>36</v>
      </c>
      <c r="Q961" s="30" t="s">
        <v>1096</v>
      </c>
      <c r="R961" s="35">
        <v>46177.0</v>
      </c>
      <c r="S961" s="32" t="s">
        <v>29</v>
      </c>
      <c r="T961" s="33"/>
      <c r="U961" s="33"/>
    </row>
    <row r="962" ht="15.75" customHeight="1">
      <c r="A962" s="20">
        <v>46176.0</v>
      </c>
      <c r="B962" s="20">
        <v>46176.0</v>
      </c>
      <c r="C962" s="20"/>
      <c r="D962" s="21"/>
      <c r="E962" s="21" t="s">
        <v>43</v>
      </c>
      <c r="F962" s="22">
        <v>0.015868055555555555</v>
      </c>
      <c r="G962" s="21" t="s">
        <v>33</v>
      </c>
      <c r="H962" s="149"/>
      <c r="I962" s="25"/>
      <c r="J962" s="26"/>
      <c r="K962" s="21"/>
      <c r="L962" s="27">
        <v>46188.0</v>
      </c>
      <c r="M962" s="28">
        <v>0.03125</v>
      </c>
      <c r="N962" s="29" t="s">
        <v>59</v>
      </c>
      <c r="O962" s="29" t="s">
        <v>35</v>
      </c>
      <c r="P962" s="30" t="s">
        <v>28</v>
      </c>
      <c r="Q962" s="30" t="s">
        <v>28</v>
      </c>
      <c r="R962" s="31" t="s">
        <v>28</v>
      </c>
      <c r="S962" s="32" t="s">
        <v>29</v>
      </c>
      <c r="T962" s="33"/>
      <c r="U962" s="33"/>
    </row>
    <row r="963" ht="15.75" customHeight="1">
      <c r="A963" s="20">
        <v>46176.0</v>
      </c>
      <c r="B963" s="20">
        <v>46176.0</v>
      </c>
      <c r="C963" s="20" t="s">
        <v>25</v>
      </c>
      <c r="D963" s="21" t="s">
        <v>39</v>
      </c>
      <c r="E963" s="21" t="s">
        <v>87</v>
      </c>
      <c r="F963" s="22">
        <v>0.002800925925925926</v>
      </c>
      <c r="G963" s="21" t="s">
        <v>88</v>
      </c>
      <c r="H963" s="80" t="s">
        <v>1097</v>
      </c>
      <c r="I963" s="25" t="s">
        <v>46</v>
      </c>
      <c r="J963" s="26">
        <v>46176.0</v>
      </c>
      <c r="K963" s="21" t="s">
        <v>1098</v>
      </c>
      <c r="L963" s="27"/>
      <c r="M963" s="28"/>
      <c r="N963" s="29"/>
      <c r="O963" s="29"/>
      <c r="P963" s="34" t="s">
        <v>36</v>
      </c>
      <c r="Q963" s="34">
        <v>1.206362E7</v>
      </c>
      <c r="R963" s="35">
        <v>46178.0</v>
      </c>
      <c r="S963" s="32"/>
      <c r="T963" s="33"/>
      <c r="U963" s="33"/>
    </row>
    <row r="964" ht="15.75" customHeight="1">
      <c r="A964" s="20">
        <v>46176.0</v>
      </c>
      <c r="B964" s="20">
        <v>46176.0</v>
      </c>
      <c r="C964" s="20" t="s">
        <v>25</v>
      </c>
      <c r="D964" s="21" t="s">
        <v>39</v>
      </c>
      <c r="E964" s="21" t="s">
        <v>87</v>
      </c>
      <c r="F964" s="22">
        <v>0.002824074074074074</v>
      </c>
      <c r="G964" s="21" t="s">
        <v>88</v>
      </c>
      <c r="H964" s="149" t="s">
        <v>1099</v>
      </c>
      <c r="I964" s="25" t="s">
        <v>46</v>
      </c>
      <c r="J964" s="26">
        <v>46176.0</v>
      </c>
      <c r="K964" s="21" t="s">
        <v>1100</v>
      </c>
      <c r="L964" s="27"/>
      <c r="M964" s="28"/>
      <c r="N964" s="29"/>
      <c r="O964" s="29"/>
      <c r="P964" s="34" t="s">
        <v>36</v>
      </c>
      <c r="Q964" s="34">
        <v>1.2063621E7</v>
      </c>
      <c r="R964" s="35">
        <v>46178.0</v>
      </c>
      <c r="S964" s="32"/>
      <c r="T964" s="33"/>
      <c r="U964" s="33"/>
    </row>
    <row r="965" ht="15.75" customHeight="1">
      <c r="A965" s="20">
        <v>46177.0</v>
      </c>
      <c r="B965" s="20">
        <v>46177.0</v>
      </c>
      <c r="C965" s="20" t="s">
        <v>25</v>
      </c>
      <c r="D965" s="21" t="s">
        <v>57</v>
      </c>
      <c r="E965" s="21" t="s">
        <v>26</v>
      </c>
      <c r="F965" s="22">
        <v>0.10118055555555555</v>
      </c>
      <c r="G965" s="21" t="s">
        <v>33</v>
      </c>
      <c r="H965" s="149"/>
      <c r="I965" s="25"/>
      <c r="J965" s="26"/>
      <c r="K965" s="21"/>
      <c r="L965" s="27">
        <v>46178.0</v>
      </c>
      <c r="M965" s="28">
        <v>0.20833333333333334</v>
      </c>
      <c r="N965" s="29" t="s">
        <v>57</v>
      </c>
      <c r="O965" s="29" t="s">
        <v>35</v>
      </c>
      <c r="P965" s="34" t="s">
        <v>36</v>
      </c>
      <c r="Q965" s="34" t="s">
        <v>1101</v>
      </c>
      <c r="R965" s="35">
        <v>46178.0</v>
      </c>
      <c r="S965" s="32" t="s">
        <v>29</v>
      </c>
      <c r="T965" s="33"/>
      <c r="U965" s="33"/>
    </row>
    <row r="966" ht="15.75" customHeight="1">
      <c r="A966" s="20">
        <v>46177.0</v>
      </c>
      <c r="B966" s="20">
        <v>46177.0</v>
      </c>
      <c r="C966" s="20" t="s">
        <v>25</v>
      </c>
      <c r="D966" s="21" t="s">
        <v>57</v>
      </c>
      <c r="E966" s="21" t="s">
        <v>30</v>
      </c>
      <c r="F966" s="22">
        <v>0.0020717592592592593</v>
      </c>
      <c r="G966" s="21" t="s">
        <v>33</v>
      </c>
      <c r="H966" s="149"/>
      <c r="I966" s="25"/>
      <c r="J966" s="26"/>
      <c r="K966" s="21"/>
      <c r="L966" s="27">
        <v>46177.0</v>
      </c>
      <c r="M966" s="28">
        <v>0.006944444444444444</v>
      </c>
      <c r="N966" s="29" t="s">
        <v>57</v>
      </c>
      <c r="O966" s="29" t="s">
        <v>35</v>
      </c>
      <c r="P966" s="34" t="s">
        <v>36</v>
      </c>
      <c r="Q966" s="34" t="s">
        <v>1102</v>
      </c>
      <c r="R966" s="35">
        <v>46178.0</v>
      </c>
      <c r="S966" s="32" t="s">
        <v>29</v>
      </c>
      <c r="T966" s="33"/>
      <c r="U966" s="33"/>
    </row>
    <row r="967" ht="15.75" customHeight="1">
      <c r="A967" s="20">
        <v>46177.0</v>
      </c>
      <c r="B967" s="20">
        <v>46177.0</v>
      </c>
      <c r="C967" s="20" t="s">
        <v>25</v>
      </c>
      <c r="D967" s="21" t="s">
        <v>57</v>
      </c>
      <c r="E967" s="21" t="s">
        <v>32</v>
      </c>
      <c r="F967" s="22">
        <v>0.04960648148148148</v>
      </c>
      <c r="G967" s="21" t="s">
        <v>33</v>
      </c>
      <c r="H967" s="150"/>
      <c r="I967" s="40"/>
      <c r="J967" s="41"/>
      <c r="K967" s="37"/>
      <c r="L967" s="27">
        <v>46178.0</v>
      </c>
      <c r="M967" s="28">
        <v>0.1527777777777778</v>
      </c>
      <c r="N967" s="29" t="s">
        <v>39</v>
      </c>
      <c r="O967" s="29" t="s">
        <v>35</v>
      </c>
      <c r="P967" s="34" t="s">
        <v>36</v>
      </c>
      <c r="Q967" s="34" t="s">
        <v>1103</v>
      </c>
      <c r="R967" s="35">
        <v>46178.0</v>
      </c>
      <c r="S967" s="32" t="s">
        <v>29</v>
      </c>
      <c r="T967" s="33"/>
      <c r="U967" s="33"/>
    </row>
    <row r="968" ht="15.75" customHeight="1">
      <c r="A968" s="20">
        <v>46177.0</v>
      </c>
      <c r="B968" s="20">
        <v>46177.0</v>
      </c>
      <c r="C968" s="20" t="s">
        <v>25</v>
      </c>
      <c r="D968" s="21" t="s">
        <v>39</v>
      </c>
      <c r="E968" s="21" t="s">
        <v>38</v>
      </c>
      <c r="F968" s="22">
        <v>0.009097222222222222</v>
      </c>
      <c r="G968" s="21" t="s">
        <v>33</v>
      </c>
      <c r="H968" s="149"/>
      <c r="I968" s="25"/>
      <c r="J968" s="26"/>
      <c r="K968" s="21"/>
      <c r="L968" s="27">
        <v>46178.0</v>
      </c>
      <c r="M968" s="28">
        <v>0.02361111111111111</v>
      </c>
      <c r="N968" s="29" t="s">
        <v>49</v>
      </c>
      <c r="O968" s="29" t="s">
        <v>35</v>
      </c>
      <c r="P968" s="34" t="s">
        <v>36</v>
      </c>
      <c r="Q968" s="34">
        <v>1.2047547E7</v>
      </c>
      <c r="R968" s="35">
        <v>46178.0</v>
      </c>
      <c r="S968" s="32" t="s">
        <v>29</v>
      </c>
      <c r="T968" s="33"/>
      <c r="U968" s="33"/>
    </row>
    <row r="969" ht="15.75" customHeight="1">
      <c r="A969" s="20">
        <v>46177.0</v>
      </c>
      <c r="B969" s="20">
        <v>46177.0</v>
      </c>
      <c r="C969" s="20" t="s">
        <v>25</v>
      </c>
      <c r="D969" s="21" t="s">
        <v>39</v>
      </c>
      <c r="E969" s="21" t="s">
        <v>40</v>
      </c>
      <c r="F969" s="22">
        <v>0.017604166666666667</v>
      </c>
      <c r="G969" s="21" t="s">
        <v>33</v>
      </c>
      <c r="H969" s="149"/>
      <c r="I969" s="25"/>
      <c r="J969" s="26"/>
      <c r="K969" s="21"/>
      <c r="L969" s="27">
        <v>46178.0</v>
      </c>
      <c r="M969" s="28">
        <v>0.06319444444444444</v>
      </c>
      <c r="N969" s="29" t="s">
        <v>49</v>
      </c>
      <c r="O969" s="29" t="s">
        <v>35</v>
      </c>
      <c r="P969" s="34" t="s">
        <v>36</v>
      </c>
      <c r="Q969" s="99" t="s">
        <v>1104</v>
      </c>
      <c r="R969" s="35">
        <v>46178.0</v>
      </c>
      <c r="S969" s="32" t="s">
        <v>29</v>
      </c>
      <c r="T969" s="33"/>
      <c r="U969" s="33"/>
    </row>
    <row r="970" ht="15.75" customHeight="1">
      <c r="A970" s="20">
        <v>46177.0</v>
      </c>
      <c r="B970" s="20">
        <v>46177.0</v>
      </c>
      <c r="C970" s="20"/>
      <c r="D970" s="21"/>
      <c r="E970" s="21" t="s">
        <v>43</v>
      </c>
      <c r="F970" s="22">
        <v>0.015636574074074074</v>
      </c>
      <c r="G970" s="21" t="s">
        <v>33</v>
      </c>
      <c r="H970" s="149"/>
      <c r="I970" s="40"/>
      <c r="J970" s="26"/>
      <c r="K970" s="21"/>
      <c r="L970" s="27">
        <v>46188.0</v>
      </c>
      <c r="M970" s="28">
        <v>0.03819444444444445</v>
      </c>
      <c r="N970" s="29" t="s">
        <v>59</v>
      </c>
      <c r="O970" s="29" t="s">
        <v>35</v>
      </c>
      <c r="P970" s="30" t="s">
        <v>28</v>
      </c>
      <c r="Q970" s="30" t="s">
        <v>28</v>
      </c>
      <c r="R970" s="31" t="s">
        <v>28</v>
      </c>
      <c r="S970" s="32" t="s">
        <v>29</v>
      </c>
      <c r="T970" s="33"/>
      <c r="U970" s="33"/>
    </row>
    <row r="971" ht="15.75" customHeight="1">
      <c r="A971" s="20">
        <v>46178.0</v>
      </c>
      <c r="B971" s="20">
        <v>46178.0</v>
      </c>
      <c r="C971" s="20" t="s">
        <v>25</v>
      </c>
      <c r="D971" s="21" t="s">
        <v>49</v>
      </c>
      <c r="E971" s="21" t="s">
        <v>26</v>
      </c>
      <c r="F971" s="22">
        <v>0.0983912037037037</v>
      </c>
      <c r="G971" s="21" t="s">
        <v>33</v>
      </c>
      <c r="H971" s="149"/>
      <c r="I971" s="25"/>
      <c r="J971" s="26"/>
      <c r="K971" s="21"/>
      <c r="L971" s="27">
        <v>46181.0</v>
      </c>
      <c r="M971" s="28">
        <v>0.19444444444444445</v>
      </c>
      <c r="N971" s="29" t="s">
        <v>59</v>
      </c>
      <c r="O971" s="29" t="s">
        <v>35</v>
      </c>
      <c r="P971" s="34" t="s">
        <v>36</v>
      </c>
      <c r="Q971" s="34" t="s">
        <v>1105</v>
      </c>
      <c r="R971" s="35">
        <v>46181.0</v>
      </c>
      <c r="S971" s="32" t="s">
        <v>29</v>
      </c>
      <c r="T971" s="33"/>
      <c r="U971" s="33"/>
    </row>
    <row r="972" ht="15.75" customHeight="1">
      <c r="A972" s="20">
        <v>46178.0</v>
      </c>
      <c r="B972" s="20">
        <v>46178.0</v>
      </c>
      <c r="C972" s="20" t="s">
        <v>25</v>
      </c>
      <c r="D972" s="21" t="s">
        <v>57</v>
      </c>
      <c r="E972" s="21" t="s">
        <v>30</v>
      </c>
      <c r="F972" s="22">
        <v>0.0027546296296296294</v>
      </c>
      <c r="G972" s="21" t="s">
        <v>33</v>
      </c>
      <c r="H972" s="149"/>
      <c r="I972" s="25"/>
      <c r="J972" s="26"/>
      <c r="K972" s="21"/>
      <c r="L972" s="27">
        <v>46178.0</v>
      </c>
      <c r="M972" s="28">
        <v>0.006944444444444444</v>
      </c>
      <c r="N972" s="29" t="s">
        <v>57</v>
      </c>
      <c r="O972" s="29" t="s">
        <v>35</v>
      </c>
      <c r="P972" s="34" t="s">
        <v>36</v>
      </c>
      <c r="Q972" s="34" t="s">
        <v>1106</v>
      </c>
      <c r="R972" s="35">
        <v>46181.0</v>
      </c>
      <c r="S972" s="32" t="s">
        <v>29</v>
      </c>
      <c r="T972" s="33"/>
      <c r="U972" s="33"/>
    </row>
    <row r="973" ht="15.75" customHeight="1">
      <c r="A973" s="20">
        <v>46178.0</v>
      </c>
      <c r="B973" s="20">
        <v>46178.0</v>
      </c>
      <c r="C973" s="20" t="s">
        <v>25</v>
      </c>
      <c r="D973" s="21" t="s">
        <v>39</v>
      </c>
      <c r="E973" s="21" t="s">
        <v>32</v>
      </c>
      <c r="F973" s="22">
        <v>0.04857638888888889</v>
      </c>
      <c r="G973" s="21" t="s">
        <v>33</v>
      </c>
      <c r="H973" s="149"/>
      <c r="I973" s="25"/>
      <c r="J973" s="26"/>
      <c r="K973" s="21"/>
      <c r="L973" s="27">
        <v>46179.0</v>
      </c>
      <c r="M973" s="28">
        <v>0.15625</v>
      </c>
      <c r="N973" s="29" t="s">
        <v>39</v>
      </c>
      <c r="O973" s="29" t="s">
        <v>35</v>
      </c>
      <c r="P973" s="34" t="s">
        <v>36</v>
      </c>
      <c r="Q973" s="34" t="s">
        <v>1107</v>
      </c>
      <c r="R973" s="79">
        <v>46182.0</v>
      </c>
      <c r="S973" s="32" t="s">
        <v>29</v>
      </c>
      <c r="T973" s="33"/>
      <c r="U973" s="33"/>
    </row>
    <row r="974" ht="15.75" customHeight="1">
      <c r="A974" s="20">
        <v>46178.0</v>
      </c>
      <c r="B974" s="20">
        <v>46178.0</v>
      </c>
      <c r="C974" s="20" t="s">
        <v>25</v>
      </c>
      <c r="D974" s="21" t="s">
        <v>39</v>
      </c>
      <c r="E974" s="21" t="s">
        <v>38</v>
      </c>
      <c r="F974" s="22">
        <v>0.0090625</v>
      </c>
      <c r="G974" s="21" t="s">
        <v>33</v>
      </c>
      <c r="H974" s="149"/>
      <c r="I974" s="25"/>
      <c r="J974" s="26"/>
      <c r="K974" s="21"/>
      <c r="L974" s="27">
        <v>46181.0</v>
      </c>
      <c r="M974" s="28">
        <v>0.025</v>
      </c>
      <c r="N974" s="29" t="s">
        <v>49</v>
      </c>
      <c r="O974" s="29" t="s">
        <v>35</v>
      </c>
      <c r="P974" s="34" t="s">
        <v>36</v>
      </c>
      <c r="Q974" s="99">
        <v>1.2047548E7</v>
      </c>
      <c r="R974" s="79">
        <v>46182.0</v>
      </c>
      <c r="S974" s="32" t="s">
        <v>29</v>
      </c>
      <c r="T974" s="33"/>
      <c r="U974" s="33"/>
    </row>
    <row r="975" ht="15.75" customHeight="1">
      <c r="A975" s="20">
        <v>46178.0</v>
      </c>
      <c r="B975" s="20">
        <v>46178.0</v>
      </c>
      <c r="C975" s="20" t="s">
        <v>25</v>
      </c>
      <c r="D975" s="21" t="s">
        <v>39</v>
      </c>
      <c r="E975" s="21" t="s">
        <v>40</v>
      </c>
      <c r="F975" s="22">
        <v>0.019004629629629628</v>
      </c>
      <c r="G975" s="21" t="s">
        <v>33</v>
      </c>
      <c r="H975" s="149"/>
      <c r="I975" s="25"/>
      <c r="J975" s="26"/>
      <c r="K975" s="21"/>
      <c r="L975" s="27">
        <v>46181.0</v>
      </c>
      <c r="M975" s="28">
        <v>0.052083333333333336</v>
      </c>
      <c r="N975" s="29" t="s">
        <v>49</v>
      </c>
      <c r="O975" s="29" t="s">
        <v>35</v>
      </c>
      <c r="P975" s="34" t="s">
        <v>36</v>
      </c>
      <c r="Q975" s="34" t="s">
        <v>1108</v>
      </c>
      <c r="R975" s="79">
        <v>46182.0</v>
      </c>
      <c r="S975" s="32" t="s">
        <v>29</v>
      </c>
      <c r="T975" s="33"/>
      <c r="U975" s="33"/>
    </row>
    <row r="976" ht="15.75" customHeight="1">
      <c r="A976" s="20">
        <v>46178.0</v>
      </c>
      <c r="B976" s="20">
        <v>46178.0</v>
      </c>
      <c r="C976" s="20"/>
      <c r="D976" s="21"/>
      <c r="E976" s="21" t="s">
        <v>43</v>
      </c>
      <c r="F976" s="22">
        <v>0.015868055555555555</v>
      </c>
      <c r="G976" s="21" t="s">
        <v>33</v>
      </c>
      <c r="H976" s="149"/>
      <c r="I976" s="25"/>
      <c r="J976" s="26"/>
      <c r="K976" s="21"/>
      <c r="L976" s="27">
        <v>46184.0</v>
      </c>
      <c r="M976" s="28">
        <v>0.027777777777777776</v>
      </c>
      <c r="N976" s="29" t="s">
        <v>34</v>
      </c>
      <c r="O976" s="29" t="s">
        <v>35</v>
      </c>
      <c r="P976" s="30" t="s">
        <v>28</v>
      </c>
      <c r="Q976" s="30" t="s">
        <v>28</v>
      </c>
      <c r="R976" s="31" t="s">
        <v>28</v>
      </c>
      <c r="S976" s="32" t="s">
        <v>29</v>
      </c>
      <c r="T976" s="33"/>
      <c r="U976" s="33"/>
    </row>
    <row r="977" ht="15.75" customHeight="1">
      <c r="A977" s="55">
        <v>46179.0</v>
      </c>
      <c r="B977" s="55">
        <v>46179.0</v>
      </c>
      <c r="C977" s="55" t="s">
        <v>25</v>
      </c>
      <c r="D977" s="56" t="s">
        <v>57</v>
      </c>
      <c r="E977" s="56" t="s">
        <v>32</v>
      </c>
      <c r="F977" s="57">
        <v>0.048622685185185185</v>
      </c>
      <c r="G977" s="56" t="s">
        <v>33</v>
      </c>
      <c r="H977" s="149"/>
      <c r="I977" s="25"/>
      <c r="J977" s="26"/>
      <c r="K977" s="21"/>
      <c r="L977" s="27">
        <v>46181.0</v>
      </c>
      <c r="M977" s="28">
        <v>0.09027777777777778</v>
      </c>
      <c r="N977" s="29" t="s">
        <v>34</v>
      </c>
      <c r="O977" s="29" t="s">
        <v>35</v>
      </c>
      <c r="P977" s="34" t="s">
        <v>36</v>
      </c>
      <c r="Q977" s="34" t="s">
        <v>1109</v>
      </c>
      <c r="R977" s="79">
        <v>46182.0</v>
      </c>
      <c r="S977" s="32" t="s">
        <v>29</v>
      </c>
      <c r="T977" s="33"/>
      <c r="U977" s="33"/>
    </row>
    <row r="978" ht="15.75" customHeight="1">
      <c r="A978" s="55">
        <v>46179.0</v>
      </c>
      <c r="B978" s="55">
        <v>46179.0</v>
      </c>
      <c r="C978" s="55" t="s">
        <v>25</v>
      </c>
      <c r="D978" s="56" t="s">
        <v>57</v>
      </c>
      <c r="E978" s="56" t="s">
        <v>40</v>
      </c>
      <c r="F978" s="57">
        <v>0.00798611111111111</v>
      </c>
      <c r="G978" s="56" t="s">
        <v>33</v>
      </c>
      <c r="H978" s="149" t="s">
        <v>1110</v>
      </c>
      <c r="I978" s="25"/>
      <c r="J978" s="26"/>
      <c r="K978" s="21" t="s">
        <v>1111</v>
      </c>
      <c r="L978" s="27">
        <v>46180.0</v>
      </c>
      <c r="M978" s="28">
        <v>0.024305555555555556</v>
      </c>
      <c r="N978" s="29" t="s">
        <v>57</v>
      </c>
      <c r="O978" s="29" t="s">
        <v>35</v>
      </c>
      <c r="P978" s="34" t="s">
        <v>36</v>
      </c>
      <c r="Q978" s="34" t="s">
        <v>1112</v>
      </c>
      <c r="R978" s="79">
        <v>46182.0</v>
      </c>
      <c r="S978" s="32" t="s">
        <v>29</v>
      </c>
      <c r="T978" s="33"/>
      <c r="U978" s="33"/>
    </row>
    <row r="979" ht="15.75" customHeight="1">
      <c r="A979" s="55">
        <v>46179.0</v>
      </c>
      <c r="B979" s="55">
        <v>46179.0</v>
      </c>
      <c r="C979" s="55"/>
      <c r="D979" s="56"/>
      <c r="E979" s="56" t="s">
        <v>43</v>
      </c>
      <c r="F979" s="57"/>
      <c r="G979" s="59" t="s">
        <v>27</v>
      </c>
      <c r="H979" s="149"/>
      <c r="I979" s="25"/>
      <c r="J979" s="26"/>
      <c r="K979" s="21"/>
      <c r="L979" s="27"/>
      <c r="M979" s="28"/>
      <c r="N979" s="29"/>
      <c r="O979" s="29"/>
      <c r="P979" s="30" t="s">
        <v>28</v>
      </c>
      <c r="Q979" s="30" t="s">
        <v>28</v>
      </c>
      <c r="R979" s="31" t="s">
        <v>28</v>
      </c>
      <c r="S979" s="32" t="s">
        <v>29</v>
      </c>
      <c r="T979" s="33"/>
      <c r="U979" s="33"/>
    </row>
    <row r="980" ht="15.75" customHeight="1">
      <c r="A980" s="55">
        <v>46179.0</v>
      </c>
      <c r="B980" s="55">
        <v>46188.0</v>
      </c>
      <c r="C980" s="55" t="s">
        <v>25</v>
      </c>
      <c r="D980" s="56" t="s">
        <v>59</v>
      </c>
      <c r="E980" s="56" t="s">
        <v>61</v>
      </c>
      <c r="F980" s="57">
        <v>0.01773148148148148</v>
      </c>
      <c r="G980" s="56" t="s">
        <v>33</v>
      </c>
      <c r="H980" s="149"/>
      <c r="I980" s="25" t="s">
        <v>600</v>
      </c>
      <c r="J980" s="26">
        <v>46188.459027777775</v>
      </c>
      <c r="K980" s="21" t="s">
        <v>1113</v>
      </c>
      <c r="L980" s="27">
        <v>46190.0</v>
      </c>
      <c r="M980" s="28">
        <v>0.052083333333333336</v>
      </c>
      <c r="N980" s="29" t="s">
        <v>34</v>
      </c>
      <c r="O980" s="29" t="s">
        <v>35</v>
      </c>
      <c r="P980" s="34" t="s">
        <v>36</v>
      </c>
      <c r="Q980" s="34" t="s">
        <v>1114</v>
      </c>
      <c r="R980" s="35">
        <v>46190.0</v>
      </c>
      <c r="S980" s="32" t="s">
        <v>29</v>
      </c>
      <c r="T980" s="33"/>
      <c r="U980" s="33"/>
    </row>
    <row r="981" ht="15.75" customHeight="1">
      <c r="A981" s="55">
        <v>46179.0</v>
      </c>
      <c r="B981" s="55">
        <v>46188.0</v>
      </c>
      <c r="C981" s="55" t="s">
        <v>25</v>
      </c>
      <c r="D981" s="56" t="s">
        <v>59</v>
      </c>
      <c r="E981" s="56" t="s">
        <v>62</v>
      </c>
      <c r="F981" s="57">
        <v>0.01773148148148148</v>
      </c>
      <c r="G981" s="56" t="s">
        <v>33</v>
      </c>
      <c r="H981" s="149"/>
      <c r="I981" s="25" t="s">
        <v>600</v>
      </c>
      <c r="J981" s="26">
        <v>46188.46041666667</v>
      </c>
      <c r="K981" s="21" t="s">
        <v>1115</v>
      </c>
      <c r="L981" s="27">
        <v>46190.0</v>
      </c>
      <c r="M981" s="28">
        <v>0.003472222222222222</v>
      </c>
      <c r="N981" s="29" t="s">
        <v>34</v>
      </c>
      <c r="O981" s="29" t="s">
        <v>355</v>
      </c>
      <c r="P981" s="34" t="s">
        <v>36</v>
      </c>
      <c r="Q981" s="34" t="s">
        <v>1116</v>
      </c>
      <c r="R981" s="35">
        <v>46190.0</v>
      </c>
      <c r="S981" s="32" t="s">
        <v>29</v>
      </c>
      <c r="T981" s="33"/>
      <c r="U981" s="33"/>
    </row>
    <row r="982" ht="15.75" customHeight="1">
      <c r="A982" s="55">
        <v>46179.0</v>
      </c>
      <c r="B982" s="55">
        <v>46179.0</v>
      </c>
      <c r="C982" s="55" t="s">
        <v>25</v>
      </c>
      <c r="D982" s="56" t="s">
        <v>34</v>
      </c>
      <c r="E982" s="56" t="s">
        <v>63</v>
      </c>
      <c r="F982" s="57">
        <v>0.01425925925925926</v>
      </c>
      <c r="G982" s="56" t="s">
        <v>33</v>
      </c>
      <c r="H982" s="149" t="s">
        <v>1117</v>
      </c>
      <c r="I982" s="25" t="s">
        <v>600</v>
      </c>
      <c r="J982" s="26">
        <v>46183.88055555556</v>
      </c>
      <c r="K982" s="21" t="s">
        <v>1118</v>
      </c>
      <c r="L982" s="27">
        <v>46184.0</v>
      </c>
      <c r="M982" s="28">
        <v>0.0625</v>
      </c>
      <c r="N982" s="29" t="s">
        <v>57</v>
      </c>
      <c r="O982" s="29" t="s">
        <v>35</v>
      </c>
      <c r="P982" s="34" t="s">
        <v>36</v>
      </c>
      <c r="Q982" s="34" t="s">
        <v>1119</v>
      </c>
      <c r="R982" s="35">
        <v>46185.0</v>
      </c>
      <c r="S982" s="32" t="s">
        <v>29</v>
      </c>
      <c r="T982" s="33"/>
      <c r="U982" s="33"/>
    </row>
    <row r="983" ht="15.75" customHeight="1">
      <c r="A983" s="55">
        <v>46179.0</v>
      </c>
      <c r="B983" s="55">
        <v>46179.0</v>
      </c>
      <c r="C983" s="55" t="s">
        <v>25</v>
      </c>
      <c r="D983" s="56" t="s">
        <v>57</v>
      </c>
      <c r="E983" s="56" t="s">
        <v>1120</v>
      </c>
      <c r="F983" s="57">
        <v>0.022708333333333334</v>
      </c>
      <c r="G983" s="56" t="s">
        <v>33</v>
      </c>
      <c r="H983" s="149" t="s">
        <v>1121</v>
      </c>
      <c r="I983" s="25"/>
      <c r="J983" s="26"/>
      <c r="K983" s="21" t="s">
        <v>1122</v>
      </c>
      <c r="L983" s="27">
        <v>46182.0</v>
      </c>
      <c r="M983" s="28">
        <v>0.04861111111111111</v>
      </c>
      <c r="N983" s="29" t="s">
        <v>57</v>
      </c>
      <c r="O983" s="29" t="s">
        <v>35</v>
      </c>
      <c r="P983" s="34" t="s">
        <v>36</v>
      </c>
      <c r="Q983" s="34" t="s">
        <v>1123</v>
      </c>
      <c r="R983" s="35">
        <v>46183.0</v>
      </c>
      <c r="S983" s="32"/>
      <c r="T983" s="33"/>
      <c r="U983" s="33"/>
    </row>
    <row r="984" ht="15.75" customHeight="1">
      <c r="A984" s="60">
        <v>46180.0</v>
      </c>
      <c r="B984" s="60">
        <v>46180.0</v>
      </c>
      <c r="C984" s="60" t="s">
        <v>25</v>
      </c>
      <c r="D984" s="61" t="s">
        <v>57</v>
      </c>
      <c r="E984" s="61" t="s">
        <v>66</v>
      </c>
      <c r="F984" s="62">
        <v>0.019224537037037037</v>
      </c>
      <c r="G984" s="61" t="s">
        <v>33</v>
      </c>
      <c r="H984" s="149" t="s">
        <v>1124</v>
      </c>
      <c r="I984" s="25"/>
      <c r="J984" s="26"/>
      <c r="K984" s="21" t="s">
        <v>1125</v>
      </c>
      <c r="L984" s="27">
        <v>46184.0</v>
      </c>
      <c r="M984" s="28">
        <v>0.017361111111111112</v>
      </c>
      <c r="N984" s="29" t="s">
        <v>69</v>
      </c>
      <c r="O984" s="29" t="s">
        <v>35</v>
      </c>
      <c r="P984" s="34" t="s">
        <v>36</v>
      </c>
      <c r="Q984" s="34" t="s">
        <v>1126</v>
      </c>
      <c r="R984" s="35">
        <v>46185.0</v>
      </c>
      <c r="S984" s="32" t="s">
        <v>29</v>
      </c>
      <c r="T984" s="33"/>
      <c r="U984" s="33"/>
    </row>
    <row r="985" ht="15.75" customHeight="1">
      <c r="A985" s="20">
        <v>46181.0</v>
      </c>
      <c r="B985" s="20">
        <v>46181.0</v>
      </c>
      <c r="C985" s="20" t="s">
        <v>25</v>
      </c>
      <c r="D985" s="21" t="s">
        <v>49</v>
      </c>
      <c r="E985" s="21" t="s">
        <v>26</v>
      </c>
      <c r="F985" s="22">
        <v>0.10030092592592593</v>
      </c>
      <c r="G985" s="21" t="s">
        <v>33</v>
      </c>
      <c r="H985" s="149"/>
      <c r="I985" s="25"/>
      <c r="J985" s="26"/>
      <c r="K985" s="21"/>
      <c r="L985" s="27">
        <v>46182.0</v>
      </c>
      <c r="M985" s="28">
        <v>0.25</v>
      </c>
      <c r="N985" s="29" t="s">
        <v>34</v>
      </c>
      <c r="O985" s="29" t="s">
        <v>35</v>
      </c>
      <c r="P985" s="34" t="s">
        <v>36</v>
      </c>
      <c r="Q985" s="99" t="s">
        <v>1127</v>
      </c>
      <c r="R985" s="79">
        <v>46182.0</v>
      </c>
      <c r="S985" s="32" t="s">
        <v>29</v>
      </c>
      <c r="T985" s="33"/>
      <c r="U985" s="33"/>
    </row>
    <row r="986" ht="15.75" customHeight="1">
      <c r="A986" s="20">
        <v>46181.0</v>
      </c>
      <c r="B986" s="20">
        <v>46181.0</v>
      </c>
      <c r="C986" s="20" t="s">
        <v>25</v>
      </c>
      <c r="D986" s="21" t="s">
        <v>59</v>
      </c>
      <c r="E986" s="21" t="s">
        <v>30</v>
      </c>
      <c r="F986" s="22">
        <v>0.006076388888888889</v>
      </c>
      <c r="G986" s="21" t="s">
        <v>33</v>
      </c>
      <c r="H986" s="149"/>
      <c r="I986" s="25"/>
      <c r="J986" s="26"/>
      <c r="K986" s="21"/>
      <c r="L986" s="27">
        <v>46181.0</v>
      </c>
      <c r="M986" s="28">
        <v>0.011111111111111112</v>
      </c>
      <c r="N986" s="29" t="s">
        <v>59</v>
      </c>
      <c r="O986" s="29" t="s">
        <v>35</v>
      </c>
      <c r="P986" s="34" t="s">
        <v>36</v>
      </c>
      <c r="Q986" s="34" t="s">
        <v>1128</v>
      </c>
      <c r="R986" s="79">
        <v>46182.0</v>
      </c>
      <c r="S986" s="32" t="s">
        <v>29</v>
      </c>
      <c r="T986" s="33"/>
      <c r="U986" s="33"/>
    </row>
    <row r="987" ht="15.75" customHeight="1">
      <c r="A987" s="20">
        <v>46181.0</v>
      </c>
      <c r="B987" s="20">
        <v>46181.0</v>
      </c>
      <c r="C987" s="20" t="s">
        <v>25</v>
      </c>
      <c r="D987" s="21" t="s">
        <v>39</v>
      </c>
      <c r="E987" s="21" t="s">
        <v>32</v>
      </c>
      <c r="F987" s="22">
        <v>0.04429398148148148</v>
      </c>
      <c r="G987" s="21" t="s">
        <v>33</v>
      </c>
      <c r="H987" s="149"/>
      <c r="I987" s="25"/>
      <c r="J987" s="26"/>
      <c r="K987" s="21"/>
      <c r="L987" s="27">
        <v>46182.0</v>
      </c>
      <c r="M987" s="28">
        <v>0.10069444444444445</v>
      </c>
      <c r="N987" s="29" t="s">
        <v>59</v>
      </c>
      <c r="O987" s="29" t="s">
        <v>35</v>
      </c>
      <c r="P987" s="34" t="s">
        <v>36</v>
      </c>
      <c r="Q987" s="34" t="s">
        <v>1129</v>
      </c>
      <c r="R987" s="79">
        <v>46182.0</v>
      </c>
      <c r="S987" s="32" t="s">
        <v>29</v>
      </c>
      <c r="T987" s="33"/>
      <c r="U987" s="33"/>
    </row>
    <row r="988" ht="15.75" customHeight="1">
      <c r="A988" s="20">
        <v>46181.0</v>
      </c>
      <c r="B988" s="20">
        <v>46181.0</v>
      </c>
      <c r="C988" s="20" t="s">
        <v>25</v>
      </c>
      <c r="D988" s="21" t="s">
        <v>39</v>
      </c>
      <c r="E988" s="21" t="s">
        <v>38</v>
      </c>
      <c r="F988" s="22">
        <v>0.00949074074074074</v>
      </c>
      <c r="G988" s="21" t="s">
        <v>33</v>
      </c>
      <c r="H988" s="149"/>
      <c r="I988" s="25"/>
      <c r="J988" s="26"/>
      <c r="K988" s="21"/>
      <c r="L988" s="27">
        <v>46182.0</v>
      </c>
      <c r="M988" s="28">
        <v>0.027777777777777776</v>
      </c>
      <c r="N988" s="29" t="s">
        <v>69</v>
      </c>
      <c r="O988" s="29" t="s">
        <v>35</v>
      </c>
      <c r="P988" s="34" t="s">
        <v>36</v>
      </c>
      <c r="Q988" s="34">
        <v>1.2047549E7</v>
      </c>
      <c r="R988" s="35">
        <v>46182.0</v>
      </c>
      <c r="S988" s="32" t="s">
        <v>29</v>
      </c>
      <c r="T988" s="33"/>
      <c r="U988" s="33"/>
    </row>
    <row r="989" ht="15.75" customHeight="1">
      <c r="A989" s="20">
        <v>46181.0</v>
      </c>
      <c r="B989" s="20">
        <v>46181.0</v>
      </c>
      <c r="C989" s="20" t="s">
        <v>25</v>
      </c>
      <c r="D989" s="21" t="s">
        <v>34</v>
      </c>
      <c r="E989" s="21" t="s">
        <v>40</v>
      </c>
      <c r="F989" s="22">
        <v>0.018344907407407407</v>
      </c>
      <c r="G989" s="21" t="s">
        <v>33</v>
      </c>
      <c r="H989" s="149"/>
      <c r="I989" s="25"/>
      <c r="J989" s="26"/>
      <c r="K989" s="21"/>
      <c r="L989" s="27">
        <v>46182.0</v>
      </c>
      <c r="M989" s="28">
        <v>0.06666666666666667</v>
      </c>
      <c r="N989" s="29" t="s">
        <v>49</v>
      </c>
      <c r="O989" s="29" t="s">
        <v>35</v>
      </c>
      <c r="P989" s="34" t="s">
        <v>36</v>
      </c>
      <c r="Q989" s="34" t="s">
        <v>1130</v>
      </c>
      <c r="R989" s="35">
        <v>46182.0</v>
      </c>
      <c r="S989" s="32" t="s">
        <v>29</v>
      </c>
      <c r="T989" s="33"/>
      <c r="U989" s="33"/>
    </row>
    <row r="990" ht="15.75" customHeight="1">
      <c r="A990" s="20">
        <v>46181.0</v>
      </c>
      <c r="B990" s="20">
        <v>46181.0</v>
      </c>
      <c r="C990" s="20"/>
      <c r="D990" s="21"/>
      <c r="E990" s="21" t="s">
        <v>43</v>
      </c>
      <c r="F990" s="22"/>
      <c r="G990" s="21" t="s">
        <v>27</v>
      </c>
      <c r="H990" s="149"/>
      <c r="I990" s="25"/>
      <c r="J990" s="26"/>
      <c r="K990" s="21"/>
      <c r="L990" s="27"/>
      <c r="M990" s="28"/>
      <c r="N990" s="29"/>
      <c r="O990" s="29"/>
      <c r="P990" s="30" t="s">
        <v>28</v>
      </c>
      <c r="Q990" s="30" t="s">
        <v>28</v>
      </c>
      <c r="R990" s="31" t="s">
        <v>28</v>
      </c>
      <c r="S990" s="32" t="s">
        <v>29</v>
      </c>
      <c r="T990" s="33"/>
      <c r="U990" s="33"/>
    </row>
    <row r="991" ht="15.75" customHeight="1">
      <c r="A991" s="20">
        <v>46182.0</v>
      </c>
      <c r="B991" s="20">
        <v>46182.0</v>
      </c>
      <c r="C991" s="20" t="s">
        <v>25</v>
      </c>
      <c r="D991" s="21" t="s">
        <v>49</v>
      </c>
      <c r="E991" s="21" t="s">
        <v>26</v>
      </c>
      <c r="F991" s="22">
        <v>0.10013888888888889</v>
      </c>
      <c r="G991" s="21" t="s">
        <v>33</v>
      </c>
      <c r="H991" s="149"/>
      <c r="I991" s="25"/>
      <c r="J991" s="26"/>
      <c r="K991" s="21"/>
      <c r="L991" s="27">
        <v>46183.0</v>
      </c>
      <c r="M991" s="28">
        <v>0.1875</v>
      </c>
      <c r="N991" s="29" t="s">
        <v>59</v>
      </c>
      <c r="O991" s="29" t="s">
        <v>35</v>
      </c>
      <c r="P991" s="34" t="s">
        <v>36</v>
      </c>
      <c r="Q991" s="34" t="s">
        <v>1131</v>
      </c>
      <c r="R991" s="35">
        <v>46183.0</v>
      </c>
      <c r="S991" s="32" t="s">
        <v>29</v>
      </c>
      <c r="T991" s="33"/>
      <c r="U991" s="33"/>
    </row>
    <row r="992" ht="15.75" customHeight="1">
      <c r="A992" s="20">
        <v>46182.0</v>
      </c>
      <c r="B992" s="20">
        <v>46182.0</v>
      </c>
      <c r="C992" s="20" t="s">
        <v>25</v>
      </c>
      <c r="D992" s="21" t="s">
        <v>34</v>
      </c>
      <c r="E992" s="21" t="s">
        <v>30</v>
      </c>
      <c r="F992" s="22">
        <v>0.005787037037037037</v>
      </c>
      <c r="G992" s="21" t="s">
        <v>33</v>
      </c>
      <c r="H992" s="149"/>
      <c r="I992" s="25"/>
      <c r="J992" s="26"/>
      <c r="K992" s="21"/>
      <c r="L992" s="27">
        <v>46182.0</v>
      </c>
      <c r="M992" s="28">
        <v>0.0125</v>
      </c>
      <c r="N992" s="29" t="s">
        <v>34</v>
      </c>
      <c r="O992" s="29" t="s">
        <v>35</v>
      </c>
      <c r="P992" s="34" t="s">
        <v>36</v>
      </c>
      <c r="Q992" s="99" t="s">
        <v>1132</v>
      </c>
      <c r="R992" s="35">
        <v>46183.0</v>
      </c>
      <c r="S992" s="32" t="s">
        <v>29</v>
      </c>
      <c r="T992" s="33"/>
      <c r="U992" s="33"/>
    </row>
    <row r="993" ht="15.75" customHeight="1">
      <c r="A993" s="20">
        <v>46182.0</v>
      </c>
      <c r="B993" s="20">
        <v>46182.0</v>
      </c>
      <c r="C993" s="20" t="s">
        <v>25</v>
      </c>
      <c r="D993" s="21" t="s">
        <v>69</v>
      </c>
      <c r="E993" s="21" t="s">
        <v>32</v>
      </c>
      <c r="F993" s="22">
        <v>0.04672453703703704</v>
      </c>
      <c r="G993" s="21" t="s">
        <v>33</v>
      </c>
      <c r="H993" s="149"/>
      <c r="I993" s="25"/>
      <c r="J993" s="26"/>
      <c r="K993" s="21"/>
      <c r="L993" s="27">
        <v>46183.0</v>
      </c>
      <c r="M993" s="28">
        <v>0.125</v>
      </c>
      <c r="N993" s="29" t="s">
        <v>57</v>
      </c>
      <c r="O993" s="29" t="s">
        <v>35</v>
      </c>
      <c r="P993" s="34" t="s">
        <v>36</v>
      </c>
      <c r="Q993" s="34" t="s">
        <v>1133</v>
      </c>
      <c r="R993" s="35">
        <v>46183.0</v>
      </c>
      <c r="S993" s="32" t="s">
        <v>29</v>
      </c>
      <c r="T993" s="33"/>
      <c r="U993" s="33"/>
    </row>
    <row r="994" ht="15.75" customHeight="1">
      <c r="A994" s="20">
        <v>46182.0</v>
      </c>
      <c r="B994" s="20">
        <v>46182.0</v>
      </c>
      <c r="C994" s="20" t="s">
        <v>25</v>
      </c>
      <c r="D994" s="21" t="s">
        <v>59</v>
      </c>
      <c r="E994" s="21" t="s">
        <v>38</v>
      </c>
      <c r="F994" s="22">
        <v>0.009050925925925926</v>
      </c>
      <c r="G994" s="21" t="s">
        <v>33</v>
      </c>
      <c r="H994" s="149"/>
      <c r="I994" s="25"/>
      <c r="J994" s="26"/>
      <c r="K994" s="21"/>
      <c r="L994" s="27">
        <v>46183.0</v>
      </c>
      <c r="M994" s="28">
        <v>0.041666666666666664</v>
      </c>
      <c r="N994" s="29" t="s">
        <v>69</v>
      </c>
      <c r="O994" s="29" t="s">
        <v>35</v>
      </c>
      <c r="P994" s="34" t="s">
        <v>36</v>
      </c>
      <c r="Q994" s="34">
        <v>1.204755E7</v>
      </c>
      <c r="R994" s="35">
        <v>46183.0</v>
      </c>
      <c r="S994" s="32" t="s">
        <v>29</v>
      </c>
      <c r="T994" s="33"/>
      <c r="U994" s="33"/>
    </row>
    <row r="995" ht="15.75" customHeight="1">
      <c r="A995" s="20">
        <v>46182.0</v>
      </c>
      <c r="B995" s="20">
        <v>46182.0</v>
      </c>
      <c r="C995" s="20" t="s">
        <v>25</v>
      </c>
      <c r="D995" s="21" t="s">
        <v>39</v>
      </c>
      <c r="E995" s="21" t="s">
        <v>40</v>
      </c>
      <c r="F995" s="22">
        <v>0.020578703703703703</v>
      </c>
      <c r="G995" s="21" t="s">
        <v>33</v>
      </c>
      <c r="H995" s="149"/>
      <c r="I995" s="25"/>
      <c r="J995" s="26"/>
      <c r="K995" s="21"/>
      <c r="L995" s="27">
        <v>46183.0</v>
      </c>
      <c r="M995" s="28">
        <v>0.059722222222222225</v>
      </c>
      <c r="N995" s="29" t="s">
        <v>49</v>
      </c>
      <c r="O995" s="29" t="s">
        <v>35</v>
      </c>
      <c r="P995" s="34" t="s">
        <v>36</v>
      </c>
      <c r="Q995" s="34" t="s">
        <v>1134</v>
      </c>
      <c r="R995" s="35">
        <v>46183.0</v>
      </c>
      <c r="S995" s="32" t="s">
        <v>29</v>
      </c>
      <c r="T995" s="33"/>
      <c r="U995" s="33"/>
    </row>
    <row r="996" ht="15.75" customHeight="1">
      <c r="A996" s="20">
        <v>46182.0</v>
      </c>
      <c r="B996" s="20">
        <v>46182.0</v>
      </c>
      <c r="C996" s="20"/>
      <c r="D996" s="21"/>
      <c r="E996" s="21" t="s">
        <v>43</v>
      </c>
      <c r="F996" s="22"/>
      <c r="G996" s="21" t="s">
        <v>27</v>
      </c>
      <c r="H996" s="149"/>
      <c r="I996" s="25"/>
      <c r="J996" s="26"/>
      <c r="K996" s="21"/>
      <c r="L996" s="27"/>
      <c r="M996" s="28"/>
      <c r="N996" s="29" t="s">
        <v>57</v>
      </c>
      <c r="O996" s="29"/>
      <c r="P996" s="30" t="s">
        <v>28</v>
      </c>
      <c r="Q996" s="30" t="s">
        <v>28</v>
      </c>
      <c r="R996" s="31" t="s">
        <v>28</v>
      </c>
      <c r="S996" s="32" t="s">
        <v>29</v>
      </c>
      <c r="T996" s="33"/>
      <c r="U996" s="33"/>
    </row>
    <row r="997" ht="15.75" customHeight="1">
      <c r="A997" s="20">
        <v>46182.0</v>
      </c>
      <c r="B997" s="20">
        <v>46182.0</v>
      </c>
      <c r="C997" s="20" t="s">
        <v>25</v>
      </c>
      <c r="D997" s="21" t="s">
        <v>39</v>
      </c>
      <c r="E997" s="21" t="s">
        <v>87</v>
      </c>
      <c r="F997" s="22">
        <v>0.00125</v>
      </c>
      <c r="G997" s="21" t="s">
        <v>88</v>
      </c>
      <c r="H997" s="149" t="s">
        <v>1135</v>
      </c>
      <c r="I997" s="25" t="s">
        <v>600</v>
      </c>
      <c r="J997" s="26">
        <v>46182.0</v>
      </c>
      <c r="K997" s="21" t="s">
        <v>1136</v>
      </c>
      <c r="L997" s="27"/>
      <c r="M997" s="28"/>
      <c r="N997" s="29"/>
      <c r="O997" s="29"/>
      <c r="P997" s="34" t="s">
        <v>53</v>
      </c>
      <c r="Q997" s="34">
        <v>1.2065126E7</v>
      </c>
      <c r="R997" s="35">
        <v>46183.0</v>
      </c>
      <c r="S997" s="32"/>
      <c r="T997" s="33"/>
      <c r="U997" s="33"/>
    </row>
    <row r="998" ht="15.75" customHeight="1">
      <c r="A998" s="20">
        <v>46182.0</v>
      </c>
      <c r="B998" s="20">
        <v>46182.0</v>
      </c>
      <c r="C998" s="20" t="s">
        <v>25</v>
      </c>
      <c r="D998" s="21" t="s">
        <v>39</v>
      </c>
      <c r="E998" s="21" t="s">
        <v>87</v>
      </c>
      <c r="F998" s="22">
        <v>0.010648148148148148</v>
      </c>
      <c r="G998" s="21" t="s">
        <v>88</v>
      </c>
      <c r="H998" s="149" t="s">
        <v>1137</v>
      </c>
      <c r="I998" s="25" t="s">
        <v>600</v>
      </c>
      <c r="J998" s="26">
        <v>46182.0</v>
      </c>
      <c r="K998" s="21" t="s">
        <v>1138</v>
      </c>
      <c r="L998" s="27"/>
      <c r="M998" s="28"/>
      <c r="N998" s="29"/>
      <c r="O998" s="29"/>
      <c r="P998" s="34" t="s">
        <v>53</v>
      </c>
      <c r="Q998" s="34">
        <v>1.2065127E7</v>
      </c>
      <c r="R998" s="35">
        <v>46183.0</v>
      </c>
      <c r="S998" s="32"/>
      <c r="T998" s="33"/>
      <c r="U998" s="33"/>
    </row>
    <row r="999" ht="15.75" customHeight="1">
      <c r="A999" s="20">
        <v>46182.0</v>
      </c>
      <c r="B999" s="20">
        <v>46182.0</v>
      </c>
      <c r="C999" s="20" t="s">
        <v>25</v>
      </c>
      <c r="D999" s="21" t="s">
        <v>39</v>
      </c>
      <c r="E999" s="21" t="s">
        <v>87</v>
      </c>
      <c r="F999" s="22">
        <v>0.0030555555555555557</v>
      </c>
      <c r="G999" s="21" t="s">
        <v>88</v>
      </c>
      <c r="H999" s="149" t="s">
        <v>1139</v>
      </c>
      <c r="I999" s="25" t="s">
        <v>600</v>
      </c>
      <c r="J999" s="26">
        <v>46182.0</v>
      </c>
      <c r="K999" s="21" t="s">
        <v>1140</v>
      </c>
      <c r="L999" s="27"/>
      <c r="M999" s="28"/>
      <c r="N999" s="29"/>
      <c r="O999" s="29"/>
      <c r="P999" s="34" t="s">
        <v>53</v>
      </c>
      <c r="Q999" s="34">
        <v>1.2065128E7</v>
      </c>
      <c r="R999" s="35">
        <v>46183.0</v>
      </c>
      <c r="S999" s="32"/>
      <c r="T999" s="33"/>
      <c r="U999" s="33"/>
    </row>
    <row r="1000" ht="15.75" customHeight="1">
      <c r="A1000" s="20">
        <v>46183.0</v>
      </c>
      <c r="B1000" s="20">
        <v>46183.0</v>
      </c>
      <c r="C1000" s="20" t="s">
        <v>25</v>
      </c>
      <c r="D1000" s="21" t="s">
        <v>49</v>
      </c>
      <c r="E1000" s="21" t="s">
        <v>26</v>
      </c>
      <c r="F1000" s="22">
        <v>0.10024305555555556</v>
      </c>
      <c r="G1000" s="21" t="s">
        <v>33</v>
      </c>
      <c r="H1000" s="149"/>
      <c r="I1000" s="25"/>
      <c r="J1000" s="26"/>
      <c r="K1000" s="21"/>
      <c r="L1000" s="27">
        <v>46183.0</v>
      </c>
      <c r="M1000" s="28">
        <v>0.23958333333333334</v>
      </c>
      <c r="N1000" s="29" t="s">
        <v>39</v>
      </c>
      <c r="O1000" s="29" t="s">
        <v>35</v>
      </c>
      <c r="P1000" s="34" t="s">
        <v>36</v>
      </c>
      <c r="Q1000" s="34" t="s">
        <v>1141</v>
      </c>
      <c r="R1000" s="35">
        <v>46184.0</v>
      </c>
      <c r="S1000" s="32" t="s">
        <v>29</v>
      </c>
      <c r="T1000" s="33"/>
      <c r="U1000" s="33"/>
    </row>
    <row r="1001" ht="15.75" customHeight="1">
      <c r="A1001" s="20">
        <v>46183.0</v>
      </c>
      <c r="B1001" s="20">
        <v>46183.0</v>
      </c>
      <c r="C1001" s="20" t="s">
        <v>25</v>
      </c>
      <c r="D1001" s="21" t="s">
        <v>59</v>
      </c>
      <c r="E1001" s="21" t="s">
        <v>30</v>
      </c>
      <c r="F1001" s="22">
        <v>0.004502314814814815</v>
      </c>
      <c r="G1001" s="21" t="s">
        <v>33</v>
      </c>
      <c r="H1001" s="149"/>
      <c r="I1001" s="25"/>
      <c r="J1001" s="26"/>
      <c r="K1001" s="21"/>
      <c r="L1001" s="27">
        <v>46183.0</v>
      </c>
      <c r="M1001" s="28">
        <v>0.010416666666666666</v>
      </c>
      <c r="N1001" s="29" t="s">
        <v>59</v>
      </c>
      <c r="O1001" s="29" t="s">
        <v>35</v>
      </c>
      <c r="P1001" s="34" t="s">
        <v>36</v>
      </c>
      <c r="Q1001" s="34" t="s">
        <v>1142</v>
      </c>
      <c r="R1001" s="35">
        <v>46184.0</v>
      </c>
      <c r="S1001" s="32" t="s">
        <v>29</v>
      </c>
      <c r="T1001" s="33"/>
      <c r="U1001" s="33"/>
    </row>
    <row r="1002" ht="15.75" customHeight="1">
      <c r="A1002" s="20">
        <v>46183.0</v>
      </c>
      <c r="B1002" s="20">
        <v>46183.0</v>
      </c>
      <c r="C1002" s="20" t="s">
        <v>25</v>
      </c>
      <c r="D1002" s="21" t="s">
        <v>69</v>
      </c>
      <c r="E1002" s="21" t="s">
        <v>32</v>
      </c>
      <c r="F1002" s="22">
        <v>0.04667824074074074</v>
      </c>
      <c r="G1002" s="21" t="s">
        <v>33</v>
      </c>
      <c r="H1002" s="149"/>
      <c r="I1002" s="25"/>
      <c r="J1002" s="26"/>
      <c r="K1002" s="21"/>
      <c r="L1002" s="27">
        <v>46184.0</v>
      </c>
      <c r="M1002" s="28">
        <v>0.1076388888888889</v>
      </c>
      <c r="N1002" s="29" t="s">
        <v>59</v>
      </c>
      <c r="O1002" s="29" t="s">
        <v>35</v>
      </c>
      <c r="P1002" s="34" t="s">
        <v>36</v>
      </c>
      <c r="Q1002" s="99" t="s">
        <v>1143</v>
      </c>
      <c r="R1002" s="35">
        <v>46184.0</v>
      </c>
      <c r="S1002" s="32" t="s">
        <v>29</v>
      </c>
      <c r="T1002" s="33"/>
      <c r="U1002" s="33"/>
    </row>
    <row r="1003" ht="15.75" customHeight="1">
      <c r="A1003" s="20">
        <v>46183.0</v>
      </c>
      <c r="B1003" s="20">
        <v>46183.0</v>
      </c>
      <c r="C1003" s="20" t="s">
        <v>25</v>
      </c>
      <c r="D1003" s="21" t="s">
        <v>34</v>
      </c>
      <c r="E1003" s="21" t="s">
        <v>38</v>
      </c>
      <c r="F1003" s="22">
        <v>0.010451388888888889</v>
      </c>
      <c r="G1003" s="21" t="s">
        <v>33</v>
      </c>
      <c r="H1003" s="149"/>
      <c r="I1003" s="25"/>
      <c r="J1003" s="26"/>
      <c r="K1003" s="21"/>
      <c r="L1003" s="27">
        <v>46184.0</v>
      </c>
      <c r="M1003" s="28">
        <v>0.041666666666666664</v>
      </c>
      <c r="N1003" s="29" t="s">
        <v>69</v>
      </c>
      <c r="O1003" s="29" t="s">
        <v>35</v>
      </c>
      <c r="P1003" s="34" t="s">
        <v>36</v>
      </c>
      <c r="Q1003" s="34">
        <v>1.2047551E7</v>
      </c>
      <c r="R1003" s="35">
        <v>46184.0</v>
      </c>
      <c r="S1003" s="32" t="s">
        <v>29</v>
      </c>
      <c r="T1003" s="33"/>
      <c r="U1003" s="33"/>
    </row>
    <row r="1004" ht="15.75" customHeight="1">
      <c r="A1004" s="20">
        <v>46183.0</v>
      </c>
      <c r="B1004" s="20">
        <v>46183.0</v>
      </c>
      <c r="C1004" s="20" t="s">
        <v>25</v>
      </c>
      <c r="D1004" s="21" t="s">
        <v>34</v>
      </c>
      <c r="E1004" s="21" t="s">
        <v>40</v>
      </c>
      <c r="F1004" s="22">
        <v>0.018784722222222223</v>
      </c>
      <c r="G1004" s="21" t="s">
        <v>33</v>
      </c>
      <c r="H1004" s="149"/>
      <c r="I1004" s="25"/>
      <c r="J1004" s="26"/>
      <c r="K1004" s="21"/>
      <c r="L1004" s="27">
        <v>46184.0</v>
      </c>
      <c r="M1004" s="28">
        <v>0.05555555555555555</v>
      </c>
      <c r="N1004" s="29" t="s">
        <v>49</v>
      </c>
      <c r="O1004" s="29" t="s">
        <v>35</v>
      </c>
      <c r="P1004" s="34" t="s">
        <v>36</v>
      </c>
      <c r="Q1004" s="34" t="s">
        <v>1144</v>
      </c>
      <c r="R1004" s="35">
        <v>46184.0</v>
      </c>
      <c r="S1004" s="32" t="s">
        <v>29</v>
      </c>
      <c r="T1004" s="33"/>
      <c r="U1004" s="33"/>
    </row>
    <row r="1005" ht="15.75" customHeight="1">
      <c r="A1005" s="20">
        <v>46183.0</v>
      </c>
      <c r="B1005" s="20">
        <v>46183.0</v>
      </c>
      <c r="C1005" s="20"/>
      <c r="D1005" s="21"/>
      <c r="E1005" s="21" t="s">
        <v>43</v>
      </c>
      <c r="F1005" s="22"/>
      <c r="G1005" s="21" t="s">
        <v>27</v>
      </c>
      <c r="H1005" s="149"/>
      <c r="I1005" s="25"/>
      <c r="J1005" s="26"/>
      <c r="K1005" s="21"/>
      <c r="L1005" s="27"/>
      <c r="M1005" s="28"/>
      <c r="N1005" s="29" t="s">
        <v>57</v>
      </c>
      <c r="O1005" s="29"/>
      <c r="P1005" s="30" t="s">
        <v>28</v>
      </c>
      <c r="Q1005" s="30" t="s">
        <v>28</v>
      </c>
      <c r="R1005" s="31" t="s">
        <v>28</v>
      </c>
      <c r="S1005" s="32" t="s">
        <v>29</v>
      </c>
      <c r="T1005" s="33"/>
      <c r="U1005" s="33"/>
    </row>
    <row r="1006" ht="15.75" customHeight="1">
      <c r="A1006" s="20">
        <v>46184.0</v>
      </c>
      <c r="B1006" s="20">
        <v>46184.0</v>
      </c>
      <c r="C1006" s="20" t="s">
        <v>25</v>
      </c>
      <c r="D1006" s="21" t="s">
        <v>49</v>
      </c>
      <c r="E1006" s="21" t="s">
        <v>26</v>
      </c>
      <c r="F1006" s="22">
        <v>0.10016203703703704</v>
      </c>
      <c r="G1006" s="21" t="s">
        <v>33</v>
      </c>
      <c r="H1006" s="149"/>
      <c r="I1006" s="25"/>
      <c r="J1006" s="26"/>
      <c r="K1006" s="21"/>
      <c r="L1006" s="27">
        <v>46185.0</v>
      </c>
      <c r="M1006" s="28">
        <v>0.20833333333333334</v>
      </c>
      <c r="N1006" s="29" t="s">
        <v>57</v>
      </c>
      <c r="O1006" s="29" t="s">
        <v>35</v>
      </c>
      <c r="P1006" s="34" t="s">
        <v>36</v>
      </c>
      <c r="Q1006" s="34" t="s">
        <v>1145</v>
      </c>
      <c r="R1006" s="35">
        <v>46185.0</v>
      </c>
      <c r="S1006" s="32" t="s">
        <v>29</v>
      </c>
      <c r="T1006" s="33"/>
      <c r="U1006" s="33"/>
    </row>
    <row r="1007" ht="15.75" customHeight="1">
      <c r="A1007" s="20">
        <v>46184.0</v>
      </c>
      <c r="B1007" s="20">
        <v>46184.0</v>
      </c>
      <c r="C1007" s="20" t="s">
        <v>25</v>
      </c>
      <c r="D1007" s="21" t="s">
        <v>39</v>
      </c>
      <c r="E1007" s="21" t="s">
        <v>30</v>
      </c>
      <c r="F1007" s="22">
        <v>0.0013310185185185185</v>
      </c>
      <c r="G1007" s="21" t="s">
        <v>33</v>
      </c>
      <c r="H1007" s="149"/>
      <c r="I1007" s="25"/>
      <c r="J1007" s="26"/>
      <c r="K1007" s="21"/>
      <c r="L1007" s="27">
        <v>46184.0</v>
      </c>
      <c r="M1007" s="28">
        <v>0.003472222222222222</v>
      </c>
      <c r="N1007" s="29" t="s">
        <v>39</v>
      </c>
      <c r="O1007" s="29"/>
      <c r="P1007" s="34" t="s">
        <v>36</v>
      </c>
      <c r="Q1007" s="34" t="s">
        <v>1146</v>
      </c>
      <c r="R1007" s="35">
        <v>46185.0</v>
      </c>
      <c r="S1007" s="32" t="s">
        <v>29</v>
      </c>
      <c r="T1007" s="33"/>
      <c r="U1007" s="33"/>
    </row>
    <row r="1008" ht="15.75" customHeight="1">
      <c r="A1008" s="20">
        <v>46184.0</v>
      </c>
      <c r="B1008" s="20">
        <v>46184.0</v>
      </c>
      <c r="C1008" s="20" t="s">
        <v>25</v>
      </c>
      <c r="D1008" s="21" t="s">
        <v>69</v>
      </c>
      <c r="E1008" s="21" t="s">
        <v>32</v>
      </c>
      <c r="F1008" s="22">
        <v>0.04501157407407407</v>
      </c>
      <c r="G1008" s="21" t="s">
        <v>33</v>
      </c>
      <c r="H1008" s="149"/>
      <c r="I1008" s="25"/>
      <c r="J1008" s="26"/>
      <c r="K1008" s="21"/>
      <c r="L1008" s="27">
        <v>46185.0</v>
      </c>
      <c r="M1008" s="28">
        <v>0.10069444444444445</v>
      </c>
      <c r="N1008" s="29" t="s">
        <v>59</v>
      </c>
      <c r="O1008" s="29" t="s">
        <v>35</v>
      </c>
      <c r="P1008" s="34" t="s">
        <v>36</v>
      </c>
      <c r="Q1008" s="34" t="s">
        <v>1147</v>
      </c>
      <c r="R1008" s="35">
        <v>46185.0</v>
      </c>
      <c r="S1008" s="32" t="s">
        <v>29</v>
      </c>
      <c r="T1008" s="33"/>
      <c r="U1008" s="33"/>
    </row>
    <row r="1009" ht="15.75" customHeight="1">
      <c r="A1009" s="20">
        <v>46184.0</v>
      </c>
      <c r="B1009" s="20">
        <v>46184.0</v>
      </c>
      <c r="C1009" s="20"/>
      <c r="D1009" s="21"/>
      <c r="E1009" s="21" t="s">
        <v>38</v>
      </c>
      <c r="F1009" s="22"/>
      <c r="G1009" s="23" t="s">
        <v>27</v>
      </c>
      <c r="H1009" s="149"/>
      <c r="I1009" s="25"/>
      <c r="J1009" s="26"/>
      <c r="K1009" s="21"/>
      <c r="L1009" s="27"/>
      <c r="M1009" s="28"/>
      <c r="N1009" s="29" t="s">
        <v>69</v>
      </c>
      <c r="O1009" s="29"/>
      <c r="P1009" s="34" t="s">
        <v>28</v>
      </c>
      <c r="Q1009" s="34" t="s">
        <v>28</v>
      </c>
      <c r="R1009" s="35" t="s">
        <v>28</v>
      </c>
      <c r="S1009" s="32" t="s">
        <v>29</v>
      </c>
      <c r="T1009" s="33"/>
      <c r="U1009" s="33"/>
    </row>
    <row r="1010" ht="15.75" customHeight="1">
      <c r="A1010" s="20">
        <v>46184.0</v>
      </c>
      <c r="B1010" s="20">
        <v>46184.0</v>
      </c>
      <c r="C1010" s="20" t="s">
        <v>25</v>
      </c>
      <c r="D1010" s="21" t="s">
        <v>34</v>
      </c>
      <c r="E1010" s="21" t="s">
        <v>40</v>
      </c>
      <c r="F1010" s="22">
        <v>0.022175925925925925</v>
      </c>
      <c r="G1010" s="21" t="s">
        <v>33</v>
      </c>
      <c r="H1010" s="149"/>
      <c r="I1010" s="25"/>
      <c r="J1010" s="26"/>
      <c r="K1010" s="21"/>
      <c r="L1010" s="27">
        <v>46185.0</v>
      </c>
      <c r="M1010" s="28">
        <v>0.06666666666666667</v>
      </c>
      <c r="N1010" s="29"/>
      <c r="O1010" s="29" t="s">
        <v>35</v>
      </c>
      <c r="P1010" s="34" t="s">
        <v>36</v>
      </c>
      <c r="Q1010" s="34" t="s">
        <v>1148</v>
      </c>
      <c r="R1010" s="35">
        <v>46185.0</v>
      </c>
      <c r="S1010" s="32" t="s">
        <v>29</v>
      </c>
      <c r="T1010" s="33"/>
      <c r="U1010" s="33"/>
    </row>
    <row r="1011" ht="15.75" customHeight="1">
      <c r="A1011" s="20">
        <v>46184.0</v>
      </c>
      <c r="B1011" s="20">
        <v>46184.0</v>
      </c>
      <c r="C1011" s="20"/>
      <c r="D1011" s="21"/>
      <c r="E1011" s="21" t="s">
        <v>43</v>
      </c>
      <c r="F1011" s="22"/>
      <c r="G1011" s="23" t="s">
        <v>27</v>
      </c>
      <c r="H1011" s="149"/>
      <c r="I1011" s="25"/>
      <c r="J1011" s="26"/>
      <c r="K1011" s="21"/>
      <c r="L1011" s="27"/>
      <c r="M1011" s="28"/>
      <c r="N1011" s="29"/>
      <c r="O1011" s="29"/>
      <c r="P1011" s="30" t="s">
        <v>28</v>
      </c>
      <c r="Q1011" s="30" t="s">
        <v>28</v>
      </c>
      <c r="R1011" s="31" t="s">
        <v>28</v>
      </c>
      <c r="S1011" s="32" t="s">
        <v>29</v>
      </c>
      <c r="T1011" s="33"/>
      <c r="U1011" s="33"/>
    </row>
    <row r="1012" ht="15.75" customHeight="1">
      <c r="A1012" s="20">
        <v>46185.0</v>
      </c>
      <c r="B1012" s="20">
        <v>46185.0</v>
      </c>
      <c r="C1012" s="20" t="s">
        <v>25</v>
      </c>
      <c r="D1012" s="21" t="s">
        <v>49</v>
      </c>
      <c r="E1012" s="21" t="s">
        <v>26</v>
      </c>
      <c r="F1012" s="22">
        <v>0.10052083333333334</v>
      </c>
      <c r="G1012" s="21" t="s">
        <v>33</v>
      </c>
      <c r="H1012" s="149"/>
      <c r="I1012" s="25"/>
      <c r="J1012" s="26"/>
      <c r="K1012" s="21"/>
      <c r="L1012" s="27">
        <v>46188.0</v>
      </c>
      <c r="M1012" s="28">
        <v>0.2604166666666667</v>
      </c>
      <c r="N1012" s="29" t="s">
        <v>34</v>
      </c>
      <c r="O1012" s="29" t="s">
        <v>35</v>
      </c>
      <c r="P1012" s="34" t="s">
        <v>53</v>
      </c>
      <c r="Q1012" s="34" t="s">
        <v>1149</v>
      </c>
      <c r="R1012" s="35">
        <v>46186.0</v>
      </c>
      <c r="S1012" s="32" t="s">
        <v>29</v>
      </c>
      <c r="T1012" s="33"/>
      <c r="U1012" s="33"/>
    </row>
    <row r="1013" ht="15.75" customHeight="1">
      <c r="A1013" s="20">
        <v>46185.0</v>
      </c>
      <c r="B1013" s="20">
        <v>46185.0</v>
      </c>
      <c r="C1013" s="20" t="s">
        <v>25</v>
      </c>
      <c r="D1013" s="21" t="s">
        <v>57</v>
      </c>
      <c r="E1013" s="21" t="s">
        <v>30</v>
      </c>
      <c r="F1013" s="22">
        <v>0.00369212962962963</v>
      </c>
      <c r="G1013" s="21" t="s">
        <v>33</v>
      </c>
      <c r="H1013" s="149"/>
      <c r="I1013" s="25"/>
      <c r="J1013" s="26"/>
      <c r="K1013" s="21"/>
      <c r="L1013" s="27">
        <v>46185.0</v>
      </c>
      <c r="M1013" s="28">
        <v>0.010416666666666666</v>
      </c>
      <c r="N1013" s="29" t="s">
        <v>57</v>
      </c>
      <c r="O1013" s="29" t="s">
        <v>35</v>
      </c>
      <c r="P1013" s="34" t="s">
        <v>53</v>
      </c>
      <c r="Q1013" s="34" t="s">
        <v>1150</v>
      </c>
      <c r="R1013" s="35">
        <v>46186.0</v>
      </c>
      <c r="S1013" s="32" t="s">
        <v>29</v>
      </c>
      <c r="T1013" s="33"/>
      <c r="U1013" s="33"/>
    </row>
    <row r="1014" ht="15.75" customHeight="1">
      <c r="A1014" s="20">
        <v>46185.0</v>
      </c>
      <c r="B1014" s="20">
        <v>46185.0</v>
      </c>
      <c r="C1014" s="20" t="s">
        <v>25</v>
      </c>
      <c r="D1014" s="21" t="s">
        <v>34</v>
      </c>
      <c r="E1014" s="21" t="s">
        <v>32</v>
      </c>
      <c r="F1014" s="22">
        <v>0.04400462962962963</v>
      </c>
      <c r="G1014" s="21" t="s">
        <v>33</v>
      </c>
      <c r="H1014" s="149"/>
      <c r="I1014" s="25"/>
      <c r="J1014" s="26"/>
      <c r="K1014" s="21"/>
      <c r="L1014" s="27">
        <v>46186.0</v>
      </c>
      <c r="M1014" s="28">
        <v>0.09722222222222222</v>
      </c>
      <c r="N1014" s="29" t="s">
        <v>34</v>
      </c>
      <c r="O1014" s="29" t="s">
        <v>35</v>
      </c>
      <c r="P1014" s="34" t="s">
        <v>53</v>
      </c>
      <c r="Q1014" s="34" t="s">
        <v>1151</v>
      </c>
      <c r="R1014" s="35">
        <v>46186.0</v>
      </c>
      <c r="S1014" s="32" t="s">
        <v>29</v>
      </c>
      <c r="T1014" s="33"/>
      <c r="U1014" s="33"/>
    </row>
    <row r="1015" ht="15.75" customHeight="1">
      <c r="A1015" s="20">
        <v>46185.0</v>
      </c>
      <c r="B1015" s="20">
        <v>46185.0</v>
      </c>
      <c r="C1015" s="20" t="s">
        <v>25</v>
      </c>
      <c r="D1015" s="21" t="s">
        <v>39</v>
      </c>
      <c r="E1015" s="21" t="s">
        <v>38</v>
      </c>
      <c r="F1015" s="22">
        <v>0.0077083333333333335</v>
      </c>
      <c r="G1015" s="21" t="s">
        <v>33</v>
      </c>
      <c r="H1015" s="149"/>
      <c r="I1015" s="25"/>
      <c r="J1015" s="26"/>
      <c r="K1015" s="21"/>
      <c r="L1015" s="27">
        <v>46188.0</v>
      </c>
      <c r="M1015" s="28">
        <v>0.022222222222222223</v>
      </c>
      <c r="N1015" s="29" t="s">
        <v>49</v>
      </c>
      <c r="O1015" s="29" t="s">
        <v>35</v>
      </c>
      <c r="P1015" s="34" t="s">
        <v>53</v>
      </c>
      <c r="Q1015" s="34">
        <v>1.2047553E7</v>
      </c>
      <c r="R1015" s="35">
        <v>46186.0</v>
      </c>
      <c r="S1015" s="32" t="s">
        <v>29</v>
      </c>
      <c r="T1015" s="33"/>
      <c r="U1015" s="33"/>
    </row>
    <row r="1016" ht="15.75" customHeight="1">
      <c r="A1016" s="20">
        <v>46185.0</v>
      </c>
      <c r="B1016" s="20">
        <v>46185.0</v>
      </c>
      <c r="C1016" s="20" t="s">
        <v>25</v>
      </c>
      <c r="D1016" s="21" t="s">
        <v>39</v>
      </c>
      <c r="E1016" s="21" t="s">
        <v>40</v>
      </c>
      <c r="F1016" s="22">
        <v>0.012256944444444445</v>
      </c>
      <c r="G1016" s="37" t="s">
        <v>33</v>
      </c>
      <c r="H1016" s="149"/>
      <c r="I1016" s="25"/>
      <c r="J1016" s="26"/>
      <c r="K1016" s="21"/>
      <c r="L1016" s="27">
        <v>46188.0</v>
      </c>
      <c r="M1016" s="28">
        <v>0.04861111111111111</v>
      </c>
      <c r="N1016" s="29" t="s">
        <v>49</v>
      </c>
      <c r="O1016" s="29" t="s">
        <v>35</v>
      </c>
      <c r="P1016" s="34" t="s">
        <v>53</v>
      </c>
      <c r="Q1016" s="30" t="s">
        <v>1152</v>
      </c>
      <c r="R1016" s="35">
        <v>46186.0</v>
      </c>
      <c r="S1016" s="32" t="s">
        <v>29</v>
      </c>
      <c r="T1016" s="33"/>
      <c r="U1016" s="33"/>
    </row>
    <row r="1017" ht="15.75" customHeight="1">
      <c r="A1017" s="20">
        <v>46185.0</v>
      </c>
      <c r="B1017" s="20">
        <v>46185.0</v>
      </c>
      <c r="C1017" s="20"/>
      <c r="D1017" s="21"/>
      <c r="E1017" s="21" t="s">
        <v>43</v>
      </c>
      <c r="F1017" s="22"/>
      <c r="G1017" s="21" t="s">
        <v>27</v>
      </c>
      <c r="H1017" s="149"/>
      <c r="I1017" s="25"/>
      <c r="J1017" s="26"/>
      <c r="K1017" s="21"/>
      <c r="L1017" s="27"/>
      <c r="M1017" s="28"/>
      <c r="N1017" s="29"/>
      <c r="O1017" s="29"/>
      <c r="P1017" s="30" t="s">
        <v>28</v>
      </c>
      <c r="Q1017" s="30" t="s">
        <v>28</v>
      </c>
      <c r="R1017" s="31" t="s">
        <v>28</v>
      </c>
      <c r="S1017" s="32" t="s">
        <v>29</v>
      </c>
      <c r="T1017" s="33"/>
      <c r="U1017" s="33"/>
    </row>
    <row r="1018" ht="15.75" customHeight="1">
      <c r="A1018" s="55">
        <v>46186.0</v>
      </c>
      <c r="B1018" s="55">
        <v>46186.0</v>
      </c>
      <c r="C1018" s="55" t="s">
        <v>25</v>
      </c>
      <c r="D1018" s="56" t="s">
        <v>34</v>
      </c>
      <c r="E1018" s="56" t="s">
        <v>32</v>
      </c>
      <c r="F1018" s="57">
        <v>0.044409722222222225</v>
      </c>
      <c r="G1018" s="56" t="s">
        <v>33</v>
      </c>
      <c r="H1018" s="149"/>
      <c r="I1018" s="25"/>
      <c r="J1018" s="26"/>
      <c r="K1018" s="21"/>
      <c r="L1018" s="27">
        <v>46188.0</v>
      </c>
      <c r="M1018" s="28">
        <v>0.125</v>
      </c>
      <c r="N1018" s="29" t="s">
        <v>57</v>
      </c>
      <c r="O1018" s="29" t="s">
        <v>35</v>
      </c>
      <c r="P1018" s="34" t="s">
        <v>36</v>
      </c>
      <c r="Q1018" s="34" t="s">
        <v>1153</v>
      </c>
      <c r="R1018" s="35">
        <v>46189.0</v>
      </c>
      <c r="S1018" s="32" t="s">
        <v>29</v>
      </c>
      <c r="T1018" s="33"/>
      <c r="U1018" s="33"/>
    </row>
    <row r="1019" ht="15.75" customHeight="1">
      <c r="A1019" s="55">
        <v>46186.0</v>
      </c>
      <c r="B1019" s="55">
        <v>46186.0</v>
      </c>
      <c r="C1019" s="55" t="s">
        <v>25</v>
      </c>
      <c r="D1019" s="56" t="s">
        <v>57</v>
      </c>
      <c r="E1019" s="56" t="s">
        <v>40</v>
      </c>
      <c r="F1019" s="57"/>
      <c r="G1019" s="59" t="s">
        <v>27</v>
      </c>
      <c r="H1019" s="149"/>
      <c r="I1019" s="25"/>
      <c r="J1019" s="26"/>
      <c r="K1019" s="21"/>
      <c r="L1019" s="27"/>
      <c r="M1019" s="28"/>
      <c r="N1019" s="29"/>
      <c r="O1019" s="29"/>
      <c r="P1019" s="34" t="s">
        <v>28</v>
      </c>
      <c r="Q1019" s="34" t="s">
        <v>28</v>
      </c>
      <c r="R1019" s="35" t="s">
        <v>28</v>
      </c>
      <c r="S1019" s="32" t="s">
        <v>29</v>
      </c>
      <c r="T1019" s="33"/>
      <c r="U1019" s="33"/>
    </row>
    <row r="1020" ht="15.75" customHeight="1">
      <c r="A1020" s="55">
        <v>46186.0</v>
      </c>
      <c r="B1020" s="55">
        <v>46186.0</v>
      </c>
      <c r="C1020" s="55"/>
      <c r="D1020" s="56"/>
      <c r="E1020" s="56" t="s">
        <v>43</v>
      </c>
      <c r="F1020" s="57"/>
      <c r="G1020" s="59" t="s">
        <v>27</v>
      </c>
      <c r="H1020" s="149"/>
      <c r="I1020" s="25"/>
      <c r="J1020" s="26"/>
      <c r="K1020" s="21"/>
      <c r="L1020" s="27"/>
      <c r="M1020" s="28"/>
      <c r="N1020" s="29"/>
      <c r="O1020" s="29"/>
      <c r="P1020" s="34" t="s">
        <v>28</v>
      </c>
      <c r="Q1020" s="34" t="s">
        <v>28</v>
      </c>
      <c r="R1020" s="35" t="s">
        <v>28</v>
      </c>
      <c r="S1020" s="32" t="s">
        <v>29</v>
      </c>
      <c r="T1020" s="33"/>
      <c r="U1020" s="33"/>
    </row>
    <row r="1021" ht="15.75" customHeight="1">
      <c r="A1021" s="55">
        <v>46186.0</v>
      </c>
      <c r="B1021" s="55">
        <v>46186.0</v>
      </c>
      <c r="C1021" s="55" t="s">
        <v>25</v>
      </c>
      <c r="D1021" s="56" t="s">
        <v>57</v>
      </c>
      <c r="E1021" s="56" t="s">
        <v>61</v>
      </c>
      <c r="F1021" s="57">
        <v>0.027685185185185184</v>
      </c>
      <c r="G1021" s="56" t="s">
        <v>33</v>
      </c>
      <c r="H1021" s="149"/>
      <c r="I1021" s="25"/>
      <c r="J1021" s="26"/>
      <c r="K1021" s="21"/>
      <c r="L1021" s="27">
        <v>46192.0</v>
      </c>
      <c r="M1021" s="28">
        <v>0.05555555555555555</v>
      </c>
      <c r="N1021" s="29" t="s">
        <v>31</v>
      </c>
      <c r="O1021" s="29" t="s">
        <v>35</v>
      </c>
      <c r="P1021" s="34" t="s">
        <v>36</v>
      </c>
      <c r="Q1021" s="34" t="s">
        <v>1154</v>
      </c>
      <c r="R1021" s="46">
        <v>46191.0</v>
      </c>
      <c r="S1021" s="32" t="s">
        <v>29</v>
      </c>
      <c r="T1021" s="33"/>
      <c r="U1021" s="33"/>
    </row>
    <row r="1022" ht="15.75" customHeight="1">
      <c r="A1022" s="120">
        <v>46186.0</v>
      </c>
      <c r="B1022" s="120">
        <v>46186.0</v>
      </c>
      <c r="C1022" s="120" t="s">
        <v>25</v>
      </c>
      <c r="D1022" s="82" t="s">
        <v>57</v>
      </c>
      <c r="E1022" s="82" t="s">
        <v>62</v>
      </c>
      <c r="F1022" s="121">
        <v>0.027685185185185184</v>
      </c>
      <c r="G1022" s="82" t="s">
        <v>33</v>
      </c>
      <c r="H1022" s="150"/>
      <c r="I1022" s="40"/>
      <c r="J1022" s="41"/>
      <c r="K1022" s="37" t="s">
        <v>1155</v>
      </c>
      <c r="L1022" s="42">
        <v>46192.0</v>
      </c>
      <c r="M1022" s="43">
        <v>0.003472222222222222</v>
      </c>
      <c r="N1022" s="44" t="s">
        <v>31</v>
      </c>
      <c r="O1022" s="44" t="s">
        <v>355</v>
      </c>
      <c r="P1022" s="45" t="s">
        <v>36</v>
      </c>
      <c r="Q1022" s="45" t="s">
        <v>1156</v>
      </c>
      <c r="R1022" s="46">
        <v>46196.0</v>
      </c>
      <c r="S1022" s="54" t="s">
        <v>29</v>
      </c>
      <c r="T1022" s="153"/>
      <c r="U1022" s="153"/>
    </row>
    <row r="1023" ht="15.75" customHeight="1">
      <c r="A1023" s="55">
        <v>46186.0</v>
      </c>
      <c r="B1023" s="55">
        <v>46188.0</v>
      </c>
      <c r="C1023" s="55" t="s">
        <v>25</v>
      </c>
      <c r="D1023" s="56" t="s">
        <v>59</v>
      </c>
      <c r="E1023" s="56" t="s">
        <v>63</v>
      </c>
      <c r="F1023" s="57">
        <v>0.02494212962962963</v>
      </c>
      <c r="G1023" s="56" t="s">
        <v>33</v>
      </c>
      <c r="H1023" s="149"/>
      <c r="I1023" s="25"/>
      <c r="J1023" s="26"/>
      <c r="K1023" s="21" t="s">
        <v>1157</v>
      </c>
      <c r="L1023" s="27">
        <v>46191.0</v>
      </c>
      <c r="M1023" s="28">
        <v>0.06597222222222222</v>
      </c>
      <c r="N1023" s="29" t="s">
        <v>59</v>
      </c>
      <c r="O1023" s="29" t="s">
        <v>35</v>
      </c>
      <c r="P1023" s="34" t="s">
        <v>36</v>
      </c>
      <c r="Q1023" s="34" t="s">
        <v>1158</v>
      </c>
      <c r="R1023" s="35">
        <v>46190.0</v>
      </c>
      <c r="S1023" s="32" t="s">
        <v>29</v>
      </c>
      <c r="T1023" s="33"/>
      <c r="U1023" s="33"/>
    </row>
    <row r="1024" ht="15.75" customHeight="1">
      <c r="A1024" s="60">
        <v>46187.0</v>
      </c>
      <c r="B1024" s="60">
        <v>46187.0</v>
      </c>
      <c r="C1024" s="60"/>
      <c r="D1024" s="61"/>
      <c r="E1024" s="61" t="s">
        <v>66</v>
      </c>
      <c r="F1024" s="62"/>
      <c r="G1024" s="61" t="s">
        <v>102</v>
      </c>
      <c r="H1024" s="149"/>
      <c r="I1024" s="25"/>
      <c r="J1024" s="26"/>
      <c r="K1024" s="21"/>
      <c r="L1024" s="27"/>
      <c r="M1024" s="28"/>
      <c r="N1024" s="29" t="s">
        <v>69</v>
      </c>
      <c r="O1024" s="29"/>
      <c r="P1024" s="34" t="s">
        <v>28</v>
      </c>
      <c r="Q1024" s="34" t="s">
        <v>28</v>
      </c>
      <c r="R1024" s="35" t="s">
        <v>28</v>
      </c>
      <c r="S1024" s="32" t="s">
        <v>29</v>
      </c>
      <c r="T1024" s="33"/>
      <c r="U1024" s="33"/>
    </row>
    <row r="1025" ht="15.75" customHeight="1">
      <c r="A1025" s="20">
        <v>46188.0</v>
      </c>
      <c r="B1025" s="20">
        <v>46188.0</v>
      </c>
      <c r="C1025" s="20" t="s">
        <v>25</v>
      </c>
      <c r="D1025" s="21" t="s">
        <v>49</v>
      </c>
      <c r="E1025" s="21" t="s">
        <v>26</v>
      </c>
      <c r="F1025" s="22">
        <v>0.1000925925925926</v>
      </c>
      <c r="G1025" s="21" t="s">
        <v>33</v>
      </c>
      <c r="H1025" s="149"/>
      <c r="I1025" s="25"/>
      <c r="J1025" s="26"/>
      <c r="K1025" s="21"/>
      <c r="L1025" s="27">
        <v>46189.0</v>
      </c>
      <c r="M1025" s="28">
        <v>0.2638888888888889</v>
      </c>
      <c r="N1025" s="29" t="s">
        <v>34</v>
      </c>
      <c r="O1025" s="29" t="s">
        <v>35</v>
      </c>
      <c r="P1025" s="34" t="s">
        <v>36</v>
      </c>
      <c r="Q1025" s="34" t="s">
        <v>1159</v>
      </c>
      <c r="R1025" s="35">
        <v>46189.0</v>
      </c>
      <c r="S1025" s="32" t="s">
        <v>29</v>
      </c>
      <c r="T1025" s="33"/>
      <c r="U1025" s="33"/>
    </row>
    <row r="1026" ht="15.75" customHeight="1">
      <c r="A1026" s="20">
        <v>46188.0</v>
      </c>
      <c r="B1026" s="20">
        <v>46188.0</v>
      </c>
      <c r="C1026" s="20" t="s">
        <v>25</v>
      </c>
      <c r="D1026" s="21" t="s">
        <v>34</v>
      </c>
      <c r="E1026" s="21" t="s">
        <v>30</v>
      </c>
      <c r="F1026" s="22">
        <v>0.0028472222222222223</v>
      </c>
      <c r="G1026" s="21" t="s">
        <v>33</v>
      </c>
      <c r="H1026" s="149"/>
      <c r="I1026" s="25"/>
      <c r="J1026" s="26"/>
      <c r="K1026" s="21"/>
      <c r="L1026" s="27">
        <v>46188.0</v>
      </c>
      <c r="M1026" s="28">
        <v>0.006944444444444444</v>
      </c>
      <c r="N1026" s="29" t="s">
        <v>34</v>
      </c>
      <c r="O1026" s="29" t="s">
        <v>35</v>
      </c>
      <c r="P1026" s="34" t="s">
        <v>36</v>
      </c>
      <c r="Q1026" s="34" t="s">
        <v>1160</v>
      </c>
      <c r="R1026" s="35">
        <v>46189.0</v>
      </c>
      <c r="S1026" s="32" t="s">
        <v>29</v>
      </c>
      <c r="T1026" s="33"/>
      <c r="U1026" s="33"/>
    </row>
    <row r="1027" ht="15.75" customHeight="1">
      <c r="A1027" s="20">
        <v>46188.0</v>
      </c>
      <c r="B1027" s="20">
        <v>46188.0</v>
      </c>
      <c r="C1027" s="20" t="s">
        <v>25</v>
      </c>
      <c r="D1027" s="21" t="s">
        <v>39</v>
      </c>
      <c r="E1027" s="21" t="s">
        <v>32</v>
      </c>
      <c r="F1027" s="22">
        <v>0.04621527777777778</v>
      </c>
      <c r="G1027" s="21" t="s">
        <v>33</v>
      </c>
      <c r="H1027" s="149"/>
      <c r="I1027" s="25"/>
      <c r="J1027" s="26"/>
      <c r="K1027" s="21"/>
      <c r="L1027" s="27">
        <v>46189.0</v>
      </c>
      <c r="M1027" s="28">
        <v>0.125</v>
      </c>
      <c r="N1027" s="29" t="s">
        <v>57</v>
      </c>
      <c r="O1027" s="29" t="s">
        <v>35</v>
      </c>
      <c r="P1027" s="34" t="s">
        <v>36</v>
      </c>
      <c r="Q1027" s="34" t="s">
        <v>1161</v>
      </c>
      <c r="R1027" s="35">
        <v>46189.0</v>
      </c>
      <c r="S1027" s="32" t="s">
        <v>29</v>
      </c>
      <c r="T1027" s="33"/>
      <c r="U1027" s="33"/>
    </row>
    <row r="1028" ht="15.75" customHeight="1">
      <c r="A1028" s="20">
        <v>46188.0</v>
      </c>
      <c r="B1028" s="20">
        <v>46188.0</v>
      </c>
      <c r="C1028" s="20"/>
      <c r="D1028" s="21"/>
      <c r="E1028" s="21" t="s">
        <v>38</v>
      </c>
      <c r="F1028" s="22"/>
      <c r="G1028" s="23" t="s">
        <v>27</v>
      </c>
      <c r="H1028" s="149"/>
      <c r="I1028" s="25"/>
      <c r="J1028" s="26"/>
      <c r="K1028" s="21"/>
      <c r="L1028" s="27"/>
      <c r="M1028" s="28"/>
      <c r="N1028" s="29"/>
      <c r="O1028" s="29"/>
      <c r="P1028" s="34" t="s">
        <v>28</v>
      </c>
      <c r="Q1028" s="34" t="s">
        <v>28</v>
      </c>
      <c r="R1028" s="35" t="s">
        <v>28</v>
      </c>
      <c r="S1028" s="32" t="s">
        <v>29</v>
      </c>
      <c r="T1028" s="33"/>
      <c r="U1028" s="33"/>
    </row>
    <row r="1029" ht="15.75" customHeight="1">
      <c r="A1029" s="20">
        <v>46188.0</v>
      </c>
      <c r="B1029" s="20">
        <v>46188.0</v>
      </c>
      <c r="C1029" s="20" t="s">
        <v>25</v>
      </c>
      <c r="D1029" s="21" t="s">
        <v>39</v>
      </c>
      <c r="E1029" s="21" t="s">
        <v>40</v>
      </c>
      <c r="F1029" s="22">
        <v>0.0060879629629629626</v>
      </c>
      <c r="G1029" s="21" t="s">
        <v>33</v>
      </c>
      <c r="H1029" s="149"/>
      <c r="I1029" s="25"/>
      <c r="J1029" s="26"/>
      <c r="K1029" s="21"/>
      <c r="L1029" s="27">
        <v>46189.0</v>
      </c>
      <c r="M1029" s="28">
        <v>0.024305555555555556</v>
      </c>
      <c r="N1029" s="29" t="s">
        <v>49</v>
      </c>
      <c r="O1029" s="29" t="s">
        <v>35</v>
      </c>
      <c r="P1029" s="34" t="s">
        <v>36</v>
      </c>
      <c r="Q1029" s="34" t="s">
        <v>1162</v>
      </c>
      <c r="R1029" s="35">
        <v>46189.0</v>
      </c>
      <c r="S1029" s="32" t="s">
        <v>29</v>
      </c>
      <c r="T1029" s="33"/>
      <c r="U1029" s="33"/>
    </row>
    <row r="1030" ht="15.75" customHeight="1">
      <c r="A1030" s="20">
        <v>46188.0</v>
      </c>
      <c r="B1030" s="20">
        <v>46188.0</v>
      </c>
      <c r="C1030" s="20"/>
      <c r="D1030" s="21"/>
      <c r="E1030" s="21" t="s">
        <v>43</v>
      </c>
      <c r="F1030" s="22"/>
      <c r="G1030" s="23" t="s">
        <v>27</v>
      </c>
      <c r="H1030" s="149"/>
      <c r="I1030" s="25"/>
      <c r="J1030" s="26"/>
      <c r="K1030" s="21"/>
      <c r="L1030" s="27"/>
      <c r="M1030" s="28"/>
      <c r="N1030" s="29"/>
      <c r="O1030" s="29"/>
      <c r="P1030" s="30" t="s">
        <v>28</v>
      </c>
      <c r="Q1030" s="30" t="s">
        <v>28</v>
      </c>
      <c r="R1030" s="31" t="s">
        <v>28</v>
      </c>
      <c r="S1030" s="32" t="s">
        <v>29</v>
      </c>
      <c r="T1030" s="33"/>
      <c r="U1030" s="33"/>
    </row>
    <row r="1031" ht="15.75" customHeight="1">
      <c r="A1031" s="20">
        <v>46188.0</v>
      </c>
      <c r="B1031" s="20">
        <v>46188.0</v>
      </c>
      <c r="C1031" s="20" t="s">
        <v>25</v>
      </c>
      <c r="D1031" s="21" t="s">
        <v>39</v>
      </c>
      <c r="E1031" s="21" t="s">
        <v>87</v>
      </c>
      <c r="F1031" s="22">
        <v>0.011030092592592593</v>
      </c>
      <c r="G1031" s="21" t="s">
        <v>88</v>
      </c>
      <c r="H1031" s="80" t="s">
        <v>1163</v>
      </c>
      <c r="I1031" s="25" t="s">
        <v>600</v>
      </c>
      <c r="J1031" s="26">
        <v>46188.0</v>
      </c>
      <c r="K1031" s="21" t="s">
        <v>1164</v>
      </c>
      <c r="L1031" s="27"/>
      <c r="M1031" s="28"/>
      <c r="N1031" s="29"/>
      <c r="O1031" s="29"/>
      <c r="P1031" s="34" t="s">
        <v>53</v>
      </c>
      <c r="Q1031" s="34">
        <v>1.2068451E7</v>
      </c>
      <c r="R1031" s="35">
        <v>46189.0</v>
      </c>
      <c r="S1031" s="32"/>
      <c r="T1031" s="33"/>
      <c r="U1031" s="33"/>
    </row>
    <row r="1032" ht="15.75" customHeight="1">
      <c r="A1032" s="20">
        <v>46188.0</v>
      </c>
      <c r="B1032" s="20">
        <v>46188.0</v>
      </c>
      <c r="C1032" s="20" t="s">
        <v>25</v>
      </c>
      <c r="D1032" s="21" t="s">
        <v>39</v>
      </c>
      <c r="E1032" s="21" t="s">
        <v>87</v>
      </c>
      <c r="F1032" s="22">
        <v>0.0020601851851851853</v>
      </c>
      <c r="G1032" s="21" t="s">
        <v>88</v>
      </c>
      <c r="H1032" s="80" t="s">
        <v>1165</v>
      </c>
      <c r="I1032" s="25" t="s">
        <v>600</v>
      </c>
      <c r="J1032" s="26">
        <v>46188.0</v>
      </c>
      <c r="K1032" s="21" t="s">
        <v>1166</v>
      </c>
      <c r="L1032" s="27"/>
      <c r="M1032" s="28"/>
      <c r="N1032" s="29"/>
      <c r="O1032" s="29"/>
      <c r="P1032" s="34" t="s">
        <v>53</v>
      </c>
      <c r="Q1032" s="34">
        <v>1.2068452E7</v>
      </c>
      <c r="R1032" s="35">
        <v>46189.0</v>
      </c>
      <c r="S1032" s="32"/>
      <c r="T1032" s="33"/>
      <c r="U1032" s="33"/>
    </row>
    <row r="1033" ht="15.75" customHeight="1">
      <c r="A1033" s="20">
        <v>46188.0</v>
      </c>
      <c r="B1033" s="20">
        <v>46188.0</v>
      </c>
      <c r="C1033" s="20" t="s">
        <v>25</v>
      </c>
      <c r="D1033" s="21" t="s">
        <v>39</v>
      </c>
      <c r="E1033" s="21" t="s">
        <v>87</v>
      </c>
      <c r="F1033" s="22">
        <v>0.0043055555555555555</v>
      </c>
      <c r="G1033" s="21" t="s">
        <v>88</v>
      </c>
      <c r="H1033" s="80" t="s">
        <v>1167</v>
      </c>
      <c r="I1033" s="25" t="s">
        <v>600</v>
      </c>
      <c r="J1033" s="26">
        <v>46188.0</v>
      </c>
      <c r="K1033" s="21" t="s">
        <v>1168</v>
      </c>
      <c r="L1033" s="27"/>
      <c r="M1033" s="28"/>
      <c r="N1033" s="29"/>
      <c r="O1033" s="29"/>
      <c r="P1033" s="34" t="s">
        <v>53</v>
      </c>
      <c r="Q1033" s="34">
        <v>1.2068453E7</v>
      </c>
      <c r="R1033" s="35">
        <v>46189.0</v>
      </c>
      <c r="S1033" s="32"/>
      <c r="T1033" s="33"/>
      <c r="U1033" s="33"/>
    </row>
    <row r="1034" ht="15.75" customHeight="1">
      <c r="A1034" s="20">
        <v>46188.0</v>
      </c>
      <c r="B1034" s="20">
        <v>46188.0</v>
      </c>
      <c r="C1034" s="20" t="s">
        <v>25</v>
      </c>
      <c r="D1034" s="21" t="s">
        <v>39</v>
      </c>
      <c r="E1034" s="21" t="s">
        <v>87</v>
      </c>
      <c r="F1034" s="22">
        <v>5.092592592592592E-4</v>
      </c>
      <c r="G1034" s="21" t="s">
        <v>88</v>
      </c>
      <c r="H1034" s="80" t="s">
        <v>1169</v>
      </c>
      <c r="I1034" s="25" t="s">
        <v>600</v>
      </c>
      <c r="J1034" s="26">
        <v>46188.0</v>
      </c>
      <c r="K1034" s="21" t="s">
        <v>1170</v>
      </c>
      <c r="L1034" s="27"/>
      <c r="M1034" s="28"/>
      <c r="N1034" s="29"/>
      <c r="O1034" s="29"/>
      <c r="P1034" s="34" t="s">
        <v>53</v>
      </c>
      <c r="Q1034" s="34">
        <v>1.2068454E7</v>
      </c>
      <c r="R1034" s="35">
        <v>46189.0</v>
      </c>
      <c r="S1034" s="32"/>
      <c r="T1034" s="33"/>
      <c r="U1034" s="33"/>
    </row>
    <row r="1035" ht="15.75" customHeight="1">
      <c r="A1035" s="20">
        <v>46189.0</v>
      </c>
      <c r="B1035" s="20">
        <v>46189.0</v>
      </c>
      <c r="C1035" s="20" t="s">
        <v>25</v>
      </c>
      <c r="D1035" s="21" t="s">
        <v>49</v>
      </c>
      <c r="E1035" s="21" t="s">
        <v>26</v>
      </c>
      <c r="F1035" s="22">
        <v>0.10013888888888889</v>
      </c>
      <c r="G1035" s="21" t="s">
        <v>33</v>
      </c>
      <c r="H1035" s="149"/>
      <c r="I1035" s="25"/>
      <c r="J1035" s="26"/>
      <c r="K1035" s="154"/>
      <c r="L1035" s="27">
        <v>46190.0</v>
      </c>
      <c r="M1035" s="28">
        <v>0.19791666666666666</v>
      </c>
      <c r="N1035" s="29" t="s">
        <v>59</v>
      </c>
      <c r="O1035" s="29" t="s">
        <v>35</v>
      </c>
      <c r="P1035" s="34" t="s">
        <v>36</v>
      </c>
      <c r="Q1035" s="34" t="s">
        <v>1171</v>
      </c>
      <c r="R1035" s="35">
        <v>46190.0</v>
      </c>
      <c r="S1035" s="32" t="s">
        <v>29</v>
      </c>
      <c r="T1035" s="33"/>
      <c r="U1035" s="33"/>
    </row>
    <row r="1036" ht="15.75" customHeight="1">
      <c r="A1036" s="20">
        <v>46189.0</v>
      </c>
      <c r="B1036" s="20">
        <v>46189.0</v>
      </c>
      <c r="C1036" s="20" t="s">
        <v>25</v>
      </c>
      <c r="D1036" s="21" t="s">
        <v>34</v>
      </c>
      <c r="E1036" s="21" t="s">
        <v>30</v>
      </c>
      <c r="F1036" s="22">
        <v>0.006504629629629629</v>
      </c>
      <c r="G1036" s="21" t="s">
        <v>33</v>
      </c>
      <c r="H1036" s="149"/>
      <c r="I1036" s="25"/>
      <c r="J1036" s="26"/>
      <c r="K1036" s="21"/>
      <c r="L1036" s="27">
        <v>46189.0</v>
      </c>
      <c r="M1036" s="28">
        <v>0.013888888888888888</v>
      </c>
      <c r="N1036" s="29" t="s">
        <v>34</v>
      </c>
      <c r="O1036" s="29" t="s">
        <v>35</v>
      </c>
      <c r="P1036" s="34" t="s">
        <v>36</v>
      </c>
      <c r="Q1036" s="34" t="s">
        <v>1172</v>
      </c>
      <c r="R1036" s="35">
        <v>46190.0</v>
      </c>
      <c r="S1036" s="32" t="s">
        <v>29</v>
      </c>
      <c r="T1036" s="33"/>
      <c r="U1036" s="33"/>
    </row>
    <row r="1037" ht="15.75" customHeight="1">
      <c r="A1037" s="20">
        <v>46189.0</v>
      </c>
      <c r="B1037" s="20">
        <v>46189.0</v>
      </c>
      <c r="C1037" s="20" t="s">
        <v>25</v>
      </c>
      <c r="D1037" s="21" t="s">
        <v>69</v>
      </c>
      <c r="E1037" s="21" t="s">
        <v>32</v>
      </c>
      <c r="F1037" s="22">
        <v>0.04626157407407407</v>
      </c>
      <c r="G1037" s="21" t="s">
        <v>33</v>
      </c>
      <c r="H1037" s="149"/>
      <c r="I1037" s="25"/>
      <c r="J1037" s="26"/>
      <c r="K1037" s="21"/>
      <c r="L1037" s="27">
        <v>46190.0</v>
      </c>
      <c r="M1037" s="28">
        <v>0.125</v>
      </c>
      <c r="N1037" s="29" t="s">
        <v>57</v>
      </c>
      <c r="O1037" s="29"/>
      <c r="P1037" s="34" t="s">
        <v>36</v>
      </c>
      <c r="Q1037" s="34" t="s">
        <v>1173</v>
      </c>
      <c r="R1037" s="35">
        <v>46190.0</v>
      </c>
      <c r="S1037" s="32" t="s">
        <v>29</v>
      </c>
      <c r="T1037" s="33"/>
      <c r="U1037" s="33"/>
    </row>
    <row r="1038" ht="15.75" customHeight="1">
      <c r="A1038" s="20">
        <v>46189.0</v>
      </c>
      <c r="B1038" s="20">
        <v>46189.0</v>
      </c>
      <c r="C1038" s="20"/>
      <c r="D1038" s="21"/>
      <c r="E1038" s="21" t="s">
        <v>38</v>
      </c>
      <c r="F1038" s="22"/>
      <c r="G1038" s="23" t="s">
        <v>27</v>
      </c>
      <c r="H1038" s="149"/>
      <c r="I1038" s="25"/>
      <c r="J1038" s="26"/>
      <c r="K1038" s="21"/>
      <c r="L1038" s="27"/>
      <c r="M1038" s="28"/>
      <c r="N1038" s="29"/>
      <c r="O1038" s="29"/>
      <c r="P1038" s="34" t="s">
        <v>28</v>
      </c>
      <c r="Q1038" s="34" t="s">
        <v>28</v>
      </c>
      <c r="R1038" s="35" t="s">
        <v>28</v>
      </c>
      <c r="S1038" s="32" t="s">
        <v>29</v>
      </c>
      <c r="T1038" s="33"/>
      <c r="U1038" s="33"/>
    </row>
    <row r="1039" ht="15.75" customHeight="1">
      <c r="A1039" s="20">
        <v>46189.0</v>
      </c>
      <c r="B1039" s="20">
        <v>46189.0</v>
      </c>
      <c r="C1039" s="20" t="s">
        <v>25</v>
      </c>
      <c r="D1039" s="21" t="s">
        <v>39</v>
      </c>
      <c r="E1039" s="21" t="s">
        <v>40</v>
      </c>
      <c r="F1039" s="22">
        <v>0.0221875</v>
      </c>
      <c r="G1039" s="21" t="s">
        <v>33</v>
      </c>
      <c r="H1039" s="149"/>
      <c r="I1039" s="25"/>
      <c r="J1039" s="26"/>
      <c r="K1039" s="21"/>
      <c r="L1039" s="27">
        <v>46190.0</v>
      </c>
      <c r="M1039" s="28">
        <v>0.07569444444444444</v>
      </c>
      <c r="N1039" s="29" t="s">
        <v>49</v>
      </c>
      <c r="O1039" s="29" t="s">
        <v>35</v>
      </c>
      <c r="P1039" s="34" t="s">
        <v>36</v>
      </c>
      <c r="Q1039" s="34" t="s">
        <v>1174</v>
      </c>
      <c r="R1039" s="35">
        <v>46190.0</v>
      </c>
      <c r="S1039" s="32" t="s">
        <v>29</v>
      </c>
      <c r="T1039" s="33"/>
      <c r="U1039" s="33"/>
    </row>
    <row r="1040" ht="15.75" customHeight="1">
      <c r="A1040" s="20">
        <v>46189.0</v>
      </c>
      <c r="B1040" s="20">
        <v>46189.0</v>
      </c>
      <c r="C1040" s="20"/>
      <c r="D1040" s="21"/>
      <c r="E1040" s="21" t="s">
        <v>43</v>
      </c>
      <c r="F1040" s="22"/>
      <c r="G1040" s="23" t="s">
        <v>27</v>
      </c>
      <c r="H1040" s="149"/>
      <c r="I1040" s="25"/>
      <c r="J1040" s="26"/>
      <c r="K1040" s="21"/>
      <c r="L1040" s="27"/>
      <c r="M1040" s="28"/>
      <c r="N1040" s="29"/>
      <c r="O1040" s="29"/>
      <c r="P1040" s="30" t="s">
        <v>28</v>
      </c>
      <c r="Q1040" s="30" t="s">
        <v>28</v>
      </c>
      <c r="R1040" s="31" t="s">
        <v>28</v>
      </c>
      <c r="S1040" s="32" t="s">
        <v>29</v>
      </c>
      <c r="T1040" s="33"/>
      <c r="U1040" s="33"/>
    </row>
    <row r="1041" ht="15.75" customHeight="1">
      <c r="A1041" s="20">
        <v>46190.0</v>
      </c>
      <c r="B1041" s="20">
        <v>46190.0</v>
      </c>
      <c r="C1041" s="20" t="s">
        <v>25</v>
      </c>
      <c r="D1041" s="21" t="s">
        <v>49</v>
      </c>
      <c r="E1041" s="21" t="s">
        <v>26</v>
      </c>
      <c r="F1041" s="22">
        <v>0.10013888888888889</v>
      </c>
      <c r="G1041" s="21" t="s">
        <v>33</v>
      </c>
      <c r="H1041" s="149"/>
      <c r="I1041" s="25"/>
      <c r="J1041" s="26"/>
      <c r="K1041" s="21"/>
      <c r="L1041" s="27">
        <v>46191.0</v>
      </c>
      <c r="M1041" s="28">
        <v>0.23958333333333334</v>
      </c>
      <c r="N1041" s="29" t="s">
        <v>39</v>
      </c>
      <c r="O1041" s="29" t="s">
        <v>35</v>
      </c>
      <c r="P1041" s="34" t="s">
        <v>36</v>
      </c>
      <c r="Q1041" s="34" t="s">
        <v>1175</v>
      </c>
      <c r="R1041" s="35">
        <v>46192.0</v>
      </c>
      <c r="S1041" s="32" t="s">
        <v>29</v>
      </c>
      <c r="T1041" s="33"/>
      <c r="U1041" s="33"/>
    </row>
    <row r="1042" ht="15.75" customHeight="1">
      <c r="A1042" s="20">
        <v>46190.0</v>
      </c>
      <c r="B1042" s="20">
        <v>46190.0</v>
      </c>
      <c r="C1042" s="20" t="s">
        <v>25</v>
      </c>
      <c r="D1042" s="21" t="s">
        <v>59</v>
      </c>
      <c r="E1042" s="21" t="s">
        <v>30</v>
      </c>
      <c r="F1042" s="22">
        <v>8.101851851851852E-4</v>
      </c>
      <c r="G1042" s="21" t="s">
        <v>33</v>
      </c>
      <c r="H1042" s="149"/>
      <c r="I1042" s="25"/>
      <c r="J1042" s="26"/>
      <c r="K1042" s="21" t="s">
        <v>1176</v>
      </c>
      <c r="L1042" s="27">
        <v>46190.0</v>
      </c>
      <c r="M1042" s="28">
        <v>0.001388888888888889</v>
      </c>
      <c r="N1042" s="29" t="s">
        <v>59</v>
      </c>
      <c r="O1042" s="29" t="s">
        <v>35</v>
      </c>
      <c r="P1042" s="34" t="s">
        <v>36</v>
      </c>
      <c r="Q1042" s="34" t="s">
        <v>1177</v>
      </c>
      <c r="R1042" s="35">
        <v>46192.0</v>
      </c>
      <c r="S1042" s="32" t="s">
        <v>29</v>
      </c>
      <c r="T1042" s="33"/>
      <c r="U1042" s="33"/>
    </row>
    <row r="1043" ht="15.75" customHeight="1">
      <c r="A1043" s="20">
        <v>46190.0</v>
      </c>
      <c r="B1043" s="20">
        <v>46190.0</v>
      </c>
      <c r="C1043" s="20" t="s">
        <v>25</v>
      </c>
      <c r="D1043" s="21" t="s">
        <v>69</v>
      </c>
      <c r="E1043" s="21" t="s">
        <v>32</v>
      </c>
      <c r="F1043" s="22">
        <v>0.04685185185185185</v>
      </c>
      <c r="G1043" s="21" t="s">
        <v>33</v>
      </c>
      <c r="H1043" s="149"/>
      <c r="I1043" s="25"/>
      <c r="J1043" s="26"/>
      <c r="K1043" s="21"/>
      <c r="L1043" s="27">
        <v>46191.0</v>
      </c>
      <c r="M1043" s="28">
        <v>0.125</v>
      </c>
      <c r="N1043" s="29" t="s">
        <v>57</v>
      </c>
      <c r="O1043" s="29" t="s">
        <v>35</v>
      </c>
      <c r="P1043" s="34" t="s">
        <v>36</v>
      </c>
      <c r="Q1043" s="34" t="s">
        <v>1178</v>
      </c>
      <c r="R1043" s="35">
        <v>46191.0</v>
      </c>
      <c r="S1043" s="32" t="s">
        <v>29</v>
      </c>
      <c r="T1043" s="33"/>
      <c r="U1043" s="33"/>
    </row>
    <row r="1044" ht="15.75" customHeight="1">
      <c r="A1044" s="20">
        <v>46190.0</v>
      </c>
      <c r="B1044" s="20">
        <v>46190.0</v>
      </c>
      <c r="C1044" s="20"/>
      <c r="D1044" s="21"/>
      <c r="E1044" s="21" t="s">
        <v>38</v>
      </c>
      <c r="F1044" s="22"/>
      <c r="G1044" s="23" t="s">
        <v>27</v>
      </c>
      <c r="H1044" s="149"/>
      <c r="I1044" s="25"/>
      <c r="J1044" s="26"/>
      <c r="K1044" s="21"/>
      <c r="L1044" s="27"/>
      <c r="M1044" s="28"/>
      <c r="N1044" s="29"/>
      <c r="O1044" s="29"/>
      <c r="P1044" s="34" t="s">
        <v>28</v>
      </c>
      <c r="Q1044" s="34" t="s">
        <v>28</v>
      </c>
      <c r="R1044" s="35" t="s">
        <v>28</v>
      </c>
      <c r="S1044" s="32" t="s">
        <v>29</v>
      </c>
      <c r="T1044" s="33"/>
      <c r="U1044" s="33"/>
    </row>
    <row r="1045" ht="15.75" customHeight="1">
      <c r="A1045" s="20">
        <v>46190.0</v>
      </c>
      <c r="B1045" s="20">
        <v>46190.0</v>
      </c>
      <c r="C1045" s="20" t="s">
        <v>25</v>
      </c>
      <c r="D1045" s="21" t="s">
        <v>34</v>
      </c>
      <c r="E1045" s="21" t="s">
        <v>40</v>
      </c>
      <c r="F1045" s="22">
        <v>0.008587962962962962</v>
      </c>
      <c r="G1045" s="21" t="s">
        <v>33</v>
      </c>
      <c r="H1045" s="149"/>
      <c r="I1045" s="25"/>
      <c r="J1045" s="26"/>
      <c r="K1045" s="21"/>
      <c r="L1045" s="27">
        <v>46191.0</v>
      </c>
      <c r="M1045" s="28">
        <v>0.020833333333333332</v>
      </c>
      <c r="N1045" s="29" t="s">
        <v>34</v>
      </c>
      <c r="O1045" s="29" t="s">
        <v>35</v>
      </c>
      <c r="P1045" s="34" t="s">
        <v>36</v>
      </c>
      <c r="Q1045" s="34" t="s">
        <v>1179</v>
      </c>
      <c r="R1045" s="35">
        <v>46191.0</v>
      </c>
      <c r="S1045" s="32" t="s">
        <v>29</v>
      </c>
      <c r="T1045" s="33"/>
      <c r="U1045" s="33"/>
    </row>
    <row r="1046" ht="15.75" customHeight="1">
      <c r="A1046" s="20">
        <v>46190.0</v>
      </c>
      <c r="B1046" s="20">
        <v>46190.0</v>
      </c>
      <c r="C1046" s="20"/>
      <c r="D1046" s="21"/>
      <c r="E1046" s="21" t="s">
        <v>43</v>
      </c>
      <c r="F1046" s="22"/>
      <c r="G1046" s="23" t="s">
        <v>27</v>
      </c>
      <c r="H1046" s="149"/>
      <c r="I1046" s="25"/>
      <c r="J1046" s="26"/>
      <c r="K1046" s="21"/>
      <c r="L1046" s="27"/>
      <c r="M1046" s="28"/>
      <c r="N1046" s="29"/>
      <c r="O1046" s="29"/>
      <c r="P1046" s="30" t="s">
        <v>28</v>
      </c>
      <c r="Q1046" s="30" t="s">
        <v>28</v>
      </c>
      <c r="R1046" s="31" t="s">
        <v>28</v>
      </c>
      <c r="S1046" s="32" t="s">
        <v>29</v>
      </c>
      <c r="T1046" s="33"/>
      <c r="U1046" s="33"/>
    </row>
    <row r="1047" ht="15.75" customHeight="1">
      <c r="A1047" s="20">
        <v>46191.0</v>
      </c>
      <c r="B1047" s="20">
        <v>46191.0</v>
      </c>
      <c r="C1047" s="20" t="s">
        <v>25</v>
      </c>
      <c r="D1047" s="21" t="s">
        <v>49</v>
      </c>
      <c r="E1047" s="21" t="s">
        <v>26</v>
      </c>
      <c r="F1047" s="22">
        <v>0.09842592592592593</v>
      </c>
      <c r="G1047" s="21" t="s">
        <v>33</v>
      </c>
      <c r="H1047" s="149"/>
      <c r="I1047" s="25"/>
      <c r="J1047" s="26"/>
      <c r="K1047" s="21"/>
      <c r="L1047" s="27">
        <v>46192.0</v>
      </c>
      <c r="M1047" s="28">
        <v>0.20833333333333334</v>
      </c>
      <c r="N1047" s="29" t="s">
        <v>57</v>
      </c>
      <c r="O1047" s="29" t="s">
        <v>35</v>
      </c>
      <c r="P1047" s="34" t="s">
        <v>36</v>
      </c>
      <c r="Q1047" s="34" t="s">
        <v>1180</v>
      </c>
      <c r="R1047" s="35">
        <v>46192.0</v>
      </c>
      <c r="S1047" s="32" t="s">
        <v>29</v>
      </c>
      <c r="T1047" s="33"/>
      <c r="U1047" s="33"/>
    </row>
    <row r="1048" ht="15.75" customHeight="1">
      <c r="A1048" s="20">
        <v>46191.0</v>
      </c>
      <c r="B1048" s="20">
        <v>46191.0</v>
      </c>
      <c r="C1048" s="20" t="s">
        <v>25</v>
      </c>
      <c r="D1048" s="21" t="s">
        <v>39</v>
      </c>
      <c r="E1048" s="21" t="s">
        <v>30</v>
      </c>
      <c r="F1048" s="22">
        <v>0.0024074074074074076</v>
      </c>
      <c r="G1048" s="21" t="s">
        <v>33</v>
      </c>
      <c r="H1048" s="149"/>
      <c r="I1048" s="25"/>
      <c r="J1048" s="26"/>
      <c r="K1048" s="21"/>
      <c r="L1048" s="27">
        <v>46191.0</v>
      </c>
      <c r="M1048" s="28">
        <v>0.0125</v>
      </c>
      <c r="N1048" s="29" t="s">
        <v>39</v>
      </c>
      <c r="O1048" s="29" t="s">
        <v>35</v>
      </c>
      <c r="P1048" s="34" t="s">
        <v>36</v>
      </c>
      <c r="Q1048" s="34" t="s">
        <v>1181</v>
      </c>
      <c r="R1048" s="35">
        <v>46192.0</v>
      </c>
      <c r="S1048" s="32" t="s">
        <v>29</v>
      </c>
      <c r="T1048" s="33"/>
      <c r="U1048" s="33"/>
    </row>
    <row r="1049" ht="15.75" customHeight="1">
      <c r="A1049" s="20">
        <v>46191.0</v>
      </c>
      <c r="B1049" s="20">
        <v>46191.0</v>
      </c>
      <c r="C1049" s="20" t="s">
        <v>25</v>
      </c>
      <c r="D1049" s="21" t="s">
        <v>69</v>
      </c>
      <c r="E1049" s="21" t="s">
        <v>32</v>
      </c>
      <c r="F1049" s="22">
        <v>0.04480324074074074</v>
      </c>
      <c r="G1049" s="21" t="s">
        <v>33</v>
      </c>
      <c r="H1049" s="149"/>
      <c r="I1049" s="25"/>
      <c r="J1049" s="26"/>
      <c r="K1049" s="21"/>
      <c r="L1049" s="27">
        <v>46192.0</v>
      </c>
      <c r="M1049" s="28">
        <v>0.09027777777777778</v>
      </c>
      <c r="N1049" s="29" t="s">
        <v>34</v>
      </c>
      <c r="O1049" s="29" t="s">
        <v>35</v>
      </c>
      <c r="P1049" s="34" t="s">
        <v>36</v>
      </c>
      <c r="Q1049" s="34" t="s">
        <v>1182</v>
      </c>
      <c r="R1049" s="35">
        <v>46192.0</v>
      </c>
      <c r="S1049" s="32" t="s">
        <v>29</v>
      </c>
      <c r="T1049" s="33"/>
      <c r="U1049" s="33"/>
    </row>
    <row r="1050" ht="15.75" customHeight="1">
      <c r="A1050" s="20">
        <v>46191.0</v>
      </c>
      <c r="B1050" s="20">
        <v>46191.0</v>
      </c>
      <c r="C1050" s="20"/>
      <c r="D1050" s="21"/>
      <c r="E1050" s="21" t="s">
        <v>38</v>
      </c>
      <c r="F1050" s="22"/>
      <c r="G1050" s="23" t="s">
        <v>27</v>
      </c>
      <c r="H1050" s="149"/>
      <c r="I1050" s="25"/>
      <c r="J1050" s="26"/>
      <c r="K1050" s="21"/>
      <c r="L1050" s="27"/>
      <c r="M1050" s="28"/>
      <c r="N1050" s="29"/>
      <c r="O1050" s="29"/>
      <c r="P1050" s="34" t="s">
        <v>28</v>
      </c>
      <c r="Q1050" s="34" t="s">
        <v>28</v>
      </c>
      <c r="R1050" s="35" t="s">
        <v>28</v>
      </c>
      <c r="S1050" s="32" t="s">
        <v>29</v>
      </c>
      <c r="T1050" s="33"/>
      <c r="U1050" s="33"/>
    </row>
    <row r="1051" ht="15.75" customHeight="1">
      <c r="A1051" s="20">
        <v>46191.0</v>
      </c>
      <c r="B1051" s="20">
        <v>46191.0</v>
      </c>
      <c r="C1051" s="20" t="s">
        <v>25</v>
      </c>
      <c r="D1051" s="21" t="s">
        <v>34</v>
      </c>
      <c r="E1051" s="21" t="s">
        <v>40</v>
      </c>
      <c r="F1051" s="22">
        <v>0.011423611111111112</v>
      </c>
      <c r="G1051" s="21" t="s">
        <v>33</v>
      </c>
      <c r="H1051" s="149"/>
      <c r="I1051" s="25"/>
      <c r="J1051" s="26"/>
      <c r="K1051" s="21"/>
      <c r="L1051" s="27">
        <v>46192.0</v>
      </c>
      <c r="M1051" s="28">
        <v>0.041666666666666664</v>
      </c>
      <c r="N1051" s="29" t="s">
        <v>49</v>
      </c>
      <c r="O1051" s="29" t="s">
        <v>35</v>
      </c>
      <c r="P1051" s="34" t="s">
        <v>36</v>
      </c>
      <c r="Q1051" s="34" t="s">
        <v>1183</v>
      </c>
      <c r="R1051" s="35">
        <v>46192.0</v>
      </c>
      <c r="S1051" s="32" t="s">
        <v>29</v>
      </c>
      <c r="T1051" s="33"/>
      <c r="U1051" s="33"/>
    </row>
    <row r="1052" ht="15.75" customHeight="1">
      <c r="A1052" s="20">
        <v>46191.0</v>
      </c>
      <c r="B1052" s="20">
        <v>46191.0</v>
      </c>
      <c r="C1052" s="20"/>
      <c r="D1052" s="21"/>
      <c r="E1052" s="21" t="s">
        <v>43</v>
      </c>
      <c r="F1052" s="22"/>
      <c r="G1052" s="23" t="s">
        <v>27</v>
      </c>
      <c r="H1052" s="149"/>
      <c r="I1052" s="25"/>
      <c r="J1052" s="26"/>
      <c r="K1052" s="21"/>
      <c r="L1052" s="27"/>
      <c r="M1052" s="28"/>
      <c r="N1052" s="29"/>
      <c r="O1052" s="29"/>
      <c r="P1052" s="30" t="s">
        <v>28</v>
      </c>
      <c r="Q1052" s="30" t="s">
        <v>28</v>
      </c>
      <c r="R1052" s="31" t="s">
        <v>28</v>
      </c>
      <c r="S1052" s="32" t="s">
        <v>29</v>
      </c>
      <c r="T1052" s="33"/>
      <c r="U1052" s="33"/>
    </row>
    <row r="1053" ht="15.75" customHeight="1">
      <c r="A1053" s="20">
        <v>46192.0</v>
      </c>
      <c r="B1053" s="20">
        <v>46192.0</v>
      </c>
      <c r="C1053" s="20" t="s">
        <v>25</v>
      </c>
      <c r="D1053" s="21" t="s">
        <v>49</v>
      </c>
      <c r="E1053" s="21" t="s">
        <v>26</v>
      </c>
      <c r="F1053" s="22">
        <v>0.09848379629629629</v>
      </c>
      <c r="G1053" s="21" t="s">
        <v>33</v>
      </c>
      <c r="H1053" s="149"/>
      <c r="I1053" s="25"/>
      <c r="J1053" s="26"/>
      <c r="K1053" s="21"/>
      <c r="L1053" s="27">
        <v>46195.0</v>
      </c>
      <c r="M1053" s="28">
        <v>0.20833333333333334</v>
      </c>
      <c r="N1053" s="29" t="s">
        <v>31</v>
      </c>
      <c r="O1053" s="29" t="s">
        <v>35</v>
      </c>
      <c r="P1053" s="34" t="s">
        <v>36</v>
      </c>
      <c r="Q1053" s="34" t="s">
        <v>1184</v>
      </c>
      <c r="R1053" s="35">
        <v>46194.0</v>
      </c>
      <c r="S1053" s="32" t="s">
        <v>29</v>
      </c>
      <c r="T1053" s="33"/>
      <c r="U1053" s="33"/>
    </row>
    <row r="1054" ht="15.75" customHeight="1">
      <c r="A1054" s="20">
        <v>46192.0</v>
      </c>
      <c r="B1054" s="20">
        <v>46192.0</v>
      </c>
      <c r="C1054" s="20" t="s">
        <v>25</v>
      </c>
      <c r="D1054" s="21" t="s">
        <v>57</v>
      </c>
      <c r="E1054" s="21" t="s">
        <v>30</v>
      </c>
      <c r="F1054" s="22">
        <v>0.0025</v>
      </c>
      <c r="G1054" s="21" t="s">
        <v>33</v>
      </c>
      <c r="H1054" s="149"/>
      <c r="I1054" s="25"/>
      <c r="J1054" s="26"/>
      <c r="K1054" s="21"/>
      <c r="L1054" s="27">
        <v>46192.0</v>
      </c>
      <c r="M1054" s="28">
        <v>0.006944444444444444</v>
      </c>
      <c r="N1054" s="29" t="s">
        <v>57</v>
      </c>
      <c r="O1054" s="29" t="s">
        <v>35</v>
      </c>
      <c r="P1054" s="34" t="s">
        <v>36</v>
      </c>
      <c r="Q1054" s="34" t="s">
        <v>1185</v>
      </c>
      <c r="R1054" s="35">
        <v>46194.0</v>
      </c>
      <c r="S1054" s="32" t="s">
        <v>29</v>
      </c>
      <c r="T1054" s="33"/>
      <c r="U1054" s="33"/>
    </row>
    <row r="1055" ht="15.75" customHeight="1">
      <c r="A1055" s="20">
        <v>46192.0</v>
      </c>
      <c r="B1055" s="20">
        <v>46192.0</v>
      </c>
      <c r="C1055" s="20" t="s">
        <v>25</v>
      </c>
      <c r="D1055" s="21" t="s">
        <v>69</v>
      </c>
      <c r="E1055" s="21" t="s">
        <v>32</v>
      </c>
      <c r="F1055" s="22">
        <v>0.044328703703703703</v>
      </c>
      <c r="G1055" s="21" t="s">
        <v>33</v>
      </c>
      <c r="H1055" s="149"/>
      <c r="I1055" s="25"/>
      <c r="J1055" s="26"/>
      <c r="K1055" s="21"/>
      <c r="L1055" s="27">
        <v>46193.0</v>
      </c>
      <c r="M1055" s="28">
        <v>0.1111111111111111</v>
      </c>
      <c r="N1055" s="29" t="s">
        <v>59</v>
      </c>
      <c r="O1055" s="29" t="s">
        <v>35</v>
      </c>
      <c r="P1055" s="34" t="s">
        <v>36</v>
      </c>
      <c r="Q1055" s="34" t="s">
        <v>1186</v>
      </c>
      <c r="R1055" s="35">
        <v>46194.0</v>
      </c>
      <c r="S1055" s="32" t="s">
        <v>29</v>
      </c>
      <c r="T1055" s="33"/>
      <c r="U1055" s="33"/>
    </row>
    <row r="1056" ht="15.75" customHeight="1">
      <c r="A1056" s="20">
        <v>46192.0</v>
      </c>
      <c r="B1056" s="20">
        <v>46192.0</v>
      </c>
      <c r="C1056" s="20"/>
      <c r="D1056" s="21"/>
      <c r="E1056" s="21" t="s">
        <v>38</v>
      </c>
      <c r="F1056" s="22"/>
      <c r="G1056" s="23" t="s">
        <v>27</v>
      </c>
      <c r="H1056" s="149"/>
      <c r="I1056" s="25"/>
      <c r="J1056" s="26"/>
      <c r="K1056" s="21"/>
      <c r="L1056" s="27"/>
      <c r="M1056" s="28"/>
      <c r="N1056" s="29"/>
      <c r="O1056" s="29"/>
      <c r="P1056" s="34" t="s">
        <v>28</v>
      </c>
      <c r="Q1056" s="34" t="s">
        <v>28</v>
      </c>
      <c r="R1056" s="35" t="s">
        <v>28</v>
      </c>
      <c r="S1056" s="32" t="s">
        <v>29</v>
      </c>
      <c r="T1056" s="33"/>
      <c r="U1056" s="33"/>
    </row>
    <row r="1057" ht="15.75" customHeight="1">
      <c r="A1057" s="20">
        <v>46192.0</v>
      </c>
      <c r="B1057" s="20">
        <v>46192.0</v>
      </c>
      <c r="C1057" s="20" t="s">
        <v>25</v>
      </c>
      <c r="D1057" s="21" t="s">
        <v>39</v>
      </c>
      <c r="E1057" s="21" t="s">
        <v>40</v>
      </c>
      <c r="F1057" s="22">
        <v>0.0078009259259259256</v>
      </c>
      <c r="G1057" s="21" t="s">
        <v>33</v>
      </c>
      <c r="H1057" s="149"/>
      <c r="I1057" s="25"/>
      <c r="J1057" s="26"/>
      <c r="K1057" s="21"/>
      <c r="L1057" s="27">
        <v>46195.0</v>
      </c>
      <c r="M1057" s="28">
        <v>0.01875</v>
      </c>
      <c r="N1057" s="29" t="s">
        <v>34</v>
      </c>
      <c r="O1057" s="29" t="s">
        <v>35</v>
      </c>
      <c r="P1057" s="34" t="s">
        <v>36</v>
      </c>
      <c r="Q1057" s="34" t="s">
        <v>1187</v>
      </c>
      <c r="R1057" s="35">
        <v>46194.0</v>
      </c>
      <c r="S1057" s="32" t="s">
        <v>29</v>
      </c>
      <c r="T1057" s="33"/>
      <c r="U1057" s="33"/>
    </row>
    <row r="1058" ht="15.75" customHeight="1">
      <c r="A1058" s="20">
        <v>46192.0</v>
      </c>
      <c r="B1058" s="20">
        <v>46192.0</v>
      </c>
      <c r="C1058" s="20"/>
      <c r="D1058" s="21"/>
      <c r="E1058" s="21" t="s">
        <v>43</v>
      </c>
      <c r="F1058" s="22"/>
      <c r="G1058" s="21" t="s">
        <v>27</v>
      </c>
      <c r="H1058" s="149"/>
      <c r="I1058" s="25"/>
      <c r="J1058" s="26"/>
      <c r="K1058" s="21"/>
      <c r="L1058" s="27"/>
      <c r="M1058" s="28"/>
      <c r="N1058" s="29"/>
      <c r="O1058" s="29"/>
      <c r="P1058" s="34" t="s">
        <v>28</v>
      </c>
      <c r="Q1058" s="34" t="s">
        <v>28</v>
      </c>
      <c r="R1058" s="35" t="s">
        <v>28</v>
      </c>
      <c r="S1058" s="32" t="s">
        <v>29</v>
      </c>
      <c r="T1058" s="33"/>
      <c r="U1058" s="33"/>
    </row>
    <row r="1059" ht="15.75" customHeight="1">
      <c r="A1059" s="155">
        <v>46193.0</v>
      </c>
      <c r="B1059" s="155">
        <v>46193.0</v>
      </c>
      <c r="C1059" s="155" t="s">
        <v>25</v>
      </c>
      <c r="D1059" s="156" t="s">
        <v>59</v>
      </c>
      <c r="E1059" s="56" t="s">
        <v>32</v>
      </c>
      <c r="F1059" s="157">
        <v>0.04734953703703704</v>
      </c>
      <c r="G1059" s="156" t="s">
        <v>33</v>
      </c>
      <c r="H1059" s="149"/>
      <c r="I1059" s="25"/>
      <c r="J1059" s="26"/>
      <c r="K1059" s="21"/>
      <c r="L1059" s="27">
        <v>46195.0</v>
      </c>
      <c r="M1059" s="28">
        <v>0.1076388888888889</v>
      </c>
      <c r="N1059" s="29" t="s">
        <v>59</v>
      </c>
      <c r="O1059" s="29" t="s">
        <v>35</v>
      </c>
      <c r="P1059" s="34" t="s">
        <v>36</v>
      </c>
      <c r="Q1059" s="34" t="s">
        <v>1188</v>
      </c>
      <c r="R1059" s="35">
        <v>46194.0</v>
      </c>
      <c r="S1059" s="32" t="s">
        <v>29</v>
      </c>
      <c r="T1059" s="33"/>
      <c r="U1059" s="33"/>
    </row>
    <row r="1060" ht="15.75" customHeight="1">
      <c r="A1060" s="155">
        <v>46193.0</v>
      </c>
      <c r="B1060" s="155">
        <v>46193.0</v>
      </c>
      <c r="C1060" s="155" t="s">
        <v>25</v>
      </c>
      <c r="D1060" s="156" t="s">
        <v>57</v>
      </c>
      <c r="E1060" s="56" t="s">
        <v>40</v>
      </c>
      <c r="F1060" s="157">
        <v>0.01361111111111111</v>
      </c>
      <c r="G1060" s="156" t="s">
        <v>33</v>
      </c>
      <c r="H1060" s="149"/>
      <c r="I1060" s="25"/>
      <c r="J1060" s="26"/>
      <c r="K1060" s="21"/>
      <c r="L1060" s="27">
        <v>46195.0</v>
      </c>
      <c r="M1060" s="28">
        <v>0.052083333333333336</v>
      </c>
      <c r="N1060" s="29" t="s">
        <v>57</v>
      </c>
      <c r="O1060" s="29" t="s">
        <v>35</v>
      </c>
      <c r="P1060" s="34" t="s">
        <v>36</v>
      </c>
      <c r="Q1060" s="34" t="s">
        <v>1189</v>
      </c>
      <c r="R1060" s="35">
        <v>46195.0</v>
      </c>
      <c r="S1060" s="32" t="s">
        <v>29</v>
      </c>
      <c r="T1060" s="33"/>
      <c r="U1060" s="33"/>
    </row>
    <row r="1061" ht="15.75" customHeight="1">
      <c r="A1061" s="155">
        <v>46193.0</v>
      </c>
      <c r="B1061" s="155">
        <v>46193.0</v>
      </c>
      <c r="C1061" s="155"/>
      <c r="D1061" s="156"/>
      <c r="E1061" s="56" t="s">
        <v>43</v>
      </c>
      <c r="F1061" s="157"/>
      <c r="G1061" s="59" t="s">
        <v>27</v>
      </c>
      <c r="H1061" s="149"/>
      <c r="I1061" s="25"/>
      <c r="J1061" s="26"/>
      <c r="K1061" s="21"/>
      <c r="L1061" s="29"/>
      <c r="M1061" s="28"/>
      <c r="N1061" s="29"/>
      <c r="O1061" s="29"/>
      <c r="P1061" s="34" t="s">
        <v>28</v>
      </c>
      <c r="Q1061" s="34" t="s">
        <v>28</v>
      </c>
      <c r="R1061" s="35" t="s">
        <v>28</v>
      </c>
      <c r="S1061" s="32" t="s">
        <v>29</v>
      </c>
      <c r="T1061" s="33"/>
      <c r="U1061" s="33"/>
    </row>
    <row r="1062" ht="15.75" customHeight="1">
      <c r="A1062" s="155">
        <v>46193.0</v>
      </c>
      <c r="B1062" s="155">
        <v>46193.0</v>
      </c>
      <c r="C1062" s="155"/>
      <c r="D1062" s="156"/>
      <c r="E1062" s="56" t="s">
        <v>61</v>
      </c>
      <c r="F1062" s="157"/>
      <c r="G1062" s="59" t="s">
        <v>27</v>
      </c>
      <c r="H1062" s="149"/>
      <c r="I1062" s="25"/>
      <c r="J1062" s="26"/>
      <c r="K1062" s="21"/>
      <c r="L1062" s="27"/>
      <c r="M1062" s="28"/>
      <c r="N1062" s="29"/>
      <c r="O1062" s="29"/>
      <c r="P1062" s="34" t="s">
        <v>28</v>
      </c>
      <c r="Q1062" s="34" t="s">
        <v>28</v>
      </c>
      <c r="R1062" s="35" t="s">
        <v>28</v>
      </c>
      <c r="S1062" s="32" t="s">
        <v>29</v>
      </c>
      <c r="T1062" s="33"/>
      <c r="U1062" s="33"/>
    </row>
    <row r="1063" ht="15.75" customHeight="1">
      <c r="A1063" s="155">
        <v>46193.0</v>
      </c>
      <c r="B1063" s="155">
        <v>46193.0</v>
      </c>
      <c r="C1063" s="155"/>
      <c r="D1063" s="156"/>
      <c r="E1063" s="56" t="s">
        <v>62</v>
      </c>
      <c r="F1063" s="157"/>
      <c r="G1063" s="59" t="s">
        <v>27</v>
      </c>
      <c r="H1063" s="149"/>
      <c r="I1063" s="25"/>
      <c r="J1063" s="26"/>
      <c r="K1063" s="21"/>
      <c r="L1063" s="27"/>
      <c r="M1063" s="28"/>
      <c r="N1063" s="29"/>
      <c r="O1063" s="29"/>
      <c r="P1063" s="34" t="s">
        <v>28</v>
      </c>
      <c r="Q1063" s="34" t="s">
        <v>28</v>
      </c>
      <c r="R1063" s="35" t="s">
        <v>28</v>
      </c>
      <c r="S1063" s="32" t="s">
        <v>29</v>
      </c>
      <c r="T1063" s="33"/>
      <c r="U1063" s="33"/>
    </row>
    <row r="1064" ht="15.75" customHeight="1">
      <c r="A1064" s="155">
        <v>46193.0</v>
      </c>
      <c r="B1064" s="155">
        <v>46193.0</v>
      </c>
      <c r="C1064" s="155"/>
      <c r="D1064" s="156"/>
      <c r="E1064" s="56" t="s">
        <v>63</v>
      </c>
      <c r="F1064" s="157"/>
      <c r="G1064" s="59" t="s">
        <v>27</v>
      </c>
      <c r="H1064" s="149"/>
      <c r="I1064" s="25"/>
      <c r="J1064" s="26"/>
      <c r="K1064" s="21"/>
      <c r="L1064" s="27"/>
      <c r="M1064" s="28"/>
      <c r="N1064" s="29"/>
      <c r="O1064" s="29"/>
      <c r="P1064" s="34" t="s">
        <v>28</v>
      </c>
      <c r="Q1064" s="34" t="s">
        <v>28</v>
      </c>
      <c r="R1064" s="35" t="s">
        <v>28</v>
      </c>
      <c r="S1064" s="32" t="s">
        <v>29</v>
      </c>
      <c r="T1064" s="33"/>
      <c r="U1064" s="33"/>
    </row>
    <row r="1065" ht="15.75" customHeight="1">
      <c r="A1065" s="60">
        <v>46194.0</v>
      </c>
      <c r="B1065" s="60">
        <v>46194.0</v>
      </c>
      <c r="C1065" s="60"/>
      <c r="D1065" s="61"/>
      <c r="E1065" s="61" t="s">
        <v>66</v>
      </c>
      <c r="F1065" s="62"/>
      <c r="G1065" s="61" t="s">
        <v>102</v>
      </c>
      <c r="H1065" s="149"/>
      <c r="I1065" s="25"/>
      <c r="J1065" s="26"/>
      <c r="K1065" s="21"/>
      <c r="L1065" s="27"/>
      <c r="M1065" s="28"/>
      <c r="N1065" s="29" t="s">
        <v>69</v>
      </c>
      <c r="O1065" s="29"/>
      <c r="P1065" s="34" t="s">
        <v>28</v>
      </c>
      <c r="Q1065" s="34" t="s">
        <v>28</v>
      </c>
      <c r="R1065" s="35" t="s">
        <v>28</v>
      </c>
      <c r="S1065" s="32" t="s">
        <v>29</v>
      </c>
      <c r="T1065" s="33"/>
      <c r="U1065" s="33"/>
    </row>
    <row r="1066" ht="15.75" customHeight="1">
      <c r="A1066" s="20">
        <v>46195.0</v>
      </c>
      <c r="B1066" s="20">
        <v>46195.0</v>
      </c>
      <c r="C1066" s="20" t="s">
        <v>25</v>
      </c>
      <c r="D1066" s="21" t="s">
        <v>59</v>
      </c>
      <c r="E1066" s="21" t="s">
        <v>26</v>
      </c>
      <c r="F1066" s="22">
        <v>0.09909722222222223</v>
      </c>
      <c r="G1066" s="21" t="s">
        <v>33</v>
      </c>
      <c r="H1066" s="149"/>
      <c r="I1066" s="25"/>
      <c r="J1066" s="158"/>
      <c r="K1066" s="21"/>
      <c r="L1066" s="27">
        <v>46196.0</v>
      </c>
      <c r="M1066" s="28">
        <v>0.2638888888888889</v>
      </c>
      <c r="N1066" s="29" t="s">
        <v>34</v>
      </c>
      <c r="O1066" s="29" t="s">
        <v>35</v>
      </c>
      <c r="P1066" s="34" t="s">
        <v>36</v>
      </c>
      <c r="Q1066" s="34" t="s">
        <v>1190</v>
      </c>
      <c r="R1066" s="35">
        <v>46196.0</v>
      </c>
      <c r="S1066" s="32" t="s">
        <v>29</v>
      </c>
      <c r="T1066" s="33"/>
      <c r="U1066" s="33"/>
    </row>
    <row r="1067" ht="15.75" customHeight="1">
      <c r="A1067" s="20">
        <v>46195.0</v>
      </c>
      <c r="B1067" s="20">
        <v>46195.0</v>
      </c>
      <c r="C1067" s="20" t="s">
        <v>25</v>
      </c>
      <c r="D1067" s="21" t="s">
        <v>31</v>
      </c>
      <c r="E1067" s="21" t="s">
        <v>30</v>
      </c>
      <c r="F1067" s="22">
        <v>0.003321759259259259</v>
      </c>
      <c r="G1067" s="21" t="s">
        <v>33</v>
      </c>
      <c r="H1067" s="149"/>
      <c r="I1067" s="25"/>
      <c r="J1067" s="26"/>
      <c r="K1067" s="21"/>
      <c r="L1067" s="27">
        <v>46195.0</v>
      </c>
      <c r="M1067" s="28">
        <v>0.010416666666666666</v>
      </c>
      <c r="N1067" s="29" t="s">
        <v>31</v>
      </c>
      <c r="O1067" s="29" t="s">
        <v>35</v>
      </c>
      <c r="P1067" s="34" t="s">
        <v>36</v>
      </c>
      <c r="Q1067" s="34" t="s">
        <v>1191</v>
      </c>
      <c r="R1067" s="35">
        <v>46196.0</v>
      </c>
      <c r="S1067" s="32" t="s">
        <v>29</v>
      </c>
      <c r="T1067" s="33"/>
      <c r="U1067" s="33"/>
    </row>
    <row r="1068" ht="15.75" customHeight="1">
      <c r="A1068" s="20">
        <v>46195.0</v>
      </c>
      <c r="B1068" s="20">
        <v>46195.0</v>
      </c>
      <c r="C1068" s="20" t="s">
        <v>25</v>
      </c>
      <c r="D1068" s="21" t="s">
        <v>39</v>
      </c>
      <c r="E1068" s="21" t="s">
        <v>32</v>
      </c>
      <c r="F1068" s="22">
        <v>0.025844907407407407</v>
      </c>
      <c r="G1068" s="21" t="s">
        <v>33</v>
      </c>
      <c r="H1068" s="149"/>
      <c r="I1068" s="25"/>
      <c r="J1068" s="26"/>
      <c r="K1068" s="21"/>
      <c r="L1068" s="27">
        <v>46196.0</v>
      </c>
      <c r="M1068" s="28">
        <v>0.041666666666666664</v>
      </c>
      <c r="N1068" s="29" t="s">
        <v>31</v>
      </c>
      <c r="O1068" s="29" t="s">
        <v>35</v>
      </c>
      <c r="P1068" s="34" t="s">
        <v>36</v>
      </c>
      <c r="Q1068" s="34" t="s">
        <v>1192</v>
      </c>
      <c r="R1068" s="35">
        <v>46196.0</v>
      </c>
      <c r="S1068" s="32" t="s">
        <v>29</v>
      </c>
      <c r="T1068" s="33"/>
      <c r="U1068" s="33"/>
    </row>
    <row r="1069" ht="15.75" customHeight="1">
      <c r="A1069" s="20">
        <v>46195.0</v>
      </c>
      <c r="B1069" s="20">
        <v>46195.0</v>
      </c>
      <c r="C1069" s="20"/>
      <c r="D1069" s="21"/>
      <c r="E1069" s="21" t="s">
        <v>38</v>
      </c>
      <c r="F1069" s="22"/>
      <c r="G1069" s="23" t="s">
        <v>27</v>
      </c>
      <c r="H1069" s="149"/>
      <c r="I1069" s="25"/>
      <c r="J1069" s="26"/>
      <c r="K1069" s="21"/>
      <c r="L1069" s="27"/>
      <c r="M1069" s="28"/>
      <c r="N1069" s="29"/>
      <c r="O1069" s="29"/>
      <c r="P1069" s="34" t="s">
        <v>28</v>
      </c>
      <c r="Q1069" s="34" t="s">
        <v>28</v>
      </c>
      <c r="R1069" s="35" t="s">
        <v>28</v>
      </c>
      <c r="S1069" s="32" t="s">
        <v>29</v>
      </c>
      <c r="T1069" s="33"/>
      <c r="U1069" s="33"/>
    </row>
    <row r="1070" ht="15.75" customHeight="1">
      <c r="A1070" s="20">
        <v>46195.0</v>
      </c>
      <c r="B1070" s="20">
        <v>46195.0</v>
      </c>
      <c r="C1070" s="20" t="s">
        <v>25</v>
      </c>
      <c r="D1070" s="21" t="s">
        <v>39</v>
      </c>
      <c r="E1070" s="21" t="s">
        <v>40</v>
      </c>
      <c r="F1070" s="22">
        <v>0.01818287037037037</v>
      </c>
      <c r="G1070" s="21" t="s">
        <v>33</v>
      </c>
      <c r="H1070" s="149"/>
      <c r="I1070" s="25"/>
      <c r="J1070" s="26"/>
      <c r="K1070" s="21"/>
      <c r="L1070" s="27">
        <v>46196.0</v>
      </c>
      <c r="M1070" s="28">
        <v>0.059027777777777776</v>
      </c>
      <c r="N1070" s="29" t="s">
        <v>59</v>
      </c>
      <c r="O1070" s="29" t="s">
        <v>35</v>
      </c>
      <c r="P1070" s="34" t="s">
        <v>36</v>
      </c>
      <c r="Q1070" s="159" t="s">
        <v>1193</v>
      </c>
      <c r="R1070" s="35">
        <v>46196.0</v>
      </c>
      <c r="S1070" s="32" t="s">
        <v>29</v>
      </c>
      <c r="T1070" s="33"/>
      <c r="U1070" s="33"/>
    </row>
    <row r="1071" ht="15.75" customHeight="1">
      <c r="A1071" s="20">
        <v>46195.0</v>
      </c>
      <c r="B1071" s="20">
        <v>46195.0</v>
      </c>
      <c r="C1071" s="20"/>
      <c r="D1071" s="21"/>
      <c r="E1071" s="21" t="s">
        <v>43</v>
      </c>
      <c r="F1071" s="22"/>
      <c r="G1071" s="21" t="s">
        <v>27</v>
      </c>
      <c r="H1071" s="149"/>
      <c r="I1071" s="25"/>
      <c r="J1071" s="26"/>
      <c r="K1071" s="21"/>
      <c r="L1071" s="27"/>
      <c r="M1071" s="28"/>
      <c r="N1071" s="29"/>
      <c r="O1071" s="29"/>
      <c r="P1071" s="30" t="s">
        <v>28</v>
      </c>
      <c r="Q1071" s="30" t="s">
        <v>28</v>
      </c>
      <c r="R1071" s="31" t="s">
        <v>28</v>
      </c>
      <c r="S1071" s="32" t="s">
        <v>29</v>
      </c>
      <c r="T1071" s="33"/>
      <c r="U1071" s="33"/>
    </row>
    <row r="1072" ht="15.75" customHeight="1">
      <c r="A1072" s="20">
        <v>46196.0</v>
      </c>
      <c r="B1072" s="20">
        <v>46196.0</v>
      </c>
      <c r="C1072" s="20" t="s">
        <v>25</v>
      </c>
      <c r="D1072" s="21" t="s">
        <v>31</v>
      </c>
      <c r="E1072" s="21" t="s">
        <v>26</v>
      </c>
      <c r="F1072" s="22">
        <v>0.10032407407407408</v>
      </c>
      <c r="G1072" s="37" t="s">
        <v>33</v>
      </c>
      <c r="H1072" s="149"/>
      <c r="I1072" s="25"/>
      <c r="J1072" s="26"/>
      <c r="K1072" s="21" t="s">
        <v>1194</v>
      </c>
      <c r="L1072" s="27">
        <v>46197.0</v>
      </c>
      <c r="M1072" s="28">
        <v>0.2013888888888889</v>
      </c>
      <c r="N1072" s="29" t="s">
        <v>59</v>
      </c>
      <c r="O1072" s="29" t="s">
        <v>35</v>
      </c>
      <c r="P1072" s="30" t="s">
        <v>36</v>
      </c>
      <c r="Q1072" s="30" t="s">
        <v>1195</v>
      </c>
      <c r="R1072" s="35">
        <v>46198.0</v>
      </c>
      <c r="S1072" s="32" t="s">
        <v>29</v>
      </c>
      <c r="T1072" s="33"/>
      <c r="U1072" s="33"/>
    </row>
    <row r="1073" ht="15.75" customHeight="1">
      <c r="A1073" s="20">
        <v>46196.0</v>
      </c>
      <c r="B1073" s="20">
        <v>46196.0</v>
      </c>
      <c r="C1073" s="20" t="s">
        <v>25</v>
      </c>
      <c r="D1073" s="21" t="s">
        <v>34</v>
      </c>
      <c r="E1073" s="21" t="s">
        <v>30</v>
      </c>
      <c r="F1073" s="22">
        <v>0.0018055555555555555</v>
      </c>
      <c r="G1073" s="21" t="s">
        <v>33</v>
      </c>
      <c r="H1073" s="149"/>
      <c r="I1073" s="25"/>
      <c r="J1073" s="26"/>
      <c r="K1073" s="21"/>
      <c r="L1073" s="27">
        <v>46196.0</v>
      </c>
      <c r="M1073" s="28">
        <v>0.004166666666666667</v>
      </c>
      <c r="N1073" s="29" t="s">
        <v>34</v>
      </c>
      <c r="O1073" s="29" t="s">
        <v>35</v>
      </c>
      <c r="P1073" s="34" t="s">
        <v>36</v>
      </c>
      <c r="Q1073" s="34" t="s">
        <v>1196</v>
      </c>
      <c r="R1073" s="35">
        <v>46197.0</v>
      </c>
      <c r="S1073" s="32" t="s">
        <v>29</v>
      </c>
      <c r="T1073" s="33"/>
      <c r="U1073" s="33"/>
    </row>
    <row r="1074" ht="15.75" customHeight="1">
      <c r="A1074" s="20">
        <v>46196.0</v>
      </c>
      <c r="B1074" s="20">
        <v>46196.0</v>
      </c>
      <c r="C1074" s="20" t="s">
        <v>25</v>
      </c>
      <c r="D1074" s="21" t="s">
        <v>69</v>
      </c>
      <c r="E1074" s="21" t="s">
        <v>32</v>
      </c>
      <c r="F1074" s="22">
        <v>0.045092592592592594</v>
      </c>
      <c r="G1074" s="21" t="s">
        <v>33</v>
      </c>
      <c r="H1074" s="149"/>
      <c r="I1074" s="25"/>
      <c r="J1074" s="26"/>
      <c r="K1074" s="21"/>
      <c r="L1074" s="27">
        <v>46197.0</v>
      </c>
      <c r="M1074" s="28">
        <v>0.125</v>
      </c>
      <c r="N1074" s="29" t="s">
        <v>31</v>
      </c>
      <c r="O1074" s="29" t="s">
        <v>35</v>
      </c>
      <c r="P1074" s="34" t="s">
        <v>36</v>
      </c>
      <c r="Q1074" s="34" t="s">
        <v>1197</v>
      </c>
      <c r="R1074" s="35">
        <v>46197.0</v>
      </c>
      <c r="S1074" s="32" t="s">
        <v>29</v>
      </c>
      <c r="T1074" s="33"/>
      <c r="U1074" s="33"/>
    </row>
    <row r="1075" ht="15.75" customHeight="1">
      <c r="A1075" s="20">
        <v>46196.0</v>
      </c>
      <c r="B1075" s="20">
        <v>46196.0</v>
      </c>
      <c r="C1075" s="20"/>
      <c r="D1075" s="21"/>
      <c r="E1075" s="21" t="s">
        <v>38</v>
      </c>
      <c r="F1075" s="22"/>
      <c r="G1075" s="23" t="s">
        <v>27</v>
      </c>
      <c r="H1075" s="149"/>
      <c r="I1075" s="25"/>
      <c r="J1075" s="26"/>
      <c r="K1075" s="21"/>
      <c r="L1075" s="27"/>
      <c r="M1075" s="28"/>
      <c r="N1075" s="29"/>
      <c r="O1075" s="29"/>
      <c r="P1075" s="34" t="s">
        <v>28</v>
      </c>
      <c r="Q1075" s="34" t="s">
        <v>28</v>
      </c>
      <c r="R1075" s="35" t="s">
        <v>28</v>
      </c>
      <c r="S1075" s="32" t="s">
        <v>29</v>
      </c>
      <c r="T1075" s="33"/>
      <c r="U1075" s="33"/>
    </row>
    <row r="1076" ht="15.75" customHeight="1">
      <c r="A1076" s="20">
        <v>46196.0</v>
      </c>
      <c r="B1076" s="20">
        <v>46196.0</v>
      </c>
      <c r="C1076" s="20" t="s">
        <v>25</v>
      </c>
      <c r="D1076" s="21" t="s">
        <v>39</v>
      </c>
      <c r="E1076" s="21" t="s">
        <v>40</v>
      </c>
      <c r="F1076" s="22">
        <v>0.011597222222222222</v>
      </c>
      <c r="G1076" s="21" t="s">
        <v>33</v>
      </c>
      <c r="H1076" s="149"/>
      <c r="I1076" s="25"/>
      <c r="J1076" s="26"/>
      <c r="K1076" s="21"/>
      <c r="L1076" s="27">
        <v>46197.0</v>
      </c>
      <c r="M1076" s="28">
        <v>0.027083333333333334</v>
      </c>
      <c r="N1076" s="29" t="s">
        <v>34</v>
      </c>
      <c r="O1076" s="29" t="s">
        <v>35</v>
      </c>
      <c r="P1076" s="34" t="s">
        <v>36</v>
      </c>
      <c r="Q1076" s="34" t="s">
        <v>1198</v>
      </c>
      <c r="R1076" s="35">
        <v>46197.0</v>
      </c>
      <c r="S1076" s="32" t="s">
        <v>29</v>
      </c>
      <c r="T1076" s="33"/>
      <c r="U1076" s="33"/>
    </row>
    <row r="1077" ht="15.75" customHeight="1">
      <c r="A1077" s="20">
        <v>46196.0</v>
      </c>
      <c r="B1077" s="20">
        <v>46196.0</v>
      </c>
      <c r="C1077" s="20"/>
      <c r="D1077" s="21"/>
      <c r="E1077" s="21" t="s">
        <v>43</v>
      </c>
      <c r="F1077" s="22"/>
      <c r="G1077" s="21" t="s">
        <v>27</v>
      </c>
      <c r="H1077" s="149"/>
      <c r="I1077" s="25"/>
      <c r="J1077" s="26"/>
      <c r="K1077" s="21"/>
      <c r="L1077" s="27"/>
      <c r="M1077" s="28"/>
      <c r="N1077" s="29"/>
      <c r="O1077" s="29"/>
      <c r="P1077" s="30" t="s">
        <v>28</v>
      </c>
      <c r="Q1077" s="30" t="s">
        <v>28</v>
      </c>
      <c r="R1077" s="31" t="s">
        <v>28</v>
      </c>
      <c r="S1077" s="32" t="s">
        <v>29</v>
      </c>
      <c r="T1077" s="33"/>
      <c r="U1077" s="33"/>
    </row>
    <row r="1078" ht="15.75" customHeight="1">
      <c r="A1078" s="20">
        <v>46197.0</v>
      </c>
      <c r="B1078" s="20">
        <v>46197.0</v>
      </c>
      <c r="C1078" s="20" t="s">
        <v>25</v>
      </c>
      <c r="D1078" s="21" t="s">
        <v>31</v>
      </c>
      <c r="E1078" s="21" t="s">
        <v>26</v>
      </c>
      <c r="F1078" s="22">
        <v>0.09788194444444444</v>
      </c>
      <c r="G1078" s="21" t="s">
        <v>33</v>
      </c>
      <c r="H1078" s="149"/>
      <c r="I1078" s="25"/>
      <c r="J1078" s="26"/>
      <c r="K1078" s="21"/>
      <c r="L1078" s="27">
        <v>46198.0</v>
      </c>
      <c r="M1078" s="28">
        <v>0.23958333333333334</v>
      </c>
      <c r="N1078" s="29" t="s">
        <v>39</v>
      </c>
      <c r="O1078" s="29" t="s">
        <v>35</v>
      </c>
      <c r="P1078" s="30" t="s">
        <v>36</v>
      </c>
      <c r="Q1078" s="30" t="s">
        <v>1199</v>
      </c>
      <c r="R1078" s="35">
        <v>46198.0</v>
      </c>
      <c r="S1078" s="32" t="s">
        <v>29</v>
      </c>
      <c r="T1078" s="33"/>
      <c r="U1078" s="33"/>
    </row>
    <row r="1079" ht="15.75" customHeight="1">
      <c r="A1079" s="20">
        <v>46197.0</v>
      </c>
      <c r="B1079" s="20">
        <v>46197.0</v>
      </c>
      <c r="C1079" s="20" t="s">
        <v>25</v>
      </c>
      <c r="D1079" s="21" t="s">
        <v>59</v>
      </c>
      <c r="E1079" s="21" t="s">
        <v>30</v>
      </c>
      <c r="F1079" s="22">
        <v>0.005613425925925926</v>
      </c>
      <c r="G1079" s="21" t="s">
        <v>33</v>
      </c>
      <c r="H1079" s="149"/>
      <c r="I1079" s="25"/>
      <c r="J1079" s="26"/>
      <c r="K1079" s="21"/>
      <c r="L1079" s="27">
        <v>46197.0</v>
      </c>
      <c r="M1079" s="28">
        <v>0.011111111111111112</v>
      </c>
      <c r="N1079" s="29" t="s">
        <v>59</v>
      </c>
      <c r="O1079" s="29" t="s">
        <v>35</v>
      </c>
      <c r="P1079" s="34" t="s">
        <v>36</v>
      </c>
      <c r="Q1079" s="34" t="s">
        <v>1200</v>
      </c>
      <c r="R1079" s="35">
        <v>46198.0</v>
      </c>
      <c r="S1079" s="32" t="s">
        <v>29</v>
      </c>
      <c r="T1079" s="33"/>
      <c r="U1079" s="33"/>
    </row>
    <row r="1080" ht="15.75" customHeight="1">
      <c r="A1080" s="20">
        <v>46197.0</v>
      </c>
      <c r="B1080" s="20">
        <v>46197.0</v>
      </c>
      <c r="C1080" s="20" t="s">
        <v>25</v>
      </c>
      <c r="D1080" s="21" t="s">
        <v>69</v>
      </c>
      <c r="E1080" s="21" t="s">
        <v>32</v>
      </c>
      <c r="F1080" s="22">
        <v>0.04392361111111111</v>
      </c>
      <c r="G1080" s="21" t="s">
        <v>33</v>
      </c>
      <c r="H1080" s="149"/>
      <c r="I1080" s="25"/>
      <c r="J1080" s="26"/>
      <c r="K1080" s="21"/>
      <c r="L1080" s="27">
        <v>46198.0</v>
      </c>
      <c r="M1080" s="28">
        <v>0.125</v>
      </c>
      <c r="N1080" s="29" t="s">
        <v>31</v>
      </c>
      <c r="O1080" s="29" t="s">
        <v>35</v>
      </c>
      <c r="P1080" s="34" t="s">
        <v>36</v>
      </c>
      <c r="Q1080" s="34" t="s">
        <v>1201</v>
      </c>
      <c r="R1080" s="35">
        <v>46198.0</v>
      </c>
      <c r="S1080" s="32" t="s">
        <v>29</v>
      </c>
      <c r="T1080" s="33"/>
      <c r="U1080" s="33"/>
    </row>
    <row r="1081" ht="15.75" customHeight="1">
      <c r="A1081" s="20">
        <v>46197.0</v>
      </c>
      <c r="B1081" s="20">
        <v>46197.0</v>
      </c>
      <c r="C1081" s="20"/>
      <c r="D1081" s="21"/>
      <c r="E1081" s="21" t="s">
        <v>38</v>
      </c>
      <c r="F1081" s="22"/>
      <c r="G1081" s="23" t="s">
        <v>27</v>
      </c>
      <c r="H1081" s="149"/>
      <c r="I1081" s="25"/>
      <c r="J1081" s="26"/>
      <c r="K1081" s="21"/>
      <c r="L1081" s="27"/>
      <c r="M1081" s="28"/>
      <c r="N1081" s="29"/>
      <c r="O1081" s="29"/>
      <c r="P1081" s="34" t="s">
        <v>28</v>
      </c>
      <c r="Q1081" s="34" t="s">
        <v>28</v>
      </c>
      <c r="R1081" s="35" t="s">
        <v>28</v>
      </c>
      <c r="S1081" s="32" t="s">
        <v>29</v>
      </c>
      <c r="T1081" s="33"/>
      <c r="U1081" s="33"/>
    </row>
    <row r="1082" ht="15.75" customHeight="1">
      <c r="A1082" s="20">
        <v>46197.0</v>
      </c>
      <c r="B1082" s="20">
        <v>46197.0</v>
      </c>
      <c r="C1082" s="20"/>
      <c r="D1082" s="21"/>
      <c r="E1082" s="21" t="s">
        <v>40</v>
      </c>
      <c r="F1082" s="22"/>
      <c r="G1082" s="23" t="s">
        <v>27</v>
      </c>
      <c r="H1082" s="149"/>
      <c r="I1082" s="25"/>
      <c r="J1082" s="26"/>
      <c r="K1082" s="21"/>
      <c r="L1082" s="27"/>
      <c r="M1082" s="28"/>
      <c r="N1082" s="29"/>
      <c r="O1082" s="29"/>
      <c r="P1082" s="34" t="s">
        <v>28</v>
      </c>
      <c r="Q1082" s="34" t="s">
        <v>28</v>
      </c>
      <c r="R1082" s="35" t="s">
        <v>28</v>
      </c>
      <c r="S1082" s="32" t="s">
        <v>29</v>
      </c>
      <c r="T1082" s="33"/>
      <c r="U1082" s="33"/>
    </row>
    <row r="1083" ht="15.75" customHeight="1">
      <c r="A1083" s="20">
        <v>46197.0</v>
      </c>
      <c r="B1083" s="20">
        <v>46197.0</v>
      </c>
      <c r="C1083" s="20"/>
      <c r="D1083" s="21"/>
      <c r="E1083" s="21" t="s">
        <v>43</v>
      </c>
      <c r="F1083" s="22"/>
      <c r="G1083" s="23" t="s">
        <v>27</v>
      </c>
      <c r="H1083" s="149"/>
      <c r="I1083" s="25"/>
      <c r="J1083" s="26"/>
      <c r="K1083" s="21"/>
      <c r="L1083" s="27"/>
      <c r="M1083" s="28"/>
      <c r="N1083" s="29"/>
      <c r="O1083" s="29"/>
      <c r="P1083" s="30" t="s">
        <v>28</v>
      </c>
      <c r="Q1083" s="30" t="s">
        <v>28</v>
      </c>
      <c r="R1083" s="31" t="s">
        <v>28</v>
      </c>
      <c r="S1083" s="32" t="s">
        <v>29</v>
      </c>
      <c r="T1083" s="33"/>
      <c r="U1083" s="33"/>
    </row>
    <row r="1084" ht="15.75" customHeight="1">
      <c r="A1084" s="20">
        <v>46198.0</v>
      </c>
      <c r="B1084" s="20">
        <v>46198.0</v>
      </c>
      <c r="C1084" s="36" t="s">
        <v>25</v>
      </c>
      <c r="D1084" s="37" t="s">
        <v>57</v>
      </c>
      <c r="E1084" s="37" t="s">
        <v>26</v>
      </c>
      <c r="F1084" s="22">
        <v>0.09859953703703704</v>
      </c>
      <c r="G1084" s="21" t="s">
        <v>33</v>
      </c>
      <c r="H1084" s="149"/>
      <c r="I1084" s="25"/>
      <c r="J1084" s="26"/>
      <c r="K1084" s="21"/>
      <c r="L1084" s="27">
        <v>46199.0</v>
      </c>
      <c r="M1084" s="28">
        <v>0.20833333333333334</v>
      </c>
      <c r="N1084" s="29" t="s">
        <v>57</v>
      </c>
      <c r="O1084" s="29" t="s">
        <v>35</v>
      </c>
      <c r="P1084" s="34" t="s">
        <v>36</v>
      </c>
      <c r="Q1084" s="34" t="s">
        <v>1202</v>
      </c>
      <c r="R1084" s="35">
        <v>46199.0</v>
      </c>
      <c r="S1084" s="32" t="s">
        <v>29</v>
      </c>
      <c r="T1084" s="33"/>
      <c r="U1084" s="33"/>
    </row>
    <row r="1085" ht="15.75" customHeight="1">
      <c r="A1085" s="20">
        <v>46198.0</v>
      </c>
      <c r="B1085" s="20">
        <v>46198.0</v>
      </c>
      <c r="C1085" s="20" t="s">
        <v>25</v>
      </c>
      <c r="D1085" s="21" t="s">
        <v>39</v>
      </c>
      <c r="E1085" s="21" t="s">
        <v>30</v>
      </c>
      <c r="F1085" s="22">
        <v>0.0013425925925925925</v>
      </c>
      <c r="G1085" s="21" t="s">
        <v>33</v>
      </c>
      <c r="H1085" s="149"/>
      <c r="I1085" s="25"/>
      <c r="J1085" s="26"/>
      <c r="K1085" s="21"/>
      <c r="L1085" s="27">
        <v>46198.0</v>
      </c>
      <c r="M1085" s="28">
        <v>0.00625</v>
      </c>
      <c r="N1085" s="29" t="s">
        <v>39</v>
      </c>
      <c r="O1085" s="29" t="s">
        <v>35</v>
      </c>
      <c r="P1085" s="30" t="s">
        <v>36</v>
      </c>
      <c r="Q1085" s="30" t="s">
        <v>1203</v>
      </c>
      <c r="R1085" s="35">
        <v>46199.0</v>
      </c>
      <c r="S1085" s="32" t="s">
        <v>29</v>
      </c>
      <c r="T1085" s="33"/>
      <c r="U1085" s="33"/>
    </row>
    <row r="1086" ht="15.75" customHeight="1">
      <c r="A1086" s="20">
        <v>46198.0</v>
      </c>
      <c r="B1086" s="20">
        <v>46198.0</v>
      </c>
      <c r="C1086" s="20" t="s">
        <v>25</v>
      </c>
      <c r="D1086" s="21" t="s">
        <v>69</v>
      </c>
      <c r="E1086" s="21" t="s">
        <v>32</v>
      </c>
      <c r="F1086" s="22">
        <v>0.044849537037037035</v>
      </c>
      <c r="G1086" s="21" t="s">
        <v>33</v>
      </c>
      <c r="H1086" s="149"/>
      <c r="I1086" s="25"/>
      <c r="J1086" s="26"/>
      <c r="K1086" s="21"/>
      <c r="L1086" s="27">
        <v>46199.0</v>
      </c>
      <c r="M1086" s="28">
        <v>0.125</v>
      </c>
      <c r="N1086" s="29" t="s">
        <v>31</v>
      </c>
      <c r="O1086" s="29" t="s">
        <v>35</v>
      </c>
      <c r="P1086" s="34" t="s">
        <v>36</v>
      </c>
      <c r="Q1086" s="34" t="s">
        <v>1204</v>
      </c>
      <c r="R1086" s="35">
        <v>46199.0</v>
      </c>
      <c r="S1086" s="32" t="s">
        <v>29</v>
      </c>
      <c r="T1086" s="33"/>
      <c r="U1086" s="33"/>
    </row>
    <row r="1087" ht="15.75" customHeight="1">
      <c r="A1087" s="20">
        <v>46198.0</v>
      </c>
      <c r="B1087" s="20">
        <v>46198.0</v>
      </c>
      <c r="C1087" s="20"/>
      <c r="D1087" s="21"/>
      <c r="E1087" s="21" t="s">
        <v>38</v>
      </c>
      <c r="F1087" s="22"/>
      <c r="G1087" s="23" t="s">
        <v>27</v>
      </c>
      <c r="H1087" s="149"/>
      <c r="I1087" s="25"/>
      <c r="J1087" s="26"/>
      <c r="K1087" s="21"/>
      <c r="L1087" s="27"/>
      <c r="M1087" s="28"/>
      <c r="N1087" s="29"/>
      <c r="O1087" s="29"/>
      <c r="P1087" s="34" t="s">
        <v>28</v>
      </c>
      <c r="Q1087" s="34" t="s">
        <v>28</v>
      </c>
      <c r="R1087" s="35" t="s">
        <v>28</v>
      </c>
      <c r="S1087" s="32" t="s">
        <v>29</v>
      </c>
      <c r="T1087" s="33"/>
      <c r="U1087" s="33"/>
    </row>
    <row r="1088" ht="15.75" customHeight="1">
      <c r="A1088" s="20">
        <v>46198.0</v>
      </c>
      <c r="B1088" s="20">
        <v>46198.0</v>
      </c>
      <c r="C1088" s="20"/>
      <c r="D1088" s="21"/>
      <c r="E1088" s="21" t="s">
        <v>40</v>
      </c>
      <c r="F1088" s="22"/>
      <c r="G1088" s="23" t="s">
        <v>27</v>
      </c>
      <c r="H1088" s="149"/>
      <c r="I1088" s="25"/>
      <c r="J1088" s="26"/>
      <c r="K1088" s="21"/>
      <c r="L1088" s="27"/>
      <c r="M1088" s="28"/>
      <c r="N1088" s="29"/>
      <c r="O1088" s="29"/>
      <c r="P1088" s="34" t="s">
        <v>28</v>
      </c>
      <c r="Q1088" s="34" t="s">
        <v>28</v>
      </c>
      <c r="R1088" s="35" t="s">
        <v>28</v>
      </c>
      <c r="S1088" s="32" t="s">
        <v>29</v>
      </c>
      <c r="T1088" s="33"/>
      <c r="U1088" s="33"/>
    </row>
    <row r="1089" ht="15.75" customHeight="1">
      <c r="A1089" s="20">
        <v>46198.0</v>
      </c>
      <c r="B1089" s="20">
        <v>46198.0</v>
      </c>
      <c r="C1089" s="20"/>
      <c r="D1089" s="21"/>
      <c r="E1089" s="21" t="s">
        <v>43</v>
      </c>
      <c r="F1089" s="22"/>
      <c r="G1089" s="23" t="s">
        <v>27</v>
      </c>
      <c r="H1089" s="149"/>
      <c r="I1089" s="25"/>
      <c r="J1089" s="26"/>
      <c r="K1089" s="21"/>
      <c r="L1089" s="27"/>
      <c r="M1089" s="28"/>
      <c r="N1089" s="29"/>
      <c r="O1089" s="29"/>
      <c r="P1089" s="30" t="s">
        <v>28</v>
      </c>
      <c r="Q1089" s="30" t="s">
        <v>28</v>
      </c>
      <c r="R1089" s="31" t="s">
        <v>28</v>
      </c>
      <c r="S1089" s="32" t="s">
        <v>29</v>
      </c>
      <c r="T1089" s="33"/>
      <c r="U1089" s="33"/>
    </row>
    <row r="1090" ht="15.75" customHeight="1">
      <c r="A1090" s="36">
        <v>46199.0</v>
      </c>
      <c r="B1090" s="36">
        <v>46199.0</v>
      </c>
      <c r="C1090" s="36" t="s">
        <v>25</v>
      </c>
      <c r="D1090" s="37" t="s">
        <v>31</v>
      </c>
      <c r="E1090" s="37" t="s">
        <v>26</v>
      </c>
      <c r="F1090" s="38">
        <v>0.09885416666666667</v>
      </c>
      <c r="G1090" s="37" t="s">
        <v>33</v>
      </c>
      <c r="H1090" s="150"/>
      <c r="I1090" s="40"/>
      <c r="J1090" s="41"/>
      <c r="K1090" s="37" t="s">
        <v>1205</v>
      </c>
      <c r="L1090" s="42">
        <v>46202.0</v>
      </c>
      <c r="M1090" s="43">
        <v>0.1875</v>
      </c>
      <c r="N1090" s="44" t="s">
        <v>31</v>
      </c>
      <c r="O1090" s="44" t="s">
        <v>35</v>
      </c>
      <c r="P1090" s="45" t="s">
        <v>36</v>
      </c>
      <c r="Q1090" s="45" t="s">
        <v>1206</v>
      </c>
      <c r="R1090" s="46">
        <v>46203.0</v>
      </c>
      <c r="S1090" s="54" t="s">
        <v>29</v>
      </c>
      <c r="T1090" s="33"/>
      <c r="U1090" s="33"/>
    </row>
    <row r="1091" ht="15.75" customHeight="1">
      <c r="A1091" s="20">
        <v>46199.0</v>
      </c>
      <c r="B1091" s="20">
        <v>46199.0</v>
      </c>
      <c r="C1091" s="20" t="s">
        <v>25</v>
      </c>
      <c r="D1091" s="21" t="s">
        <v>57</v>
      </c>
      <c r="E1091" s="21" t="s">
        <v>30</v>
      </c>
      <c r="F1091" s="22">
        <v>0.004016203703703704</v>
      </c>
      <c r="G1091" s="21" t="s">
        <v>33</v>
      </c>
      <c r="H1091" s="149"/>
      <c r="I1091" s="25"/>
      <c r="J1091" s="26"/>
      <c r="K1091" s="21"/>
      <c r="L1091" s="27">
        <v>46199.0</v>
      </c>
      <c r="M1091" s="28">
        <v>0.013888888888888888</v>
      </c>
      <c r="N1091" s="29" t="s">
        <v>57</v>
      </c>
      <c r="O1091" s="29" t="s">
        <v>35</v>
      </c>
      <c r="P1091" s="34" t="s">
        <v>36</v>
      </c>
      <c r="Q1091" s="34" t="s">
        <v>1207</v>
      </c>
      <c r="R1091" s="35">
        <v>46202.0</v>
      </c>
      <c r="S1091" s="32" t="s">
        <v>29</v>
      </c>
      <c r="T1091" s="33"/>
      <c r="U1091" s="33"/>
    </row>
    <row r="1092" ht="15.75" customHeight="1">
      <c r="A1092" s="20">
        <v>46199.0</v>
      </c>
      <c r="B1092" s="20">
        <v>46199.0</v>
      </c>
      <c r="C1092" s="20" t="s">
        <v>25</v>
      </c>
      <c r="D1092" s="21" t="s">
        <v>69</v>
      </c>
      <c r="E1092" s="21" t="s">
        <v>32</v>
      </c>
      <c r="F1092" s="22">
        <v>0.04702546296296296</v>
      </c>
      <c r="G1092" s="21" t="s">
        <v>33</v>
      </c>
      <c r="H1092" s="149"/>
      <c r="I1092" s="25"/>
      <c r="J1092" s="26"/>
      <c r="K1092" s="21"/>
      <c r="L1092" s="27">
        <v>46200.0</v>
      </c>
      <c r="M1092" s="28">
        <v>0.1388888888888889</v>
      </c>
      <c r="N1092" s="29" t="s">
        <v>39</v>
      </c>
      <c r="O1092" s="29" t="s">
        <v>35</v>
      </c>
      <c r="P1092" s="34" t="s">
        <v>36</v>
      </c>
      <c r="Q1092" s="34" t="s">
        <v>1208</v>
      </c>
      <c r="R1092" s="35">
        <v>46202.0</v>
      </c>
      <c r="S1092" s="32" t="s">
        <v>29</v>
      </c>
      <c r="T1092" s="33"/>
      <c r="U1092" s="33"/>
    </row>
    <row r="1093" ht="15.75" customHeight="1">
      <c r="A1093" s="20">
        <v>46199.0</v>
      </c>
      <c r="B1093" s="20">
        <v>46199.0</v>
      </c>
      <c r="C1093" s="20"/>
      <c r="D1093" s="21"/>
      <c r="E1093" s="21" t="s">
        <v>38</v>
      </c>
      <c r="F1093" s="22"/>
      <c r="G1093" s="23" t="s">
        <v>27</v>
      </c>
      <c r="H1093" s="149"/>
      <c r="I1093" s="25"/>
      <c r="J1093" s="26"/>
      <c r="K1093" s="21"/>
      <c r="L1093" s="27"/>
      <c r="M1093" s="28"/>
      <c r="N1093" s="29"/>
      <c r="O1093" s="29"/>
      <c r="P1093" s="30" t="s">
        <v>28</v>
      </c>
      <c r="Q1093" s="30" t="s">
        <v>28</v>
      </c>
      <c r="R1093" s="31" t="s">
        <v>28</v>
      </c>
      <c r="S1093" s="32" t="s">
        <v>29</v>
      </c>
      <c r="T1093" s="33"/>
      <c r="U1093" s="33"/>
    </row>
    <row r="1094" ht="15.75" customHeight="1">
      <c r="A1094" s="20">
        <v>46199.0</v>
      </c>
      <c r="B1094" s="20">
        <v>46199.0</v>
      </c>
      <c r="C1094" s="20" t="s">
        <v>25</v>
      </c>
      <c r="D1094" s="21" t="s">
        <v>39</v>
      </c>
      <c r="E1094" s="21" t="s">
        <v>40</v>
      </c>
      <c r="F1094" s="22">
        <v>0.010219907407407407</v>
      </c>
      <c r="G1094" s="21" t="s">
        <v>33</v>
      </c>
      <c r="H1094" s="149"/>
      <c r="I1094" s="25"/>
      <c r="J1094" s="26"/>
      <c r="K1094" s="21"/>
      <c r="L1094" s="27">
        <v>46202.0</v>
      </c>
      <c r="M1094" s="28">
        <v>0.03125</v>
      </c>
      <c r="N1094" s="29" t="s">
        <v>57</v>
      </c>
      <c r="O1094" s="29" t="s">
        <v>35</v>
      </c>
      <c r="P1094" s="34" t="s">
        <v>36</v>
      </c>
      <c r="Q1094" s="34" t="s">
        <v>1209</v>
      </c>
      <c r="R1094" s="35">
        <v>46202.0</v>
      </c>
      <c r="S1094" s="32" t="s">
        <v>29</v>
      </c>
      <c r="T1094" s="33"/>
      <c r="U1094" s="33"/>
    </row>
    <row r="1095" ht="15.75" customHeight="1">
      <c r="A1095" s="20">
        <v>46199.0</v>
      </c>
      <c r="B1095" s="20">
        <v>46199.0</v>
      </c>
      <c r="C1095" s="20"/>
      <c r="D1095" s="21"/>
      <c r="E1095" s="21" t="s">
        <v>43</v>
      </c>
      <c r="F1095" s="22"/>
      <c r="G1095" s="23" t="s">
        <v>27</v>
      </c>
      <c r="H1095" s="149"/>
      <c r="I1095" s="25"/>
      <c r="J1095" s="26"/>
      <c r="K1095" s="21"/>
      <c r="L1095" s="27"/>
      <c r="M1095" s="28"/>
      <c r="N1095" s="29"/>
      <c r="O1095" s="29"/>
      <c r="P1095" s="30" t="s">
        <v>28</v>
      </c>
      <c r="Q1095" s="30" t="s">
        <v>28</v>
      </c>
      <c r="R1095" s="31" t="s">
        <v>28</v>
      </c>
      <c r="S1095" s="32" t="s">
        <v>29</v>
      </c>
      <c r="T1095" s="33"/>
      <c r="U1095" s="33"/>
    </row>
    <row r="1096" ht="15.75" customHeight="1">
      <c r="A1096" s="55">
        <v>46200.0</v>
      </c>
      <c r="B1096" s="55">
        <v>46200.0</v>
      </c>
      <c r="C1096" s="55" t="s">
        <v>25</v>
      </c>
      <c r="D1096" s="56" t="s">
        <v>39</v>
      </c>
      <c r="E1096" s="56" t="s">
        <v>32</v>
      </c>
      <c r="F1096" s="57">
        <v>0.04581018518518518</v>
      </c>
      <c r="G1096" s="21" t="s">
        <v>33</v>
      </c>
      <c r="H1096" s="149"/>
      <c r="I1096" s="25"/>
      <c r="J1096" s="26"/>
      <c r="K1096" s="21"/>
      <c r="L1096" s="27">
        <v>46202.0</v>
      </c>
      <c r="M1096" s="28">
        <v>0.09722222222222222</v>
      </c>
      <c r="N1096" s="29" t="s">
        <v>34</v>
      </c>
      <c r="O1096" s="29" t="s">
        <v>35</v>
      </c>
      <c r="P1096" s="34" t="s">
        <v>36</v>
      </c>
      <c r="Q1096" s="34" t="s">
        <v>1210</v>
      </c>
      <c r="R1096" s="35">
        <v>46202.0</v>
      </c>
      <c r="S1096" s="32" t="s">
        <v>29</v>
      </c>
      <c r="T1096" s="33"/>
      <c r="U1096" s="33"/>
    </row>
    <row r="1097" ht="15.75" customHeight="1">
      <c r="A1097" s="55">
        <v>46200.0</v>
      </c>
      <c r="B1097" s="55">
        <v>46200.0</v>
      </c>
      <c r="C1097" s="55"/>
      <c r="D1097" s="56"/>
      <c r="E1097" s="56" t="s">
        <v>40</v>
      </c>
      <c r="F1097" s="57"/>
      <c r="G1097" s="23" t="s">
        <v>27</v>
      </c>
      <c r="H1097" s="149"/>
      <c r="I1097" s="25"/>
      <c r="J1097" s="26"/>
      <c r="K1097" s="21"/>
      <c r="L1097" s="27"/>
      <c r="M1097" s="28"/>
      <c r="N1097" s="29"/>
      <c r="O1097" s="29"/>
      <c r="P1097" s="34" t="s">
        <v>28</v>
      </c>
      <c r="Q1097" s="34" t="s">
        <v>28</v>
      </c>
      <c r="R1097" s="35" t="s">
        <v>28</v>
      </c>
      <c r="S1097" s="32" t="s">
        <v>29</v>
      </c>
      <c r="T1097" s="33"/>
      <c r="U1097" s="33"/>
    </row>
    <row r="1098" ht="15.75" customHeight="1">
      <c r="A1098" s="55">
        <v>46200.0</v>
      </c>
      <c r="B1098" s="55">
        <v>46200.0</v>
      </c>
      <c r="C1098" s="55"/>
      <c r="D1098" s="56"/>
      <c r="E1098" s="56" t="s">
        <v>43</v>
      </c>
      <c r="F1098" s="57"/>
      <c r="G1098" s="21" t="s">
        <v>27</v>
      </c>
      <c r="H1098" s="149"/>
      <c r="I1098" s="25"/>
      <c r="J1098" s="26"/>
      <c r="K1098" s="21"/>
      <c r="L1098" s="29"/>
      <c r="M1098" s="28"/>
      <c r="N1098" s="29"/>
      <c r="O1098" s="29"/>
      <c r="P1098" s="34" t="s">
        <v>28</v>
      </c>
      <c r="Q1098" s="34" t="s">
        <v>28</v>
      </c>
      <c r="R1098" s="35" t="s">
        <v>28</v>
      </c>
      <c r="S1098" s="32" t="s">
        <v>29</v>
      </c>
      <c r="T1098" s="33"/>
      <c r="U1098" s="33"/>
    </row>
    <row r="1099" ht="15.75" customHeight="1">
      <c r="A1099" s="55">
        <v>46200.0</v>
      </c>
      <c r="B1099" s="55">
        <v>46202.0</v>
      </c>
      <c r="C1099" s="55" t="s">
        <v>25</v>
      </c>
      <c r="D1099" s="56" t="s">
        <v>59</v>
      </c>
      <c r="E1099" s="56" t="s">
        <v>61</v>
      </c>
      <c r="F1099" s="57">
        <v>0.017569444444444443</v>
      </c>
      <c r="G1099" s="21" t="s">
        <v>33</v>
      </c>
      <c r="H1099" s="149"/>
      <c r="I1099" s="25" t="s">
        <v>46</v>
      </c>
      <c r="J1099" s="26">
        <v>46202.45972222222</v>
      </c>
      <c r="K1099" s="21" t="s">
        <v>1211</v>
      </c>
      <c r="L1099" s="27">
        <v>46205.0</v>
      </c>
      <c r="M1099" s="28">
        <v>0.05555555555555555</v>
      </c>
      <c r="N1099" s="29" t="s">
        <v>59</v>
      </c>
      <c r="O1099" s="29" t="s">
        <v>35</v>
      </c>
      <c r="P1099" s="34" t="s">
        <v>36</v>
      </c>
      <c r="Q1099" s="34" t="s">
        <v>1212</v>
      </c>
      <c r="R1099" s="35">
        <v>46203.0</v>
      </c>
      <c r="S1099" s="32" t="s">
        <v>29</v>
      </c>
      <c r="T1099" s="33"/>
      <c r="U1099" s="33"/>
    </row>
    <row r="1100" ht="15.75" customHeight="1">
      <c r="A1100" s="55">
        <v>46200.0</v>
      </c>
      <c r="B1100" s="55">
        <v>46202.0</v>
      </c>
      <c r="C1100" s="55" t="s">
        <v>25</v>
      </c>
      <c r="D1100" s="56" t="s">
        <v>59</v>
      </c>
      <c r="E1100" s="56" t="s">
        <v>62</v>
      </c>
      <c r="F1100" s="57">
        <v>0.017569444444444443</v>
      </c>
      <c r="G1100" s="21" t="s">
        <v>33</v>
      </c>
      <c r="H1100" s="149"/>
      <c r="I1100" s="25" t="s">
        <v>46</v>
      </c>
      <c r="J1100" s="26">
        <v>46202.46944444445</v>
      </c>
      <c r="K1100" s="21" t="s">
        <v>1213</v>
      </c>
      <c r="L1100" s="27">
        <v>46205.0</v>
      </c>
      <c r="M1100" s="28">
        <v>0.0020833333333333333</v>
      </c>
      <c r="N1100" s="29" t="s">
        <v>59</v>
      </c>
      <c r="O1100" s="29" t="s">
        <v>355</v>
      </c>
      <c r="P1100" s="34" t="s">
        <v>36</v>
      </c>
      <c r="Q1100" s="34" t="s">
        <v>1214</v>
      </c>
      <c r="R1100" s="35">
        <v>46204.0</v>
      </c>
      <c r="S1100" s="32" t="s">
        <v>29</v>
      </c>
      <c r="T1100" s="33"/>
      <c r="U1100" s="33"/>
    </row>
    <row r="1101" ht="15.75" customHeight="1">
      <c r="A1101" s="55">
        <v>46200.0</v>
      </c>
      <c r="B1101" s="55">
        <v>46200.0</v>
      </c>
      <c r="C1101" s="55" t="s">
        <v>25</v>
      </c>
      <c r="D1101" s="56" t="s">
        <v>39</v>
      </c>
      <c r="E1101" s="56" t="s">
        <v>63</v>
      </c>
      <c r="F1101" s="57">
        <v>0.01761574074074074</v>
      </c>
      <c r="G1101" s="21" t="s">
        <v>33</v>
      </c>
      <c r="H1101" s="149" t="s">
        <v>1215</v>
      </c>
      <c r="I1101" s="25" t="s">
        <v>46</v>
      </c>
      <c r="J1101" s="26">
        <v>46202.0</v>
      </c>
      <c r="K1101" s="21" t="s">
        <v>1216</v>
      </c>
      <c r="L1101" s="27">
        <v>46204.0</v>
      </c>
      <c r="M1101" s="28">
        <v>0.041666666666666664</v>
      </c>
      <c r="N1101" s="29" t="s">
        <v>31</v>
      </c>
      <c r="O1101" s="29" t="s">
        <v>35</v>
      </c>
      <c r="P1101" s="34" t="s">
        <v>36</v>
      </c>
      <c r="Q1101" s="34" t="s">
        <v>1217</v>
      </c>
      <c r="R1101" s="35">
        <v>46203.0</v>
      </c>
      <c r="S1101" s="32" t="s">
        <v>29</v>
      </c>
      <c r="T1101" s="33"/>
      <c r="U1101" s="33"/>
    </row>
    <row r="1102" ht="15.75" customHeight="1">
      <c r="A1102" s="55">
        <v>46200.0</v>
      </c>
      <c r="B1102" s="55">
        <v>46200.0</v>
      </c>
      <c r="C1102" s="55" t="s">
        <v>25</v>
      </c>
      <c r="D1102" s="56" t="s">
        <v>31</v>
      </c>
      <c r="E1102" s="56" t="s">
        <v>1218</v>
      </c>
      <c r="F1102" s="57">
        <v>0.019421296296296298</v>
      </c>
      <c r="G1102" s="21" t="s">
        <v>33</v>
      </c>
      <c r="H1102" s="160" t="s">
        <v>1219</v>
      </c>
      <c r="I1102" s="161" t="s">
        <v>46</v>
      </c>
      <c r="J1102" s="162">
        <v>46203.0</v>
      </c>
      <c r="K1102" s="37" t="s">
        <v>1220</v>
      </c>
      <c r="L1102" s="27">
        <v>46205.0</v>
      </c>
      <c r="M1102" s="28">
        <v>0.027777777777777776</v>
      </c>
      <c r="N1102" s="29" t="s">
        <v>69</v>
      </c>
      <c r="O1102" s="29" t="s">
        <v>35</v>
      </c>
      <c r="P1102" s="34" t="s">
        <v>36</v>
      </c>
      <c r="Q1102" s="34" t="s">
        <v>1221</v>
      </c>
      <c r="R1102" s="35">
        <v>46204.0</v>
      </c>
      <c r="S1102" s="32" t="s">
        <v>29</v>
      </c>
      <c r="T1102" s="33"/>
      <c r="U1102" s="33"/>
    </row>
    <row r="1103" ht="15.75" customHeight="1">
      <c r="A1103" s="60">
        <v>46201.0</v>
      </c>
      <c r="B1103" s="60">
        <v>46201.0</v>
      </c>
      <c r="C1103" s="60"/>
      <c r="D1103" s="61"/>
      <c r="E1103" s="61" t="s">
        <v>66</v>
      </c>
      <c r="F1103" s="62"/>
      <c r="G1103" s="21" t="s">
        <v>102</v>
      </c>
      <c r="H1103" s="149"/>
      <c r="I1103" s="25"/>
      <c r="J1103" s="26"/>
      <c r="K1103" s="21"/>
      <c r="L1103" s="27"/>
      <c r="M1103" s="28"/>
      <c r="N1103" s="29"/>
      <c r="O1103" s="29"/>
      <c r="P1103" s="30" t="s">
        <v>28</v>
      </c>
      <c r="Q1103" s="30" t="s">
        <v>28</v>
      </c>
      <c r="R1103" s="31" t="s">
        <v>28</v>
      </c>
      <c r="S1103" s="32" t="s">
        <v>29</v>
      </c>
      <c r="T1103" s="33"/>
      <c r="U1103" s="33"/>
    </row>
    <row r="1104" ht="15.75" customHeight="1">
      <c r="A1104" s="20">
        <v>46202.0</v>
      </c>
      <c r="B1104" s="20">
        <v>46202.0</v>
      </c>
      <c r="C1104" s="20" t="s">
        <v>25</v>
      </c>
      <c r="D1104" s="21" t="s">
        <v>59</v>
      </c>
      <c r="E1104" s="21" t="s">
        <v>26</v>
      </c>
      <c r="F1104" s="22">
        <v>0.09331018518518519</v>
      </c>
      <c r="G1104" s="21" t="s">
        <v>33</v>
      </c>
      <c r="H1104" s="149"/>
      <c r="I1104" s="25"/>
      <c r="J1104" s="26"/>
      <c r="K1104" s="21"/>
      <c r="L1104" s="27">
        <v>46203.0</v>
      </c>
      <c r="M1104" s="28">
        <v>0.2465277777777778</v>
      </c>
      <c r="N1104" s="29" t="s">
        <v>34</v>
      </c>
      <c r="O1104" s="29" t="s">
        <v>35</v>
      </c>
      <c r="P1104" s="34" t="s">
        <v>36</v>
      </c>
      <c r="Q1104" s="34" t="s">
        <v>1222</v>
      </c>
      <c r="R1104" s="35">
        <v>46203.0</v>
      </c>
      <c r="S1104" s="32" t="s">
        <v>29</v>
      </c>
      <c r="T1104" s="33"/>
      <c r="U1104" s="33"/>
    </row>
    <row r="1105" ht="15.75" customHeight="1">
      <c r="A1105" s="20">
        <v>46202.0</v>
      </c>
      <c r="B1105" s="20">
        <v>46202.0</v>
      </c>
      <c r="C1105" s="20" t="s">
        <v>25</v>
      </c>
      <c r="D1105" s="21" t="s">
        <v>31</v>
      </c>
      <c r="E1105" s="21" t="s">
        <v>30</v>
      </c>
      <c r="F1105" s="22">
        <v>0.005856481481481482</v>
      </c>
      <c r="G1105" s="21" t="s">
        <v>33</v>
      </c>
      <c r="H1105" s="149"/>
      <c r="I1105" s="25"/>
      <c r="J1105" s="26"/>
      <c r="K1105" s="21"/>
      <c r="L1105" s="27">
        <v>46202.0</v>
      </c>
      <c r="M1105" s="28">
        <v>0.013888888888888888</v>
      </c>
      <c r="N1105" s="29" t="s">
        <v>31</v>
      </c>
      <c r="O1105" s="29" t="s">
        <v>35</v>
      </c>
      <c r="P1105" s="34" t="s">
        <v>36</v>
      </c>
      <c r="Q1105" s="34" t="s">
        <v>1223</v>
      </c>
      <c r="R1105" s="35">
        <v>46203.0</v>
      </c>
      <c r="S1105" s="32" t="s">
        <v>29</v>
      </c>
      <c r="T1105" s="33"/>
      <c r="U1105" s="33"/>
    </row>
    <row r="1106" ht="15.75" customHeight="1">
      <c r="A1106" s="20">
        <v>46202.0</v>
      </c>
      <c r="B1106" s="20">
        <v>46202.0</v>
      </c>
      <c r="C1106" s="20" t="s">
        <v>25</v>
      </c>
      <c r="D1106" s="21" t="s">
        <v>39</v>
      </c>
      <c r="E1106" s="21" t="s">
        <v>32</v>
      </c>
      <c r="F1106" s="22">
        <v>0.03633101851851852</v>
      </c>
      <c r="G1106" s="21" t="s">
        <v>33</v>
      </c>
      <c r="H1106" s="149"/>
      <c r="I1106" s="25"/>
      <c r="J1106" s="26"/>
      <c r="K1106" s="21"/>
      <c r="L1106" s="27">
        <v>46203.0</v>
      </c>
      <c r="M1106" s="28">
        <v>0.07291666666666667</v>
      </c>
      <c r="N1106" s="29" t="s">
        <v>57</v>
      </c>
      <c r="O1106" s="29" t="s">
        <v>35</v>
      </c>
      <c r="P1106" s="34" t="s">
        <v>36</v>
      </c>
      <c r="Q1106" s="34" t="s">
        <v>1224</v>
      </c>
      <c r="R1106" s="35">
        <v>46203.0</v>
      </c>
      <c r="S1106" s="32" t="s">
        <v>29</v>
      </c>
      <c r="T1106" s="33"/>
      <c r="U1106" s="33"/>
    </row>
    <row r="1107" ht="15.75" customHeight="1">
      <c r="A1107" s="20">
        <v>46202.0</v>
      </c>
      <c r="B1107" s="20">
        <v>46202.0</v>
      </c>
      <c r="C1107" s="20"/>
      <c r="D1107" s="21"/>
      <c r="E1107" s="21" t="s">
        <v>38</v>
      </c>
      <c r="F1107" s="22"/>
      <c r="G1107" s="23" t="s">
        <v>27</v>
      </c>
      <c r="H1107" s="149"/>
      <c r="I1107" s="25"/>
      <c r="J1107" s="26"/>
      <c r="K1107" s="21"/>
      <c r="L1107" s="27"/>
      <c r="M1107" s="28"/>
      <c r="N1107" s="29"/>
      <c r="O1107" s="29"/>
      <c r="P1107" s="30" t="s">
        <v>28</v>
      </c>
      <c r="Q1107" s="30" t="s">
        <v>28</v>
      </c>
      <c r="R1107" s="31" t="s">
        <v>28</v>
      </c>
      <c r="S1107" s="32" t="s">
        <v>29</v>
      </c>
      <c r="T1107" s="33"/>
      <c r="U1107" s="33"/>
    </row>
    <row r="1108" ht="15.75" customHeight="1">
      <c r="A1108" s="20">
        <v>46202.0</v>
      </c>
      <c r="B1108" s="20">
        <v>46202.0</v>
      </c>
      <c r="C1108" s="20"/>
      <c r="D1108" s="21"/>
      <c r="E1108" s="21" t="s">
        <v>40</v>
      </c>
      <c r="F1108" s="22"/>
      <c r="G1108" s="23" t="s">
        <v>27</v>
      </c>
      <c r="H1108" s="149"/>
      <c r="I1108" s="25"/>
      <c r="J1108" s="26"/>
      <c r="K1108" s="21"/>
      <c r="L1108" s="27"/>
      <c r="M1108" s="28"/>
      <c r="N1108" s="29"/>
      <c r="O1108" s="29"/>
      <c r="P1108" s="34" t="s">
        <v>28</v>
      </c>
      <c r="Q1108" s="34" t="s">
        <v>28</v>
      </c>
      <c r="R1108" s="35" t="s">
        <v>28</v>
      </c>
      <c r="S1108" s="32" t="s">
        <v>29</v>
      </c>
      <c r="T1108" s="33"/>
      <c r="U1108" s="33"/>
    </row>
    <row r="1109" ht="15.75" customHeight="1">
      <c r="A1109" s="20">
        <v>46202.0</v>
      </c>
      <c r="B1109" s="20">
        <v>46202.0</v>
      </c>
      <c r="C1109" s="20"/>
      <c r="D1109" s="21"/>
      <c r="E1109" s="21" t="s">
        <v>43</v>
      </c>
      <c r="F1109" s="22"/>
      <c r="G1109" s="23" t="s">
        <v>27</v>
      </c>
      <c r="H1109" s="149"/>
      <c r="I1109" s="25"/>
      <c r="J1109" s="26"/>
      <c r="K1109" s="21"/>
      <c r="L1109" s="27"/>
      <c r="M1109" s="28"/>
      <c r="N1109" s="29"/>
      <c r="O1109" s="29"/>
      <c r="P1109" s="34" t="s">
        <v>28</v>
      </c>
      <c r="Q1109" s="34" t="s">
        <v>28</v>
      </c>
      <c r="R1109" s="35" t="s">
        <v>28</v>
      </c>
      <c r="S1109" s="32" t="s">
        <v>29</v>
      </c>
      <c r="T1109" s="33"/>
      <c r="U1109" s="33"/>
    </row>
    <row r="1110" ht="15.75" customHeight="1">
      <c r="A1110" s="20">
        <v>46202.0</v>
      </c>
      <c r="B1110" s="20">
        <v>46202.0</v>
      </c>
      <c r="C1110" s="20" t="s">
        <v>25</v>
      </c>
      <c r="D1110" s="21" t="s">
        <v>39</v>
      </c>
      <c r="E1110" s="21" t="s">
        <v>87</v>
      </c>
      <c r="F1110" s="22">
        <v>0.002037037037037037</v>
      </c>
      <c r="G1110" s="21" t="s">
        <v>88</v>
      </c>
      <c r="H1110" s="149" t="s">
        <v>1225</v>
      </c>
      <c r="I1110" s="25" t="s">
        <v>46</v>
      </c>
      <c r="J1110" s="26">
        <v>46202.0</v>
      </c>
      <c r="K1110" s="21" t="s">
        <v>1226</v>
      </c>
      <c r="L1110" s="27"/>
      <c r="M1110" s="28"/>
      <c r="N1110" s="29"/>
      <c r="O1110" s="29"/>
      <c r="P1110" s="34" t="s">
        <v>53</v>
      </c>
      <c r="Q1110" s="34">
        <v>1.2074287E7</v>
      </c>
      <c r="R1110" s="35">
        <v>46203.0</v>
      </c>
      <c r="S1110" s="32"/>
      <c r="T1110" s="33"/>
      <c r="U1110" s="33"/>
    </row>
    <row r="1111" ht="15.75" customHeight="1">
      <c r="A1111" s="20">
        <v>46202.0</v>
      </c>
      <c r="B1111" s="20">
        <v>46202.0</v>
      </c>
      <c r="C1111" s="20" t="s">
        <v>25</v>
      </c>
      <c r="D1111" s="21" t="s">
        <v>39</v>
      </c>
      <c r="E1111" s="21" t="s">
        <v>87</v>
      </c>
      <c r="F1111" s="22">
        <v>0.003472222222222222</v>
      </c>
      <c r="G1111" s="21" t="s">
        <v>88</v>
      </c>
      <c r="H1111" s="149" t="s">
        <v>1227</v>
      </c>
      <c r="I1111" s="25" t="s">
        <v>46</v>
      </c>
      <c r="J1111" s="26">
        <v>46202.0</v>
      </c>
      <c r="K1111" s="21" t="s">
        <v>1228</v>
      </c>
      <c r="L1111" s="27"/>
      <c r="M1111" s="28"/>
      <c r="N1111" s="29"/>
      <c r="O1111" s="29"/>
      <c r="P1111" s="34" t="s">
        <v>53</v>
      </c>
      <c r="Q1111" s="34">
        <v>1.2074288E7</v>
      </c>
      <c r="R1111" s="35">
        <v>46203.0</v>
      </c>
      <c r="S1111" s="32"/>
      <c r="T1111" s="33"/>
      <c r="U1111" s="33"/>
    </row>
    <row r="1112" ht="15.75" customHeight="1">
      <c r="A1112" s="20">
        <v>46203.0</v>
      </c>
      <c r="B1112" s="20">
        <v>46203.0</v>
      </c>
      <c r="C1112" s="20" t="s">
        <v>25</v>
      </c>
      <c r="D1112" s="21" t="s">
        <v>31</v>
      </c>
      <c r="E1112" s="21" t="s">
        <v>26</v>
      </c>
      <c r="F1112" s="22">
        <v>0.09706018518518518</v>
      </c>
      <c r="G1112" s="21" t="s">
        <v>33</v>
      </c>
      <c r="H1112" s="149"/>
      <c r="I1112" s="25"/>
      <c r="J1112" s="26"/>
      <c r="K1112" s="21"/>
      <c r="L1112" s="27">
        <v>46204.0</v>
      </c>
      <c r="M1112" s="28">
        <v>0.2013888888888889</v>
      </c>
      <c r="N1112" s="29" t="s">
        <v>59</v>
      </c>
      <c r="O1112" s="29" t="s">
        <v>35</v>
      </c>
      <c r="P1112" s="34" t="s">
        <v>36</v>
      </c>
      <c r="Q1112" s="34" t="s">
        <v>1229</v>
      </c>
      <c r="R1112" s="35">
        <v>46204.0</v>
      </c>
      <c r="S1112" s="32" t="s">
        <v>29</v>
      </c>
      <c r="T1112" s="33"/>
      <c r="U1112" s="33"/>
    </row>
    <row r="1113" ht="15.75" customHeight="1">
      <c r="A1113" s="20">
        <v>46203.0</v>
      </c>
      <c r="B1113" s="20">
        <v>46203.0</v>
      </c>
      <c r="C1113" s="20" t="s">
        <v>25</v>
      </c>
      <c r="D1113" s="21" t="s">
        <v>34</v>
      </c>
      <c r="E1113" s="21" t="s">
        <v>30</v>
      </c>
      <c r="F1113" s="22">
        <v>0.0011689814814814816</v>
      </c>
      <c r="G1113" s="21" t="s">
        <v>33</v>
      </c>
      <c r="H1113" s="149"/>
      <c r="I1113" s="25"/>
      <c r="J1113" s="26"/>
      <c r="K1113" s="21"/>
      <c r="L1113" s="27">
        <v>46203.0</v>
      </c>
      <c r="M1113" s="28">
        <v>0.002777777777777778</v>
      </c>
      <c r="N1113" s="29" t="s">
        <v>34</v>
      </c>
      <c r="O1113" s="29" t="s">
        <v>35</v>
      </c>
      <c r="P1113" s="34" t="s">
        <v>36</v>
      </c>
      <c r="Q1113" s="34" t="s">
        <v>1230</v>
      </c>
      <c r="R1113" s="35">
        <v>46204.0</v>
      </c>
      <c r="S1113" s="32" t="s">
        <v>29</v>
      </c>
      <c r="T1113" s="33"/>
      <c r="U1113" s="33"/>
    </row>
    <row r="1114" ht="15.75" customHeight="1">
      <c r="A1114" s="20">
        <v>46203.0</v>
      </c>
      <c r="B1114" s="20">
        <v>46203.0</v>
      </c>
      <c r="C1114" s="20" t="s">
        <v>25</v>
      </c>
      <c r="D1114" s="21" t="s">
        <v>69</v>
      </c>
      <c r="E1114" s="21" t="s">
        <v>32</v>
      </c>
      <c r="F1114" s="22">
        <v>0.02383101851851852</v>
      </c>
      <c r="G1114" s="21" t="s">
        <v>33</v>
      </c>
      <c r="H1114" s="149"/>
      <c r="I1114" s="25"/>
      <c r="J1114" s="26"/>
      <c r="K1114" s="21"/>
      <c r="L1114" s="27">
        <v>46204.0</v>
      </c>
      <c r="M1114" s="28">
        <v>0.007060185185185185</v>
      </c>
      <c r="N1114" s="29" t="s">
        <v>34</v>
      </c>
      <c r="O1114" s="29" t="s">
        <v>35</v>
      </c>
      <c r="P1114" s="34" t="s">
        <v>36</v>
      </c>
      <c r="Q1114" s="34" t="s">
        <v>1231</v>
      </c>
      <c r="R1114" s="35">
        <v>46204.0</v>
      </c>
      <c r="S1114" s="32" t="s">
        <v>29</v>
      </c>
      <c r="T1114" s="33"/>
      <c r="U1114" s="33"/>
    </row>
    <row r="1115" ht="15.75" customHeight="1">
      <c r="A1115" s="20">
        <v>46203.0</v>
      </c>
      <c r="B1115" s="20">
        <v>46203.0</v>
      </c>
      <c r="C1115" s="20"/>
      <c r="D1115" s="21"/>
      <c r="E1115" s="21" t="s">
        <v>38</v>
      </c>
      <c r="F1115" s="22"/>
      <c r="G1115" s="23" t="s">
        <v>27</v>
      </c>
      <c r="H1115" s="149"/>
      <c r="I1115" s="25"/>
      <c r="J1115" s="26"/>
      <c r="K1115" s="21"/>
      <c r="L1115" s="27"/>
      <c r="M1115" s="28"/>
      <c r="N1115" s="29"/>
      <c r="O1115" s="29"/>
      <c r="P1115" s="30" t="s">
        <v>28</v>
      </c>
      <c r="Q1115" s="30" t="s">
        <v>28</v>
      </c>
      <c r="R1115" s="31" t="s">
        <v>28</v>
      </c>
      <c r="S1115" s="32" t="s">
        <v>29</v>
      </c>
      <c r="T1115" s="33"/>
      <c r="U1115" s="33"/>
    </row>
    <row r="1116" ht="15.75" customHeight="1">
      <c r="A1116" s="20">
        <v>46203.0</v>
      </c>
      <c r="B1116" s="20">
        <v>46203.0</v>
      </c>
      <c r="C1116" s="20" t="s">
        <v>25</v>
      </c>
      <c r="D1116" s="21" t="s">
        <v>39</v>
      </c>
      <c r="E1116" s="21" t="s">
        <v>40</v>
      </c>
      <c r="F1116" s="22">
        <v>0.012407407407407407</v>
      </c>
      <c r="G1116" s="21" t="s">
        <v>33</v>
      </c>
      <c r="H1116" s="149"/>
      <c r="I1116" s="25"/>
      <c r="J1116" s="26"/>
      <c r="K1116" s="21"/>
      <c r="L1116" s="27">
        <v>46204.0</v>
      </c>
      <c r="M1116" s="28">
        <v>0.041666666666666664</v>
      </c>
      <c r="N1116" s="29" t="s">
        <v>57</v>
      </c>
      <c r="O1116" s="29" t="s">
        <v>35</v>
      </c>
      <c r="P1116" s="34" t="s">
        <v>36</v>
      </c>
      <c r="Q1116" s="34" t="s">
        <v>1232</v>
      </c>
      <c r="R1116" s="35">
        <v>46204.0</v>
      </c>
      <c r="S1116" s="32" t="s">
        <v>29</v>
      </c>
      <c r="T1116" s="33"/>
      <c r="U1116" s="33"/>
    </row>
    <row r="1117" ht="15.75" customHeight="1">
      <c r="A1117" s="20">
        <v>46203.0</v>
      </c>
      <c r="B1117" s="20">
        <v>46203.0</v>
      </c>
      <c r="C1117" s="20"/>
      <c r="D1117" s="21"/>
      <c r="E1117" s="21" t="s">
        <v>43</v>
      </c>
      <c r="F1117" s="22"/>
      <c r="G1117" s="23" t="s">
        <v>27</v>
      </c>
      <c r="H1117" s="149"/>
      <c r="I1117" s="25"/>
      <c r="J1117" s="26"/>
      <c r="K1117" s="21"/>
      <c r="L1117" s="27"/>
      <c r="M1117" s="28"/>
      <c r="N1117" s="29"/>
      <c r="O1117" s="29"/>
      <c r="P1117" s="30" t="s">
        <v>28</v>
      </c>
      <c r="Q1117" s="30" t="s">
        <v>28</v>
      </c>
      <c r="R1117" s="31" t="s">
        <v>28</v>
      </c>
      <c r="S1117" s="32" t="s">
        <v>29</v>
      </c>
      <c r="T1117" s="33"/>
      <c r="U1117" s="33"/>
    </row>
    <row r="1118" ht="15.75" customHeight="1">
      <c r="A1118" s="36">
        <v>46204.0</v>
      </c>
      <c r="B1118" s="36">
        <v>46204.0</v>
      </c>
      <c r="C1118" s="36" t="s">
        <v>25</v>
      </c>
      <c r="D1118" s="37" t="s">
        <v>31</v>
      </c>
      <c r="E1118" s="37" t="s">
        <v>26</v>
      </c>
      <c r="F1118" s="38">
        <v>0.10069444444444445</v>
      </c>
      <c r="G1118" s="37" t="s">
        <v>33</v>
      </c>
      <c r="H1118" s="149"/>
      <c r="I1118" s="25"/>
      <c r="J1118" s="26"/>
      <c r="K1118" s="21"/>
      <c r="L1118" s="27">
        <v>46205.0</v>
      </c>
      <c r="M1118" s="28">
        <v>0.24305555555555555</v>
      </c>
      <c r="N1118" s="29" t="s">
        <v>39</v>
      </c>
      <c r="O1118" s="29" t="s">
        <v>35</v>
      </c>
      <c r="P1118" s="34" t="s">
        <v>53</v>
      </c>
      <c r="Q1118" s="34" t="s">
        <v>1233</v>
      </c>
      <c r="R1118" s="35">
        <v>46205.0</v>
      </c>
      <c r="S1118" s="32" t="s">
        <v>29</v>
      </c>
      <c r="T1118" s="33"/>
      <c r="U1118" s="33"/>
    </row>
    <row r="1119" ht="15.75" customHeight="1">
      <c r="A1119" s="20">
        <v>46204.0</v>
      </c>
      <c r="B1119" s="20">
        <v>46204.0</v>
      </c>
      <c r="C1119" s="20" t="s">
        <v>25</v>
      </c>
      <c r="D1119" s="21" t="s">
        <v>59</v>
      </c>
      <c r="E1119" s="21" t="s">
        <v>30</v>
      </c>
      <c r="F1119" s="22">
        <v>0.00738425925925926</v>
      </c>
      <c r="G1119" s="21" t="s">
        <v>33</v>
      </c>
      <c r="H1119" s="149"/>
      <c r="I1119" s="25"/>
      <c r="J1119" s="26"/>
      <c r="K1119" s="21"/>
      <c r="L1119" s="27">
        <v>46204.0</v>
      </c>
      <c r="M1119" s="28">
        <v>0.013888888888888888</v>
      </c>
      <c r="N1119" s="29" t="s">
        <v>59</v>
      </c>
      <c r="O1119" s="29" t="s">
        <v>35</v>
      </c>
      <c r="P1119" s="34" t="s">
        <v>53</v>
      </c>
      <c r="Q1119" s="34" t="s">
        <v>1234</v>
      </c>
      <c r="R1119" s="35">
        <v>46205.0</v>
      </c>
      <c r="S1119" s="32" t="s">
        <v>29</v>
      </c>
      <c r="T1119" s="33"/>
      <c r="U1119" s="33"/>
    </row>
    <row r="1120" ht="15.75" customHeight="1">
      <c r="A1120" s="20">
        <v>46204.0</v>
      </c>
      <c r="B1120" s="20">
        <v>46204.0</v>
      </c>
      <c r="C1120" s="20" t="s">
        <v>25</v>
      </c>
      <c r="D1120" s="21" t="s">
        <v>69</v>
      </c>
      <c r="E1120" s="21" t="s">
        <v>32</v>
      </c>
      <c r="F1120" s="22">
        <v>0.04790509259259259</v>
      </c>
      <c r="G1120" s="21" t="s">
        <v>33</v>
      </c>
      <c r="H1120" s="149"/>
      <c r="I1120" s="25"/>
      <c r="J1120" s="26"/>
      <c r="K1120" s="21"/>
      <c r="L1120" s="27">
        <v>46205.0</v>
      </c>
      <c r="M1120" s="28">
        <v>0.10069444444444445</v>
      </c>
      <c r="N1120" s="29" t="s">
        <v>34</v>
      </c>
      <c r="O1120" s="29" t="s">
        <v>35</v>
      </c>
      <c r="P1120" s="34" t="s">
        <v>53</v>
      </c>
      <c r="Q1120" s="34" t="s">
        <v>1235</v>
      </c>
      <c r="R1120" s="35">
        <v>46205.0</v>
      </c>
      <c r="S1120" s="32" t="s">
        <v>29</v>
      </c>
      <c r="T1120" s="33"/>
      <c r="U1120" s="33"/>
    </row>
    <row r="1121" ht="15.75" customHeight="1">
      <c r="A1121" s="20">
        <v>46204.0</v>
      </c>
      <c r="B1121" s="20">
        <v>46204.0</v>
      </c>
      <c r="C1121" s="20"/>
      <c r="D1121" s="21"/>
      <c r="E1121" s="21" t="s">
        <v>38</v>
      </c>
      <c r="F1121" s="22"/>
      <c r="G1121" s="23" t="s">
        <v>27</v>
      </c>
      <c r="H1121" s="149"/>
      <c r="I1121" s="25"/>
      <c r="J1121" s="26"/>
      <c r="K1121" s="21"/>
      <c r="L1121" s="27"/>
      <c r="M1121" s="28"/>
      <c r="N1121" s="29"/>
      <c r="O1121" s="29"/>
      <c r="P1121" s="30" t="s">
        <v>28</v>
      </c>
      <c r="Q1121" s="30" t="s">
        <v>28</v>
      </c>
      <c r="R1121" s="31" t="s">
        <v>28</v>
      </c>
      <c r="S1121" s="32" t="s">
        <v>29</v>
      </c>
      <c r="T1121" s="33"/>
      <c r="U1121" s="33"/>
    </row>
    <row r="1122" ht="15.75" customHeight="1">
      <c r="A1122" s="20">
        <v>46204.0</v>
      </c>
      <c r="B1122" s="20">
        <v>46204.0</v>
      </c>
      <c r="C1122" s="20"/>
      <c r="D1122" s="21"/>
      <c r="E1122" s="21" t="s">
        <v>40</v>
      </c>
      <c r="F1122" s="22"/>
      <c r="G1122" s="23" t="s">
        <v>27</v>
      </c>
      <c r="H1122" s="149"/>
      <c r="I1122" s="25"/>
      <c r="J1122" s="26"/>
      <c r="K1122" s="21"/>
      <c r="L1122" s="27"/>
      <c r="M1122" s="28"/>
      <c r="N1122" s="29"/>
      <c r="O1122" s="29"/>
      <c r="P1122" s="30" t="s">
        <v>28</v>
      </c>
      <c r="Q1122" s="30" t="s">
        <v>28</v>
      </c>
      <c r="R1122" s="31" t="s">
        <v>28</v>
      </c>
      <c r="S1122" s="32" t="s">
        <v>29</v>
      </c>
      <c r="T1122" s="33"/>
      <c r="U1122" s="33"/>
    </row>
    <row r="1123" ht="15.75" customHeight="1">
      <c r="A1123" s="20">
        <v>46204.0</v>
      </c>
      <c r="B1123" s="20">
        <v>46204.0</v>
      </c>
      <c r="C1123" s="20"/>
      <c r="D1123" s="21"/>
      <c r="E1123" s="21" t="s">
        <v>43</v>
      </c>
      <c r="F1123" s="22"/>
      <c r="G1123" s="21" t="s">
        <v>27</v>
      </c>
      <c r="H1123" s="149"/>
      <c r="I1123" s="25"/>
      <c r="J1123" s="26"/>
      <c r="K1123" s="21"/>
      <c r="L1123" s="27"/>
      <c r="M1123" s="28"/>
      <c r="N1123" s="29"/>
      <c r="O1123" s="29"/>
      <c r="P1123" s="30" t="s">
        <v>28</v>
      </c>
      <c r="Q1123" s="30" t="s">
        <v>28</v>
      </c>
      <c r="R1123" s="31" t="s">
        <v>28</v>
      </c>
      <c r="S1123" s="32" t="s">
        <v>29</v>
      </c>
      <c r="T1123" s="33"/>
      <c r="U1123" s="33"/>
    </row>
    <row r="1124" ht="15.75" customHeight="1">
      <c r="A1124" s="20">
        <v>46204.0</v>
      </c>
      <c r="B1124" s="20">
        <v>46204.0</v>
      </c>
      <c r="C1124" s="20" t="s">
        <v>25</v>
      </c>
      <c r="D1124" s="21" t="s">
        <v>39</v>
      </c>
      <c r="E1124" s="21" t="s">
        <v>87</v>
      </c>
      <c r="F1124" s="22">
        <v>0.0028703703703703703</v>
      </c>
      <c r="G1124" s="21" t="s">
        <v>88</v>
      </c>
      <c r="H1124" s="149" t="s">
        <v>1236</v>
      </c>
      <c r="I1124" s="25" t="s">
        <v>46</v>
      </c>
      <c r="J1124" s="26">
        <v>46204.0</v>
      </c>
      <c r="K1124" s="21" t="s">
        <v>1237</v>
      </c>
      <c r="L1124" s="27"/>
      <c r="M1124" s="28"/>
      <c r="N1124" s="29"/>
      <c r="O1124" s="29"/>
      <c r="P1124" s="34" t="s">
        <v>53</v>
      </c>
      <c r="Q1124" s="34">
        <v>1.207516E7</v>
      </c>
      <c r="R1124" s="35">
        <v>46205.0</v>
      </c>
      <c r="S1124" s="32"/>
      <c r="T1124" s="33"/>
      <c r="U1124" s="33"/>
    </row>
    <row r="1125" ht="15.75" customHeight="1">
      <c r="A1125" s="20">
        <v>46204.0</v>
      </c>
      <c r="B1125" s="20">
        <v>46204.0</v>
      </c>
      <c r="C1125" s="20" t="s">
        <v>25</v>
      </c>
      <c r="D1125" s="21" t="s">
        <v>39</v>
      </c>
      <c r="E1125" s="21" t="s">
        <v>87</v>
      </c>
      <c r="F1125" s="22">
        <v>0.006377314814814815</v>
      </c>
      <c r="G1125" s="21" t="s">
        <v>88</v>
      </c>
      <c r="H1125" s="149" t="s">
        <v>1238</v>
      </c>
      <c r="I1125" s="25" t="s">
        <v>46</v>
      </c>
      <c r="J1125" s="26">
        <v>46204.0</v>
      </c>
      <c r="K1125" s="21" t="s">
        <v>1239</v>
      </c>
      <c r="L1125" s="27"/>
      <c r="M1125" s="28"/>
      <c r="N1125" s="29"/>
      <c r="O1125" s="29"/>
      <c r="P1125" s="34" t="s">
        <v>53</v>
      </c>
      <c r="Q1125" s="34">
        <v>1.2075161E7</v>
      </c>
      <c r="R1125" s="35">
        <v>46205.0</v>
      </c>
      <c r="S1125" s="32"/>
      <c r="T1125" s="33"/>
      <c r="U1125" s="33"/>
    </row>
    <row r="1126" ht="15.75" customHeight="1">
      <c r="A1126" s="36">
        <v>46205.0</v>
      </c>
      <c r="B1126" s="36">
        <v>46205.0</v>
      </c>
      <c r="C1126" s="36" t="s">
        <v>25</v>
      </c>
      <c r="D1126" s="37" t="s">
        <v>31</v>
      </c>
      <c r="E1126" s="37" t="s">
        <v>26</v>
      </c>
      <c r="F1126" s="38">
        <v>0.10092592592592593</v>
      </c>
      <c r="G1126" s="37" t="s">
        <v>33</v>
      </c>
      <c r="H1126" s="149"/>
      <c r="I1126" s="25"/>
      <c r="J1126" s="26"/>
      <c r="K1126" s="21"/>
      <c r="L1126" s="27" t="s">
        <v>1240</v>
      </c>
      <c r="M1126" s="28">
        <v>0.20833333333333334</v>
      </c>
      <c r="N1126" s="29" t="s">
        <v>57</v>
      </c>
      <c r="O1126" s="29" t="s">
        <v>35</v>
      </c>
      <c r="P1126" s="34" t="s">
        <v>53</v>
      </c>
      <c r="Q1126" s="34" t="s">
        <v>1241</v>
      </c>
      <c r="R1126" s="35">
        <v>46206.0</v>
      </c>
      <c r="S1126" s="32" t="s">
        <v>29</v>
      </c>
      <c r="T1126" s="33"/>
      <c r="U1126" s="33"/>
    </row>
    <row r="1127" ht="15.75" customHeight="1">
      <c r="A1127" s="20">
        <v>46205.0</v>
      </c>
      <c r="B1127" s="20">
        <v>46205.0</v>
      </c>
      <c r="C1127" s="20" t="s">
        <v>25</v>
      </c>
      <c r="D1127" s="21" t="s">
        <v>39</v>
      </c>
      <c r="E1127" s="21" t="s">
        <v>30</v>
      </c>
      <c r="F1127" s="22">
        <v>0.0020949074074074073</v>
      </c>
      <c r="G1127" s="21" t="s">
        <v>33</v>
      </c>
      <c r="H1127" s="149"/>
      <c r="I1127" s="25"/>
      <c r="J1127" s="26"/>
      <c r="K1127" s="21"/>
      <c r="L1127" s="27">
        <v>46205.0</v>
      </c>
      <c r="M1127" s="28">
        <v>0.006944444444444444</v>
      </c>
      <c r="N1127" s="29" t="s">
        <v>39</v>
      </c>
      <c r="O1127" s="29" t="s">
        <v>35</v>
      </c>
      <c r="P1127" s="34" t="s">
        <v>53</v>
      </c>
      <c r="Q1127" s="34" t="s">
        <v>1242</v>
      </c>
      <c r="R1127" s="35">
        <v>46206.0</v>
      </c>
      <c r="S1127" s="32" t="s">
        <v>29</v>
      </c>
      <c r="T1127" s="33"/>
      <c r="U1127" s="33"/>
    </row>
    <row r="1128" ht="15.75" customHeight="1">
      <c r="A1128" s="20">
        <v>46205.0</v>
      </c>
      <c r="B1128" s="20">
        <v>46205.0</v>
      </c>
      <c r="C1128" s="20" t="s">
        <v>25</v>
      </c>
      <c r="D1128" s="21" t="s">
        <v>69</v>
      </c>
      <c r="E1128" s="21" t="s">
        <v>32</v>
      </c>
      <c r="F1128" s="22">
        <v>0.048101851851851854</v>
      </c>
      <c r="G1128" s="21" t="s">
        <v>33</v>
      </c>
      <c r="H1128" s="149"/>
      <c r="I1128" s="25"/>
      <c r="J1128" s="26"/>
      <c r="K1128" s="21"/>
      <c r="L1128" s="27">
        <v>46206.0</v>
      </c>
      <c r="M1128" s="28">
        <v>0.10416666666666667</v>
      </c>
      <c r="N1128" s="29" t="s">
        <v>34</v>
      </c>
      <c r="O1128" s="29" t="s">
        <v>35</v>
      </c>
      <c r="P1128" s="34" t="s">
        <v>53</v>
      </c>
      <c r="Q1128" s="34" t="s">
        <v>1243</v>
      </c>
      <c r="R1128" s="35">
        <v>46206.0</v>
      </c>
      <c r="S1128" s="32" t="s">
        <v>29</v>
      </c>
      <c r="T1128" s="33"/>
      <c r="U1128" s="33"/>
    </row>
    <row r="1129" ht="15.75" customHeight="1">
      <c r="A1129" s="20">
        <v>46205.0</v>
      </c>
      <c r="B1129" s="20">
        <v>46205.0</v>
      </c>
      <c r="C1129" s="20"/>
      <c r="D1129" s="21"/>
      <c r="E1129" s="21" t="s">
        <v>38</v>
      </c>
      <c r="F1129" s="22"/>
      <c r="G1129" s="23" t="s">
        <v>27</v>
      </c>
      <c r="H1129" s="149"/>
      <c r="I1129" s="25"/>
      <c r="J1129" s="26"/>
      <c r="K1129" s="21"/>
      <c r="L1129" s="27"/>
      <c r="M1129" s="28"/>
      <c r="N1129" s="29"/>
      <c r="O1129" s="29"/>
      <c r="P1129" s="30" t="s">
        <v>28</v>
      </c>
      <c r="Q1129" s="30" t="s">
        <v>28</v>
      </c>
      <c r="R1129" s="31" t="s">
        <v>28</v>
      </c>
      <c r="S1129" s="32" t="s">
        <v>29</v>
      </c>
      <c r="T1129" s="33"/>
      <c r="U1129" s="33"/>
    </row>
    <row r="1130" ht="15.75" customHeight="1">
      <c r="A1130" s="36">
        <v>46205.0</v>
      </c>
      <c r="B1130" s="36">
        <v>46205.0</v>
      </c>
      <c r="C1130" s="36" t="s">
        <v>25</v>
      </c>
      <c r="D1130" s="163" t="s">
        <v>34</v>
      </c>
      <c r="E1130" s="163" t="s">
        <v>40</v>
      </c>
      <c r="F1130" s="38">
        <v>0.023194444444444445</v>
      </c>
      <c r="G1130" s="163" t="s">
        <v>33</v>
      </c>
      <c r="H1130" s="149" t="s">
        <v>1244</v>
      </c>
      <c r="I1130" s="80" t="s">
        <v>46</v>
      </c>
      <c r="J1130" s="164">
        <v>46205.82019675926</v>
      </c>
      <c r="K1130" s="67"/>
      <c r="L1130" s="165">
        <v>46206.0</v>
      </c>
      <c r="M1130" s="166">
        <v>0.04861111111111111</v>
      </c>
      <c r="N1130" s="167" t="s">
        <v>31</v>
      </c>
      <c r="O1130" s="167" t="s">
        <v>35</v>
      </c>
      <c r="P1130" s="168" t="s">
        <v>53</v>
      </c>
      <c r="Q1130" s="168" t="s">
        <v>1244</v>
      </c>
      <c r="R1130" s="169">
        <v>46206.0</v>
      </c>
      <c r="S1130" s="170" t="s">
        <v>29</v>
      </c>
      <c r="T1130" s="171"/>
      <c r="U1130" s="171"/>
    </row>
    <row r="1131" ht="15.75" customHeight="1">
      <c r="A1131" s="20">
        <v>46205.0</v>
      </c>
      <c r="B1131" s="20">
        <v>46205.0</v>
      </c>
      <c r="C1131" s="20"/>
      <c r="D1131" s="21"/>
      <c r="E1131" s="21" t="s">
        <v>43</v>
      </c>
      <c r="F1131" s="22"/>
      <c r="G1131" s="21" t="s">
        <v>27</v>
      </c>
      <c r="H1131" s="149"/>
      <c r="I1131" s="25"/>
      <c r="J1131" s="26"/>
      <c r="K1131" s="21"/>
      <c r="L1131" s="27"/>
      <c r="M1131" s="28"/>
      <c r="N1131" s="29"/>
      <c r="O1131" s="29"/>
      <c r="P1131" s="30" t="s">
        <v>28</v>
      </c>
      <c r="Q1131" s="30" t="s">
        <v>28</v>
      </c>
      <c r="R1131" s="31" t="s">
        <v>28</v>
      </c>
      <c r="S1131" s="32" t="s">
        <v>29</v>
      </c>
      <c r="T1131" s="33"/>
      <c r="U1131" s="33"/>
    </row>
    <row r="1132" ht="15.75" customHeight="1">
      <c r="A1132" s="20">
        <v>46206.0</v>
      </c>
      <c r="B1132" s="20">
        <v>46206.0</v>
      </c>
      <c r="C1132" s="20" t="s">
        <v>25</v>
      </c>
      <c r="D1132" s="21" t="s">
        <v>31</v>
      </c>
      <c r="E1132" s="21" t="s">
        <v>26</v>
      </c>
      <c r="F1132" s="22">
        <v>0.10078703703703704</v>
      </c>
      <c r="G1132" s="21" t="s">
        <v>33</v>
      </c>
      <c r="H1132" s="149"/>
      <c r="I1132" s="25"/>
      <c r="J1132" s="26"/>
      <c r="K1132" s="21"/>
      <c r="L1132" s="27">
        <v>46209.0</v>
      </c>
      <c r="M1132" s="28">
        <v>0.16666666666666666</v>
      </c>
      <c r="N1132" s="29" t="s">
        <v>31</v>
      </c>
      <c r="O1132" s="29" t="s">
        <v>35</v>
      </c>
      <c r="P1132" s="34" t="s">
        <v>53</v>
      </c>
      <c r="Q1132" s="34" t="s">
        <v>1245</v>
      </c>
      <c r="R1132" s="35">
        <v>46209.0</v>
      </c>
      <c r="S1132" s="32" t="s">
        <v>29</v>
      </c>
      <c r="T1132" s="33"/>
      <c r="U1132" s="33"/>
    </row>
    <row r="1133" ht="15.75" customHeight="1">
      <c r="A1133" s="20">
        <v>46206.0</v>
      </c>
      <c r="B1133" s="20">
        <v>46206.0</v>
      </c>
      <c r="C1133" s="20" t="s">
        <v>25</v>
      </c>
      <c r="D1133" s="21" t="s">
        <v>57</v>
      </c>
      <c r="E1133" s="21" t="s">
        <v>30</v>
      </c>
      <c r="F1133" s="22">
        <v>0.003715277777777778</v>
      </c>
      <c r="G1133" s="21" t="s">
        <v>33</v>
      </c>
      <c r="H1133" s="149"/>
      <c r="I1133" s="25"/>
      <c r="J1133" s="26"/>
      <c r="K1133" s="21"/>
      <c r="L1133" s="27">
        <v>46206.0</v>
      </c>
      <c r="M1133" s="28">
        <v>0.013888888888888888</v>
      </c>
      <c r="N1133" s="29" t="s">
        <v>57</v>
      </c>
      <c r="O1133" s="29" t="s">
        <v>35</v>
      </c>
      <c r="P1133" s="34" t="s">
        <v>53</v>
      </c>
      <c r="Q1133" s="34" t="s">
        <v>1246</v>
      </c>
      <c r="R1133" s="35">
        <v>46209.0</v>
      </c>
      <c r="S1133" s="32" t="s">
        <v>29</v>
      </c>
      <c r="T1133" s="33"/>
      <c r="U1133" s="33"/>
    </row>
    <row r="1134" ht="15.75" customHeight="1">
      <c r="A1134" s="20">
        <v>46206.0</v>
      </c>
      <c r="B1134" s="20">
        <v>46206.0</v>
      </c>
      <c r="C1134" s="20" t="s">
        <v>25</v>
      </c>
      <c r="D1134" s="21" t="s">
        <v>69</v>
      </c>
      <c r="E1134" s="21" t="s">
        <v>32</v>
      </c>
      <c r="F1134" s="22">
        <v>0.046030092592592595</v>
      </c>
      <c r="G1134" s="21" t="s">
        <v>33</v>
      </c>
      <c r="H1134" s="149"/>
      <c r="I1134" s="25"/>
      <c r="J1134" s="26"/>
      <c r="K1134" s="21"/>
      <c r="L1134" s="27">
        <v>46207.0</v>
      </c>
      <c r="M1134" s="28">
        <v>0.125</v>
      </c>
      <c r="N1134" s="29" t="s">
        <v>31</v>
      </c>
      <c r="O1134" s="29" t="s">
        <v>35</v>
      </c>
      <c r="P1134" s="34" t="s">
        <v>53</v>
      </c>
      <c r="Q1134" s="34" t="s">
        <v>1247</v>
      </c>
      <c r="R1134" s="35">
        <v>46209.0</v>
      </c>
      <c r="S1134" s="32" t="s">
        <v>29</v>
      </c>
      <c r="T1134" s="33"/>
      <c r="U1134" s="33"/>
    </row>
    <row r="1135" ht="15.75" customHeight="1">
      <c r="A1135" s="20">
        <v>46206.0</v>
      </c>
      <c r="B1135" s="20">
        <v>46206.0</v>
      </c>
      <c r="C1135" s="20"/>
      <c r="D1135" s="21"/>
      <c r="E1135" s="21" t="s">
        <v>38</v>
      </c>
      <c r="F1135" s="22"/>
      <c r="G1135" s="23" t="s">
        <v>27</v>
      </c>
      <c r="H1135" s="149"/>
      <c r="I1135" s="25"/>
      <c r="J1135" s="26"/>
      <c r="K1135" s="21"/>
      <c r="L1135" s="27"/>
      <c r="M1135" s="28"/>
      <c r="N1135" s="29" t="s">
        <v>59</v>
      </c>
      <c r="O1135" s="29"/>
      <c r="P1135" s="30" t="s">
        <v>28</v>
      </c>
      <c r="Q1135" s="30" t="s">
        <v>28</v>
      </c>
      <c r="R1135" s="31" t="s">
        <v>28</v>
      </c>
      <c r="S1135" s="32" t="s">
        <v>29</v>
      </c>
      <c r="T1135" s="33"/>
      <c r="U1135" s="33"/>
    </row>
    <row r="1136" ht="15.75" customHeight="1">
      <c r="A1136" s="20">
        <v>46206.0</v>
      </c>
      <c r="B1136" s="20">
        <v>46206.0</v>
      </c>
      <c r="C1136" s="20"/>
      <c r="D1136" s="21"/>
      <c r="E1136" s="21" t="s">
        <v>40</v>
      </c>
      <c r="F1136" s="22"/>
      <c r="G1136" s="23" t="s">
        <v>27</v>
      </c>
      <c r="H1136" s="149"/>
      <c r="I1136" s="25"/>
      <c r="J1136" s="26"/>
      <c r="K1136" s="21"/>
      <c r="L1136" s="27"/>
      <c r="M1136" s="28"/>
      <c r="N1136" s="29"/>
      <c r="O1136" s="29"/>
      <c r="P1136" s="30" t="s">
        <v>28</v>
      </c>
      <c r="Q1136" s="30" t="s">
        <v>28</v>
      </c>
      <c r="R1136" s="31" t="s">
        <v>28</v>
      </c>
      <c r="S1136" s="32" t="s">
        <v>29</v>
      </c>
      <c r="T1136" s="33"/>
      <c r="U1136" s="33"/>
    </row>
    <row r="1137" ht="15.75" customHeight="1">
      <c r="A1137" s="20">
        <v>46206.0</v>
      </c>
      <c r="B1137" s="20">
        <v>46206.0</v>
      </c>
      <c r="C1137" s="20"/>
      <c r="D1137" s="21"/>
      <c r="E1137" s="21" t="s">
        <v>43</v>
      </c>
      <c r="F1137" s="22"/>
      <c r="G1137" s="21" t="s">
        <v>27</v>
      </c>
      <c r="H1137" s="149"/>
      <c r="I1137" s="25"/>
      <c r="J1137" s="26"/>
      <c r="K1137" s="21"/>
      <c r="L1137" s="27"/>
      <c r="M1137" s="28"/>
      <c r="N1137" s="29"/>
      <c r="O1137" s="29"/>
      <c r="P1137" s="30" t="s">
        <v>28</v>
      </c>
      <c r="Q1137" s="30" t="s">
        <v>28</v>
      </c>
      <c r="R1137" s="31" t="s">
        <v>28</v>
      </c>
      <c r="S1137" s="32" t="s">
        <v>29</v>
      </c>
      <c r="T1137" s="33"/>
      <c r="U1137" s="33"/>
    </row>
    <row r="1138" ht="15.75" customHeight="1">
      <c r="A1138" s="20">
        <v>46206.0</v>
      </c>
      <c r="B1138" s="20">
        <v>46206.0</v>
      </c>
      <c r="C1138" s="20" t="s">
        <v>25</v>
      </c>
      <c r="D1138" s="21" t="s">
        <v>34</v>
      </c>
      <c r="E1138" s="21" t="s">
        <v>87</v>
      </c>
      <c r="F1138" s="22">
        <v>0.005567129629629629</v>
      </c>
      <c r="G1138" s="21" t="s">
        <v>88</v>
      </c>
      <c r="H1138" s="149" t="s">
        <v>1248</v>
      </c>
      <c r="I1138" s="25" t="s">
        <v>46</v>
      </c>
      <c r="J1138" s="26">
        <v>46206.62201388889</v>
      </c>
      <c r="K1138" s="21" t="s">
        <v>1249</v>
      </c>
      <c r="L1138" s="27">
        <v>46213.0</v>
      </c>
      <c r="M1138" s="28">
        <v>0.013888888888888888</v>
      </c>
      <c r="N1138" s="29" t="s">
        <v>34</v>
      </c>
      <c r="O1138" s="29" t="s">
        <v>35</v>
      </c>
      <c r="P1138" s="30" t="s">
        <v>53</v>
      </c>
      <c r="Q1138" s="34">
        <v>1.2077634E7</v>
      </c>
      <c r="R1138" s="35">
        <v>46211.0</v>
      </c>
      <c r="S1138" s="32"/>
      <c r="T1138" s="33"/>
      <c r="U1138" s="33"/>
    </row>
    <row r="1139" ht="15.75" customHeight="1">
      <c r="A1139" s="55">
        <v>46207.0</v>
      </c>
      <c r="B1139" s="55">
        <v>46207.0</v>
      </c>
      <c r="C1139" s="55" t="s">
        <v>25</v>
      </c>
      <c r="D1139" s="56" t="s">
        <v>31</v>
      </c>
      <c r="E1139" s="56" t="s">
        <v>32</v>
      </c>
      <c r="F1139" s="57">
        <v>0.026458333333333334</v>
      </c>
      <c r="G1139" s="56" t="s">
        <v>33</v>
      </c>
      <c r="H1139" s="149"/>
      <c r="I1139" s="25"/>
      <c r="J1139" s="26"/>
      <c r="K1139" s="21"/>
      <c r="L1139" s="27">
        <v>46209.0</v>
      </c>
      <c r="M1139" s="28">
        <v>0.0763888888888889</v>
      </c>
      <c r="N1139" s="29" t="s">
        <v>59</v>
      </c>
      <c r="O1139" s="29" t="s">
        <v>35</v>
      </c>
      <c r="P1139" s="34" t="s">
        <v>53</v>
      </c>
      <c r="Q1139" s="34" t="s">
        <v>1250</v>
      </c>
      <c r="R1139" s="35">
        <v>46209.0</v>
      </c>
      <c r="S1139" s="32" t="s">
        <v>29</v>
      </c>
      <c r="T1139" s="33"/>
      <c r="U1139" s="33"/>
    </row>
    <row r="1140" ht="15.75" customHeight="1">
      <c r="A1140" s="55">
        <v>46207.0</v>
      </c>
      <c r="B1140" s="55">
        <v>46207.0</v>
      </c>
      <c r="C1140" s="55" t="s">
        <v>25</v>
      </c>
      <c r="D1140" s="56" t="s">
        <v>57</v>
      </c>
      <c r="E1140" s="56" t="s">
        <v>40</v>
      </c>
      <c r="F1140" s="57">
        <v>0.020150462962962964</v>
      </c>
      <c r="G1140" s="56" t="s">
        <v>33</v>
      </c>
      <c r="H1140" s="149" t="s">
        <v>1251</v>
      </c>
      <c r="I1140" s="25" t="s">
        <v>178</v>
      </c>
      <c r="J1140" s="26">
        <v>46209.45486111111</v>
      </c>
      <c r="K1140" s="21" t="s">
        <v>1252</v>
      </c>
      <c r="L1140" s="27">
        <v>46209.0</v>
      </c>
      <c r="M1140" s="28">
        <v>0.04861111111111111</v>
      </c>
      <c r="N1140" s="29" t="s">
        <v>34</v>
      </c>
      <c r="O1140" s="29" t="s">
        <v>35</v>
      </c>
      <c r="P1140" s="34" t="s">
        <v>53</v>
      </c>
      <c r="Q1140" s="34" t="s">
        <v>1253</v>
      </c>
      <c r="R1140" s="35">
        <v>46210.0</v>
      </c>
      <c r="S1140" s="32" t="s">
        <v>29</v>
      </c>
      <c r="T1140" s="33"/>
      <c r="U1140" s="33"/>
    </row>
    <row r="1141" ht="15.75" customHeight="1">
      <c r="A1141" s="55">
        <v>46207.0</v>
      </c>
      <c r="B1141" s="55">
        <v>46207.0</v>
      </c>
      <c r="C1141" s="55"/>
      <c r="D1141" s="56"/>
      <c r="E1141" s="56" t="s">
        <v>43</v>
      </c>
      <c r="F1141" s="57"/>
      <c r="G1141" s="59" t="s">
        <v>27</v>
      </c>
      <c r="H1141" s="149"/>
      <c r="I1141" s="25"/>
      <c r="J1141" s="26"/>
      <c r="K1141" s="21"/>
      <c r="L1141" s="27"/>
      <c r="M1141" s="28"/>
      <c r="N1141" s="29"/>
      <c r="O1141" s="29"/>
      <c r="P1141" s="30" t="s">
        <v>28</v>
      </c>
      <c r="Q1141" s="30" t="s">
        <v>28</v>
      </c>
      <c r="R1141" s="31" t="s">
        <v>28</v>
      </c>
      <c r="S1141" s="32" t="s">
        <v>29</v>
      </c>
      <c r="T1141" s="33"/>
      <c r="U1141" s="33"/>
    </row>
    <row r="1142" ht="15.75" customHeight="1">
      <c r="A1142" s="55">
        <v>46207.0</v>
      </c>
      <c r="B1142" s="55">
        <v>46207.0</v>
      </c>
      <c r="C1142" s="55"/>
      <c r="D1142" s="56"/>
      <c r="E1142" s="56" t="s">
        <v>61</v>
      </c>
      <c r="F1142" s="57"/>
      <c r="G1142" s="59" t="s">
        <v>27</v>
      </c>
      <c r="H1142" s="149"/>
      <c r="I1142" s="25"/>
      <c r="J1142" s="26"/>
      <c r="K1142" s="21"/>
      <c r="L1142" s="27"/>
      <c r="M1142" s="28"/>
      <c r="N1142" s="29"/>
      <c r="O1142" s="29"/>
      <c r="P1142" s="30" t="s">
        <v>28</v>
      </c>
      <c r="Q1142" s="30" t="s">
        <v>28</v>
      </c>
      <c r="R1142" s="31" t="s">
        <v>28</v>
      </c>
      <c r="S1142" s="32" t="s">
        <v>29</v>
      </c>
      <c r="T1142" s="33"/>
      <c r="U1142" s="33"/>
    </row>
    <row r="1143" ht="15.75" customHeight="1">
      <c r="A1143" s="55">
        <v>46207.0</v>
      </c>
      <c r="B1143" s="55">
        <v>46207.0</v>
      </c>
      <c r="C1143" s="55"/>
      <c r="D1143" s="56"/>
      <c r="E1143" s="56" t="s">
        <v>62</v>
      </c>
      <c r="F1143" s="57"/>
      <c r="G1143" s="59" t="s">
        <v>27</v>
      </c>
      <c r="H1143" s="149"/>
      <c r="I1143" s="25"/>
      <c r="J1143" s="26"/>
      <c r="K1143" s="21"/>
      <c r="L1143" s="27"/>
      <c r="M1143" s="28"/>
      <c r="N1143" s="29"/>
      <c r="O1143" s="29"/>
      <c r="P1143" s="30" t="s">
        <v>28</v>
      </c>
      <c r="Q1143" s="30" t="s">
        <v>28</v>
      </c>
      <c r="R1143" s="31" t="s">
        <v>28</v>
      </c>
      <c r="S1143" s="32" t="s">
        <v>29</v>
      </c>
      <c r="T1143" s="33"/>
      <c r="U1143" s="33"/>
    </row>
    <row r="1144" ht="15.75" customHeight="1">
      <c r="A1144" s="55">
        <v>46207.0</v>
      </c>
      <c r="B1144" s="55">
        <v>46207.0</v>
      </c>
      <c r="C1144" s="55"/>
      <c r="D1144" s="56"/>
      <c r="E1144" s="56" t="s">
        <v>63</v>
      </c>
      <c r="F1144" s="57"/>
      <c r="G1144" s="59" t="s">
        <v>27</v>
      </c>
      <c r="H1144" s="149"/>
      <c r="I1144" s="25"/>
      <c r="J1144" s="26"/>
      <c r="K1144" s="21"/>
      <c r="L1144" s="27"/>
      <c r="M1144" s="28"/>
      <c r="N1144" s="29"/>
      <c r="O1144" s="29"/>
      <c r="P1144" s="30" t="s">
        <v>28</v>
      </c>
      <c r="Q1144" s="30" t="s">
        <v>28</v>
      </c>
      <c r="R1144" s="31" t="s">
        <v>28</v>
      </c>
      <c r="S1144" s="32" t="s">
        <v>29</v>
      </c>
      <c r="T1144" s="33"/>
      <c r="U1144" s="33"/>
    </row>
    <row r="1145" ht="15.75" customHeight="1">
      <c r="A1145" s="60">
        <v>46208.0</v>
      </c>
      <c r="B1145" s="60">
        <v>46208.0</v>
      </c>
      <c r="C1145" s="60"/>
      <c r="D1145" s="61"/>
      <c r="E1145" s="61" t="s">
        <v>66</v>
      </c>
      <c r="F1145" s="62"/>
      <c r="G1145" s="61" t="s">
        <v>102</v>
      </c>
      <c r="H1145" s="149"/>
      <c r="I1145" s="25"/>
      <c r="J1145" s="26"/>
      <c r="K1145" s="21"/>
      <c r="L1145" s="27"/>
      <c r="M1145" s="28"/>
      <c r="N1145" s="29"/>
      <c r="O1145" s="29"/>
      <c r="P1145" s="30" t="s">
        <v>28</v>
      </c>
      <c r="Q1145" s="30" t="s">
        <v>28</v>
      </c>
      <c r="R1145" s="31" t="s">
        <v>28</v>
      </c>
      <c r="S1145" s="32" t="s">
        <v>29</v>
      </c>
      <c r="T1145" s="33"/>
      <c r="U1145" s="33"/>
    </row>
    <row r="1146" ht="15.75" customHeight="1">
      <c r="A1146" s="20">
        <v>46209.0</v>
      </c>
      <c r="B1146" s="20">
        <v>46209.0</v>
      </c>
      <c r="C1146" s="20" t="s">
        <v>25</v>
      </c>
      <c r="D1146" s="21" t="s">
        <v>34</v>
      </c>
      <c r="E1146" s="21" t="s">
        <v>26</v>
      </c>
      <c r="F1146" s="22">
        <v>0.10096064814814815</v>
      </c>
      <c r="G1146" s="21" t="s">
        <v>33</v>
      </c>
      <c r="H1146" s="149"/>
      <c r="I1146" s="25"/>
      <c r="J1146" s="26"/>
      <c r="K1146" s="21"/>
      <c r="L1146" s="27">
        <v>46210.0</v>
      </c>
      <c r="M1146" s="28">
        <v>0.2569444444444444</v>
      </c>
      <c r="N1146" s="29" t="s">
        <v>34</v>
      </c>
      <c r="O1146" s="29" t="s">
        <v>35</v>
      </c>
      <c r="P1146" s="34" t="s">
        <v>53</v>
      </c>
      <c r="Q1146" s="34" t="s">
        <v>1254</v>
      </c>
      <c r="R1146" s="35">
        <v>46210.0</v>
      </c>
      <c r="S1146" s="32" t="s">
        <v>29</v>
      </c>
      <c r="T1146" s="33"/>
      <c r="U1146" s="33"/>
    </row>
    <row r="1147" ht="15.75" customHeight="1">
      <c r="A1147" s="20">
        <v>46209.0</v>
      </c>
      <c r="B1147" s="20">
        <v>46209.0</v>
      </c>
      <c r="C1147" s="20" t="s">
        <v>25</v>
      </c>
      <c r="D1147" s="21" t="s">
        <v>31</v>
      </c>
      <c r="E1147" s="21" t="s">
        <v>30</v>
      </c>
      <c r="F1147" s="22">
        <v>0.006273148148148148</v>
      </c>
      <c r="G1147" s="21" t="s">
        <v>33</v>
      </c>
      <c r="H1147" s="149"/>
      <c r="I1147" s="25"/>
      <c r="J1147" s="26"/>
      <c r="K1147" s="21"/>
      <c r="L1147" s="27">
        <v>46209.0</v>
      </c>
      <c r="M1147" s="28">
        <v>0.013888888888888888</v>
      </c>
      <c r="N1147" s="29" t="s">
        <v>31</v>
      </c>
      <c r="O1147" s="29" t="s">
        <v>35</v>
      </c>
      <c r="P1147" s="34" t="s">
        <v>53</v>
      </c>
      <c r="Q1147" s="34" t="s">
        <v>1255</v>
      </c>
      <c r="R1147" s="35">
        <v>46210.0</v>
      </c>
      <c r="S1147" s="32" t="s">
        <v>29</v>
      </c>
      <c r="T1147" s="33"/>
      <c r="U1147" s="33"/>
    </row>
    <row r="1148" ht="15.75" customHeight="1">
      <c r="A1148" s="20">
        <v>46209.0</v>
      </c>
      <c r="B1148" s="20">
        <v>46209.0</v>
      </c>
      <c r="C1148" s="20" t="s">
        <v>25</v>
      </c>
      <c r="D1148" s="21" t="s">
        <v>34</v>
      </c>
      <c r="E1148" s="21" t="s">
        <v>32</v>
      </c>
      <c r="F1148" s="22">
        <v>0.04407407407407407</v>
      </c>
      <c r="G1148" s="21" t="s">
        <v>33</v>
      </c>
      <c r="H1148" s="149"/>
      <c r="I1148" s="25"/>
      <c r="J1148" s="26"/>
      <c r="K1148" s="21"/>
      <c r="L1148" s="27">
        <v>46210.0</v>
      </c>
      <c r="M1148" s="28">
        <v>0.10416666666666667</v>
      </c>
      <c r="N1148" s="29" t="s">
        <v>59</v>
      </c>
      <c r="O1148" s="29" t="s">
        <v>35</v>
      </c>
      <c r="P1148" s="34" t="s">
        <v>53</v>
      </c>
      <c r="Q1148" s="34" t="s">
        <v>1256</v>
      </c>
      <c r="R1148" s="35">
        <v>46210.0</v>
      </c>
      <c r="S1148" s="32" t="s">
        <v>29</v>
      </c>
      <c r="T1148" s="33"/>
      <c r="U1148" s="33"/>
    </row>
    <row r="1149" ht="15.75" customHeight="1">
      <c r="A1149" s="20">
        <v>46209.0</v>
      </c>
      <c r="B1149" s="20">
        <v>46209.0</v>
      </c>
      <c r="C1149" s="20"/>
      <c r="D1149" s="21"/>
      <c r="E1149" s="21" t="s">
        <v>38</v>
      </c>
      <c r="F1149" s="22"/>
      <c r="G1149" s="23" t="s">
        <v>27</v>
      </c>
      <c r="H1149" s="149"/>
      <c r="I1149" s="25"/>
      <c r="J1149" s="26"/>
      <c r="K1149" s="21"/>
      <c r="L1149" s="27"/>
      <c r="M1149" s="28"/>
      <c r="N1149" s="29"/>
      <c r="O1149" s="29"/>
      <c r="P1149" s="30" t="s">
        <v>28</v>
      </c>
      <c r="Q1149" s="30" t="s">
        <v>28</v>
      </c>
      <c r="R1149" s="31" t="s">
        <v>28</v>
      </c>
      <c r="S1149" s="32" t="s">
        <v>29</v>
      </c>
      <c r="T1149" s="33"/>
      <c r="U1149" s="33"/>
    </row>
    <row r="1150" ht="15.75" customHeight="1">
      <c r="A1150" s="20">
        <v>46209.0</v>
      </c>
      <c r="B1150" s="20">
        <v>46209.0</v>
      </c>
      <c r="C1150" s="20" t="s">
        <v>25</v>
      </c>
      <c r="D1150" s="21" t="s">
        <v>39</v>
      </c>
      <c r="E1150" s="21" t="s">
        <v>40</v>
      </c>
      <c r="F1150" s="22">
        <v>0.019710648148148147</v>
      </c>
      <c r="G1150" s="21" t="s">
        <v>33</v>
      </c>
      <c r="H1150" s="149" t="s">
        <v>1257</v>
      </c>
      <c r="I1150" s="25" t="s">
        <v>46</v>
      </c>
      <c r="J1150" s="26">
        <v>46209.0</v>
      </c>
      <c r="K1150" s="21"/>
      <c r="L1150" s="27">
        <v>46210.0</v>
      </c>
      <c r="M1150" s="28">
        <v>0.041666666666666664</v>
      </c>
      <c r="N1150" s="29" t="s">
        <v>31</v>
      </c>
      <c r="O1150" s="29" t="s">
        <v>35</v>
      </c>
      <c r="P1150" s="34" t="s">
        <v>53</v>
      </c>
      <c r="Q1150" s="34" t="s">
        <v>1258</v>
      </c>
      <c r="R1150" s="35">
        <v>46210.0</v>
      </c>
      <c r="S1150" s="32" t="s">
        <v>29</v>
      </c>
      <c r="T1150" s="33"/>
      <c r="U1150" s="33"/>
    </row>
    <row r="1151" ht="15.75" customHeight="1">
      <c r="A1151" s="20">
        <v>46209.0</v>
      </c>
      <c r="B1151" s="20">
        <v>46209.0</v>
      </c>
      <c r="C1151" s="20"/>
      <c r="D1151" s="21"/>
      <c r="E1151" s="21" t="s">
        <v>43</v>
      </c>
      <c r="F1151" s="22"/>
      <c r="G1151" s="21" t="s">
        <v>27</v>
      </c>
      <c r="H1151" s="149"/>
      <c r="I1151" s="25"/>
      <c r="J1151" s="26"/>
      <c r="K1151" s="21"/>
      <c r="L1151" s="27"/>
      <c r="M1151" s="28"/>
      <c r="N1151" s="29"/>
      <c r="O1151" s="29"/>
      <c r="P1151" s="30" t="s">
        <v>28</v>
      </c>
      <c r="Q1151" s="30" t="s">
        <v>28</v>
      </c>
      <c r="R1151" s="31" t="s">
        <v>28</v>
      </c>
      <c r="S1151" s="32" t="s">
        <v>29</v>
      </c>
      <c r="T1151" s="33"/>
      <c r="U1151" s="33"/>
    </row>
    <row r="1152" ht="15.75" customHeight="1">
      <c r="A1152" s="20">
        <v>46210.0</v>
      </c>
      <c r="B1152" s="20">
        <v>46210.0</v>
      </c>
      <c r="C1152" s="20" t="s">
        <v>25</v>
      </c>
      <c r="D1152" s="21" t="s">
        <v>49</v>
      </c>
      <c r="E1152" s="21" t="s">
        <v>26</v>
      </c>
      <c r="F1152" s="22">
        <v>0.10069444444444445</v>
      </c>
      <c r="G1152" s="21" t="s">
        <v>33</v>
      </c>
      <c r="H1152" s="149"/>
      <c r="I1152" s="25"/>
      <c r="J1152" s="26"/>
      <c r="K1152" s="21"/>
      <c r="L1152" s="27">
        <v>46211.0</v>
      </c>
      <c r="M1152" s="28">
        <v>0.19791666666666666</v>
      </c>
      <c r="N1152" s="29" t="s">
        <v>59</v>
      </c>
      <c r="O1152" s="29" t="s">
        <v>35</v>
      </c>
      <c r="P1152" s="34" t="s">
        <v>53</v>
      </c>
      <c r="Q1152" s="34" t="s">
        <v>1259</v>
      </c>
      <c r="R1152" s="35">
        <v>46211.0</v>
      </c>
      <c r="S1152" s="32" t="s">
        <v>29</v>
      </c>
      <c r="T1152" s="33"/>
      <c r="U1152" s="33"/>
    </row>
    <row r="1153" ht="15.75" customHeight="1">
      <c r="A1153" s="20">
        <v>46210.0</v>
      </c>
      <c r="B1153" s="20">
        <v>46210.0</v>
      </c>
      <c r="C1153" s="20" t="s">
        <v>25</v>
      </c>
      <c r="D1153" s="21" t="s">
        <v>34</v>
      </c>
      <c r="E1153" s="21" t="s">
        <v>30</v>
      </c>
      <c r="F1153" s="22">
        <v>0.004270833333333333</v>
      </c>
      <c r="G1153" s="21" t="s">
        <v>33</v>
      </c>
      <c r="H1153" s="149"/>
      <c r="I1153" s="25"/>
      <c r="J1153" s="26"/>
      <c r="K1153" s="21"/>
      <c r="L1153" s="27">
        <v>46210.0</v>
      </c>
      <c r="M1153" s="28">
        <v>0.010416666666666666</v>
      </c>
      <c r="N1153" s="29" t="s">
        <v>34</v>
      </c>
      <c r="O1153" s="29" t="s">
        <v>35</v>
      </c>
      <c r="P1153" s="34" t="s">
        <v>53</v>
      </c>
      <c r="Q1153" s="34" t="s">
        <v>1260</v>
      </c>
      <c r="R1153" s="35">
        <v>46210.0</v>
      </c>
      <c r="S1153" s="32" t="s">
        <v>29</v>
      </c>
      <c r="T1153" s="33"/>
      <c r="U1153" s="33"/>
    </row>
    <row r="1154" ht="15.75" customHeight="1">
      <c r="A1154" s="20">
        <v>46210.0</v>
      </c>
      <c r="B1154" s="20">
        <v>46210.0</v>
      </c>
      <c r="C1154" s="20" t="s">
        <v>25</v>
      </c>
      <c r="D1154" s="21" t="s">
        <v>69</v>
      </c>
      <c r="E1154" s="21" t="s">
        <v>32</v>
      </c>
      <c r="F1154" s="22">
        <v>0.02008101851851852</v>
      </c>
      <c r="G1154" s="21" t="s">
        <v>33</v>
      </c>
      <c r="H1154" s="149"/>
      <c r="I1154" s="25"/>
      <c r="J1154" s="26"/>
      <c r="K1154" s="21"/>
      <c r="L1154" s="27">
        <v>46211.0</v>
      </c>
      <c r="M1154" s="28">
        <v>0.041666666666666664</v>
      </c>
      <c r="N1154" s="29" t="s">
        <v>31</v>
      </c>
      <c r="O1154" s="29" t="s">
        <v>35</v>
      </c>
      <c r="P1154" s="34" t="s">
        <v>53</v>
      </c>
      <c r="Q1154" s="34" t="s">
        <v>1261</v>
      </c>
      <c r="R1154" s="35">
        <v>46211.0</v>
      </c>
      <c r="S1154" s="32" t="s">
        <v>29</v>
      </c>
      <c r="T1154" s="33"/>
      <c r="U1154" s="33"/>
    </row>
    <row r="1155" ht="15.75" customHeight="1">
      <c r="A1155" s="20">
        <v>46210.0</v>
      </c>
      <c r="B1155" s="20">
        <v>46210.0</v>
      </c>
      <c r="C1155" s="20"/>
      <c r="D1155" s="21"/>
      <c r="E1155" s="21" t="s">
        <v>38</v>
      </c>
      <c r="F1155" s="22"/>
      <c r="G1155" s="23" t="s">
        <v>27</v>
      </c>
      <c r="H1155" s="149"/>
      <c r="I1155" s="25"/>
      <c r="J1155" s="26"/>
      <c r="K1155" s="21"/>
      <c r="L1155" s="27"/>
      <c r="M1155" s="28"/>
      <c r="N1155" s="29"/>
      <c r="O1155" s="29"/>
      <c r="P1155" s="30" t="s">
        <v>28</v>
      </c>
      <c r="Q1155" s="30" t="s">
        <v>28</v>
      </c>
      <c r="R1155" s="31" t="s">
        <v>28</v>
      </c>
      <c r="S1155" s="32" t="s">
        <v>29</v>
      </c>
      <c r="T1155" s="33"/>
      <c r="U1155" s="33"/>
    </row>
    <row r="1156" ht="15.75" customHeight="1">
      <c r="A1156" s="20">
        <v>46210.0</v>
      </c>
      <c r="B1156" s="20">
        <v>46210.0</v>
      </c>
      <c r="C1156" s="20"/>
      <c r="D1156" s="21"/>
      <c r="E1156" s="21" t="s">
        <v>40</v>
      </c>
      <c r="F1156" s="22"/>
      <c r="G1156" s="23" t="s">
        <v>27</v>
      </c>
      <c r="H1156" s="149"/>
      <c r="I1156" s="25"/>
      <c r="J1156" s="26"/>
      <c r="K1156" s="21"/>
      <c r="L1156" s="27"/>
      <c r="M1156" s="28"/>
      <c r="N1156" s="29"/>
      <c r="O1156" s="29"/>
      <c r="P1156" s="30" t="s">
        <v>28</v>
      </c>
      <c r="Q1156" s="30" t="s">
        <v>28</v>
      </c>
      <c r="R1156" s="31" t="s">
        <v>28</v>
      </c>
      <c r="S1156" s="32" t="s">
        <v>29</v>
      </c>
      <c r="T1156" s="33"/>
      <c r="U1156" s="33"/>
    </row>
    <row r="1157" ht="15.75" customHeight="1">
      <c r="A1157" s="20">
        <v>46210.0</v>
      </c>
      <c r="B1157" s="20">
        <v>46210.0</v>
      </c>
      <c r="C1157" s="20"/>
      <c r="D1157" s="21"/>
      <c r="E1157" s="21" t="s">
        <v>43</v>
      </c>
      <c r="F1157" s="22"/>
      <c r="G1157" s="21" t="s">
        <v>27</v>
      </c>
      <c r="H1157" s="149"/>
      <c r="I1157" s="25"/>
      <c r="J1157" s="26"/>
      <c r="K1157" s="21"/>
      <c r="L1157" s="27"/>
      <c r="M1157" s="28"/>
      <c r="N1157" s="29"/>
      <c r="O1157" s="29"/>
      <c r="P1157" s="30" t="s">
        <v>28</v>
      </c>
      <c r="Q1157" s="30" t="s">
        <v>28</v>
      </c>
      <c r="R1157" s="31" t="s">
        <v>28</v>
      </c>
      <c r="S1157" s="32" t="s">
        <v>29</v>
      </c>
      <c r="T1157" s="33"/>
      <c r="U1157" s="33"/>
    </row>
    <row r="1158" ht="15.75" customHeight="1">
      <c r="A1158" s="20">
        <v>46211.0</v>
      </c>
      <c r="B1158" s="20">
        <v>46211.0</v>
      </c>
      <c r="C1158" s="20" t="s">
        <v>25</v>
      </c>
      <c r="D1158" s="21" t="s">
        <v>49</v>
      </c>
      <c r="E1158" s="21" t="s">
        <v>26</v>
      </c>
      <c r="F1158" s="22">
        <v>0.10050925925925926</v>
      </c>
      <c r="G1158" s="21" t="s">
        <v>33</v>
      </c>
      <c r="H1158" s="149"/>
      <c r="I1158" s="25"/>
      <c r="J1158" s="26"/>
      <c r="K1158" s="21"/>
      <c r="L1158" s="27">
        <v>46212.0</v>
      </c>
      <c r="M1158" s="28">
        <v>0.2013888888888889</v>
      </c>
      <c r="N1158" s="29" t="s">
        <v>39</v>
      </c>
      <c r="O1158" s="29" t="s">
        <v>35</v>
      </c>
      <c r="P1158" s="34" t="s">
        <v>53</v>
      </c>
      <c r="Q1158" s="34" t="s">
        <v>1262</v>
      </c>
      <c r="R1158" s="35">
        <v>46211.0</v>
      </c>
      <c r="S1158" s="32" t="s">
        <v>29</v>
      </c>
      <c r="T1158" s="33"/>
      <c r="U1158" s="33"/>
    </row>
    <row r="1159" ht="15.75" customHeight="1">
      <c r="A1159" s="20">
        <v>46211.0</v>
      </c>
      <c r="B1159" s="20">
        <v>46211.0</v>
      </c>
      <c r="C1159" s="20" t="s">
        <v>25</v>
      </c>
      <c r="D1159" s="21" t="s">
        <v>59</v>
      </c>
      <c r="E1159" s="21" t="s">
        <v>30</v>
      </c>
      <c r="F1159" s="22">
        <v>0.0032291666666666666</v>
      </c>
      <c r="G1159" s="21" t="s">
        <v>33</v>
      </c>
      <c r="H1159" s="149"/>
      <c r="I1159" s="25"/>
      <c r="J1159" s="26"/>
      <c r="K1159" s="21"/>
      <c r="L1159" s="27">
        <v>46211.0</v>
      </c>
      <c r="M1159" s="28">
        <v>0.006944444444444444</v>
      </c>
      <c r="N1159" s="29" t="s">
        <v>59</v>
      </c>
      <c r="O1159" s="29" t="s">
        <v>35</v>
      </c>
      <c r="P1159" s="34" t="s">
        <v>53</v>
      </c>
      <c r="Q1159" s="34" t="s">
        <v>1263</v>
      </c>
      <c r="R1159" s="35">
        <v>46211.0</v>
      </c>
      <c r="S1159" s="32" t="s">
        <v>29</v>
      </c>
      <c r="T1159" s="33"/>
      <c r="U1159" s="33"/>
    </row>
    <row r="1160" ht="15.75" customHeight="1">
      <c r="A1160" s="20">
        <v>46211.0</v>
      </c>
      <c r="B1160" s="20">
        <v>46211.0</v>
      </c>
      <c r="C1160" s="20" t="s">
        <v>25</v>
      </c>
      <c r="D1160" s="21" t="s">
        <v>69</v>
      </c>
      <c r="E1160" s="21" t="s">
        <v>32</v>
      </c>
      <c r="F1160" s="22">
        <v>0.048726851851851855</v>
      </c>
      <c r="G1160" s="21" t="s">
        <v>33</v>
      </c>
      <c r="H1160" s="149"/>
      <c r="I1160" s="25"/>
      <c r="J1160" s="26"/>
      <c r="K1160" s="21"/>
      <c r="L1160" s="27"/>
      <c r="M1160" s="28"/>
      <c r="N1160" s="29" t="s">
        <v>59</v>
      </c>
      <c r="O1160" s="29"/>
      <c r="P1160" s="34" t="s">
        <v>53</v>
      </c>
      <c r="Q1160" s="34" t="s">
        <v>1264</v>
      </c>
      <c r="R1160" s="35">
        <v>46212.0</v>
      </c>
      <c r="S1160" s="32" t="s">
        <v>29</v>
      </c>
      <c r="T1160" s="33"/>
      <c r="U1160" s="33"/>
    </row>
    <row r="1161" ht="15.75" customHeight="1">
      <c r="A1161" s="20">
        <v>46211.0</v>
      </c>
      <c r="B1161" s="20">
        <v>46211.0</v>
      </c>
      <c r="C1161" s="20" t="s">
        <v>25</v>
      </c>
      <c r="D1161" s="21" t="s">
        <v>34</v>
      </c>
      <c r="E1161" s="21" t="s">
        <v>38</v>
      </c>
      <c r="F1161" s="22">
        <v>0.00837962962962963</v>
      </c>
      <c r="G1161" s="37" t="s">
        <v>33</v>
      </c>
      <c r="H1161" s="149"/>
      <c r="I1161" s="25"/>
      <c r="J1161" s="26"/>
      <c r="K1161" s="21"/>
      <c r="L1161" s="27">
        <v>46211.0</v>
      </c>
      <c r="M1161" s="28">
        <v>0.034722222222222224</v>
      </c>
      <c r="N1161" s="29" t="s">
        <v>69</v>
      </c>
      <c r="O1161" s="29" t="s">
        <v>35</v>
      </c>
      <c r="P1161" s="34" t="s">
        <v>53</v>
      </c>
      <c r="Q1161" s="34">
        <v>1.2068815E7</v>
      </c>
      <c r="R1161" s="35">
        <v>46212.0</v>
      </c>
      <c r="S1161" s="32" t="s">
        <v>29</v>
      </c>
      <c r="T1161" s="33"/>
      <c r="U1161" s="33"/>
    </row>
    <row r="1162" ht="15.75" customHeight="1">
      <c r="A1162" s="20">
        <v>46211.0</v>
      </c>
      <c r="B1162" s="20">
        <v>46211.0</v>
      </c>
      <c r="C1162" s="20" t="s">
        <v>25</v>
      </c>
      <c r="D1162" s="21" t="s">
        <v>34</v>
      </c>
      <c r="E1162" s="21" t="s">
        <v>40</v>
      </c>
      <c r="F1162" s="22">
        <v>0.01853009259259259</v>
      </c>
      <c r="G1162" s="21" t="s">
        <v>33</v>
      </c>
      <c r="H1162" s="149" t="s">
        <v>1265</v>
      </c>
      <c r="I1162" s="25" t="s">
        <v>46</v>
      </c>
      <c r="J1162" s="26">
        <v>46211.82916666667</v>
      </c>
      <c r="K1162" s="21" t="s">
        <v>1266</v>
      </c>
      <c r="L1162" s="27">
        <v>46212.0</v>
      </c>
      <c r="M1162" s="28">
        <v>0.041666666666666664</v>
      </c>
      <c r="N1162" s="29" t="s">
        <v>31</v>
      </c>
      <c r="O1162" s="29" t="s">
        <v>35</v>
      </c>
      <c r="P1162" s="34" t="s">
        <v>53</v>
      </c>
      <c r="Q1162" s="34" t="s">
        <v>1267</v>
      </c>
      <c r="R1162" s="35">
        <v>46212.0</v>
      </c>
      <c r="S1162" s="32" t="s">
        <v>29</v>
      </c>
      <c r="T1162" s="33"/>
      <c r="U1162" s="33"/>
    </row>
    <row r="1163" ht="15.75" customHeight="1">
      <c r="A1163" s="20">
        <v>46211.0</v>
      </c>
      <c r="B1163" s="20">
        <v>46211.0</v>
      </c>
      <c r="C1163" s="20"/>
      <c r="D1163" s="21"/>
      <c r="E1163" s="21" t="s">
        <v>43</v>
      </c>
      <c r="F1163" s="22"/>
      <c r="G1163" s="21" t="s">
        <v>27</v>
      </c>
      <c r="H1163" s="149"/>
      <c r="I1163" s="25"/>
      <c r="J1163" s="26"/>
      <c r="K1163" s="21"/>
      <c r="L1163" s="27"/>
      <c r="M1163" s="28"/>
      <c r="N1163" s="29"/>
      <c r="O1163" s="29"/>
      <c r="P1163" s="30" t="s">
        <v>28</v>
      </c>
      <c r="Q1163" s="30" t="s">
        <v>28</v>
      </c>
      <c r="R1163" s="31" t="s">
        <v>28</v>
      </c>
      <c r="S1163" s="32" t="s">
        <v>29</v>
      </c>
      <c r="T1163" s="33"/>
      <c r="U1163" s="33"/>
    </row>
    <row r="1164" ht="15.75" customHeight="1">
      <c r="A1164" s="20">
        <v>46212.0</v>
      </c>
      <c r="B1164" s="20">
        <v>46212.0</v>
      </c>
      <c r="C1164" s="20" t="s">
        <v>25</v>
      </c>
      <c r="D1164" s="21" t="s">
        <v>49</v>
      </c>
      <c r="E1164" s="21" t="s">
        <v>26</v>
      </c>
      <c r="F1164" s="22">
        <v>0.10015046296296297</v>
      </c>
      <c r="G1164" s="21" t="s">
        <v>33</v>
      </c>
      <c r="H1164" s="149"/>
      <c r="I1164" s="25"/>
      <c r="J1164" s="26"/>
      <c r="K1164" s="21"/>
      <c r="L1164" s="27">
        <v>46213.0</v>
      </c>
      <c r="M1164" s="28">
        <v>0.20833333333333334</v>
      </c>
      <c r="N1164" s="29" t="s">
        <v>57</v>
      </c>
      <c r="O1164" s="29" t="s">
        <v>35</v>
      </c>
      <c r="P1164" s="34" t="s">
        <v>53</v>
      </c>
      <c r="Q1164" s="34" t="s">
        <v>1268</v>
      </c>
      <c r="R1164" s="35">
        <v>46213.0</v>
      </c>
      <c r="S1164" s="32" t="s">
        <v>29</v>
      </c>
      <c r="T1164" s="33"/>
      <c r="U1164" s="33"/>
    </row>
    <row r="1165" ht="15.75" customHeight="1">
      <c r="A1165" s="20">
        <v>46212.0</v>
      </c>
      <c r="B1165" s="20">
        <v>46212.0</v>
      </c>
      <c r="C1165" s="20" t="s">
        <v>25</v>
      </c>
      <c r="D1165" s="21" t="s">
        <v>34</v>
      </c>
      <c r="E1165" s="21" t="s">
        <v>30</v>
      </c>
      <c r="F1165" s="22">
        <v>0.0029745370370370373</v>
      </c>
      <c r="G1165" s="21" t="s">
        <v>33</v>
      </c>
      <c r="H1165" s="149"/>
      <c r="I1165" s="25"/>
      <c r="J1165" s="26"/>
      <c r="K1165" s="21"/>
      <c r="L1165" s="27">
        <v>46212.0</v>
      </c>
      <c r="M1165" s="28">
        <v>0.010416666666666666</v>
      </c>
      <c r="N1165" s="29" t="s">
        <v>39</v>
      </c>
      <c r="O1165" s="29" t="s">
        <v>35</v>
      </c>
      <c r="P1165" s="34" t="s">
        <v>53</v>
      </c>
      <c r="Q1165" s="34" t="s">
        <v>1269</v>
      </c>
      <c r="R1165" s="35">
        <v>46213.0</v>
      </c>
      <c r="S1165" s="32" t="s">
        <v>29</v>
      </c>
      <c r="T1165" s="33"/>
      <c r="U1165" s="33"/>
    </row>
    <row r="1166" ht="15.75" customHeight="1">
      <c r="A1166" s="20">
        <v>46212.0</v>
      </c>
      <c r="B1166" s="20">
        <v>46212.0</v>
      </c>
      <c r="C1166" s="20" t="s">
        <v>25</v>
      </c>
      <c r="D1166" s="21" t="s">
        <v>69</v>
      </c>
      <c r="E1166" s="21" t="s">
        <v>32</v>
      </c>
      <c r="F1166" s="22">
        <v>0.04800925925925926</v>
      </c>
      <c r="G1166" s="21" t="s">
        <v>33</v>
      </c>
      <c r="H1166" s="149"/>
      <c r="I1166" s="25"/>
      <c r="J1166" s="26"/>
      <c r="K1166" s="21"/>
      <c r="L1166" s="27">
        <v>46213.0</v>
      </c>
      <c r="M1166" s="28">
        <v>0.11458333333333333</v>
      </c>
      <c r="N1166" s="29" t="s">
        <v>59</v>
      </c>
      <c r="O1166" s="29" t="s">
        <v>35</v>
      </c>
      <c r="P1166" s="34" t="s">
        <v>53</v>
      </c>
      <c r="Q1166" s="34" t="s">
        <v>1270</v>
      </c>
      <c r="R1166" s="35">
        <v>46213.0</v>
      </c>
      <c r="S1166" s="32" t="s">
        <v>29</v>
      </c>
      <c r="T1166" s="33"/>
      <c r="U1166" s="33"/>
    </row>
    <row r="1167" ht="15.75" customHeight="1">
      <c r="A1167" s="20">
        <v>46212.0</v>
      </c>
      <c r="B1167" s="20">
        <v>46212.0</v>
      </c>
      <c r="C1167" s="20" t="s">
        <v>25</v>
      </c>
      <c r="D1167" s="21" t="s">
        <v>34</v>
      </c>
      <c r="E1167" s="21" t="s">
        <v>38</v>
      </c>
      <c r="F1167" s="22">
        <v>0.005706018518518518</v>
      </c>
      <c r="G1167" s="21" t="s">
        <v>33</v>
      </c>
      <c r="H1167" s="149"/>
      <c r="I1167" s="25"/>
      <c r="J1167" s="26"/>
      <c r="K1167" s="21"/>
      <c r="L1167" s="27">
        <v>46213.0</v>
      </c>
      <c r="M1167" s="28">
        <v>0.017361111111111112</v>
      </c>
      <c r="N1167" s="29" t="s">
        <v>69</v>
      </c>
      <c r="O1167" s="29" t="s">
        <v>35</v>
      </c>
      <c r="P1167" s="34" t="s">
        <v>53</v>
      </c>
      <c r="Q1167" s="34">
        <v>1.2068816E7</v>
      </c>
      <c r="R1167" s="35">
        <v>46213.0</v>
      </c>
      <c r="S1167" s="32" t="s">
        <v>29</v>
      </c>
      <c r="T1167" s="33"/>
      <c r="U1167" s="33"/>
    </row>
    <row r="1168" ht="15.75" customHeight="1">
      <c r="A1168" s="20">
        <v>46212.0</v>
      </c>
      <c r="B1168" s="20">
        <v>46212.0</v>
      </c>
      <c r="C1168" s="20" t="s">
        <v>25</v>
      </c>
      <c r="D1168" s="21" t="s">
        <v>34</v>
      </c>
      <c r="E1168" s="21" t="s">
        <v>40</v>
      </c>
      <c r="F1168" s="22">
        <v>0.018020833333333333</v>
      </c>
      <c r="G1168" s="21" t="s">
        <v>33</v>
      </c>
      <c r="H1168" s="149" t="s">
        <v>1271</v>
      </c>
      <c r="I1168" s="25" t="s">
        <v>46</v>
      </c>
      <c r="J1168" s="26">
        <v>46212.84107638889</v>
      </c>
      <c r="K1168" s="21" t="s">
        <v>1272</v>
      </c>
      <c r="L1168" s="27">
        <v>46213.0</v>
      </c>
      <c r="M1168" s="28">
        <v>0.041666666666666664</v>
      </c>
      <c r="N1168" s="29" t="s">
        <v>31</v>
      </c>
      <c r="O1168" s="29" t="s">
        <v>35</v>
      </c>
      <c r="P1168" s="34" t="s">
        <v>53</v>
      </c>
      <c r="Q1168" s="34" t="s">
        <v>1273</v>
      </c>
      <c r="R1168" s="35">
        <v>46214.0</v>
      </c>
      <c r="S1168" s="32" t="s">
        <v>29</v>
      </c>
      <c r="T1168" s="33"/>
      <c r="U1168" s="33"/>
    </row>
    <row r="1169" ht="15.75" customHeight="1">
      <c r="A1169" s="20">
        <v>46212.0</v>
      </c>
      <c r="B1169" s="20">
        <v>46212.0</v>
      </c>
      <c r="C1169" s="20"/>
      <c r="D1169" s="21"/>
      <c r="E1169" s="21" t="s">
        <v>43</v>
      </c>
      <c r="F1169" s="22"/>
      <c r="G1169" s="21" t="s">
        <v>27</v>
      </c>
      <c r="H1169" s="149"/>
      <c r="I1169" s="25"/>
      <c r="J1169" s="26"/>
      <c r="K1169" s="21"/>
      <c r="L1169" s="27"/>
      <c r="M1169" s="28"/>
      <c r="N1169" s="29"/>
      <c r="O1169" s="29"/>
      <c r="P1169" s="30" t="s">
        <v>28</v>
      </c>
      <c r="Q1169" s="30" t="s">
        <v>28</v>
      </c>
      <c r="R1169" s="31" t="s">
        <v>28</v>
      </c>
      <c r="S1169" s="32" t="s">
        <v>29</v>
      </c>
      <c r="T1169" s="33"/>
      <c r="U1169" s="33"/>
    </row>
    <row r="1170" ht="15.75" customHeight="1">
      <c r="A1170" s="20">
        <v>46213.0</v>
      </c>
      <c r="B1170" s="20">
        <v>46213.0</v>
      </c>
      <c r="C1170" s="20" t="s">
        <v>25</v>
      </c>
      <c r="D1170" s="21" t="s">
        <v>49</v>
      </c>
      <c r="E1170" s="21" t="s">
        <v>26</v>
      </c>
      <c r="F1170" s="22">
        <v>0.10040509259259259</v>
      </c>
      <c r="G1170" s="21" t="s">
        <v>33</v>
      </c>
      <c r="H1170" s="149"/>
      <c r="I1170" s="25"/>
      <c r="J1170" s="26"/>
      <c r="K1170" s="21"/>
      <c r="L1170" s="27">
        <v>46216.0</v>
      </c>
      <c r="M1170" s="28">
        <v>0.1875</v>
      </c>
      <c r="N1170" s="29" t="s">
        <v>31</v>
      </c>
      <c r="O1170" s="29" t="s">
        <v>35</v>
      </c>
      <c r="P1170" s="34" t="s">
        <v>53</v>
      </c>
      <c r="Q1170" s="34" t="s">
        <v>1274</v>
      </c>
      <c r="R1170" s="35">
        <v>46214.0</v>
      </c>
      <c r="S1170" s="32" t="s">
        <v>29</v>
      </c>
      <c r="T1170" s="33"/>
      <c r="U1170" s="33"/>
    </row>
    <row r="1171" ht="15.75" customHeight="1">
      <c r="A1171" s="20">
        <v>46213.0</v>
      </c>
      <c r="B1171" s="20">
        <v>46213.0</v>
      </c>
      <c r="C1171" s="20" t="s">
        <v>25</v>
      </c>
      <c r="D1171" s="21" t="s">
        <v>57</v>
      </c>
      <c r="E1171" s="21" t="s">
        <v>1275</v>
      </c>
      <c r="F1171" s="22">
        <v>0.008287037037037037</v>
      </c>
      <c r="G1171" s="21" t="s">
        <v>33</v>
      </c>
      <c r="H1171" s="149"/>
      <c r="I1171" s="25"/>
      <c r="J1171" s="26"/>
      <c r="K1171" s="21"/>
      <c r="L1171" s="27">
        <v>46213.0</v>
      </c>
      <c r="M1171" s="28">
        <v>0.020833333333333332</v>
      </c>
      <c r="N1171" s="29" t="s">
        <v>57</v>
      </c>
      <c r="O1171" s="29" t="s">
        <v>35</v>
      </c>
      <c r="P1171" s="34" t="s">
        <v>53</v>
      </c>
      <c r="Q1171" s="34" t="s">
        <v>1276</v>
      </c>
      <c r="R1171" s="35">
        <v>46214.0</v>
      </c>
      <c r="S1171" s="32" t="s">
        <v>29</v>
      </c>
      <c r="T1171" s="33"/>
      <c r="U1171" s="33"/>
    </row>
    <row r="1172" ht="15.75" customHeight="1">
      <c r="A1172" s="20">
        <v>46213.0</v>
      </c>
      <c r="B1172" s="20">
        <v>46213.0</v>
      </c>
      <c r="C1172" s="20" t="s">
        <v>25</v>
      </c>
      <c r="D1172" s="21" t="s">
        <v>69</v>
      </c>
      <c r="E1172" s="21" t="s">
        <v>32</v>
      </c>
      <c r="F1172" s="22">
        <v>0.049386574074074076</v>
      </c>
      <c r="G1172" s="21" t="s">
        <v>33</v>
      </c>
      <c r="H1172" s="149"/>
      <c r="I1172" s="25"/>
      <c r="J1172" s="26"/>
      <c r="K1172" s="21"/>
      <c r="L1172" s="27">
        <v>46214.0</v>
      </c>
      <c r="M1172" s="28">
        <v>0.125</v>
      </c>
      <c r="N1172" s="29" t="s">
        <v>57</v>
      </c>
      <c r="O1172" s="29" t="s">
        <v>35</v>
      </c>
      <c r="P1172" s="34" t="s">
        <v>53</v>
      </c>
      <c r="Q1172" s="34" t="s">
        <v>1277</v>
      </c>
      <c r="R1172" s="35">
        <v>46214.0</v>
      </c>
      <c r="S1172" s="32" t="s">
        <v>29</v>
      </c>
      <c r="T1172" s="33"/>
      <c r="U1172" s="33"/>
    </row>
    <row r="1173" ht="15.75" customHeight="1">
      <c r="A1173" s="20">
        <v>46213.0</v>
      </c>
      <c r="B1173" s="20">
        <v>46213.0</v>
      </c>
      <c r="C1173" s="20"/>
      <c r="D1173" s="21"/>
      <c r="E1173" s="21" t="s">
        <v>38</v>
      </c>
      <c r="F1173" s="22"/>
      <c r="G1173" s="23" t="s">
        <v>27</v>
      </c>
      <c r="H1173" s="149"/>
      <c r="I1173" s="25"/>
      <c r="J1173" s="26"/>
      <c r="K1173" s="21"/>
      <c r="L1173" s="27"/>
      <c r="M1173" s="28"/>
      <c r="N1173" s="29"/>
      <c r="O1173" s="29"/>
      <c r="P1173" s="30" t="s">
        <v>28</v>
      </c>
      <c r="Q1173" s="30" t="s">
        <v>28</v>
      </c>
      <c r="R1173" s="31" t="s">
        <v>28</v>
      </c>
      <c r="S1173" s="32" t="s">
        <v>29</v>
      </c>
      <c r="T1173" s="33"/>
      <c r="U1173" s="33"/>
    </row>
    <row r="1174" ht="15.75" customHeight="1">
      <c r="A1174" s="20">
        <v>46213.0</v>
      </c>
      <c r="B1174" s="20">
        <v>46213.0</v>
      </c>
      <c r="C1174" s="20" t="s">
        <v>25</v>
      </c>
      <c r="D1174" s="21" t="s">
        <v>39</v>
      </c>
      <c r="E1174" s="21" t="s">
        <v>40</v>
      </c>
      <c r="F1174" s="22">
        <v>0.01849537037037037</v>
      </c>
      <c r="G1174" s="21" t="s">
        <v>33</v>
      </c>
      <c r="H1174" s="149" t="s">
        <v>1278</v>
      </c>
      <c r="I1174" s="25" t="s">
        <v>46</v>
      </c>
      <c r="J1174" s="26">
        <v>46214.86388888889</v>
      </c>
      <c r="K1174" s="21" t="s">
        <v>1279</v>
      </c>
      <c r="L1174" s="27">
        <v>46216.0</v>
      </c>
      <c r="M1174" s="28">
        <v>0.06388888888888888</v>
      </c>
      <c r="N1174" s="29" t="s">
        <v>49</v>
      </c>
      <c r="O1174" s="29" t="s">
        <v>35</v>
      </c>
      <c r="P1174" s="34" t="s">
        <v>53</v>
      </c>
      <c r="Q1174" s="34" t="s">
        <v>1280</v>
      </c>
      <c r="R1174" s="35">
        <v>46216.0</v>
      </c>
      <c r="S1174" s="32" t="s">
        <v>29</v>
      </c>
      <c r="T1174" s="33"/>
      <c r="U1174" s="33"/>
    </row>
    <row r="1175" ht="15.75" customHeight="1">
      <c r="A1175" s="20">
        <v>46213.0</v>
      </c>
      <c r="B1175" s="20">
        <v>46213.0</v>
      </c>
      <c r="C1175" s="20"/>
      <c r="D1175" s="21"/>
      <c r="E1175" s="21" t="s">
        <v>43</v>
      </c>
      <c r="F1175" s="22"/>
      <c r="G1175" s="23" t="s">
        <v>27</v>
      </c>
      <c r="H1175" s="149"/>
      <c r="I1175" s="25"/>
      <c r="J1175" s="26"/>
      <c r="K1175" s="21"/>
      <c r="L1175" s="27"/>
      <c r="M1175" s="28"/>
      <c r="N1175" s="29"/>
      <c r="O1175" s="29"/>
      <c r="P1175" s="30" t="s">
        <v>28</v>
      </c>
      <c r="Q1175" s="30" t="s">
        <v>28</v>
      </c>
      <c r="R1175" s="31" t="s">
        <v>28</v>
      </c>
      <c r="S1175" s="32" t="s">
        <v>29</v>
      </c>
      <c r="T1175" s="33"/>
      <c r="U1175" s="33"/>
    </row>
    <row r="1176" ht="15.75" customHeight="1">
      <c r="A1176" s="55">
        <v>46214.0</v>
      </c>
      <c r="B1176" s="55">
        <v>46214.0</v>
      </c>
      <c r="C1176" s="55" t="s">
        <v>25</v>
      </c>
      <c r="D1176" s="56" t="s">
        <v>57</v>
      </c>
      <c r="E1176" s="56" t="s">
        <v>32</v>
      </c>
      <c r="F1176" s="57">
        <v>0.04873842592592593</v>
      </c>
      <c r="G1176" s="56" t="s">
        <v>33</v>
      </c>
      <c r="H1176" s="149"/>
      <c r="I1176" s="25"/>
      <c r="J1176" s="26"/>
      <c r="K1176" s="21"/>
      <c r="L1176" s="27">
        <v>46216.0</v>
      </c>
      <c r="M1176" s="28">
        <v>0.125</v>
      </c>
      <c r="N1176" s="29" t="s">
        <v>57</v>
      </c>
      <c r="O1176" s="29" t="s">
        <v>35</v>
      </c>
      <c r="P1176" s="34" t="s">
        <v>53</v>
      </c>
      <c r="Q1176" s="34" t="s">
        <v>1281</v>
      </c>
      <c r="R1176" s="35">
        <v>46216.0</v>
      </c>
      <c r="S1176" s="32" t="s">
        <v>29</v>
      </c>
      <c r="T1176" s="33"/>
      <c r="U1176" s="33"/>
    </row>
    <row r="1177" ht="15.75" customHeight="1">
      <c r="A1177" s="55">
        <v>46214.0</v>
      </c>
      <c r="B1177" s="55">
        <v>46216.0</v>
      </c>
      <c r="C1177" s="55" t="s">
        <v>25</v>
      </c>
      <c r="D1177" s="56" t="s">
        <v>59</v>
      </c>
      <c r="E1177" s="56" t="s">
        <v>40</v>
      </c>
      <c r="F1177" s="57">
        <v>0.01611111111111111</v>
      </c>
      <c r="G1177" s="56" t="s">
        <v>33</v>
      </c>
      <c r="H1177" s="149"/>
      <c r="I1177" s="25"/>
      <c r="J1177" s="26"/>
      <c r="K1177" s="21"/>
      <c r="L1177" s="27">
        <v>46216.0</v>
      </c>
      <c r="M1177" s="28">
        <v>0.03819444444444445</v>
      </c>
      <c r="N1177" s="29" t="s">
        <v>34</v>
      </c>
      <c r="O1177" s="29" t="s">
        <v>35</v>
      </c>
      <c r="P1177" s="34" t="s">
        <v>53</v>
      </c>
      <c r="Q1177" s="34" t="s">
        <v>1282</v>
      </c>
      <c r="R1177" s="35">
        <v>46216.0</v>
      </c>
      <c r="S1177" s="32" t="s">
        <v>29</v>
      </c>
      <c r="T1177" s="33"/>
      <c r="U1177" s="33"/>
    </row>
    <row r="1178" ht="15.75" customHeight="1">
      <c r="A1178" s="55">
        <v>46214.0</v>
      </c>
      <c r="B1178" s="55">
        <v>46214.0</v>
      </c>
      <c r="C1178" s="55"/>
      <c r="D1178" s="56"/>
      <c r="E1178" s="56" t="s">
        <v>43</v>
      </c>
      <c r="F1178" s="57"/>
      <c r="G1178" s="56" t="s">
        <v>27</v>
      </c>
      <c r="H1178" s="149"/>
      <c r="I1178" s="25"/>
      <c r="J1178" s="26"/>
      <c r="K1178" s="21"/>
      <c r="L1178" s="27"/>
      <c r="M1178" s="28"/>
      <c r="N1178" s="29"/>
      <c r="O1178" s="29"/>
      <c r="P1178" s="30" t="s">
        <v>28</v>
      </c>
      <c r="Q1178" s="30" t="s">
        <v>28</v>
      </c>
      <c r="R1178" s="31" t="s">
        <v>28</v>
      </c>
      <c r="S1178" s="32" t="s">
        <v>29</v>
      </c>
      <c r="T1178" s="33"/>
      <c r="U1178" s="33"/>
    </row>
    <row r="1179" ht="15.75" customHeight="1">
      <c r="A1179" s="55">
        <v>46214.0</v>
      </c>
      <c r="B1179" s="55">
        <v>46216.0</v>
      </c>
      <c r="C1179" s="55" t="s">
        <v>25</v>
      </c>
      <c r="D1179" s="56" t="s">
        <v>59</v>
      </c>
      <c r="E1179" s="56" t="s">
        <v>61</v>
      </c>
      <c r="F1179" s="57">
        <v>0.017291666666666667</v>
      </c>
      <c r="G1179" s="56" t="s">
        <v>33</v>
      </c>
      <c r="H1179" s="149"/>
      <c r="I1179" s="25" t="s">
        <v>46</v>
      </c>
      <c r="J1179" s="26">
        <v>46214.444444444445</v>
      </c>
      <c r="K1179" s="21" t="s">
        <v>1283</v>
      </c>
      <c r="L1179" s="27">
        <v>46218.0</v>
      </c>
      <c r="M1179" s="28">
        <v>0.04861111111111111</v>
      </c>
      <c r="N1179" s="29" t="s">
        <v>31</v>
      </c>
      <c r="O1179" s="29" t="s">
        <v>35</v>
      </c>
      <c r="P1179" s="34" t="s">
        <v>36</v>
      </c>
      <c r="Q1179" s="34" t="s">
        <v>1284</v>
      </c>
      <c r="R1179" s="35">
        <v>46218.0</v>
      </c>
      <c r="S1179" s="32" t="s">
        <v>29</v>
      </c>
      <c r="T1179" s="33"/>
      <c r="U1179" s="33"/>
    </row>
    <row r="1180" ht="17.25" customHeight="1">
      <c r="A1180" s="55">
        <v>46214.0</v>
      </c>
      <c r="B1180" s="55">
        <v>46216.0</v>
      </c>
      <c r="C1180" s="55" t="s">
        <v>25</v>
      </c>
      <c r="D1180" s="56" t="s">
        <v>59</v>
      </c>
      <c r="E1180" s="56" t="s">
        <v>62</v>
      </c>
      <c r="F1180" s="57">
        <v>0.017291666666666667</v>
      </c>
      <c r="G1180" s="56" t="s">
        <v>33</v>
      </c>
      <c r="H1180" s="149"/>
      <c r="I1180" s="25" t="s">
        <v>46</v>
      </c>
      <c r="J1180" s="172">
        <v>46214.444444444445</v>
      </c>
      <c r="K1180" s="21" t="s">
        <v>1285</v>
      </c>
      <c r="L1180" s="27">
        <v>46218.0</v>
      </c>
      <c r="M1180" s="28">
        <v>0.003472222222222222</v>
      </c>
      <c r="N1180" s="29" t="s">
        <v>31</v>
      </c>
      <c r="O1180" s="29" t="s">
        <v>355</v>
      </c>
      <c r="P1180" s="34" t="s">
        <v>36</v>
      </c>
      <c r="Q1180" s="34" t="s">
        <v>1286</v>
      </c>
      <c r="R1180" s="35">
        <v>46218.0</v>
      </c>
      <c r="S1180" s="32" t="s">
        <v>29</v>
      </c>
      <c r="T1180" s="33"/>
      <c r="U1180" s="33"/>
    </row>
    <row r="1181" ht="17.25" customHeight="1">
      <c r="A1181" s="55">
        <v>46214.0</v>
      </c>
      <c r="B1181" s="55">
        <v>46217.0</v>
      </c>
      <c r="C1181" s="55" t="s">
        <v>25</v>
      </c>
      <c r="D1181" s="56" t="s">
        <v>34</v>
      </c>
      <c r="E1181" s="56" t="s">
        <v>63</v>
      </c>
      <c r="F1181" s="57">
        <v>0.02119212962962963</v>
      </c>
      <c r="G1181" s="56" t="s">
        <v>33</v>
      </c>
      <c r="H1181" s="149" t="s">
        <v>1287</v>
      </c>
      <c r="I1181" s="25" t="s">
        <v>46</v>
      </c>
      <c r="J1181" s="26">
        <v>46216.62459490741</v>
      </c>
      <c r="K1181" s="21" t="s">
        <v>1288</v>
      </c>
      <c r="L1181" s="27">
        <v>46219.0</v>
      </c>
      <c r="M1181" s="28">
        <v>0.06944444444444445</v>
      </c>
      <c r="N1181" s="29" t="s">
        <v>59</v>
      </c>
      <c r="O1181" s="29" t="s">
        <v>35</v>
      </c>
      <c r="P1181" s="34" t="s">
        <v>36</v>
      </c>
      <c r="Q1181" s="34" t="s">
        <v>1289</v>
      </c>
      <c r="R1181" s="35">
        <v>46218.0</v>
      </c>
      <c r="S1181" s="32" t="s">
        <v>29</v>
      </c>
      <c r="T1181" s="33"/>
      <c r="U1181" s="33"/>
    </row>
    <row r="1182" ht="17.25" customHeight="1">
      <c r="A1182" s="55">
        <v>46214.0</v>
      </c>
      <c r="B1182" s="55">
        <v>46216.0</v>
      </c>
      <c r="C1182" s="55" t="s">
        <v>25</v>
      </c>
      <c r="D1182" s="56" t="s">
        <v>59</v>
      </c>
      <c r="E1182" s="56" t="s">
        <v>1218</v>
      </c>
      <c r="F1182" s="57">
        <v>0.019918981481481482</v>
      </c>
      <c r="G1182" s="56" t="s">
        <v>33</v>
      </c>
      <c r="H1182" s="149"/>
      <c r="I1182" s="25" t="s">
        <v>46</v>
      </c>
      <c r="J1182" s="26">
        <v>46216.427083333336</v>
      </c>
      <c r="K1182" s="21" t="s">
        <v>1290</v>
      </c>
      <c r="L1182" s="27">
        <v>46219.0</v>
      </c>
      <c r="M1182" s="28">
        <v>0.041666666666666664</v>
      </c>
      <c r="N1182" s="29" t="s">
        <v>69</v>
      </c>
      <c r="O1182" s="29" t="s">
        <v>35</v>
      </c>
      <c r="P1182" s="34" t="s">
        <v>36</v>
      </c>
      <c r="Q1182" s="34" t="s">
        <v>1291</v>
      </c>
      <c r="R1182" s="35">
        <v>46218.0</v>
      </c>
      <c r="S1182" s="32"/>
      <c r="T1182" s="33"/>
      <c r="U1182" s="33"/>
    </row>
    <row r="1183" ht="15.75" customHeight="1">
      <c r="A1183" s="60">
        <v>46215.0</v>
      </c>
      <c r="B1183" s="60">
        <v>46215.0</v>
      </c>
      <c r="C1183" s="60"/>
      <c r="D1183" s="61"/>
      <c r="E1183" s="61" t="s">
        <v>66</v>
      </c>
      <c r="F1183" s="62"/>
      <c r="G1183" s="61" t="s">
        <v>102</v>
      </c>
      <c r="H1183" s="149"/>
      <c r="I1183" s="25"/>
      <c r="J1183" s="26"/>
      <c r="K1183" s="21"/>
      <c r="L1183" s="27"/>
      <c r="M1183" s="28"/>
      <c r="N1183" s="29"/>
      <c r="O1183" s="29"/>
      <c r="P1183" s="34" t="s">
        <v>28</v>
      </c>
      <c r="Q1183" s="34" t="s">
        <v>28</v>
      </c>
      <c r="R1183" s="35" t="s">
        <v>28</v>
      </c>
      <c r="S1183" s="32" t="s">
        <v>29</v>
      </c>
      <c r="T1183" s="33"/>
      <c r="U1183" s="33"/>
    </row>
    <row r="1184" ht="15.0" customHeight="1">
      <c r="A1184" s="20">
        <v>46216.0</v>
      </c>
      <c r="B1184" s="20">
        <v>46216.0</v>
      </c>
      <c r="C1184" s="20" t="s">
        <v>25</v>
      </c>
      <c r="D1184" s="21" t="s">
        <v>49</v>
      </c>
      <c r="E1184" s="21" t="s">
        <v>26</v>
      </c>
      <c r="F1184" s="22">
        <v>0.10107638888888888</v>
      </c>
      <c r="G1184" s="21" t="s">
        <v>33</v>
      </c>
      <c r="H1184" s="149"/>
      <c r="I1184" s="25"/>
      <c r="J1184" s="26"/>
      <c r="K1184" s="21"/>
      <c r="L1184" s="27">
        <v>46217.0</v>
      </c>
      <c r="M1184" s="28">
        <v>0.2013888888888889</v>
      </c>
      <c r="N1184" s="29" t="s">
        <v>39</v>
      </c>
      <c r="O1184" s="29" t="s">
        <v>35</v>
      </c>
      <c r="P1184" s="34" t="s">
        <v>53</v>
      </c>
      <c r="Q1184" s="34" t="s">
        <v>1292</v>
      </c>
      <c r="R1184" s="35">
        <v>46217.0</v>
      </c>
      <c r="S1184" s="32" t="s">
        <v>29</v>
      </c>
      <c r="T1184" s="33"/>
      <c r="U1184" s="33"/>
    </row>
    <row r="1185" ht="15.75" customHeight="1">
      <c r="A1185" s="20">
        <v>46216.0</v>
      </c>
      <c r="B1185" s="20">
        <v>46216.0</v>
      </c>
      <c r="C1185" s="20" t="s">
        <v>25</v>
      </c>
      <c r="D1185" s="21" t="s">
        <v>31</v>
      </c>
      <c r="E1185" s="21" t="s">
        <v>30</v>
      </c>
      <c r="F1185" s="22">
        <v>0.005393518518518519</v>
      </c>
      <c r="G1185" s="21" t="s">
        <v>33</v>
      </c>
      <c r="H1185" s="149"/>
      <c r="I1185" s="25"/>
      <c r="J1185" s="26"/>
      <c r="K1185" s="21"/>
      <c r="L1185" s="27">
        <v>46216.0</v>
      </c>
      <c r="M1185" s="28">
        <v>0.013888888888888888</v>
      </c>
      <c r="N1185" s="29" t="s">
        <v>31</v>
      </c>
      <c r="O1185" s="29" t="s">
        <v>35</v>
      </c>
      <c r="P1185" s="34" t="s">
        <v>53</v>
      </c>
      <c r="Q1185" s="34" t="s">
        <v>1293</v>
      </c>
      <c r="R1185" s="35">
        <v>46217.0</v>
      </c>
      <c r="S1185" s="32" t="s">
        <v>29</v>
      </c>
      <c r="T1185" s="33"/>
      <c r="U1185" s="33"/>
    </row>
    <row r="1186" ht="15.75" customHeight="1">
      <c r="A1186" s="20">
        <v>46216.0</v>
      </c>
      <c r="B1186" s="20">
        <v>46216.0</v>
      </c>
      <c r="C1186" s="20" t="s">
        <v>25</v>
      </c>
      <c r="D1186" s="21" t="s">
        <v>39</v>
      </c>
      <c r="E1186" s="21" t="s">
        <v>32</v>
      </c>
      <c r="F1186" s="22">
        <v>0.04767361111111111</v>
      </c>
      <c r="G1186" s="21" t="s">
        <v>33</v>
      </c>
      <c r="H1186" s="149"/>
      <c r="I1186" s="25"/>
      <c r="J1186" s="26"/>
      <c r="K1186" s="21"/>
      <c r="L1186" s="27">
        <v>46217.0</v>
      </c>
      <c r="M1186" s="28">
        <v>0.10416666666666667</v>
      </c>
      <c r="N1186" s="29" t="s">
        <v>57</v>
      </c>
      <c r="O1186" s="29" t="s">
        <v>35</v>
      </c>
      <c r="P1186" s="34" t="s">
        <v>53</v>
      </c>
      <c r="Q1186" s="34" t="s">
        <v>1294</v>
      </c>
      <c r="R1186" s="35">
        <v>46217.0</v>
      </c>
      <c r="S1186" s="32" t="s">
        <v>29</v>
      </c>
      <c r="T1186" s="33"/>
      <c r="U1186" s="33"/>
    </row>
    <row r="1187" ht="15.75" customHeight="1">
      <c r="A1187" s="20">
        <v>46216.0</v>
      </c>
      <c r="B1187" s="20">
        <v>46216.0</v>
      </c>
      <c r="C1187" s="20" t="s">
        <v>25</v>
      </c>
      <c r="D1187" s="21" t="s">
        <v>34</v>
      </c>
      <c r="E1187" s="21" t="s">
        <v>38</v>
      </c>
      <c r="F1187" s="22">
        <v>0.011226851851851852</v>
      </c>
      <c r="G1187" s="21" t="s">
        <v>33</v>
      </c>
      <c r="H1187" s="149"/>
      <c r="I1187" s="25"/>
      <c r="J1187" s="26"/>
      <c r="K1187" s="21"/>
      <c r="L1187" s="27">
        <v>46217.0</v>
      </c>
      <c r="M1187" s="28">
        <v>0.041666666666666664</v>
      </c>
      <c r="N1187" s="29" t="s">
        <v>69</v>
      </c>
      <c r="O1187" s="29" t="s">
        <v>35</v>
      </c>
      <c r="P1187" s="34" t="s">
        <v>53</v>
      </c>
      <c r="Q1187" s="34">
        <v>1.2068818E7</v>
      </c>
      <c r="R1187" s="35">
        <v>46217.0</v>
      </c>
      <c r="S1187" s="32" t="s">
        <v>29</v>
      </c>
      <c r="T1187" s="33"/>
      <c r="U1187" s="33"/>
    </row>
    <row r="1188" ht="15.75" customHeight="1">
      <c r="A1188" s="20">
        <v>46216.0</v>
      </c>
      <c r="B1188" s="20">
        <v>46216.0</v>
      </c>
      <c r="C1188" s="20" t="s">
        <v>25</v>
      </c>
      <c r="D1188" s="21" t="s">
        <v>34</v>
      </c>
      <c r="E1188" s="21" t="s">
        <v>40</v>
      </c>
      <c r="F1188" s="22">
        <v>0.02039351851851852</v>
      </c>
      <c r="G1188" s="21" t="s">
        <v>33</v>
      </c>
      <c r="H1188" s="149"/>
      <c r="I1188" s="25"/>
      <c r="J1188" s="26"/>
      <c r="K1188" s="21"/>
      <c r="L1188" s="27">
        <v>46217.0</v>
      </c>
      <c r="M1188" s="28">
        <v>0.04861111111111111</v>
      </c>
      <c r="N1188" s="29" t="s">
        <v>34</v>
      </c>
      <c r="O1188" s="29" t="s">
        <v>35</v>
      </c>
      <c r="P1188" s="34" t="s">
        <v>53</v>
      </c>
      <c r="Q1188" s="34" t="s">
        <v>1295</v>
      </c>
      <c r="R1188" s="35">
        <v>46217.0</v>
      </c>
      <c r="S1188" s="32" t="s">
        <v>29</v>
      </c>
      <c r="T1188" s="33"/>
      <c r="U1188" s="33"/>
    </row>
    <row r="1189" ht="15.75" customHeight="1">
      <c r="A1189" s="20">
        <v>46216.0</v>
      </c>
      <c r="B1189" s="20">
        <v>46216.0</v>
      </c>
      <c r="C1189" s="20"/>
      <c r="D1189" s="21"/>
      <c r="E1189" s="21" t="s">
        <v>43</v>
      </c>
      <c r="F1189" s="22"/>
      <c r="G1189" s="23" t="s">
        <v>27</v>
      </c>
      <c r="H1189" s="149"/>
      <c r="I1189" s="25"/>
      <c r="J1189" s="26"/>
      <c r="K1189" s="21"/>
      <c r="L1189" s="27"/>
      <c r="M1189" s="28"/>
      <c r="N1189" s="29"/>
      <c r="O1189" s="29"/>
      <c r="P1189" s="30" t="s">
        <v>28</v>
      </c>
      <c r="Q1189" s="30" t="s">
        <v>28</v>
      </c>
      <c r="R1189" s="31" t="s">
        <v>28</v>
      </c>
      <c r="S1189" s="32" t="s">
        <v>29</v>
      </c>
      <c r="T1189" s="33"/>
      <c r="U1189" s="33"/>
    </row>
    <row r="1190" ht="15.75" customHeight="1">
      <c r="A1190" s="20">
        <v>46217.0</v>
      </c>
      <c r="B1190" s="20">
        <v>46217.0</v>
      </c>
      <c r="C1190" s="20" t="s">
        <v>25</v>
      </c>
      <c r="D1190" s="21" t="s">
        <v>49</v>
      </c>
      <c r="E1190" s="21" t="s">
        <v>26</v>
      </c>
      <c r="F1190" s="22">
        <v>0.10064814814814815</v>
      </c>
      <c r="G1190" s="21" t="s">
        <v>33</v>
      </c>
      <c r="H1190" s="149"/>
      <c r="I1190" s="25"/>
      <c r="J1190" s="26"/>
      <c r="K1190" s="21" t="s">
        <v>1296</v>
      </c>
      <c r="L1190" s="27">
        <v>46218.0</v>
      </c>
      <c r="M1190" s="28">
        <v>0.2013888888888889</v>
      </c>
      <c r="N1190" s="29" t="s">
        <v>59</v>
      </c>
      <c r="O1190" s="29" t="s">
        <v>35</v>
      </c>
      <c r="P1190" s="34" t="s">
        <v>36</v>
      </c>
      <c r="Q1190" s="34" t="s">
        <v>1297</v>
      </c>
      <c r="R1190" s="35">
        <v>46218.0</v>
      </c>
      <c r="S1190" s="32" t="s">
        <v>29</v>
      </c>
      <c r="T1190" s="33"/>
      <c r="U1190" s="33"/>
    </row>
    <row r="1191" ht="15.75" customHeight="1">
      <c r="A1191" s="20">
        <v>46217.0</v>
      </c>
      <c r="B1191" s="20">
        <v>46217.0</v>
      </c>
      <c r="C1191" s="20" t="s">
        <v>25</v>
      </c>
      <c r="D1191" s="21" t="s">
        <v>39</v>
      </c>
      <c r="E1191" s="21" t="s">
        <v>30</v>
      </c>
      <c r="F1191" s="22">
        <v>0.004918981481481482</v>
      </c>
      <c r="G1191" s="21" t="s">
        <v>33</v>
      </c>
      <c r="H1191" s="173"/>
      <c r="I1191" s="25"/>
      <c r="J1191" s="26"/>
      <c r="K1191" s="65"/>
      <c r="L1191" s="27">
        <v>46217.0</v>
      </c>
      <c r="M1191" s="28">
        <v>0.020833333333333332</v>
      </c>
      <c r="N1191" s="29" t="s">
        <v>39</v>
      </c>
      <c r="O1191" s="29" t="s">
        <v>35</v>
      </c>
      <c r="P1191" s="34" t="s">
        <v>36</v>
      </c>
      <c r="Q1191" s="34" t="s">
        <v>1298</v>
      </c>
      <c r="R1191" s="35">
        <v>46218.0</v>
      </c>
      <c r="S1191" s="32" t="s">
        <v>29</v>
      </c>
      <c r="T1191" s="33"/>
      <c r="U1191" s="33"/>
    </row>
    <row r="1192" ht="15.75" customHeight="1">
      <c r="A1192" s="20">
        <v>46217.0</v>
      </c>
      <c r="B1192" s="20">
        <v>46217.0</v>
      </c>
      <c r="C1192" s="20" t="s">
        <v>25</v>
      </c>
      <c r="D1192" s="21" t="s">
        <v>69</v>
      </c>
      <c r="E1192" s="21" t="s">
        <v>32</v>
      </c>
      <c r="F1192" s="22">
        <v>0.04871527777777778</v>
      </c>
      <c r="G1192" s="21" t="s">
        <v>33</v>
      </c>
      <c r="H1192" s="173"/>
      <c r="I1192" s="25"/>
      <c r="J1192" s="26"/>
      <c r="K1192" s="21"/>
      <c r="L1192" s="27"/>
      <c r="M1192" s="28"/>
      <c r="N1192" s="29" t="s">
        <v>57</v>
      </c>
      <c r="O1192" s="29"/>
      <c r="P1192" s="34" t="s">
        <v>36</v>
      </c>
      <c r="Q1192" s="34" t="s">
        <v>1299</v>
      </c>
      <c r="R1192" s="35">
        <v>46218.0</v>
      </c>
      <c r="S1192" s="32" t="s">
        <v>29</v>
      </c>
      <c r="T1192" s="33"/>
      <c r="U1192" s="33"/>
    </row>
    <row r="1193" ht="15.75" customHeight="1">
      <c r="A1193" s="20">
        <v>46217.0</v>
      </c>
      <c r="B1193" s="20">
        <v>46217.0</v>
      </c>
      <c r="C1193" s="20" t="s">
        <v>25</v>
      </c>
      <c r="D1193" s="21" t="s">
        <v>59</v>
      </c>
      <c r="E1193" s="21" t="s">
        <v>38</v>
      </c>
      <c r="F1193" s="22">
        <v>0.018310185185185186</v>
      </c>
      <c r="G1193" s="21" t="s">
        <v>33</v>
      </c>
      <c r="H1193" s="149"/>
      <c r="I1193" s="25"/>
      <c r="J1193" s="26"/>
      <c r="K1193" s="21"/>
      <c r="L1193" s="27">
        <v>46218.0</v>
      </c>
      <c r="M1193" s="28">
        <v>0.041666666666666664</v>
      </c>
      <c r="N1193" s="29" t="s">
        <v>69</v>
      </c>
      <c r="O1193" s="29" t="s">
        <v>35</v>
      </c>
      <c r="P1193" s="34" t="s">
        <v>36</v>
      </c>
      <c r="Q1193" s="34">
        <v>1.2068819E7</v>
      </c>
      <c r="R1193" s="35">
        <v>46218.0</v>
      </c>
      <c r="S1193" s="32" t="s">
        <v>29</v>
      </c>
      <c r="T1193" s="33"/>
      <c r="U1193" s="33"/>
    </row>
    <row r="1194" ht="15.75" customHeight="1">
      <c r="A1194" s="20">
        <v>46217.0</v>
      </c>
      <c r="B1194" s="20">
        <v>46217.0</v>
      </c>
      <c r="C1194" s="20" t="s">
        <v>25</v>
      </c>
      <c r="D1194" s="21" t="s">
        <v>34</v>
      </c>
      <c r="E1194" s="21" t="s">
        <v>40</v>
      </c>
      <c r="F1194" s="22">
        <v>0.024791666666666667</v>
      </c>
      <c r="G1194" s="21" t="s">
        <v>33</v>
      </c>
      <c r="H1194" s="149" t="s">
        <v>1300</v>
      </c>
      <c r="I1194" s="25" t="s">
        <v>46</v>
      </c>
      <c r="J1194" s="26">
        <v>46217.93817129629</v>
      </c>
      <c r="K1194" s="21" t="s">
        <v>1301</v>
      </c>
      <c r="L1194" s="27">
        <v>46218.0</v>
      </c>
      <c r="M1194" s="28">
        <v>0.04861111111111111</v>
      </c>
      <c r="N1194" s="29" t="s">
        <v>34</v>
      </c>
      <c r="O1194" s="29" t="s">
        <v>35</v>
      </c>
      <c r="P1194" s="34" t="s">
        <v>36</v>
      </c>
      <c r="Q1194" s="34" t="s">
        <v>1302</v>
      </c>
      <c r="R1194" s="35">
        <v>46219.0</v>
      </c>
      <c r="S1194" s="32" t="s">
        <v>29</v>
      </c>
      <c r="T1194" s="33"/>
      <c r="U1194" s="33"/>
    </row>
    <row r="1195" ht="15.75" customHeight="1">
      <c r="A1195" s="20">
        <v>46217.0</v>
      </c>
      <c r="B1195" s="20">
        <v>46217.0</v>
      </c>
      <c r="C1195" s="20"/>
      <c r="D1195" s="21"/>
      <c r="E1195" s="21" t="s">
        <v>43</v>
      </c>
      <c r="F1195" s="22"/>
      <c r="G1195" s="23" t="s">
        <v>27</v>
      </c>
      <c r="H1195" s="149"/>
      <c r="I1195" s="25"/>
      <c r="J1195" s="26"/>
      <c r="K1195" s="21"/>
      <c r="L1195" s="27"/>
      <c r="M1195" s="28"/>
      <c r="N1195" s="29"/>
      <c r="O1195" s="29"/>
      <c r="P1195" s="30" t="s">
        <v>28</v>
      </c>
      <c r="Q1195" s="30" t="s">
        <v>28</v>
      </c>
      <c r="R1195" s="31" t="s">
        <v>28</v>
      </c>
      <c r="S1195" s="32" t="s">
        <v>29</v>
      </c>
      <c r="T1195" s="33"/>
      <c r="U1195" s="33"/>
    </row>
    <row r="1196" ht="15.75" customHeight="1">
      <c r="A1196" s="20">
        <v>46218.0</v>
      </c>
      <c r="B1196" s="20">
        <v>46218.0</v>
      </c>
      <c r="C1196" s="20" t="s">
        <v>25</v>
      </c>
      <c r="D1196" s="21" t="s">
        <v>49</v>
      </c>
      <c r="E1196" s="21" t="s">
        <v>26</v>
      </c>
      <c r="F1196" s="22">
        <v>0.10038194444444444</v>
      </c>
      <c r="G1196" s="21" t="s">
        <v>33</v>
      </c>
      <c r="H1196" s="149"/>
      <c r="I1196" s="25"/>
      <c r="J1196" s="26"/>
      <c r="K1196" s="21"/>
      <c r="L1196" s="27">
        <v>46219.0</v>
      </c>
      <c r="M1196" s="28">
        <v>0.2638888888888889</v>
      </c>
      <c r="N1196" s="29" t="s">
        <v>34</v>
      </c>
      <c r="O1196" s="29" t="s">
        <v>35</v>
      </c>
      <c r="P1196" s="34" t="s">
        <v>36</v>
      </c>
      <c r="Q1196" s="34" t="s">
        <v>1303</v>
      </c>
      <c r="R1196" s="35">
        <v>46219.0</v>
      </c>
      <c r="S1196" s="32" t="s">
        <v>29</v>
      </c>
      <c r="T1196" s="33"/>
      <c r="U1196" s="33"/>
    </row>
    <row r="1197" ht="15.75" customHeight="1">
      <c r="A1197" s="20">
        <v>46218.0</v>
      </c>
      <c r="B1197" s="20">
        <v>46218.0</v>
      </c>
      <c r="C1197" s="20" t="s">
        <v>25</v>
      </c>
      <c r="D1197" s="21" t="s">
        <v>59</v>
      </c>
      <c r="E1197" s="21" t="s">
        <v>30</v>
      </c>
      <c r="F1197" s="22">
        <v>0.0022916666666666667</v>
      </c>
      <c r="G1197" s="21" t="s">
        <v>33</v>
      </c>
      <c r="H1197" s="149"/>
      <c r="I1197" s="25"/>
      <c r="J1197" s="26"/>
      <c r="K1197" s="21"/>
      <c r="L1197" s="27">
        <v>46218.0</v>
      </c>
      <c r="M1197" s="28">
        <v>0.005555555555555556</v>
      </c>
      <c r="N1197" s="29" t="s">
        <v>59</v>
      </c>
      <c r="O1197" s="29" t="s">
        <v>35</v>
      </c>
      <c r="P1197" s="34" t="s">
        <v>36</v>
      </c>
      <c r="Q1197" s="34" t="s">
        <v>1304</v>
      </c>
      <c r="R1197" s="35">
        <v>46219.0</v>
      </c>
      <c r="S1197" s="32" t="s">
        <v>29</v>
      </c>
      <c r="T1197" s="33"/>
      <c r="U1197" s="33"/>
    </row>
    <row r="1198" ht="15.75" customHeight="1">
      <c r="A1198" s="20">
        <v>46218.0</v>
      </c>
      <c r="B1198" s="20">
        <v>46218.0</v>
      </c>
      <c r="C1198" s="20" t="s">
        <v>25</v>
      </c>
      <c r="D1198" s="21" t="s">
        <v>69</v>
      </c>
      <c r="E1198" s="21" t="s">
        <v>32</v>
      </c>
      <c r="F1198" s="22">
        <v>0.046921296296296294</v>
      </c>
      <c r="G1198" s="37" t="s">
        <v>33</v>
      </c>
      <c r="H1198" s="173"/>
      <c r="I1198" s="25"/>
      <c r="J1198" s="26"/>
      <c r="K1198" s="21"/>
      <c r="L1198" s="27">
        <v>46219.0</v>
      </c>
      <c r="M1198" s="28">
        <v>0.10416666666666667</v>
      </c>
      <c r="N1198" s="29" t="s">
        <v>57</v>
      </c>
      <c r="O1198" s="29" t="s">
        <v>35</v>
      </c>
      <c r="P1198" s="34" t="s">
        <v>36</v>
      </c>
      <c r="Q1198" s="34" t="s">
        <v>1305</v>
      </c>
      <c r="R1198" s="35">
        <v>46219.0</v>
      </c>
      <c r="S1198" s="32" t="s">
        <v>29</v>
      </c>
      <c r="T1198" s="33"/>
      <c r="U1198" s="33"/>
    </row>
    <row r="1199" ht="15.75" customHeight="1">
      <c r="A1199" s="20">
        <v>46218.0</v>
      </c>
      <c r="B1199" s="20">
        <v>46218.0</v>
      </c>
      <c r="C1199" s="20"/>
      <c r="D1199" s="21"/>
      <c r="E1199" s="21" t="s">
        <v>38</v>
      </c>
      <c r="F1199" s="22"/>
      <c r="G1199" s="23" t="s">
        <v>27</v>
      </c>
      <c r="H1199" s="149"/>
      <c r="I1199" s="25"/>
      <c r="J1199" s="26"/>
      <c r="K1199" s="21"/>
      <c r="L1199" s="27"/>
      <c r="M1199" s="28"/>
      <c r="N1199" s="29"/>
      <c r="O1199" s="29"/>
      <c r="P1199" s="34"/>
      <c r="Q1199" s="34">
        <v>1.206882E7</v>
      </c>
      <c r="R1199" s="35"/>
      <c r="S1199" s="32" t="s">
        <v>29</v>
      </c>
      <c r="T1199" s="33"/>
      <c r="U1199" s="33"/>
    </row>
    <row r="1200" ht="15.75" customHeight="1">
      <c r="A1200" s="20">
        <v>46218.0</v>
      </c>
      <c r="B1200" s="20">
        <v>46218.0</v>
      </c>
      <c r="C1200" s="20" t="s">
        <v>25</v>
      </c>
      <c r="D1200" s="21" t="s">
        <v>39</v>
      </c>
      <c r="E1200" s="21" t="s">
        <v>40</v>
      </c>
      <c r="F1200" s="22">
        <v>0.021122685185185185</v>
      </c>
      <c r="G1200" s="21" t="s">
        <v>33</v>
      </c>
      <c r="H1200" s="149"/>
      <c r="I1200" s="25"/>
      <c r="J1200" s="26"/>
      <c r="K1200" s="21"/>
      <c r="L1200" s="27">
        <v>46219.0</v>
      </c>
      <c r="M1200" s="28">
        <v>0.07291666666666667</v>
      </c>
      <c r="N1200" s="29" t="s">
        <v>49</v>
      </c>
      <c r="O1200" s="29" t="s">
        <v>35</v>
      </c>
      <c r="P1200" s="34" t="s">
        <v>36</v>
      </c>
      <c r="Q1200" s="34" t="s">
        <v>1306</v>
      </c>
      <c r="R1200" s="35"/>
      <c r="S1200" s="32" t="s">
        <v>29</v>
      </c>
      <c r="T1200" s="33"/>
      <c r="U1200" s="33"/>
    </row>
    <row r="1201" ht="15.75" customHeight="1">
      <c r="A1201" s="20">
        <v>46218.0</v>
      </c>
      <c r="B1201" s="20">
        <v>46218.0</v>
      </c>
      <c r="C1201" s="20" t="s">
        <v>25</v>
      </c>
      <c r="D1201" s="21" t="s">
        <v>39</v>
      </c>
      <c r="E1201" s="21" t="s">
        <v>87</v>
      </c>
      <c r="F1201" s="22">
        <v>0.007118055555555555</v>
      </c>
      <c r="G1201" s="21" t="s">
        <v>88</v>
      </c>
      <c r="H1201" s="149" t="s">
        <v>1307</v>
      </c>
      <c r="I1201" s="25" t="s">
        <v>46</v>
      </c>
      <c r="J1201" s="26">
        <v>46218.0</v>
      </c>
      <c r="K1201" s="21" t="s">
        <v>1308</v>
      </c>
      <c r="L1201" s="27"/>
      <c r="M1201" s="28"/>
      <c r="N1201" s="29"/>
      <c r="O1201" s="29"/>
      <c r="P1201" s="34" t="s">
        <v>53</v>
      </c>
      <c r="Q1201" s="34">
        <v>1.2081122E7</v>
      </c>
      <c r="R1201" s="35">
        <v>46219.0</v>
      </c>
      <c r="S1201" s="32"/>
      <c r="T1201" s="33"/>
      <c r="U1201" s="33"/>
    </row>
    <row r="1202" ht="15.75" customHeight="1">
      <c r="A1202" s="20">
        <v>46218.0</v>
      </c>
      <c r="B1202" s="20">
        <v>46218.0</v>
      </c>
      <c r="C1202" s="20" t="s">
        <v>25</v>
      </c>
      <c r="D1202" s="21" t="s">
        <v>39</v>
      </c>
      <c r="E1202" s="21" t="s">
        <v>87</v>
      </c>
      <c r="F1202" s="22">
        <v>0.008773148148148148</v>
      </c>
      <c r="G1202" s="21" t="s">
        <v>88</v>
      </c>
      <c r="H1202" s="149" t="s">
        <v>1309</v>
      </c>
      <c r="I1202" s="25" t="s">
        <v>46</v>
      </c>
      <c r="J1202" s="26">
        <v>46218.0</v>
      </c>
      <c r="K1202" s="21" t="s">
        <v>1310</v>
      </c>
      <c r="L1202" s="27"/>
      <c r="M1202" s="28"/>
      <c r="N1202" s="29"/>
      <c r="O1202" s="29"/>
      <c r="P1202" s="34" t="s">
        <v>53</v>
      </c>
      <c r="Q1202" s="34">
        <v>1.2081123E7</v>
      </c>
      <c r="R1202" s="35">
        <v>46219.0</v>
      </c>
      <c r="S1202" s="32"/>
      <c r="T1202" s="33"/>
      <c r="U1202" s="33"/>
    </row>
    <row r="1203" ht="15.75" customHeight="1">
      <c r="A1203" s="20">
        <v>46218.0</v>
      </c>
      <c r="B1203" s="20">
        <v>46218.0</v>
      </c>
      <c r="C1203" s="20" t="s">
        <v>25</v>
      </c>
      <c r="D1203" s="21" t="s">
        <v>39</v>
      </c>
      <c r="E1203" s="21" t="s">
        <v>87</v>
      </c>
      <c r="F1203" s="22">
        <v>0.01085648148148148</v>
      </c>
      <c r="G1203" s="21" t="s">
        <v>88</v>
      </c>
      <c r="H1203" s="149" t="s">
        <v>1311</v>
      </c>
      <c r="I1203" s="25" t="s">
        <v>46</v>
      </c>
      <c r="J1203" s="26">
        <v>46218.0</v>
      </c>
      <c r="K1203" s="21" t="s">
        <v>1312</v>
      </c>
      <c r="L1203" s="27"/>
      <c r="M1203" s="28"/>
      <c r="N1203" s="29"/>
      <c r="O1203" s="29"/>
      <c r="P1203" s="34" t="s">
        <v>53</v>
      </c>
      <c r="Q1203" s="34">
        <v>1.2081124E7</v>
      </c>
      <c r="R1203" s="35">
        <v>46219.0</v>
      </c>
      <c r="S1203" s="32"/>
      <c r="T1203" s="33"/>
      <c r="U1203" s="33"/>
    </row>
    <row r="1204" ht="15.75" customHeight="1">
      <c r="A1204" s="20">
        <v>46218.0</v>
      </c>
      <c r="B1204" s="20">
        <v>46218.0</v>
      </c>
      <c r="C1204" s="20" t="s">
        <v>25</v>
      </c>
      <c r="D1204" s="21" t="s">
        <v>39</v>
      </c>
      <c r="E1204" s="21" t="s">
        <v>87</v>
      </c>
      <c r="F1204" s="22">
        <v>0.0042824074074074075</v>
      </c>
      <c r="G1204" s="21" t="s">
        <v>88</v>
      </c>
      <c r="H1204" s="149" t="s">
        <v>1313</v>
      </c>
      <c r="I1204" s="25" t="s">
        <v>46</v>
      </c>
      <c r="J1204" s="26">
        <v>46218.0</v>
      </c>
      <c r="K1204" s="21" t="s">
        <v>1314</v>
      </c>
      <c r="L1204" s="27"/>
      <c r="M1204" s="28"/>
      <c r="N1204" s="29"/>
      <c r="O1204" s="29"/>
      <c r="P1204" s="34" t="s">
        <v>53</v>
      </c>
      <c r="Q1204" s="34">
        <v>1.2081125E7</v>
      </c>
      <c r="R1204" s="35">
        <v>46219.0</v>
      </c>
      <c r="S1204" s="32"/>
      <c r="T1204" s="33"/>
      <c r="U1204" s="33"/>
    </row>
    <row r="1205" ht="15.75" customHeight="1">
      <c r="A1205" s="20">
        <v>46218.0</v>
      </c>
      <c r="B1205" s="20">
        <v>46218.0</v>
      </c>
      <c r="C1205" s="20" t="s">
        <v>25</v>
      </c>
      <c r="D1205" s="21" t="s">
        <v>39</v>
      </c>
      <c r="E1205" s="21" t="s">
        <v>87</v>
      </c>
      <c r="F1205" s="22">
        <v>0.0024189814814814816</v>
      </c>
      <c r="G1205" s="21" t="s">
        <v>88</v>
      </c>
      <c r="H1205" s="149" t="s">
        <v>1315</v>
      </c>
      <c r="I1205" s="25" t="s">
        <v>46</v>
      </c>
      <c r="J1205" s="26">
        <v>46218.0</v>
      </c>
      <c r="K1205" s="21" t="s">
        <v>1316</v>
      </c>
      <c r="L1205" s="27"/>
      <c r="M1205" s="28"/>
      <c r="N1205" s="29"/>
      <c r="O1205" s="29"/>
      <c r="P1205" s="34" t="s">
        <v>53</v>
      </c>
      <c r="Q1205" s="34">
        <v>1.2081126E7</v>
      </c>
      <c r="R1205" s="35">
        <v>46219.0</v>
      </c>
      <c r="S1205" s="32"/>
      <c r="T1205" s="33"/>
      <c r="U1205" s="33"/>
    </row>
    <row r="1206" ht="15.75" customHeight="1">
      <c r="A1206" s="20">
        <v>46218.0</v>
      </c>
      <c r="B1206" s="20">
        <v>46218.0</v>
      </c>
      <c r="C1206" s="20" t="s">
        <v>25</v>
      </c>
      <c r="D1206" s="21" t="s">
        <v>39</v>
      </c>
      <c r="E1206" s="21" t="s">
        <v>87</v>
      </c>
      <c r="F1206" s="22">
        <v>0.006111111111111111</v>
      </c>
      <c r="G1206" s="21" t="s">
        <v>88</v>
      </c>
      <c r="H1206" s="149" t="s">
        <v>1317</v>
      </c>
      <c r="I1206" s="25" t="s">
        <v>46</v>
      </c>
      <c r="J1206" s="26">
        <v>46218.0</v>
      </c>
      <c r="K1206" s="107" t="s">
        <v>1318</v>
      </c>
      <c r="L1206" s="27"/>
      <c r="M1206" s="28"/>
      <c r="N1206" s="29"/>
      <c r="O1206" s="29"/>
      <c r="P1206" s="34" t="s">
        <v>53</v>
      </c>
      <c r="Q1206" s="34">
        <v>1.2081127E7</v>
      </c>
      <c r="R1206" s="35">
        <v>46219.0</v>
      </c>
      <c r="S1206" s="32"/>
      <c r="T1206" s="33"/>
      <c r="U1206" s="33"/>
    </row>
    <row r="1207" ht="15.75" customHeight="1">
      <c r="A1207" s="20">
        <v>46218.0</v>
      </c>
      <c r="B1207" s="20">
        <v>46218.0</v>
      </c>
      <c r="C1207" s="20"/>
      <c r="D1207" s="21"/>
      <c r="E1207" s="21" t="s">
        <v>43</v>
      </c>
      <c r="F1207" s="22"/>
      <c r="G1207" s="21" t="s">
        <v>27</v>
      </c>
      <c r="H1207" s="149"/>
      <c r="I1207" s="25"/>
      <c r="J1207" s="26"/>
      <c r="K1207" s="21"/>
      <c r="L1207" s="27"/>
      <c r="M1207" s="28"/>
      <c r="N1207" s="29"/>
      <c r="O1207" s="29"/>
      <c r="P1207" s="30" t="s">
        <v>28</v>
      </c>
      <c r="Q1207" s="30" t="s">
        <v>28</v>
      </c>
      <c r="R1207" s="31" t="s">
        <v>28</v>
      </c>
      <c r="S1207" s="32" t="s">
        <v>29</v>
      </c>
      <c r="T1207" s="33"/>
      <c r="U1207" s="33"/>
    </row>
    <row r="1208" ht="15.75" customHeight="1">
      <c r="A1208" s="20">
        <v>46219.0</v>
      </c>
      <c r="B1208" s="20">
        <v>46219.0</v>
      </c>
      <c r="C1208" s="20" t="s">
        <v>25</v>
      </c>
      <c r="D1208" s="21" t="s">
        <v>49</v>
      </c>
      <c r="E1208" s="21" t="s">
        <v>26</v>
      </c>
      <c r="F1208" s="22">
        <v>0.10033564814814815</v>
      </c>
      <c r="G1208" s="21" t="s">
        <v>33</v>
      </c>
      <c r="H1208" s="149"/>
      <c r="I1208" s="25"/>
      <c r="J1208" s="26"/>
      <c r="K1208" s="21"/>
      <c r="L1208" s="27">
        <v>46220.0</v>
      </c>
      <c r="M1208" s="28">
        <v>0.20833333333333334</v>
      </c>
      <c r="N1208" s="29" t="s">
        <v>57</v>
      </c>
      <c r="O1208" s="29" t="s">
        <v>35</v>
      </c>
      <c r="P1208" s="34" t="s">
        <v>36</v>
      </c>
      <c r="Q1208" s="34" t="s">
        <v>1319</v>
      </c>
      <c r="R1208" s="35">
        <v>46220.0</v>
      </c>
      <c r="S1208" s="32" t="s">
        <v>29</v>
      </c>
      <c r="T1208" s="33"/>
      <c r="U1208" s="33"/>
    </row>
    <row r="1209" ht="15.75" customHeight="1">
      <c r="A1209" s="20">
        <v>46219.0</v>
      </c>
      <c r="B1209" s="20">
        <v>46219.0</v>
      </c>
      <c r="C1209" s="20" t="s">
        <v>25</v>
      </c>
      <c r="D1209" s="21" t="s">
        <v>34</v>
      </c>
      <c r="E1209" s="21" t="s">
        <v>30</v>
      </c>
      <c r="F1209" s="22">
        <v>0.0038541666666666668</v>
      </c>
      <c r="G1209" s="21" t="s">
        <v>33</v>
      </c>
      <c r="H1209" s="149"/>
      <c r="I1209" s="25"/>
      <c r="J1209" s="26"/>
      <c r="K1209" s="21"/>
      <c r="L1209" s="27">
        <v>46219.0</v>
      </c>
      <c r="M1209" s="28">
        <v>0.009722222222222222</v>
      </c>
      <c r="N1209" s="29" t="s">
        <v>34</v>
      </c>
      <c r="O1209" s="29" t="s">
        <v>35</v>
      </c>
      <c r="P1209" s="34" t="s">
        <v>36</v>
      </c>
      <c r="Q1209" s="34" t="s">
        <v>1320</v>
      </c>
      <c r="R1209" s="35">
        <v>46220.0</v>
      </c>
      <c r="S1209" s="32" t="s">
        <v>29</v>
      </c>
      <c r="T1209" s="33"/>
      <c r="U1209" s="33"/>
    </row>
    <row r="1210" ht="15.75" customHeight="1">
      <c r="A1210" s="20">
        <v>46219.0</v>
      </c>
      <c r="B1210" s="20">
        <v>46219.0</v>
      </c>
      <c r="C1210" s="20" t="s">
        <v>25</v>
      </c>
      <c r="D1210" s="21" t="s">
        <v>69</v>
      </c>
      <c r="E1210" s="21" t="s">
        <v>32</v>
      </c>
      <c r="F1210" s="22">
        <v>0.046875</v>
      </c>
      <c r="G1210" s="21" t="s">
        <v>33</v>
      </c>
      <c r="H1210" s="149"/>
      <c r="I1210" s="25"/>
      <c r="J1210" s="26"/>
      <c r="K1210" s="21"/>
      <c r="L1210" s="27">
        <v>46220.0</v>
      </c>
      <c r="M1210" s="28">
        <v>0.09722222222222222</v>
      </c>
      <c r="N1210" s="29" t="s">
        <v>34</v>
      </c>
      <c r="O1210" s="29" t="s">
        <v>35</v>
      </c>
      <c r="P1210" s="34" t="s">
        <v>36</v>
      </c>
      <c r="Q1210" s="34" t="s">
        <v>1321</v>
      </c>
      <c r="R1210" s="35">
        <v>46220.0</v>
      </c>
      <c r="S1210" s="32" t="s">
        <v>29</v>
      </c>
      <c r="T1210" s="33"/>
      <c r="U1210" s="33"/>
    </row>
    <row r="1211" ht="15.75" customHeight="1">
      <c r="A1211" s="20">
        <v>46219.0</v>
      </c>
      <c r="B1211" s="20">
        <v>46219.0</v>
      </c>
      <c r="C1211" s="20" t="s">
        <v>25</v>
      </c>
      <c r="D1211" s="21" t="s">
        <v>39</v>
      </c>
      <c r="E1211" s="21" t="s">
        <v>38</v>
      </c>
      <c r="F1211" s="22">
        <v>0.008645833333333333</v>
      </c>
      <c r="G1211" s="21" t="s">
        <v>33</v>
      </c>
      <c r="H1211" s="149"/>
      <c r="I1211" s="25"/>
      <c r="J1211" s="26"/>
      <c r="K1211" s="21"/>
      <c r="L1211" s="27">
        <v>46220.0</v>
      </c>
      <c r="M1211" s="28">
        <v>0.041666666666666664</v>
      </c>
      <c r="N1211" s="29" t="s">
        <v>69</v>
      </c>
      <c r="O1211" s="29" t="s">
        <v>35</v>
      </c>
      <c r="P1211" s="34" t="s">
        <v>36</v>
      </c>
      <c r="Q1211" s="34">
        <v>1.2068821E7</v>
      </c>
      <c r="R1211" s="35">
        <v>46220.0</v>
      </c>
      <c r="S1211" s="32" t="s">
        <v>29</v>
      </c>
      <c r="T1211" s="33"/>
      <c r="U1211" s="33"/>
    </row>
    <row r="1212" ht="15.75" customHeight="1">
      <c r="A1212" s="20">
        <v>46219.0</v>
      </c>
      <c r="B1212" s="20">
        <v>46219.0</v>
      </c>
      <c r="C1212" s="20" t="s">
        <v>25</v>
      </c>
      <c r="D1212" s="21" t="s">
        <v>39</v>
      </c>
      <c r="E1212" s="21" t="s">
        <v>40</v>
      </c>
      <c r="F1212" s="22">
        <v>0.018252314814814815</v>
      </c>
      <c r="G1212" s="21" t="s">
        <v>33</v>
      </c>
      <c r="H1212" s="149"/>
      <c r="I1212" s="25"/>
      <c r="J1212" s="26"/>
      <c r="K1212" s="21"/>
      <c r="L1212" s="27">
        <v>46220.0</v>
      </c>
      <c r="M1212" s="28">
        <v>0.06388888888888888</v>
      </c>
      <c r="N1212" s="29" t="s">
        <v>49</v>
      </c>
      <c r="O1212" s="29" t="s">
        <v>35</v>
      </c>
      <c r="P1212" s="34" t="s">
        <v>36</v>
      </c>
      <c r="Q1212" s="34" t="s">
        <v>1322</v>
      </c>
      <c r="R1212" s="35">
        <v>46223.0</v>
      </c>
      <c r="S1212" s="32" t="s">
        <v>29</v>
      </c>
      <c r="T1212" s="33"/>
      <c r="U1212" s="33"/>
    </row>
    <row r="1213" ht="15.75" customHeight="1">
      <c r="A1213" s="20">
        <v>46219.0</v>
      </c>
      <c r="B1213" s="20">
        <v>46219.0</v>
      </c>
      <c r="C1213" s="20"/>
      <c r="D1213" s="21"/>
      <c r="E1213" s="21" t="s">
        <v>43</v>
      </c>
      <c r="F1213" s="22"/>
      <c r="G1213" s="21" t="s">
        <v>27</v>
      </c>
      <c r="H1213" s="149"/>
      <c r="I1213" s="25"/>
      <c r="J1213" s="26"/>
      <c r="K1213" s="21"/>
      <c r="L1213" s="27"/>
      <c r="M1213" s="28"/>
      <c r="N1213" s="29"/>
      <c r="O1213" s="29"/>
      <c r="P1213" s="30" t="s">
        <v>28</v>
      </c>
      <c r="Q1213" s="30" t="s">
        <v>28</v>
      </c>
      <c r="R1213" s="31" t="s">
        <v>28</v>
      </c>
      <c r="S1213" s="32" t="s">
        <v>29</v>
      </c>
      <c r="T1213" s="33"/>
      <c r="U1213" s="33"/>
    </row>
    <row r="1214" ht="15.75" customHeight="1">
      <c r="A1214" s="20">
        <v>46220.0</v>
      </c>
      <c r="B1214" s="20">
        <v>46220.0</v>
      </c>
      <c r="C1214" s="20" t="s">
        <v>25</v>
      </c>
      <c r="D1214" s="21" t="s">
        <v>49</v>
      </c>
      <c r="E1214" s="21" t="s">
        <v>26</v>
      </c>
      <c r="F1214" s="22">
        <v>0.09936342592592592</v>
      </c>
      <c r="G1214" s="21" t="s">
        <v>33</v>
      </c>
      <c r="H1214" s="149"/>
      <c r="I1214" s="25"/>
      <c r="J1214" s="26"/>
      <c r="K1214" s="21"/>
      <c r="L1214" s="27">
        <v>46223.0</v>
      </c>
      <c r="M1214" s="28">
        <v>0.20833333333333334</v>
      </c>
      <c r="N1214" s="29" t="s">
        <v>31</v>
      </c>
      <c r="O1214" s="29" t="s">
        <v>35</v>
      </c>
      <c r="P1214" s="34" t="s">
        <v>36</v>
      </c>
      <c r="Q1214" s="34" t="s">
        <v>1323</v>
      </c>
      <c r="R1214" s="35">
        <v>46221.0</v>
      </c>
      <c r="S1214" s="32" t="s">
        <v>29</v>
      </c>
      <c r="T1214" s="33"/>
      <c r="U1214" s="33"/>
    </row>
    <row r="1215" ht="15.75" customHeight="1">
      <c r="A1215" s="20">
        <v>46220.0</v>
      </c>
      <c r="B1215" s="20">
        <v>46220.0</v>
      </c>
      <c r="C1215" s="20" t="s">
        <v>25</v>
      </c>
      <c r="D1215" s="21" t="s">
        <v>57</v>
      </c>
      <c r="E1215" s="21" t="s">
        <v>30</v>
      </c>
      <c r="F1215" s="22">
        <v>0.004733796296296297</v>
      </c>
      <c r="G1215" s="21" t="s">
        <v>33</v>
      </c>
      <c r="H1215" s="149"/>
      <c r="I1215" s="25"/>
      <c r="J1215" s="26"/>
      <c r="K1215" s="21"/>
      <c r="L1215" s="27">
        <v>46220.0</v>
      </c>
      <c r="M1215" s="28">
        <v>0.013888888888888888</v>
      </c>
      <c r="N1215" s="29" t="s">
        <v>57</v>
      </c>
      <c r="O1215" s="29" t="s">
        <v>35</v>
      </c>
      <c r="P1215" s="34" t="s">
        <v>36</v>
      </c>
      <c r="Q1215" s="34" t="s">
        <v>1324</v>
      </c>
      <c r="R1215" s="35">
        <v>46221.0</v>
      </c>
      <c r="S1215" s="32" t="s">
        <v>29</v>
      </c>
      <c r="T1215" s="33"/>
      <c r="U1215" s="33"/>
    </row>
    <row r="1216" ht="15.75" customHeight="1">
      <c r="A1216" s="20">
        <v>46220.0</v>
      </c>
      <c r="B1216" s="20">
        <v>46220.0</v>
      </c>
      <c r="C1216" s="20" t="s">
        <v>25</v>
      </c>
      <c r="D1216" s="21" t="s">
        <v>69</v>
      </c>
      <c r="E1216" s="21" t="s">
        <v>32</v>
      </c>
      <c r="F1216" s="22">
        <v>0.04613425925925926</v>
      </c>
      <c r="G1216" s="21" t="s">
        <v>33</v>
      </c>
      <c r="H1216" s="149"/>
      <c r="I1216" s="25"/>
      <c r="J1216" s="26"/>
      <c r="K1216" s="21"/>
      <c r="L1216" s="27">
        <v>46221.0</v>
      </c>
      <c r="M1216" s="28">
        <v>0.09375</v>
      </c>
      <c r="N1216" s="29" t="s">
        <v>34</v>
      </c>
      <c r="O1216" s="29" t="s">
        <v>35</v>
      </c>
      <c r="P1216" s="34" t="s">
        <v>36</v>
      </c>
      <c r="Q1216" s="34" t="s">
        <v>1325</v>
      </c>
      <c r="R1216" s="35">
        <v>46221.0</v>
      </c>
      <c r="S1216" s="32" t="s">
        <v>29</v>
      </c>
      <c r="T1216" s="33"/>
      <c r="U1216" s="33"/>
    </row>
    <row r="1217" ht="15.75" customHeight="1">
      <c r="A1217" s="20">
        <v>46220.0</v>
      </c>
      <c r="B1217" s="20">
        <v>46220.0</v>
      </c>
      <c r="C1217" s="20" t="s">
        <v>25</v>
      </c>
      <c r="D1217" s="21" t="s">
        <v>39</v>
      </c>
      <c r="E1217" s="21" t="s">
        <v>38</v>
      </c>
      <c r="F1217" s="22">
        <v>0.008993055555555556</v>
      </c>
      <c r="G1217" s="21" t="s">
        <v>33</v>
      </c>
      <c r="H1217" s="149"/>
      <c r="I1217" s="25"/>
      <c r="J1217" s="26"/>
      <c r="K1217" s="21"/>
      <c r="L1217" s="27">
        <v>46223.0</v>
      </c>
      <c r="M1217" s="28">
        <v>0.01597222222222222</v>
      </c>
      <c r="N1217" s="29" t="s">
        <v>49</v>
      </c>
      <c r="O1217" s="29" t="s">
        <v>35</v>
      </c>
      <c r="P1217" s="34" t="s">
        <v>36</v>
      </c>
      <c r="Q1217" s="34">
        <v>1.2068822E7</v>
      </c>
      <c r="R1217" s="35">
        <v>46221.0</v>
      </c>
      <c r="S1217" s="32" t="s">
        <v>29</v>
      </c>
      <c r="T1217" s="33"/>
      <c r="U1217" s="33"/>
    </row>
    <row r="1218" ht="15.75" customHeight="1">
      <c r="A1218" s="20">
        <v>46220.0</v>
      </c>
      <c r="B1218" s="20">
        <v>46220.0</v>
      </c>
      <c r="C1218" s="20" t="s">
        <v>25</v>
      </c>
      <c r="D1218" s="21" t="s">
        <v>39</v>
      </c>
      <c r="E1218" s="21" t="s">
        <v>40</v>
      </c>
      <c r="F1218" s="22">
        <v>0.01769675925925926</v>
      </c>
      <c r="G1218" s="21" t="s">
        <v>33</v>
      </c>
      <c r="H1218" s="149"/>
      <c r="I1218" s="25"/>
      <c r="J1218" s="26"/>
      <c r="K1218" s="21"/>
      <c r="L1218" s="27">
        <v>46223.0</v>
      </c>
      <c r="M1218" s="28">
        <v>0.06666666666666667</v>
      </c>
      <c r="N1218" s="29" t="s">
        <v>49</v>
      </c>
      <c r="O1218" s="29" t="s">
        <v>35</v>
      </c>
      <c r="P1218" s="34" t="s">
        <v>36</v>
      </c>
      <c r="Q1218" s="34" t="s">
        <v>1326</v>
      </c>
      <c r="R1218" s="79">
        <v>46221.0</v>
      </c>
      <c r="S1218" s="32" t="s">
        <v>29</v>
      </c>
      <c r="T1218" s="33"/>
      <c r="U1218" s="33"/>
    </row>
    <row r="1219" ht="15.75" customHeight="1">
      <c r="A1219" s="20">
        <v>46220.0</v>
      </c>
      <c r="B1219" s="20">
        <v>46220.0</v>
      </c>
      <c r="C1219" s="20"/>
      <c r="D1219" s="21"/>
      <c r="E1219" s="21" t="s">
        <v>43</v>
      </c>
      <c r="F1219" s="22"/>
      <c r="G1219" s="21" t="s">
        <v>27</v>
      </c>
      <c r="H1219" s="149"/>
      <c r="I1219" s="25"/>
      <c r="J1219" s="26"/>
      <c r="K1219" s="21"/>
      <c r="L1219" s="27"/>
      <c r="M1219" s="28"/>
      <c r="N1219" s="29"/>
      <c r="O1219" s="29"/>
      <c r="P1219" s="30" t="s">
        <v>28</v>
      </c>
      <c r="Q1219" s="30" t="s">
        <v>28</v>
      </c>
      <c r="R1219" s="31" t="s">
        <v>28</v>
      </c>
      <c r="S1219" s="32" t="s">
        <v>29</v>
      </c>
      <c r="T1219" s="33"/>
      <c r="U1219" s="33"/>
    </row>
    <row r="1220" ht="15.75" customHeight="1">
      <c r="A1220" s="55">
        <v>46221.0</v>
      </c>
      <c r="B1220" s="55">
        <v>46221.0</v>
      </c>
      <c r="C1220" s="55" t="s">
        <v>25</v>
      </c>
      <c r="D1220" s="56" t="s">
        <v>34</v>
      </c>
      <c r="E1220" s="56" t="s">
        <v>32</v>
      </c>
      <c r="F1220" s="57">
        <v>0.04770833333333333</v>
      </c>
      <c r="G1220" s="56" t="s">
        <v>33</v>
      </c>
      <c r="H1220" s="149"/>
      <c r="I1220" s="25"/>
      <c r="J1220" s="26"/>
      <c r="K1220" s="21"/>
      <c r="L1220" s="27">
        <v>46223.0</v>
      </c>
      <c r="M1220" s="28">
        <v>0.10069444444444445</v>
      </c>
      <c r="N1220" s="29" t="s">
        <v>34</v>
      </c>
      <c r="O1220" s="29" t="s">
        <v>35</v>
      </c>
      <c r="P1220" s="34" t="s">
        <v>36</v>
      </c>
      <c r="Q1220" s="34" t="s">
        <v>1327</v>
      </c>
      <c r="R1220" s="79">
        <v>46223.0</v>
      </c>
      <c r="S1220" s="32" t="s">
        <v>29</v>
      </c>
      <c r="T1220" s="33"/>
      <c r="U1220" s="33"/>
    </row>
    <row r="1221" ht="15.75" customHeight="1">
      <c r="A1221" s="55">
        <v>46221.0</v>
      </c>
      <c r="B1221" s="55">
        <v>46221.0</v>
      </c>
      <c r="C1221" s="55"/>
      <c r="D1221" s="56"/>
      <c r="E1221" s="56" t="s">
        <v>40</v>
      </c>
      <c r="F1221" s="57"/>
      <c r="G1221" s="59" t="s">
        <v>27</v>
      </c>
      <c r="H1221" s="149"/>
      <c r="I1221" s="25"/>
      <c r="J1221" s="26"/>
      <c r="K1221" s="21"/>
      <c r="L1221" s="27"/>
      <c r="M1221" s="28"/>
      <c r="N1221" s="29"/>
      <c r="O1221" s="29"/>
      <c r="P1221" s="34"/>
      <c r="Q1221" s="34" t="s">
        <v>1328</v>
      </c>
      <c r="R1221" s="35"/>
      <c r="S1221" s="32" t="s">
        <v>29</v>
      </c>
      <c r="T1221" s="33"/>
      <c r="U1221" s="33"/>
    </row>
    <row r="1222" ht="15.75" customHeight="1">
      <c r="A1222" s="55">
        <v>46221.0</v>
      </c>
      <c r="B1222" s="55">
        <v>46221.0</v>
      </c>
      <c r="C1222" s="55"/>
      <c r="D1222" s="56"/>
      <c r="E1222" s="56" t="s">
        <v>43</v>
      </c>
      <c r="F1222" s="57"/>
      <c r="G1222" s="56" t="s">
        <v>27</v>
      </c>
      <c r="H1222" s="149"/>
      <c r="I1222" s="25"/>
      <c r="J1222" s="26"/>
      <c r="K1222" s="21"/>
      <c r="L1222" s="27"/>
      <c r="M1222" s="28"/>
      <c r="N1222" s="29"/>
      <c r="O1222" s="29"/>
      <c r="P1222" s="30" t="s">
        <v>28</v>
      </c>
      <c r="Q1222" s="30" t="s">
        <v>28</v>
      </c>
      <c r="R1222" s="174" t="s">
        <v>28</v>
      </c>
      <c r="S1222" s="32" t="s">
        <v>29</v>
      </c>
      <c r="T1222" s="33"/>
      <c r="U1222" s="33"/>
    </row>
    <row r="1223" ht="16.5" customHeight="1">
      <c r="A1223" s="55">
        <v>46221.0</v>
      </c>
      <c r="B1223" s="55">
        <v>46221.0</v>
      </c>
      <c r="C1223" s="55"/>
      <c r="D1223" s="56"/>
      <c r="E1223" s="56" t="s">
        <v>61</v>
      </c>
      <c r="F1223" s="57">
        <v>0.015844907407407408</v>
      </c>
      <c r="G1223" s="56" t="s">
        <v>33</v>
      </c>
      <c r="H1223" s="175" t="s">
        <v>1329</v>
      </c>
      <c r="I1223" s="25" t="s">
        <v>46</v>
      </c>
      <c r="J1223" s="26">
        <v>46224.37291666667</v>
      </c>
      <c r="K1223" s="27" t="s">
        <v>1330</v>
      </c>
      <c r="L1223" s="27">
        <v>46226.0</v>
      </c>
      <c r="M1223" s="28">
        <v>0.041666666666666664</v>
      </c>
      <c r="N1223" s="29" t="s">
        <v>57</v>
      </c>
      <c r="O1223" s="29" t="s">
        <v>35</v>
      </c>
      <c r="P1223" s="34" t="s">
        <v>36</v>
      </c>
      <c r="Q1223" s="34" t="s">
        <v>1331</v>
      </c>
      <c r="R1223" s="35">
        <v>46226.0</v>
      </c>
      <c r="S1223" s="32" t="s">
        <v>29</v>
      </c>
      <c r="T1223" s="33"/>
      <c r="U1223" s="33"/>
    </row>
    <row r="1224" ht="15.75" customHeight="1">
      <c r="A1224" s="55">
        <v>46221.0</v>
      </c>
      <c r="B1224" s="55">
        <v>46221.0</v>
      </c>
      <c r="C1224" s="55"/>
      <c r="D1224" s="56"/>
      <c r="E1224" s="56" t="s">
        <v>62</v>
      </c>
      <c r="F1224" s="57">
        <v>0.015844907407407408</v>
      </c>
      <c r="G1224" s="56" t="s">
        <v>33</v>
      </c>
      <c r="H1224" s="176" t="s">
        <v>1332</v>
      </c>
      <c r="I1224" s="25" t="s">
        <v>46</v>
      </c>
      <c r="J1224" s="26">
        <v>46224.427777777775</v>
      </c>
      <c r="K1224" s="21" t="s">
        <v>1333</v>
      </c>
      <c r="L1224" s="27">
        <v>46226.0</v>
      </c>
      <c r="M1224" s="28">
        <v>0.003472222222222222</v>
      </c>
      <c r="N1224" s="29" t="s">
        <v>57</v>
      </c>
      <c r="O1224" s="29" t="s">
        <v>355</v>
      </c>
      <c r="P1224" s="34" t="s">
        <v>36</v>
      </c>
      <c r="Q1224" s="34" t="s">
        <v>1334</v>
      </c>
      <c r="R1224" s="35">
        <v>46226.0</v>
      </c>
      <c r="S1224" s="32" t="s">
        <v>29</v>
      </c>
      <c r="T1224" s="33"/>
      <c r="U1224" s="33"/>
    </row>
    <row r="1225" ht="15.75" customHeight="1">
      <c r="A1225" s="55">
        <v>46221.0</v>
      </c>
      <c r="B1225" s="55">
        <v>46221.0</v>
      </c>
      <c r="C1225" s="55" t="s">
        <v>25</v>
      </c>
      <c r="D1225" s="56" t="s">
        <v>34</v>
      </c>
      <c r="E1225" s="56" t="s">
        <v>63</v>
      </c>
      <c r="F1225" s="57">
        <v>0.015590277777777778</v>
      </c>
      <c r="G1225" s="56" t="s">
        <v>33</v>
      </c>
      <c r="H1225" s="149" t="s">
        <v>1335</v>
      </c>
      <c r="I1225" s="25" t="s">
        <v>46</v>
      </c>
      <c r="J1225" s="26">
        <v>46223.674305555556</v>
      </c>
      <c r="K1225" s="21" t="s">
        <v>1336</v>
      </c>
      <c r="L1225" s="27">
        <v>46225.0</v>
      </c>
      <c r="M1225" s="28">
        <v>0.041666666666666664</v>
      </c>
      <c r="N1225" s="29" t="s">
        <v>34</v>
      </c>
      <c r="O1225" s="29" t="s">
        <v>35</v>
      </c>
      <c r="P1225" s="34" t="s">
        <v>36</v>
      </c>
      <c r="Q1225" s="34" t="s">
        <v>1337</v>
      </c>
      <c r="R1225" s="79">
        <v>46226.0</v>
      </c>
      <c r="S1225" s="32" t="s">
        <v>29</v>
      </c>
      <c r="T1225" s="33"/>
      <c r="U1225" s="33"/>
    </row>
    <row r="1226" ht="15.75" customHeight="1">
      <c r="A1226" s="55">
        <v>46221.0</v>
      </c>
      <c r="B1226" s="55"/>
      <c r="C1226" s="55" t="s">
        <v>25</v>
      </c>
      <c r="D1226" s="56" t="s">
        <v>57</v>
      </c>
      <c r="E1226" s="56" t="s">
        <v>1218</v>
      </c>
      <c r="F1226" s="57">
        <v>0.021388888888888888</v>
      </c>
      <c r="G1226" s="56" t="s">
        <v>33</v>
      </c>
      <c r="H1226" s="149" t="s">
        <v>1338</v>
      </c>
      <c r="I1226" s="25" t="s">
        <v>46</v>
      </c>
      <c r="J1226" s="26">
        <v>46223.35625</v>
      </c>
      <c r="K1226" s="21" t="s">
        <v>1339</v>
      </c>
      <c r="L1226" s="27">
        <v>46227.0</v>
      </c>
      <c r="M1226" s="28">
        <v>0.027777777777777776</v>
      </c>
      <c r="N1226" s="29" t="s">
        <v>69</v>
      </c>
      <c r="O1226" s="29" t="s">
        <v>35</v>
      </c>
      <c r="P1226" s="34" t="s">
        <v>36</v>
      </c>
      <c r="Q1226" s="34" t="s">
        <v>1340</v>
      </c>
      <c r="R1226" s="79">
        <v>46226.0</v>
      </c>
      <c r="S1226" s="32"/>
      <c r="T1226" s="33"/>
      <c r="U1226" s="33"/>
    </row>
    <row r="1227" ht="15.75" customHeight="1">
      <c r="A1227" s="60">
        <v>46222.0</v>
      </c>
      <c r="B1227" s="60">
        <v>46222.0</v>
      </c>
      <c r="C1227" s="60"/>
      <c r="D1227" s="61"/>
      <c r="E1227" s="61" t="s">
        <v>66</v>
      </c>
      <c r="F1227" s="62"/>
      <c r="G1227" s="61" t="s">
        <v>102</v>
      </c>
      <c r="H1227" s="149"/>
      <c r="I1227" s="25"/>
      <c r="J1227" s="26"/>
      <c r="K1227" s="21"/>
      <c r="L1227" s="27"/>
      <c r="M1227" s="28"/>
      <c r="N1227" s="29"/>
      <c r="O1227" s="29"/>
      <c r="P1227" s="34" t="s">
        <v>28</v>
      </c>
      <c r="Q1227" s="34" t="s">
        <v>28</v>
      </c>
      <c r="R1227" s="35" t="s">
        <v>28</v>
      </c>
      <c r="S1227" s="32" t="s">
        <v>29</v>
      </c>
      <c r="T1227" s="33"/>
      <c r="U1227" s="33"/>
    </row>
    <row r="1228" ht="15.75" customHeight="1">
      <c r="A1228" s="20">
        <v>46223.0</v>
      </c>
      <c r="B1228" s="20">
        <v>46223.0</v>
      </c>
      <c r="C1228" s="20" t="s">
        <v>25</v>
      </c>
      <c r="D1228" s="21" t="s">
        <v>49</v>
      </c>
      <c r="E1228" s="21" t="s">
        <v>26</v>
      </c>
      <c r="F1228" s="22">
        <v>0.10068287037037037</v>
      </c>
      <c r="G1228" s="21" t="s">
        <v>33</v>
      </c>
      <c r="H1228" s="149"/>
      <c r="I1228" s="25"/>
      <c r="J1228" s="26"/>
      <c r="K1228" s="21"/>
      <c r="L1228" s="27">
        <v>46224.0</v>
      </c>
      <c r="M1228" s="28">
        <v>0.2569444444444444</v>
      </c>
      <c r="N1228" s="29" t="s">
        <v>34</v>
      </c>
      <c r="O1228" s="29" t="s">
        <v>35</v>
      </c>
      <c r="P1228" s="34" t="s">
        <v>36</v>
      </c>
      <c r="Q1228" s="34" t="s">
        <v>1341</v>
      </c>
      <c r="R1228" s="35">
        <v>46224.0</v>
      </c>
      <c r="S1228" s="32" t="s">
        <v>29</v>
      </c>
      <c r="T1228" s="33"/>
      <c r="U1228" s="33"/>
    </row>
    <row r="1229" ht="15.75" customHeight="1">
      <c r="A1229" s="20">
        <v>46223.0</v>
      </c>
      <c r="B1229" s="20">
        <v>46223.0</v>
      </c>
      <c r="C1229" s="20" t="s">
        <v>25</v>
      </c>
      <c r="D1229" s="21" t="s">
        <v>31</v>
      </c>
      <c r="E1229" s="21" t="s">
        <v>30</v>
      </c>
      <c r="F1229" s="22">
        <v>0.006388888888888889</v>
      </c>
      <c r="G1229" s="21" t="s">
        <v>33</v>
      </c>
      <c r="H1229" s="149"/>
      <c r="I1229" s="25"/>
      <c r="J1229" s="26"/>
      <c r="K1229" s="21" t="s">
        <v>1342</v>
      </c>
      <c r="L1229" s="27">
        <v>46223.0</v>
      </c>
      <c r="M1229" s="28">
        <v>0.013888888888888888</v>
      </c>
      <c r="N1229" s="44" t="s">
        <v>31</v>
      </c>
      <c r="O1229" s="29" t="s">
        <v>35</v>
      </c>
      <c r="P1229" s="34" t="s">
        <v>36</v>
      </c>
      <c r="Q1229" s="34" t="s">
        <v>1343</v>
      </c>
      <c r="R1229" s="35">
        <v>46226.0</v>
      </c>
      <c r="S1229" s="32" t="s">
        <v>29</v>
      </c>
      <c r="T1229" s="33"/>
      <c r="U1229" s="33"/>
    </row>
    <row r="1230" ht="15.75" customHeight="1">
      <c r="A1230" s="20">
        <v>46223.0</v>
      </c>
      <c r="B1230" s="20">
        <v>46223.0</v>
      </c>
      <c r="C1230" s="20" t="s">
        <v>25</v>
      </c>
      <c r="D1230" s="21" t="s">
        <v>39</v>
      </c>
      <c r="E1230" s="21" t="s">
        <v>32</v>
      </c>
      <c r="F1230" s="22">
        <v>0.04756944444444444</v>
      </c>
      <c r="G1230" s="21" t="s">
        <v>33</v>
      </c>
      <c r="H1230" s="177"/>
      <c r="I1230" s="25"/>
      <c r="J1230" s="26"/>
      <c r="K1230" s="21"/>
      <c r="L1230" s="27">
        <v>46224.0</v>
      </c>
      <c r="M1230" s="28">
        <v>0.125</v>
      </c>
      <c r="N1230" s="29" t="s">
        <v>31</v>
      </c>
      <c r="O1230" s="29" t="s">
        <v>35</v>
      </c>
      <c r="P1230" s="34" t="s">
        <v>36</v>
      </c>
      <c r="Q1230" s="34" t="s">
        <v>1344</v>
      </c>
      <c r="R1230" s="35">
        <v>46224.0</v>
      </c>
      <c r="S1230" s="32" t="s">
        <v>29</v>
      </c>
      <c r="T1230" s="33"/>
      <c r="U1230" s="33"/>
    </row>
    <row r="1231" ht="15.75" customHeight="1">
      <c r="A1231" s="20">
        <v>46223.0</v>
      </c>
      <c r="B1231" s="20">
        <v>46223.0</v>
      </c>
      <c r="C1231" s="20" t="s">
        <v>25</v>
      </c>
      <c r="D1231" s="21" t="s">
        <v>39</v>
      </c>
      <c r="E1231" s="21" t="s">
        <v>38</v>
      </c>
      <c r="F1231" s="22">
        <v>0.009791666666666667</v>
      </c>
      <c r="G1231" s="21" t="s">
        <v>33</v>
      </c>
      <c r="H1231" s="149" t="s">
        <v>1345</v>
      </c>
      <c r="I1231" s="25" t="s">
        <v>46</v>
      </c>
      <c r="J1231" s="26">
        <v>46223.92916666667</v>
      </c>
      <c r="K1231" s="21" t="s">
        <v>1346</v>
      </c>
      <c r="L1231" s="27">
        <v>46224.0</v>
      </c>
      <c r="M1231" s="28">
        <v>0.041666666666666664</v>
      </c>
      <c r="N1231" s="29" t="s">
        <v>69</v>
      </c>
      <c r="O1231" s="29" t="s">
        <v>35</v>
      </c>
      <c r="P1231" s="34" t="s">
        <v>36</v>
      </c>
      <c r="Q1231" s="34">
        <v>1.2068823E7</v>
      </c>
      <c r="R1231" s="35">
        <v>46226.0</v>
      </c>
      <c r="S1231" s="32" t="s">
        <v>29</v>
      </c>
      <c r="T1231" s="33"/>
      <c r="U1231" s="33"/>
    </row>
    <row r="1232" ht="15.0" customHeight="1">
      <c r="A1232" s="20">
        <v>46223.0</v>
      </c>
      <c r="B1232" s="20">
        <v>46223.0</v>
      </c>
      <c r="C1232" s="20" t="s">
        <v>25</v>
      </c>
      <c r="D1232" s="21" t="s">
        <v>34</v>
      </c>
      <c r="E1232" s="21" t="s">
        <v>40</v>
      </c>
      <c r="F1232" s="22">
        <v>0.019988425925925927</v>
      </c>
      <c r="G1232" s="21" t="s">
        <v>33</v>
      </c>
      <c r="H1232" s="149"/>
      <c r="I1232" s="25"/>
      <c r="J1232" s="26"/>
      <c r="K1232" s="21"/>
      <c r="L1232" s="27">
        <v>46224.0</v>
      </c>
      <c r="M1232" s="28">
        <v>0.059722222222222225</v>
      </c>
      <c r="N1232" s="29" t="s">
        <v>49</v>
      </c>
      <c r="O1232" s="29" t="s">
        <v>35</v>
      </c>
      <c r="P1232" s="34" t="s">
        <v>36</v>
      </c>
      <c r="Q1232" s="34" t="s">
        <v>1347</v>
      </c>
      <c r="R1232" s="35">
        <v>46226.0</v>
      </c>
      <c r="S1232" s="32" t="s">
        <v>29</v>
      </c>
      <c r="T1232" s="33"/>
      <c r="U1232" s="33"/>
    </row>
    <row r="1233" ht="15.75" customHeight="1">
      <c r="A1233" s="20">
        <v>46223.0</v>
      </c>
      <c r="B1233" s="20">
        <v>46223.0</v>
      </c>
      <c r="C1233" s="20"/>
      <c r="D1233" s="21"/>
      <c r="E1233" s="21" t="s">
        <v>43</v>
      </c>
      <c r="F1233" s="22">
        <v>0.02082175925925926</v>
      </c>
      <c r="G1233" s="21" t="s">
        <v>33</v>
      </c>
      <c r="H1233" s="149"/>
      <c r="I1233" s="25"/>
      <c r="J1233" s="26"/>
      <c r="K1233" s="21"/>
      <c r="L1233" s="27">
        <v>46225.0</v>
      </c>
      <c r="M1233" s="28">
        <v>0.041666666666666664</v>
      </c>
      <c r="N1233" s="29" t="s">
        <v>57</v>
      </c>
      <c r="O1233" s="29" t="s">
        <v>35</v>
      </c>
      <c r="P1233" s="34"/>
      <c r="Q1233" s="34"/>
      <c r="R1233" s="35"/>
      <c r="S1233" s="32" t="s">
        <v>29</v>
      </c>
      <c r="T1233" s="33"/>
      <c r="U1233" s="33"/>
    </row>
    <row r="1234" ht="15.75" customHeight="1">
      <c r="A1234" s="20">
        <v>46224.0</v>
      </c>
      <c r="B1234" s="20">
        <v>46224.0</v>
      </c>
      <c r="C1234" s="20" t="s">
        <v>25</v>
      </c>
      <c r="D1234" s="21" t="s">
        <v>49</v>
      </c>
      <c r="E1234" s="21" t="s">
        <v>26</v>
      </c>
      <c r="F1234" s="22">
        <v>0.10048611111111111</v>
      </c>
      <c r="G1234" s="21" t="s">
        <v>33</v>
      </c>
      <c r="H1234" s="149"/>
      <c r="I1234" s="25"/>
      <c r="J1234" s="26"/>
      <c r="K1234" s="21"/>
      <c r="L1234" s="27">
        <v>46225.0</v>
      </c>
      <c r="M1234" s="28">
        <v>0.24305555555555555</v>
      </c>
      <c r="N1234" s="29" t="s">
        <v>39</v>
      </c>
      <c r="O1234" s="29" t="s">
        <v>35</v>
      </c>
      <c r="P1234" s="34" t="s">
        <v>36</v>
      </c>
      <c r="Q1234" s="34" t="s">
        <v>1348</v>
      </c>
      <c r="R1234" s="35">
        <v>46226.0</v>
      </c>
      <c r="S1234" s="32" t="s">
        <v>29</v>
      </c>
      <c r="T1234" s="33"/>
      <c r="U1234" s="33"/>
    </row>
    <row r="1235" ht="15.75" customHeight="1">
      <c r="A1235" s="20">
        <v>46224.0</v>
      </c>
      <c r="B1235" s="20">
        <v>46224.0</v>
      </c>
      <c r="C1235" s="20" t="s">
        <v>25</v>
      </c>
      <c r="D1235" s="21" t="s">
        <v>34</v>
      </c>
      <c r="E1235" s="21" t="s">
        <v>30</v>
      </c>
      <c r="F1235" s="22">
        <v>0.004548611111111111</v>
      </c>
      <c r="G1235" s="21" t="s">
        <v>33</v>
      </c>
      <c r="H1235" s="149"/>
      <c r="I1235" s="25"/>
      <c r="J1235" s="26"/>
      <c r="K1235" s="21"/>
      <c r="L1235" s="27">
        <v>46224.0</v>
      </c>
      <c r="M1235" s="28">
        <v>0.013888888888888888</v>
      </c>
      <c r="N1235" s="29" t="s">
        <v>34</v>
      </c>
      <c r="O1235" s="29" t="s">
        <v>35</v>
      </c>
      <c r="P1235" s="34" t="s">
        <v>36</v>
      </c>
      <c r="Q1235" s="34" t="s">
        <v>1349</v>
      </c>
      <c r="R1235" s="35">
        <v>46226.0</v>
      </c>
      <c r="S1235" s="32" t="s">
        <v>29</v>
      </c>
      <c r="T1235" s="33"/>
      <c r="U1235" s="33"/>
    </row>
    <row r="1236" ht="15.75" customHeight="1">
      <c r="A1236" s="20">
        <v>46224.0</v>
      </c>
      <c r="B1236" s="20">
        <v>46224.0</v>
      </c>
      <c r="C1236" s="20" t="s">
        <v>25</v>
      </c>
      <c r="D1236" s="21" t="s">
        <v>69</v>
      </c>
      <c r="E1236" s="21" t="s">
        <v>32</v>
      </c>
      <c r="F1236" s="22">
        <v>0.04710648148148148</v>
      </c>
      <c r="G1236" s="21" t="s">
        <v>33</v>
      </c>
      <c r="H1236" s="149"/>
      <c r="I1236" s="25"/>
      <c r="J1236" s="26"/>
      <c r="K1236" s="21"/>
      <c r="L1236" s="27">
        <v>46225.0</v>
      </c>
      <c r="M1236" s="28">
        <v>0.125</v>
      </c>
      <c r="N1236" s="29" t="s">
        <v>31</v>
      </c>
      <c r="O1236" s="29" t="s">
        <v>35</v>
      </c>
      <c r="P1236" s="34" t="s">
        <v>36</v>
      </c>
      <c r="Q1236" s="34" t="s">
        <v>1350</v>
      </c>
      <c r="R1236" s="35">
        <v>46226.0</v>
      </c>
      <c r="S1236" s="32" t="s">
        <v>29</v>
      </c>
      <c r="T1236" s="33"/>
      <c r="U1236" s="33"/>
    </row>
    <row r="1237" ht="15.75" customHeight="1">
      <c r="A1237" s="20">
        <v>46224.0</v>
      </c>
      <c r="B1237" s="20">
        <v>46224.0</v>
      </c>
      <c r="C1237" s="20" t="s">
        <v>25</v>
      </c>
      <c r="D1237" s="21" t="s">
        <v>39</v>
      </c>
      <c r="E1237" s="21" t="s">
        <v>38</v>
      </c>
      <c r="F1237" s="22">
        <v>0.00982638888888889</v>
      </c>
      <c r="G1237" s="21" t="s">
        <v>33</v>
      </c>
      <c r="H1237" s="149"/>
      <c r="I1237" s="25"/>
      <c r="J1237" s="26"/>
      <c r="K1237" s="21"/>
      <c r="L1237" s="27">
        <v>46225.0</v>
      </c>
      <c r="M1237" s="28">
        <v>0.0625</v>
      </c>
      <c r="N1237" s="29" t="s">
        <v>69</v>
      </c>
      <c r="O1237" s="29" t="s">
        <v>35</v>
      </c>
      <c r="P1237" s="34" t="s">
        <v>36</v>
      </c>
      <c r="Q1237" s="34">
        <v>1.2068824E7</v>
      </c>
      <c r="R1237" s="35">
        <v>46226.0</v>
      </c>
      <c r="S1237" s="32" t="s">
        <v>29</v>
      </c>
      <c r="T1237" s="33"/>
      <c r="U1237" s="33"/>
    </row>
    <row r="1238" ht="15.75" customHeight="1">
      <c r="A1238" s="20">
        <v>46224.0</v>
      </c>
      <c r="B1238" s="20">
        <v>46224.0</v>
      </c>
      <c r="C1238" s="20" t="s">
        <v>25</v>
      </c>
      <c r="D1238" s="21" t="s">
        <v>39</v>
      </c>
      <c r="E1238" s="21" t="s">
        <v>40</v>
      </c>
      <c r="F1238" s="22">
        <v>0.018865740740740742</v>
      </c>
      <c r="G1238" s="21" t="s">
        <v>33</v>
      </c>
      <c r="H1238" s="149"/>
      <c r="I1238" s="25"/>
      <c r="J1238" s="26"/>
      <c r="K1238" s="21"/>
      <c r="L1238" s="27">
        <v>46225.0</v>
      </c>
      <c r="M1238" s="28">
        <v>0.0625</v>
      </c>
      <c r="N1238" s="29" t="s">
        <v>49</v>
      </c>
      <c r="O1238" s="29" t="s">
        <v>35</v>
      </c>
      <c r="P1238" s="34" t="s">
        <v>36</v>
      </c>
      <c r="Q1238" s="34" t="s">
        <v>1351</v>
      </c>
      <c r="R1238" s="35">
        <v>46226.0</v>
      </c>
      <c r="S1238" s="32" t="s">
        <v>29</v>
      </c>
      <c r="T1238" s="33"/>
      <c r="U1238" s="33"/>
    </row>
    <row r="1239" ht="15.75" customHeight="1">
      <c r="A1239" s="20">
        <v>46224.0</v>
      </c>
      <c r="B1239" s="20">
        <v>46224.0</v>
      </c>
      <c r="C1239" s="20"/>
      <c r="D1239" s="21"/>
      <c r="E1239" s="21" t="s">
        <v>43</v>
      </c>
      <c r="F1239" s="22">
        <v>0.017395833333333333</v>
      </c>
      <c r="G1239" s="21" t="s">
        <v>33</v>
      </c>
      <c r="H1239" s="149"/>
      <c r="I1239" s="25"/>
      <c r="J1239" s="26"/>
      <c r="K1239" s="21"/>
      <c r="L1239" s="27">
        <v>46225.0</v>
      </c>
      <c r="M1239" s="28">
        <v>0.041666666666666664</v>
      </c>
      <c r="N1239" s="29" t="s">
        <v>57</v>
      </c>
      <c r="O1239" s="29" t="s">
        <v>35</v>
      </c>
      <c r="P1239" s="34"/>
      <c r="Q1239" s="34"/>
      <c r="R1239" s="35"/>
      <c r="S1239" s="32" t="s">
        <v>29</v>
      </c>
      <c r="T1239" s="33"/>
      <c r="U1239" s="33"/>
    </row>
    <row r="1240" ht="15.75" customHeight="1">
      <c r="A1240" s="20">
        <v>46225.0</v>
      </c>
      <c r="B1240" s="20">
        <v>46225.0</v>
      </c>
      <c r="C1240" s="20" t="s">
        <v>25</v>
      </c>
      <c r="D1240" s="21" t="s">
        <v>49</v>
      </c>
      <c r="E1240" s="21" t="s">
        <v>26</v>
      </c>
      <c r="F1240" s="22">
        <v>0.10019675925925926</v>
      </c>
      <c r="G1240" s="21" t="s">
        <v>33</v>
      </c>
      <c r="H1240" s="149"/>
      <c r="I1240" s="25"/>
      <c r="J1240" s="26"/>
      <c r="K1240" s="21"/>
      <c r="L1240" s="27">
        <v>46226.0</v>
      </c>
      <c r="M1240" s="28">
        <v>0.20833333333333334</v>
      </c>
      <c r="N1240" s="29" t="s">
        <v>57</v>
      </c>
      <c r="O1240" s="29" t="s">
        <v>35</v>
      </c>
      <c r="P1240" s="34" t="s">
        <v>36</v>
      </c>
      <c r="Q1240" s="34" t="s">
        <v>1352</v>
      </c>
      <c r="R1240" s="35">
        <v>46226.0</v>
      </c>
      <c r="S1240" s="32" t="s">
        <v>29</v>
      </c>
      <c r="T1240" s="33"/>
      <c r="U1240" s="33"/>
    </row>
    <row r="1241" ht="15.75" customHeight="1">
      <c r="A1241" s="20">
        <v>46225.0</v>
      </c>
      <c r="B1241" s="20">
        <v>46225.0</v>
      </c>
      <c r="C1241" s="20" t="s">
        <v>25</v>
      </c>
      <c r="D1241" s="21" t="s">
        <v>39</v>
      </c>
      <c r="E1241" s="21" t="s">
        <v>30</v>
      </c>
      <c r="F1241" s="22">
        <v>0.0038194444444444443</v>
      </c>
      <c r="G1241" s="21" t="s">
        <v>33</v>
      </c>
      <c r="H1241" s="149"/>
      <c r="I1241" s="25"/>
      <c r="J1241" s="26"/>
      <c r="K1241" s="21"/>
      <c r="L1241" s="27">
        <v>46225.0</v>
      </c>
      <c r="M1241" s="28">
        <v>0.013888888888888888</v>
      </c>
      <c r="N1241" s="29" t="s">
        <v>39</v>
      </c>
      <c r="O1241" s="29" t="s">
        <v>35</v>
      </c>
      <c r="P1241" s="34" t="s">
        <v>36</v>
      </c>
      <c r="Q1241" s="34" t="s">
        <v>1353</v>
      </c>
      <c r="R1241" s="35">
        <v>46226.0</v>
      </c>
      <c r="S1241" s="32" t="s">
        <v>29</v>
      </c>
      <c r="T1241" s="33"/>
      <c r="U1241" s="33"/>
    </row>
    <row r="1242" ht="15.75" customHeight="1">
      <c r="A1242" s="20">
        <v>46225.0</v>
      </c>
      <c r="B1242" s="20">
        <v>46225.0</v>
      </c>
      <c r="C1242" s="20" t="s">
        <v>25</v>
      </c>
      <c r="D1242" s="21" t="s">
        <v>69</v>
      </c>
      <c r="E1242" s="21" t="s">
        <v>32</v>
      </c>
      <c r="F1242" s="22">
        <v>0.04739583333333333</v>
      </c>
      <c r="G1242" s="21" t="s">
        <v>33</v>
      </c>
      <c r="H1242" s="149"/>
      <c r="I1242" s="25"/>
      <c r="J1242" s="26"/>
      <c r="K1242" s="21"/>
      <c r="L1242" s="27">
        <v>46226.0</v>
      </c>
      <c r="M1242" s="28">
        <v>0.125</v>
      </c>
      <c r="N1242" s="29" t="s">
        <v>31</v>
      </c>
      <c r="O1242" s="29" t="s">
        <v>35</v>
      </c>
      <c r="P1242" s="34" t="s">
        <v>36</v>
      </c>
      <c r="Q1242" s="34" t="s">
        <v>1354</v>
      </c>
      <c r="R1242" s="35">
        <v>46226.0</v>
      </c>
      <c r="S1242" s="32" t="s">
        <v>29</v>
      </c>
      <c r="T1242" s="33"/>
      <c r="U1242" s="33"/>
    </row>
    <row r="1243" ht="15.75" customHeight="1">
      <c r="A1243" s="20">
        <v>46225.0</v>
      </c>
      <c r="B1243" s="20">
        <v>46225.0</v>
      </c>
      <c r="C1243" s="20" t="s">
        <v>25</v>
      </c>
      <c r="D1243" s="21" t="s">
        <v>34</v>
      </c>
      <c r="E1243" s="21" t="s">
        <v>38</v>
      </c>
      <c r="F1243" s="22">
        <v>0.010451388888888889</v>
      </c>
      <c r="G1243" s="21" t="s">
        <v>33</v>
      </c>
      <c r="H1243" s="149"/>
      <c r="I1243" s="25"/>
      <c r="J1243" s="26"/>
      <c r="K1243" s="21"/>
      <c r="L1243" s="27">
        <v>46226.0</v>
      </c>
      <c r="M1243" s="28">
        <v>0.041666666666666664</v>
      </c>
      <c r="N1243" s="29" t="s">
        <v>69</v>
      </c>
      <c r="O1243" s="29" t="s">
        <v>35</v>
      </c>
      <c r="P1243" s="34" t="s">
        <v>36</v>
      </c>
      <c r="Q1243" s="34">
        <v>1.2068825E7</v>
      </c>
      <c r="R1243" s="35">
        <v>46226.0</v>
      </c>
      <c r="S1243" s="32" t="s">
        <v>29</v>
      </c>
      <c r="T1243" s="33"/>
      <c r="U1243" s="33"/>
    </row>
    <row r="1244" ht="15.75" customHeight="1">
      <c r="A1244" s="20">
        <v>46225.0</v>
      </c>
      <c r="B1244" s="20">
        <v>46225.0</v>
      </c>
      <c r="C1244" s="20" t="s">
        <v>25</v>
      </c>
      <c r="D1244" s="21" t="s">
        <v>34</v>
      </c>
      <c r="E1244" s="21" t="s">
        <v>40</v>
      </c>
      <c r="F1244" s="22">
        <v>0.019224537037037037</v>
      </c>
      <c r="G1244" s="21" t="s">
        <v>33</v>
      </c>
      <c r="H1244" s="149"/>
      <c r="I1244" s="25"/>
      <c r="J1244" s="26"/>
      <c r="K1244" s="21"/>
      <c r="L1244" s="27">
        <v>46226.0</v>
      </c>
      <c r="M1244" s="28">
        <v>0.059027777777777776</v>
      </c>
      <c r="N1244" s="29" t="s">
        <v>49</v>
      </c>
      <c r="O1244" s="29" t="s">
        <v>35</v>
      </c>
      <c r="P1244" s="34" t="s">
        <v>36</v>
      </c>
      <c r="Q1244" s="34" t="s">
        <v>1355</v>
      </c>
      <c r="R1244" s="35">
        <v>46226.0</v>
      </c>
      <c r="S1244" s="32" t="s">
        <v>29</v>
      </c>
      <c r="T1244" s="33"/>
      <c r="U1244" s="33"/>
    </row>
    <row r="1245" ht="15.75" customHeight="1">
      <c r="A1245" s="20">
        <v>46225.0</v>
      </c>
      <c r="B1245" s="20">
        <v>46225.0</v>
      </c>
      <c r="C1245" s="20"/>
      <c r="D1245" s="21"/>
      <c r="E1245" s="21" t="s">
        <v>43</v>
      </c>
      <c r="F1245" s="22">
        <v>0.017592592592592594</v>
      </c>
      <c r="G1245" s="21" t="s">
        <v>33</v>
      </c>
      <c r="H1245" s="149"/>
      <c r="I1245" s="25"/>
      <c r="J1245" s="26"/>
      <c r="K1245" s="21"/>
      <c r="L1245" s="27">
        <v>46226.0</v>
      </c>
      <c r="M1245" s="28">
        <v>0.041666666666666664</v>
      </c>
      <c r="N1245" s="29" t="s">
        <v>34</v>
      </c>
      <c r="O1245" s="29" t="s">
        <v>35</v>
      </c>
      <c r="P1245" s="34"/>
      <c r="Q1245" s="34"/>
      <c r="R1245" s="35"/>
      <c r="S1245" s="32" t="s">
        <v>29</v>
      </c>
      <c r="T1245" s="33"/>
      <c r="U1245" s="33"/>
    </row>
    <row r="1246" ht="15.75" customHeight="1">
      <c r="A1246" s="20">
        <v>46226.0</v>
      </c>
      <c r="B1246" s="20">
        <v>46226.0</v>
      </c>
      <c r="C1246" s="20" t="s">
        <v>25</v>
      </c>
      <c r="D1246" s="21" t="s">
        <v>49</v>
      </c>
      <c r="E1246" s="21" t="s">
        <v>26</v>
      </c>
      <c r="F1246" s="22">
        <v>0.0990162037037037</v>
      </c>
      <c r="G1246" s="21" t="s">
        <v>33</v>
      </c>
      <c r="H1246" s="149"/>
      <c r="I1246" s="25"/>
      <c r="J1246" s="26"/>
      <c r="K1246" s="21"/>
      <c r="L1246" s="27">
        <v>46226.0</v>
      </c>
      <c r="M1246" s="28">
        <v>0.017361111111111112</v>
      </c>
      <c r="N1246" s="29" t="s">
        <v>57</v>
      </c>
      <c r="O1246" s="29" t="s">
        <v>35</v>
      </c>
      <c r="P1246" s="34" t="s">
        <v>36</v>
      </c>
      <c r="Q1246" s="34" t="s">
        <v>1356</v>
      </c>
      <c r="R1246" s="35">
        <v>46227.0</v>
      </c>
      <c r="S1246" s="32" t="s">
        <v>29</v>
      </c>
      <c r="T1246" s="33"/>
      <c r="U1246" s="33"/>
    </row>
    <row r="1247" ht="15.75" customHeight="1">
      <c r="A1247" s="20">
        <v>46226.0</v>
      </c>
      <c r="B1247" s="20">
        <v>46226.0</v>
      </c>
      <c r="C1247" s="20" t="s">
        <v>25</v>
      </c>
      <c r="D1247" s="21" t="s">
        <v>57</v>
      </c>
      <c r="E1247" s="21" t="s">
        <v>30</v>
      </c>
      <c r="F1247" s="22">
        <v>0.0044675925925925924</v>
      </c>
      <c r="G1247" s="21" t="s">
        <v>33</v>
      </c>
      <c r="H1247" s="149"/>
      <c r="I1247" s="25"/>
      <c r="J1247" s="26"/>
      <c r="K1247" s="21"/>
      <c r="L1247" s="27">
        <v>46227.0</v>
      </c>
      <c r="M1247" s="28">
        <v>0.20833333333333334</v>
      </c>
      <c r="N1247" s="29" t="s">
        <v>57</v>
      </c>
      <c r="O1247" s="29" t="s">
        <v>1357</v>
      </c>
      <c r="P1247" s="34" t="s">
        <v>36</v>
      </c>
      <c r="Q1247" s="34" t="s">
        <v>1358</v>
      </c>
      <c r="R1247" s="35">
        <v>46227.0</v>
      </c>
      <c r="S1247" s="32" t="s">
        <v>29</v>
      </c>
      <c r="T1247" s="33"/>
      <c r="U1247" s="33"/>
    </row>
    <row r="1248" ht="15.75" customHeight="1">
      <c r="A1248" s="20">
        <v>46226.0</v>
      </c>
      <c r="B1248" s="20">
        <v>46226.0</v>
      </c>
      <c r="C1248" s="20" t="s">
        <v>25</v>
      </c>
      <c r="D1248" s="21" t="s">
        <v>69</v>
      </c>
      <c r="E1248" s="21" t="s">
        <v>32</v>
      </c>
      <c r="F1248" s="22">
        <v>0.047824074074074074</v>
      </c>
      <c r="G1248" s="21" t="s">
        <v>33</v>
      </c>
      <c r="H1248" s="149"/>
      <c r="I1248" s="25"/>
      <c r="J1248" s="26"/>
      <c r="K1248" s="21"/>
      <c r="L1248" s="27">
        <v>46227.0</v>
      </c>
      <c r="M1248" s="28">
        <v>0.125</v>
      </c>
      <c r="N1248" s="29" t="s">
        <v>31</v>
      </c>
      <c r="O1248" s="29" t="s">
        <v>35</v>
      </c>
      <c r="P1248" s="34" t="s">
        <v>36</v>
      </c>
      <c r="Q1248" s="34" t="s">
        <v>1359</v>
      </c>
      <c r="R1248" s="35">
        <v>46227.0</v>
      </c>
      <c r="S1248" s="32" t="s">
        <v>29</v>
      </c>
      <c r="T1248" s="33"/>
      <c r="U1248" s="33"/>
    </row>
    <row r="1249" ht="15.75" customHeight="1">
      <c r="A1249" s="20">
        <v>46226.0</v>
      </c>
      <c r="B1249" s="20">
        <v>46226.0</v>
      </c>
      <c r="C1249" s="20" t="s">
        <v>25</v>
      </c>
      <c r="D1249" s="21" t="s">
        <v>34</v>
      </c>
      <c r="E1249" s="21" t="s">
        <v>38</v>
      </c>
      <c r="F1249" s="22">
        <v>0.009050925925925926</v>
      </c>
      <c r="G1249" s="21" t="s">
        <v>33</v>
      </c>
      <c r="H1249" s="149"/>
      <c r="I1249" s="25"/>
      <c r="J1249" s="26"/>
      <c r="K1249" s="21"/>
      <c r="L1249" s="27">
        <v>46227.0</v>
      </c>
      <c r="M1249" s="28">
        <v>0.041666666666666664</v>
      </c>
      <c r="N1249" s="29" t="s">
        <v>69</v>
      </c>
      <c r="O1249" s="29" t="s">
        <v>35</v>
      </c>
      <c r="P1249" s="34" t="s">
        <v>36</v>
      </c>
      <c r="Q1249" s="34">
        <v>1.2068826E7</v>
      </c>
      <c r="R1249" s="35">
        <v>46227.0</v>
      </c>
      <c r="S1249" s="32" t="s">
        <v>29</v>
      </c>
      <c r="T1249" s="33"/>
      <c r="U1249" s="33"/>
    </row>
    <row r="1250" ht="15.75" customHeight="1">
      <c r="A1250" s="20">
        <v>46226.0</v>
      </c>
      <c r="B1250" s="20">
        <v>46226.0</v>
      </c>
      <c r="C1250" s="20" t="s">
        <v>25</v>
      </c>
      <c r="D1250" s="21" t="s">
        <v>34</v>
      </c>
      <c r="E1250" s="21" t="s">
        <v>40</v>
      </c>
      <c r="F1250" s="22">
        <v>0.01986111111111111</v>
      </c>
      <c r="G1250" s="21" t="s">
        <v>33</v>
      </c>
      <c r="H1250" s="149"/>
      <c r="I1250" s="25"/>
      <c r="J1250" s="26"/>
      <c r="K1250" s="21"/>
      <c r="L1250" s="27">
        <v>46227.0</v>
      </c>
      <c r="M1250" s="28">
        <v>0.06666666666666667</v>
      </c>
      <c r="N1250" s="29" t="s">
        <v>49</v>
      </c>
      <c r="O1250" s="29" t="s">
        <v>35</v>
      </c>
      <c r="P1250" s="34" t="s">
        <v>36</v>
      </c>
      <c r="Q1250" s="34" t="s">
        <v>1360</v>
      </c>
      <c r="R1250" s="35">
        <v>46227.0</v>
      </c>
      <c r="S1250" s="32" t="s">
        <v>29</v>
      </c>
      <c r="T1250" s="33"/>
      <c r="U1250" s="33"/>
    </row>
    <row r="1251" ht="15.75" customHeight="1">
      <c r="A1251" s="20">
        <v>46226.0</v>
      </c>
      <c r="B1251" s="20">
        <v>46226.0</v>
      </c>
      <c r="C1251" s="20"/>
      <c r="D1251" s="21"/>
      <c r="E1251" s="21" t="s">
        <v>43</v>
      </c>
      <c r="F1251" s="22">
        <v>0.01636574074074074</v>
      </c>
      <c r="G1251" s="21" t="s">
        <v>33</v>
      </c>
      <c r="H1251" s="149"/>
      <c r="I1251" s="25"/>
      <c r="J1251" s="26"/>
      <c r="K1251" s="21"/>
      <c r="L1251" s="27">
        <v>46227.0</v>
      </c>
      <c r="M1251" s="28">
        <v>0.034722222222222224</v>
      </c>
      <c r="N1251" s="29" t="s">
        <v>34</v>
      </c>
      <c r="O1251" s="29" t="s">
        <v>35</v>
      </c>
      <c r="P1251" s="34"/>
      <c r="Q1251" s="34"/>
      <c r="R1251" s="35"/>
      <c r="S1251" s="32" t="s">
        <v>29</v>
      </c>
      <c r="T1251" s="33"/>
      <c r="U1251" s="33"/>
    </row>
    <row r="1252" ht="15.75" customHeight="1">
      <c r="A1252" s="20">
        <v>46226.0</v>
      </c>
      <c r="B1252" s="20">
        <v>46226.0</v>
      </c>
      <c r="C1252" s="20" t="s">
        <v>25</v>
      </c>
      <c r="D1252" s="21" t="s">
        <v>39</v>
      </c>
      <c r="E1252" s="21" t="s">
        <v>87</v>
      </c>
      <c r="F1252" s="22">
        <v>0.008784722222222222</v>
      </c>
      <c r="G1252" s="21" t="s">
        <v>88</v>
      </c>
      <c r="H1252" s="149" t="s">
        <v>1361</v>
      </c>
      <c r="I1252" s="25" t="s">
        <v>46</v>
      </c>
      <c r="J1252" s="26">
        <v>46226.92083333333</v>
      </c>
      <c r="K1252" s="21" t="s">
        <v>1362</v>
      </c>
      <c r="L1252" s="27"/>
      <c r="M1252" s="28"/>
      <c r="N1252" s="29"/>
      <c r="O1252" s="29"/>
      <c r="P1252" s="34" t="s">
        <v>36</v>
      </c>
      <c r="Q1252" s="34">
        <v>1.2086285E7</v>
      </c>
      <c r="R1252" s="35">
        <v>46227.0</v>
      </c>
      <c r="S1252" s="32"/>
      <c r="T1252" s="33"/>
      <c r="U1252" s="33"/>
    </row>
    <row r="1253" ht="15.75" customHeight="1">
      <c r="A1253" s="20">
        <v>46226.0</v>
      </c>
      <c r="B1253" s="20">
        <v>46226.0</v>
      </c>
      <c r="C1253" s="20" t="s">
        <v>25</v>
      </c>
      <c r="D1253" s="21" t="s">
        <v>39</v>
      </c>
      <c r="E1253" s="21" t="s">
        <v>87</v>
      </c>
      <c r="F1253" s="22">
        <v>0.005416666666666667</v>
      </c>
      <c r="G1253" s="21" t="s">
        <v>88</v>
      </c>
      <c r="H1253" s="149" t="s">
        <v>1363</v>
      </c>
      <c r="I1253" s="25" t="s">
        <v>46</v>
      </c>
      <c r="J1253" s="26">
        <v>46226.92083333333</v>
      </c>
      <c r="K1253" s="119" t="s">
        <v>1364</v>
      </c>
      <c r="L1253" s="27"/>
      <c r="M1253" s="28"/>
      <c r="N1253" s="29"/>
      <c r="O1253" s="29"/>
      <c r="P1253" s="34" t="s">
        <v>36</v>
      </c>
      <c r="Q1253" s="34">
        <v>1.2086286E7</v>
      </c>
      <c r="R1253" s="35">
        <v>46227.0</v>
      </c>
      <c r="S1253" s="32"/>
      <c r="T1253" s="33"/>
      <c r="U1253" s="33"/>
    </row>
    <row r="1254" ht="15.75" customHeight="1">
      <c r="A1254" s="20">
        <v>46226.0</v>
      </c>
      <c r="B1254" s="20">
        <v>46226.0</v>
      </c>
      <c r="C1254" s="20" t="s">
        <v>25</v>
      </c>
      <c r="D1254" s="21" t="s">
        <v>39</v>
      </c>
      <c r="E1254" s="21" t="s">
        <v>87</v>
      </c>
      <c r="F1254" s="22">
        <v>0.005</v>
      </c>
      <c r="G1254" s="21" t="s">
        <v>88</v>
      </c>
      <c r="H1254" s="149" t="s">
        <v>1365</v>
      </c>
      <c r="I1254" s="25" t="s">
        <v>46</v>
      </c>
      <c r="J1254" s="26">
        <v>46226.92083333333</v>
      </c>
      <c r="K1254" s="21" t="s">
        <v>1366</v>
      </c>
      <c r="L1254" s="27"/>
      <c r="M1254" s="28"/>
      <c r="N1254" s="29"/>
      <c r="O1254" s="29"/>
      <c r="P1254" s="34" t="s">
        <v>36</v>
      </c>
      <c r="Q1254" s="34">
        <v>1.2086287E7</v>
      </c>
      <c r="R1254" s="35">
        <v>46227.0</v>
      </c>
      <c r="S1254" s="32"/>
      <c r="T1254" s="33"/>
      <c r="U1254" s="33"/>
    </row>
    <row r="1255" ht="15.75" customHeight="1">
      <c r="A1255" s="20">
        <v>46227.0</v>
      </c>
      <c r="B1255" s="20">
        <v>46227.0</v>
      </c>
      <c r="C1255" s="20" t="s">
        <v>25</v>
      </c>
      <c r="D1255" s="21" t="s">
        <v>49</v>
      </c>
      <c r="E1255" s="21" t="s">
        <v>26</v>
      </c>
      <c r="F1255" s="22">
        <v>0.1003125</v>
      </c>
      <c r="G1255" s="21" t="s">
        <v>33</v>
      </c>
      <c r="H1255" s="149"/>
      <c r="I1255" s="25"/>
      <c r="J1255" s="26"/>
      <c r="K1255" s="21"/>
      <c r="L1255" s="27"/>
      <c r="M1255" s="28"/>
      <c r="N1255" s="29" t="s">
        <v>31</v>
      </c>
      <c r="O1255" s="29"/>
      <c r="P1255" s="34"/>
      <c r="Q1255" s="34" t="s">
        <v>1367</v>
      </c>
      <c r="R1255" s="35"/>
      <c r="S1255" s="32" t="s">
        <v>29</v>
      </c>
      <c r="T1255" s="33"/>
      <c r="U1255" s="33"/>
    </row>
    <row r="1256" ht="15.75" customHeight="1">
      <c r="A1256" s="20">
        <v>46227.0</v>
      </c>
      <c r="B1256" s="20">
        <v>46227.0</v>
      </c>
      <c r="C1256" s="20" t="s">
        <v>25</v>
      </c>
      <c r="D1256" s="21" t="s">
        <v>57</v>
      </c>
      <c r="E1256" s="21" t="s">
        <v>30</v>
      </c>
      <c r="F1256" s="22">
        <v>0.006944444444444444</v>
      </c>
      <c r="G1256" s="21" t="s">
        <v>33</v>
      </c>
      <c r="H1256" s="149"/>
      <c r="I1256" s="25"/>
      <c r="J1256" s="26"/>
      <c r="K1256" s="21"/>
      <c r="L1256" s="27">
        <v>46227.0</v>
      </c>
      <c r="M1256" s="28">
        <v>0.020833333333333332</v>
      </c>
      <c r="N1256" s="29" t="s">
        <v>57</v>
      </c>
      <c r="O1256" s="29" t="s">
        <v>35</v>
      </c>
      <c r="P1256" s="34"/>
      <c r="Q1256" s="34" t="s">
        <v>1368</v>
      </c>
      <c r="R1256" s="79"/>
      <c r="S1256" s="32" t="s">
        <v>29</v>
      </c>
      <c r="T1256" s="33"/>
      <c r="U1256" s="33"/>
    </row>
    <row r="1257" ht="15.75" customHeight="1">
      <c r="A1257" s="20">
        <v>46227.0</v>
      </c>
      <c r="B1257" s="20">
        <v>46227.0</v>
      </c>
      <c r="C1257" s="20" t="s">
        <v>25</v>
      </c>
      <c r="D1257" s="21" t="s">
        <v>69</v>
      </c>
      <c r="E1257" s="21" t="s">
        <v>32</v>
      </c>
      <c r="F1257" s="22">
        <v>0.049652777777777775</v>
      </c>
      <c r="G1257" s="21" t="s">
        <v>33</v>
      </c>
      <c r="H1257" s="149"/>
      <c r="I1257" s="25"/>
      <c r="J1257" s="26"/>
      <c r="K1257" s="21"/>
      <c r="L1257" s="27">
        <v>46228.0</v>
      </c>
      <c r="M1257" s="28">
        <v>0.14583333333333334</v>
      </c>
      <c r="N1257" s="29" t="s">
        <v>39</v>
      </c>
      <c r="O1257" s="29" t="s">
        <v>35</v>
      </c>
      <c r="P1257" s="34"/>
      <c r="Q1257" s="34" t="s">
        <v>1369</v>
      </c>
      <c r="R1257" s="35"/>
      <c r="S1257" s="32" t="s">
        <v>29</v>
      </c>
      <c r="T1257" s="33"/>
      <c r="U1257" s="33"/>
    </row>
    <row r="1258" ht="15.75" customHeight="1">
      <c r="A1258" s="20">
        <v>46227.0</v>
      </c>
      <c r="B1258" s="20">
        <v>46227.0</v>
      </c>
      <c r="C1258" s="20" t="s">
        <v>25</v>
      </c>
      <c r="D1258" s="21" t="s">
        <v>34</v>
      </c>
      <c r="E1258" s="21" t="s">
        <v>38</v>
      </c>
      <c r="F1258" s="22">
        <v>0.007060185185185185</v>
      </c>
      <c r="G1258" s="21" t="s">
        <v>33</v>
      </c>
      <c r="H1258" s="149"/>
      <c r="I1258" s="25"/>
      <c r="J1258" s="26"/>
      <c r="K1258" s="21"/>
      <c r="L1258" s="27"/>
      <c r="M1258" s="28"/>
      <c r="N1258" s="29" t="s">
        <v>49</v>
      </c>
      <c r="O1258" s="29"/>
      <c r="P1258" s="34"/>
      <c r="Q1258" s="34">
        <v>1.2068827E7</v>
      </c>
      <c r="R1258" s="35"/>
      <c r="S1258" s="32" t="s">
        <v>29</v>
      </c>
      <c r="T1258" s="33"/>
      <c r="U1258" s="33"/>
    </row>
    <row r="1259" ht="15.75" customHeight="1">
      <c r="A1259" s="20">
        <v>46227.0</v>
      </c>
      <c r="B1259" s="20">
        <v>46227.0</v>
      </c>
      <c r="C1259" s="20" t="s">
        <v>25</v>
      </c>
      <c r="D1259" s="21" t="s">
        <v>34</v>
      </c>
      <c r="E1259" s="21" t="s">
        <v>40</v>
      </c>
      <c r="F1259" s="22">
        <v>0.018726851851851852</v>
      </c>
      <c r="G1259" s="21" t="s">
        <v>33</v>
      </c>
      <c r="H1259" s="149"/>
      <c r="I1259" s="25"/>
      <c r="J1259" s="26"/>
      <c r="K1259" s="21"/>
      <c r="L1259" s="27"/>
      <c r="M1259" s="28"/>
      <c r="N1259" s="29" t="s">
        <v>49</v>
      </c>
      <c r="O1259" s="29"/>
      <c r="P1259" s="34"/>
      <c r="Q1259" s="34" t="s">
        <v>1370</v>
      </c>
      <c r="R1259" s="35"/>
      <c r="S1259" s="32" t="s">
        <v>29</v>
      </c>
      <c r="T1259" s="33"/>
      <c r="U1259" s="33"/>
    </row>
    <row r="1260" ht="15.75" customHeight="1">
      <c r="A1260" s="20">
        <v>46227.0</v>
      </c>
      <c r="B1260" s="20">
        <v>46227.0</v>
      </c>
      <c r="C1260" s="20"/>
      <c r="D1260" s="21"/>
      <c r="E1260" s="21" t="s">
        <v>43</v>
      </c>
      <c r="F1260" s="22"/>
      <c r="G1260" s="21"/>
      <c r="H1260" s="149"/>
      <c r="I1260" s="25"/>
      <c r="J1260" s="26"/>
      <c r="K1260" s="21"/>
      <c r="L1260" s="27"/>
      <c r="M1260" s="28"/>
      <c r="N1260" s="29" t="s">
        <v>31</v>
      </c>
      <c r="O1260" s="29"/>
      <c r="P1260" s="34"/>
      <c r="Q1260" s="34"/>
      <c r="R1260" s="35"/>
      <c r="S1260" s="32" t="s">
        <v>29</v>
      </c>
      <c r="T1260" s="33"/>
      <c r="U1260" s="33"/>
    </row>
    <row r="1261" ht="15.75" customHeight="1">
      <c r="A1261" s="55">
        <v>46228.0</v>
      </c>
      <c r="B1261" s="55">
        <v>46228.0</v>
      </c>
      <c r="C1261" s="55" t="s">
        <v>1371</v>
      </c>
      <c r="D1261" s="56" t="s">
        <v>39</v>
      </c>
      <c r="E1261" s="56" t="s">
        <v>32</v>
      </c>
      <c r="F1261" s="57">
        <v>0.049340277777777775</v>
      </c>
      <c r="G1261" s="56" t="s">
        <v>33</v>
      </c>
      <c r="H1261" s="149"/>
      <c r="I1261" s="25"/>
      <c r="J1261" s="26"/>
      <c r="K1261" s="21"/>
      <c r="L1261" s="27"/>
      <c r="M1261" s="28"/>
      <c r="N1261" s="29" t="s">
        <v>39</v>
      </c>
      <c r="O1261" s="29"/>
      <c r="P1261" s="34"/>
      <c r="Q1261" s="34" t="s">
        <v>1372</v>
      </c>
      <c r="R1261" s="35"/>
      <c r="S1261" s="32" t="s">
        <v>29</v>
      </c>
      <c r="T1261" s="33"/>
      <c r="U1261" s="33"/>
    </row>
    <row r="1262" ht="15.75" customHeight="1">
      <c r="A1262" s="55">
        <v>46228.0</v>
      </c>
      <c r="B1262" s="55">
        <v>46228.0</v>
      </c>
      <c r="C1262" s="55"/>
      <c r="D1262" s="56"/>
      <c r="E1262" s="56" t="s">
        <v>40</v>
      </c>
      <c r="F1262" s="57"/>
      <c r="G1262" s="56"/>
      <c r="H1262" s="149"/>
      <c r="I1262" s="25"/>
      <c r="J1262" s="26"/>
      <c r="K1262" s="21"/>
      <c r="L1262" s="27"/>
      <c r="M1262" s="28"/>
      <c r="N1262" s="29" t="s">
        <v>57</v>
      </c>
      <c r="O1262" s="29"/>
      <c r="P1262" s="34"/>
      <c r="Q1262" s="34" t="s">
        <v>1373</v>
      </c>
      <c r="R1262" s="35"/>
      <c r="S1262" s="32" t="s">
        <v>29</v>
      </c>
      <c r="T1262" s="33"/>
      <c r="U1262" s="33"/>
    </row>
    <row r="1263" ht="15.75" customHeight="1">
      <c r="A1263" s="55">
        <v>46228.0</v>
      </c>
      <c r="B1263" s="55">
        <v>46228.0</v>
      </c>
      <c r="C1263" s="55"/>
      <c r="D1263" s="56"/>
      <c r="E1263" s="56" t="s">
        <v>43</v>
      </c>
      <c r="F1263" s="57"/>
      <c r="G1263" s="56"/>
      <c r="H1263" s="149"/>
      <c r="I1263" s="25"/>
      <c r="J1263" s="26"/>
      <c r="K1263" s="21"/>
      <c r="L1263" s="27"/>
      <c r="M1263" s="28"/>
      <c r="N1263" s="29" t="s">
        <v>31</v>
      </c>
      <c r="O1263" s="29"/>
      <c r="P1263" s="34"/>
      <c r="Q1263" s="34"/>
      <c r="R1263" s="35"/>
      <c r="S1263" s="32" t="s">
        <v>29</v>
      </c>
      <c r="T1263" s="33"/>
      <c r="U1263" s="33"/>
    </row>
    <row r="1264" ht="15.75" customHeight="1">
      <c r="A1264" s="55">
        <v>46228.0</v>
      </c>
      <c r="B1264" s="55">
        <v>46228.0</v>
      </c>
      <c r="C1264" s="55"/>
      <c r="D1264" s="56"/>
      <c r="E1264" s="56" t="s">
        <v>61</v>
      </c>
      <c r="F1264" s="57"/>
      <c r="G1264" s="56"/>
      <c r="H1264" s="149"/>
      <c r="I1264" s="25"/>
      <c r="J1264" s="26"/>
      <c r="K1264" s="21"/>
      <c r="L1264" s="27"/>
      <c r="M1264" s="28"/>
      <c r="N1264" s="29" t="s">
        <v>31</v>
      </c>
      <c r="O1264" s="29"/>
      <c r="P1264" s="34"/>
      <c r="Q1264" s="34"/>
      <c r="R1264" s="35"/>
      <c r="S1264" s="32" t="s">
        <v>29</v>
      </c>
      <c r="T1264" s="33"/>
      <c r="U1264" s="33"/>
    </row>
    <row r="1265" ht="15.75" customHeight="1">
      <c r="A1265" s="55">
        <v>46228.0</v>
      </c>
      <c r="B1265" s="55">
        <v>46228.0</v>
      </c>
      <c r="C1265" s="55"/>
      <c r="D1265" s="56"/>
      <c r="E1265" s="56" t="s">
        <v>62</v>
      </c>
      <c r="F1265" s="57"/>
      <c r="G1265" s="56"/>
      <c r="H1265" s="149"/>
      <c r="I1265" s="25"/>
      <c r="J1265" s="26"/>
      <c r="K1265" s="21"/>
      <c r="L1265" s="27"/>
      <c r="M1265" s="28"/>
      <c r="N1265" s="29" t="s">
        <v>31</v>
      </c>
      <c r="O1265" s="29"/>
      <c r="P1265" s="34"/>
      <c r="Q1265" s="34"/>
      <c r="R1265" s="35"/>
      <c r="S1265" s="32" t="s">
        <v>29</v>
      </c>
      <c r="T1265" s="33"/>
      <c r="U1265" s="33"/>
    </row>
    <row r="1266" ht="15.75" customHeight="1">
      <c r="A1266" s="55">
        <v>46228.0</v>
      </c>
      <c r="B1266" s="55">
        <v>46228.0</v>
      </c>
      <c r="C1266" s="55"/>
      <c r="D1266" s="56"/>
      <c r="E1266" s="56" t="s">
        <v>63</v>
      </c>
      <c r="F1266" s="57"/>
      <c r="G1266" s="56"/>
      <c r="H1266" s="149"/>
      <c r="I1266" s="25"/>
      <c r="J1266" s="26"/>
      <c r="K1266" s="21"/>
      <c r="L1266" s="27"/>
      <c r="M1266" s="28"/>
      <c r="N1266" s="29" t="s">
        <v>39</v>
      </c>
      <c r="O1266" s="29"/>
      <c r="P1266" s="34"/>
      <c r="Q1266" s="34"/>
      <c r="R1266" s="35"/>
      <c r="S1266" s="32" t="s">
        <v>29</v>
      </c>
      <c r="T1266" s="33"/>
      <c r="U1266" s="33"/>
    </row>
    <row r="1267" ht="15.75" customHeight="1">
      <c r="A1267" s="55">
        <v>46228.0</v>
      </c>
      <c r="B1267" s="55"/>
      <c r="C1267" s="55"/>
      <c r="D1267" s="56"/>
      <c r="E1267" s="56" t="s">
        <v>1374</v>
      </c>
      <c r="F1267" s="57"/>
      <c r="G1267" s="56"/>
      <c r="H1267" s="149"/>
      <c r="I1267" s="25"/>
      <c r="J1267" s="26"/>
      <c r="K1267" s="21"/>
      <c r="L1267" s="27"/>
      <c r="M1267" s="28"/>
      <c r="N1267" s="29"/>
      <c r="O1267" s="29"/>
      <c r="P1267" s="34"/>
      <c r="Q1267" s="34"/>
      <c r="R1267" s="35"/>
      <c r="S1267" s="32"/>
      <c r="T1267" s="33"/>
      <c r="U1267" s="33"/>
    </row>
    <row r="1268" ht="15.75" customHeight="1">
      <c r="A1268" s="60">
        <v>46229.0</v>
      </c>
      <c r="B1268" s="60">
        <v>46229.0</v>
      </c>
      <c r="C1268" s="60"/>
      <c r="D1268" s="61"/>
      <c r="E1268" s="61" t="s">
        <v>66</v>
      </c>
      <c r="F1268" s="62"/>
      <c r="G1268" s="61"/>
      <c r="H1268" s="178"/>
      <c r="I1268" s="25"/>
      <c r="J1268" s="26"/>
      <c r="K1268" s="21"/>
      <c r="L1268" s="27"/>
      <c r="M1268" s="28"/>
      <c r="N1268" s="29" t="s">
        <v>69</v>
      </c>
      <c r="O1268" s="29"/>
      <c r="P1268" s="34"/>
      <c r="Q1268" s="34"/>
      <c r="R1268" s="35"/>
      <c r="S1268" s="32" t="s">
        <v>29</v>
      </c>
      <c r="T1268" s="33"/>
      <c r="U1268" s="33"/>
    </row>
    <row r="1269" ht="15.75" customHeight="1">
      <c r="A1269" s="20">
        <v>46230.0</v>
      </c>
      <c r="B1269" s="20">
        <v>46230.0</v>
      </c>
      <c r="C1269" s="20"/>
      <c r="D1269" s="21"/>
      <c r="E1269" s="21" t="s">
        <v>26</v>
      </c>
      <c r="F1269" s="22"/>
      <c r="G1269" s="21"/>
      <c r="H1269" s="149"/>
      <c r="I1269" s="25"/>
      <c r="J1269" s="26"/>
      <c r="K1269" s="21"/>
      <c r="L1269" s="179"/>
      <c r="M1269" s="180"/>
      <c r="N1269" s="29" t="s">
        <v>34</v>
      </c>
      <c r="O1269" s="29"/>
      <c r="P1269" s="34"/>
      <c r="Q1269" s="34" t="s">
        <v>1375</v>
      </c>
      <c r="R1269" s="35"/>
      <c r="S1269" s="32" t="s">
        <v>29</v>
      </c>
      <c r="T1269" s="33"/>
      <c r="U1269" s="33"/>
    </row>
    <row r="1270" ht="15.75" customHeight="1">
      <c r="A1270" s="20">
        <v>46230.0</v>
      </c>
      <c r="B1270" s="20">
        <v>46230.0</v>
      </c>
      <c r="C1270" s="20"/>
      <c r="D1270" s="21"/>
      <c r="E1270" s="21" t="s">
        <v>30</v>
      </c>
      <c r="F1270" s="22"/>
      <c r="G1270" s="21"/>
      <c r="H1270" s="149"/>
      <c r="I1270" s="25"/>
      <c r="J1270" s="26"/>
      <c r="K1270" s="21"/>
      <c r="L1270" s="27"/>
      <c r="M1270" s="28"/>
      <c r="N1270" s="29" t="s">
        <v>31</v>
      </c>
      <c r="O1270" s="29"/>
      <c r="P1270" s="34"/>
      <c r="Q1270" s="34" t="s">
        <v>1376</v>
      </c>
      <c r="R1270" s="35"/>
      <c r="S1270" s="32" t="s">
        <v>29</v>
      </c>
      <c r="T1270" s="33"/>
      <c r="U1270" s="33"/>
    </row>
    <row r="1271" ht="15.75" customHeight="1">
      <c r="A1271" s="20">
        <v>46230.0</v>
      </c>
      <c r="B1271" s="20">
        <v>46230.0</v>
      </c>
      <c r="C1271" s="20"/>
      <c r="D1271" s="21"/>
      <c r="E1271" s="21" t="s">
        <v>32</v>
      </c>
      <c r="F1271" s="22"/>
      <c r="G1271" s="21"/>
      <c r="H1271" s="149"/>
      <c r="I1271" s="25"/>
      <c r="J1271" s="26"/>
      <c r="K1271" s="21"/>
      <c r="L1271" s="27"/>
      <c r="M1271" s="28"/>
      <c r="N1271" s="29" t="s">
        <v>57</v>
      </c>
      <c r="O1271" s="29"/>
      <c r="P1271" s="34"/>
      <c r="Q1271" s="34" t="s">
        <v>1377</v>
      </c>
      <c r="R1271" s="35"/>
      <c r="S1271" s="32" t="s">
        <v>29</v>
      </c>
      <c r="T1271" s="33"/>
      <c r="U1271" s="33"/>
    </row>
    <row r="1272" ht="15.75" customHeight="1">
      <c r="A1272" s="20">
        <v>46230.0</v>
      </c>
      <c r="B1272" s="20">
        <v>46230.0</v>
      </c>
      <c r="C1272" s="20"/>
      <c r="D1272" s="21"/>
      <c r="E1272" s="21" t="s">
        <v>38</v>
      </c>
      <c r="F1272" s="22"/>
      <c r="G1272" s="21"/>
      <c r="H1272" s="149"/>
      <c r="I1272" s="25"/>
      <c r="J1272" s="26"/>
      <c r="K1272" s="21"/>
      <c r="L1272" s="27"/>
      <c r="M1272" s="28"/>
      <c r="N1272" s="29" t="s">
        <v>69</v>
      </c>
      <c r="O1272" s="29"/>
      <c r="P1272" s="34"/>
      <c r="Q1272" s="34">
        <v>1.2068828E7</v>
      </c>
      <c r="R1272" s="35"/>
      <c r="S1272" s="32" t="s">
        <v>29</v>
      </c>
      <c r="T1272" s="33"/>
      <c r="U1272" s="33"/>
    </row>
    <row r="1273" ht="15.75" customHeight="1">
      <c r="A1273" s="20">
        <v>46230.0</v>
      </c>
      <c r="B1273" s="20">
        <v>46230.0</v>
      </c>
      <c r="C1273" s="20"/>
      <c r="D1273" s="21"/>
      <c r="E1273" s="21" t="s">
        <v>40</v>
      </c>
      <c r="F1273" s="22"/>
      <c r="G1273" s="21"/>
      <c r="H1273" s="149"/>
      <c r="I1273" s="25"/>
      <c r="J1273" s="26"/>
      <c r="K1273" s="21"/>
      <c r="L1273" s="27"/>
      <c r="M1273" s="28"/>
      <c r="N1273" s="29" t="s">
        <v>57</v>
      </c>
      <c r="O1273" s="29"/>
      <c r="P1273" s="34"/>
      <c r="Q1273" s="34" t="s">
        <v>1378</v>
      </c>
      <c r="R1273" s="35"/>
      <c r="S1273" s="32" t="s">
        <v>29</v>
      </c>
      <c r="T1273" s="33"/>
      <c r="U1273" s="33"/>
    </row>
    <row r="1274" ht="15.75" customHeight="1">
      <c r="A1274" s="20">
        <v>46230.0</v>
      </c>
      <c r="B1274" s="20">
        <v>46230.0</v>
      </c>
      <c r="C1274" s="20"/>
      <c r="D1274" s="21"/>
      <c r="E1274" s="21" t="s">
        <v>43</v>
      </c>
      <c r="F1274" s="22"/>
      <c r="G1274" s="21"/>
      <c r="H1274" s="149"/>
      <c r="I1274" s="25"/>
      <c r="J1274" s="26"/>
      <c r="K1274" s="21"/>
      <c r="L1274" s="27"/>
      <c r="M1274" s="28"/>
      <c r="N1274" s="29" t="s">
        <v>31</v>
      </c>
      <c r="O1274" s="29"/>
      <c r="P1274" s="34"/>
      <c r="Q1274" s="34"/>
      <c r="R1274" s="35"/>
      <c r="S1274" s="32" t="s">
        <v>29</v>
      </c>
      <c r="T1274" s="33"/>
      <c r="U1274" s="33"/>
    </row>
    <row r="1275" ht="15.75" customHeight="1">
      <c r="A1275" s="20">
        <v>46231.0</v>
      </c>
      <c r="B1275" s="20">
        <v>46231.0</v>
      </c>
      <c r="C1275" s="20"/>
      <c r="D1275" s="21"/>
      <c r="E1275" s="21" t="s">
        <v>26</v>
      </c>
      <c r="F1275" s="22"/>
      <c r="G1275" s="21"/>
      <c r="H1275" s="149"/>
      <c r="I1275" s="25"/>
      <c r="J1275" s="26"/>
      <c r="K1275" s="21"/>
      <c r="L1275" s="27"/>
      <c r="M1275" s="28"/>
      <c r="N1275" s="29" t="s">
        <v>39</v>
      </c>
      <c r="O1275" s="29"/>
      <c r="P1275" s="34"/>
      <c r="Q1275" s="34" t="s">
        <v>1379</v>
      </c>
      <c r="R1275" s="35"/>
      <c r="S1275" s="32" t="s">
        <v>29</v>
      </c>
      <c r="T1275" s="33"/>
      <c r="U1275" s="33"/>
    </row>
    <row r="1276" ht="15.75" customHeight="1">
      <c r="A1276" s="20">
        <v>46231.0</v>
      </c>
      <c r="B1276" s="20">
        <v>46231.0</v>
      </c>
      <c r="C1276" s="20"/>
      <c r="D1276" s="21"/>
      <c r="E1276" s="21" t="s">
        <v>30</v>
      </c>
      <c r="F1276" s="22"/>
      <c r="G1276" s="21"/>
      <c r="H1276" s="149"/>
      <c r="I1276" s="25"/>
      <c r="J1276" s="26"/>
      <c r="K1276" s="21"/>
      <c r="L1276" s="27"/>
      <c r="M1276" s="28"/>
      <c r="N1276" s="29" t="s">
        <v>34</v>
      </c>
      <c r="O1276" s="29"/>
      <c r="P1276" s="34"/>
      <c r="Q1276" s="34" t="s">
        <v>1380</v>
      </c>
      <c r="R1276" s="35"/>
      <c r="S1276" s="32" t="s">
        <v>29</v>
      </c>
      <c r="T1276" s="33"/>
      <c r="U1276" s="33"/>
    </row>
    <row r="1277" ht="15.75" customHeight="1">
      <c r="A1277" s="20">
        <v>46231.0</v>
      </c>
      <c r="B1277" s="20">
        <v>46231.0</v>
      </c>
      <c r="C1277" s="20"/>
      <c r="D1277" s="21"/>
      <c r="E1277" s="21" t="s">
        <v>32</v>
      </c>
      <c r="F1277" s="22"/>
      <c r="G1277" s="21"/>
      <c r="H1277" s="149"/>
      <c r="I1277" s="25"/>
      <c r="J1277" s="26"/>
      <c r="K1277" s="21"/>
      <c r="L1277" s="27"/>
      <c r="M1277" s="28"/>
      <c r="N1277" s="29" t="s">
        <v>34</v>
      </c>
      <c r="O1277" s="29"/>
      <c r="P1277" s="34"/>
      <c r="Q1277" s="34" t="s">
        <v>1381</v>
      </c>
      <c r="R1277" s="35"/>
      <c r="S1277" s="32" t="s">
        <v>29</v>
      </c>
      <c r="T1277" s="33"/>
      <c r="U1277" s="33"/>
    </row>
    <row r="1278" ht="15.75" customHeight="1">
      <c r="A1278" s="20">
        <v>46231.0</v>
      </c>
      <c r="B1278" s="20">
        <v>46231.0</v>
      </c>
      <c r="C1278" s="20"/>
      <c r="D1278" s="21"/>
      <c r="E1278" s="21" t="s">
        <v>38</v>
      </c>
      <c r="F1278" s="22"/>
      <c r="G1278" s="21"/>
      <c r="H1278" s="149"/>
      <c r="I1278" s="25"/>
      <c r="J1278" s="26"/>
      <c r="K1278" s="21"/>
      <c r="L1278" s="27"/>
      <c r="M1278" s="28"/>
      <c r="N1278" s="29" t="s">
        <v>69</v>
      </c>
      <c r="O1278" s="29"/>
      <c r="P1278" s="34"/>
      <c r="Q1278" s="34">
        <v>1.2068829E7</v>
      </c>
      <c r="R1278" s="79"/>
      <c r="S1278" s="32" t="s">
        <v>29</v>
      </c>
      <c r="T1278" s="33"/>
      <c r="U1278" s="33"/>
    </row>
    <row r="1279" ht="15.75" customHeight="1">
      <c r="A1279" s="20">
        <v>46231.0</v>
      </c>
      <c r="B1279" s="20">
        <v>46231.0</v>
      </c>
      <c r="C1279" s="20"/>
      <c r="D1279" s="21"/>
      <c r="E1279" s="21" t="s">
        <v>40</v>
      </c>
      <c r="F1279" s="22"/>
      <c r="G1279" s="21"/>
      <c r="H1279" s="149"/>
      <c r="I1279" s="25"/>
      <c r="J1279" s="26"/>
      <c r="K1279" s="21"/>
      <c r="L1279" s="27"/>
      <c r="M1279" s="28"/>
      <c r="N1279" s="29" t="s">
        <v>57</v>
      </c>
      <c r="O1279" s="29"/>
      <c r="P1279" s="34"/>
      <c r="Q1279" s="34" t="s">
        <v>1382</v>
      </c>
      <c r="R1279" s="35"/>
      <c r="S1279" s="32" t="s">
        <v>29</v>
      </c>
      <c r="T1279" s="33"/>
      <c r="U1279" s="33"/>
    </row>
    <row r="1280" ht="15.75" customHeight="1">
      <c r="A1280" s="20">
        <v>46231.0</v>
      </c>
      <c r="B1280" s="20">
        <v>46231.0</v>
      </c>
      <c r="C1280" s="20"/>
      <c r="D1280" s="21"/>
      <c r="E1280" s="21" t="s">
        <v>43</v>
      </c>
      <c r="F1280" s="22"/>
      <c r="G1280" s="21"/>
      <c r="H1280" s="149"/>
      <c r="I1280" s="25"/>
      <c r="J1280" s="26"/>
      <c r="K1280" s="21"/>
      <c r="L1280" s="27"/>
      <c r="M1280" s="28"/>
      <c r="N1280" s="29" t="s">
        <v>31</v>
      </c>
      <c r="O1280" s="29"/>
      <c r="P1280" s="34"/>
      <c r="Q1280" s="34"/>
      <c r="R1280" s="35"/>
      <c r="S1280" s="32" t="s">
        <v>29</v>
      </c>
      <c r="T1280" s="33"/>
      <c r="U1280" s="33"/>
    </row>
    <row r="1281" ht="15.75" customHeight="1">
      <c r="A1281" s="20">
        <v>46232.0</v>
      </c>
      <c r="B1281" s="20">
        <v>46232.0</v>
      </c>
      <c r="C1281" s="20"/>
      <c r="D1281" s="21"/>
      <c r="E1281" s="21" t="s">
        <v>26</v>
      </c>
      <c r="F1281" s="22"/>
      <c r="G1281" s="21"/>
      <c r="H1281" s="149"/>
      <c r="I1281" s="25"/>
      <c r="J1281" s="26"/>
      <c r="K1281" s="21"/>
      <c r="L1281" s="27"/>
      <c r="M1281" s="28"/>
      <c r="N1281" s="29" t="s">
        <v>39</v>
      </c>
      <c r="O1281" s="29"/>
      <c r="P1281" s="34"/>
      <c r="Q1281" s="34" t="s">
        <v>1383</v>
      </c>
      <c r="R1281" s="35"/>
      <c r="S1281" s="32" t="s">
        <v>29</v>
      </c>
      <c r="T1281" s="33"/>
      <c r="U1281" s="33"/>
    </row>
    <row r="1282" ht="15.75" customHeight="1">
      <c r="A1282" s="20">
        <v>46232.0</v>
      </c>
      <c r="B1282" s="20">
        <v>46232.0</v>
      </c>
      <c r="C1282" s="20"/>
      <c r="D1282" s="21"/>
      <c r="E1282" s="21" t="s">
        <v>30</v>
      </c>
      <c r="F1282" s="22"/>
      <c r="G1282" s="21"/>
      <c r="H1282" s="149"/>
      <c r="I1282" s="25"/>
      <c r="J1282" s="26"/>
      <c r="K1282" s="21"/>
      <c r="L1282" s="27"/>
      <c r="M1282" s="28"/>
      <c r="N1282" s="29" t="s">
        <v>39</v>
      </c>
      <c r="O1282" s="29"/>
      <c r="P1282" s="34"/>
      <c r="Q1282" s="34" t="s">
        <v>1384</v>
      </c>
      <c r="R1282" s="79"/>
      <c r="S1282" s="32" t="s">
        <v>29</v>
      </c>
      <c r="T1282" s="33"/>
      <c r="U1282" s="33"/>
    </row>
    <row r="1283" ht="15.75" customHeight="1">
      <c r="A1283" s="20">
        <v>46232.0</v>
      </c>
      <c r="B1283" s="20">
        <v>46232.0</v>
      </c>
      <c r="C1283" s="20"/>
      <c r="D1283" s="21"/>
      <c r="E1283" s="21" t="s">
        <v>32</v>
      </c>
      <c r="F1283" s="22"/>
      <c r="G1283" s="21"/>
      <c r="H1283" s="149"/>
      <c r="I1283" s="25"/>
      <c r="J1283" s="26"/>
      <c r="K1283" s="21"/>
      <c r="L1283" s="27"/>
      <c r="M1283" s="28"/>
      <c r="N1283" s="29" t="s">
        <v>34</v>
      </c>
      <c r="O1283" s="29"/>
      <c r="P1283" s="34"/>
      <c r="Q1283" s="34" t="s">
        <v>1385</v>
      </c>
      <c r="R1283" s="35"/>
      <c r="S1283" s="32" t="s">
        <v>29</v>
      </c>
      <c r="T1283" s="33"/>
      <c r="U1283" s="33"/>
    </row>
    <row r="1284" ht="15.75" customHeight="1">
      <c r="A1284" s="20">
        <v>46232.0</v>
      </c>
      <c r="B1284" s="20">
        <v>46232.0</v>
      </c>
      <c r="C1284" s="20"/>
      <c r="D1284" s="21"/>
      <c r="E1284" s="21" t="s">
        <v>38</v>
      </c>
      <c r="F1284" s="22"/>
      <c r="G1284" s="21"/>
      <c r="H1284" s="149"/>
      <c r="I1284" s="25"/>
      <c r="J1284" s="26"/>
      <c r="K1284" s="21"/>
      <c r="L1284" s="27"/>
      <c r="M1284" s="28"/>
      <c r="N1284" s="29" t="s">
        <v>69</v>
      </c>
      <c r="O1284" s="29"/>
      <c r="P1284" s="34"/>
      <c r="Q1284" s="34">
        <v>1.206883E7</v>
      </c>
      <c r="R1284" s="35"/>
      <c r="S1284" s="32" t="s">
        <v>29</v>
      </c>
      <c r="T1284" s="33"/>
      <c r="U1284" s="33"/>
    </row>
    <row r="1285" ht="15.75" customHeight="1">
      <c r="A1285" s="20">
        <v>46232.0</v>
      </c>
      <c r="B1285" s="20">
        <v>46232.0</v>
      </c>
      <c r="C1285" s="20"/>
      <c r="D1285" s="21"/>
      <c r="E1285" s="21" t="s">
        <v>40</v>
      </c>
      <c r="F1285" s="22"/>
      <c r="G1285" s="21"/>
      <c r="H1285" s="149"/>
      <c r="I1285" s="25"/>
      <c r="J1285" s="26"/>
      <c r="K1285" s="21"/>
      <c r="L1285" s="27"/>
      <c r="M1285" s="28"/>
      <c r="N1285" s="29" t="s">
        <v>57</v>
      </c>
      <c r="O1285" s="29"/>
      <c r="P1285" s="34"/>
      <c r="Q1285" s="34" t="s">
        <v>1386</v>
      </c>
      <c r="R1285" s="35"/>
      <c r="S1285" s="32" t="s">
        <v>29</v>
      </c>
      <c r="T1285" s="33"/>
      <c r="U1285" s="33"/>
    </row>
    <row r="1286" ht="15.75" customHeight="1">
      <c r="A1286" s="20">
        <v>46232.0</v>
      </c>
      <c r="B1286" s="20">
        <v>46232.0</v>
      </c>
      <c r="C1286" s="20"/>
      <c r="D1286" s="21"/>
      <c r="E1286" s="21" t="s">
        <v>43</v>
      </c>
      <c r="F1286" s="22"/>
      <c r="G1286" s="21"/>
      <c r="H1286" s="149"/>
      <c r="I1286" s="25"/>
      <c r="J1286" s="26"/>
      <c r="K1286" s="21"/>
      <c r="L1286" s="27"/>
      <c r="M1286" s="28"/>
      <c r="N1286" s="29" t="s">
        <v>31</v>
      </c>
      <c r="O1286" s="29"/>
      <c r="P1286" s="34"/>
      <c r="Q1286" s="34"/>
      <c r="R1286" s="35"/>
      <c r="S1286" s="32" t="s">
        <v>29</v>
      </c>
      <c r="T1286" s="33"/>
      <c r="U1286" s="33"/>
    </row>
    <row r="1287" ht="15.75" customHeight="1">
      <c r="A1287" s="20">
        <v>46233.0</v>
      </c>
      <c r="B1287" s="20">
        <v>46233.0</v>
      </c>
      <c r="C1287" s="20"/>
      <c r="D1287" s="21"/>
      <c r="E1287" s="21" t="s">
        <v>26</v>
      </c>
      <c r="F1287" s="22"/>
      <c r="G1287" s="21"/>
      <c r="H1287" s="149"/>
      <c r="I1287" s="25"/>
      <c r="J1287" s="26"/>
      <c r="K1287" s="21"/>
      <c r="L1287" s="27"/>
      <c r="M1287" s="28"/>
      <c r="N1287" s="29" t="s">
        <v>57</v>
      </c>
      <c r="O1287" s="29"/>
      <c r="P1287" s="34"/>
      <c r="Q1287" s="34" t="s">
        <v>1387</v>
      </c>
      <c r="R1287" s="35"/>
      <c r="S1287" s="32" t="s">
        <v>29</v>
      </c>
      <c r="T1287" s="33"/>
      <c r="U1287" s="33"/>
    </row>
    <row r="1288" ht="15.75" customHeight="1">
      <c r="A1288" s="20">
        <v>46233.0</v>
      </c>
      <c r="B1288" s="20">
        <v>46233.0</v>
      </c>
      <c r="C1288" s="20"/>
      <c r="D1288" s="21"/>
      <c r="E1288" s="21" t="s">
        <v>30</v>
      </c>
      <c r="F1288" s="22"/>
      <c r="G1288" s="21"/>
      <c r="H1288" s="149"/>
      <c r="I1288" s="25"/>
      <c r="J1288" s="26"/>
      <c r="K1288" s="21"/>
      <c r="L1288" s="181"/>
      <c r="M1288" s="182"/>
      <c r="N1288" s="29" t="s">
        <v>39</v>
      </c>
      <c r="O1288" s="29"/>
      <c r="P1288" s="34"/>
      <c r="Q1288" s="34" t="s">
        <v>1388</v>
      </c>
      <c r="R1288" s="35"/>
      <c r="S1288" s="32" t="s">
        <v>29</v>
      </c>
      <c r="T1288" s="33"/>
      <c r="U1288" s="33"/>
    </row>
    <row r="1289" ht="15.75" customHeight="1">
      <c r="A1289" s="20">
        <v>46233.0</v>
      </c>
      <c r="B1289" s="20">
        <v>46233.0</v>
      </c>
      <c r="C1289" s="20"/>
      <c r="D1289" s="21"/>
      <c r="E1289" s="21" t="s">
        <v>32</v>
      </c>
      <c r="F1289" s="22"/>
      <c r="G1289" s="21"/>
      <c r="H1289" s="149"/>
      <c r="I1289" s="25"/>
      <c r="J1289" s="26"/>
      <c r="K1289" s="21"/>
      <c r="L1289" s="27"/>
      <c r="M1289" s="28"/>
      <c r="N1289" s="29" t="s">
        <v>34</v>
      </c>
      <c r="O1289" s="29"/>
      <c r="P1289" s="34"/>
      <c r="Q1289" s="34" t="s">
        <v>1389</v>
      </c>
      <c r="R1289" s="35"/>
      <c r="S1289" s="32" t="s">
        <v>29</v>
      </c>
      <c r="T1289" s="33"/>
      <c r="U1289" s="33"/>
    </row>
    <row r="1290" ht="15.75" customHeight="1">
      <c r="A1290" s="20">
        <v>46233.0</v>
      </c>
      <c r="B1290" s="20">
        <v>46233.0</v>
      </c>
      <c r="C1290" s="20"/>
      <c r="D1290" s="21"/>
      <c r="E1290" s="21" t="s">
        <v>38</v>
      </c>
      <c r="F1290" s="22"/>
      <c r="G1290" s="21"/>
      <c r="H1290" s="149"/>
      <c r="I1290" s="25"/>
      <c r="J1290" s="26"/>
      <c r="K1290" s="21"/>
      <c r="L1290" s="27"/>
      <c r="M1290" s="28"/>
      <c r="N1290" s="29" t="s">
        <v>69</v>
      </c>
      <c r="O1290" s="29"/>
      <c r="P1290" s="34"/>
      <c r="Q1290" s="34">
        <v>1.2068831E7</v>
      </c>
      <c r="R1290" s="35"/>
      <c r="S1290" s="32" t="s">
        <v>29</v>
      </c>
      <c r="T1290" s="33"/>
      <c r="U1290" s="33"/>
    </row>
    <row r="1291" ht="15.75" customHeight="1">
      <c r="A1291" s="20">
        <v>46233.0</v>
      </c>
      <c r="B1291" s="20">
        <v>46233.0</v>
      </c>
      <c r="C1291" s="20"/>
      <c r="D1291" s="21"/>
      <c r="E1291" s="21" t="s">
        <v>40</v>
      </c>
      <c r="F1291" s="22"/>
      <c r="G1291" s="21"/>
      <c r="H1291" s="149"/>
      <c r="I1291" s="25"/>
      <c r="J1291" s="26"/>
      <c r="K1291" s="21"/>
      <c r="L1291" s="27"/>
      <c r="M1291" s="28"/>
      <c r="N1291" s="29" t="s">
        <v>49</v>
      </c>
      <c r="O1291" s="29"/>
      <c r="P1291" s="34"/>
      <c r="Q1291" s="34" t="s">
        <v>1390</v>
      </c>
      <c r="R1291" s="35"/>
      <c r="S1291" s="32" t="s">
        <v>29</v>
      </c>
      <c r="T1291" s="33"/>
      <c r="U1291" s="33"/>
    </row>
    <row r="1292" ht="15.75" customHeight="1">
      <c r="A1292" s="20">
        <v>46233.0</v>
      </c>
      <c r="B1292" s="20">
        <v>46233.0</v>
      </c>
      <c r="C1292" s="20"/>
      <c r="D1292" s="21"/>
      <c r="E1292" s="21" t="s">
        <v>43</v>
      </c>
      <c r="F1292" s="22"/>
      <c r="G1292" s="21"/>
      <c r="H1292" s="149"/>
      <c r="I1292" s="25"/>
      <c r="J1292" s="26"/>
      <c r="K1292" s="21"/>
      <c r="L1292" s="27"/>
      <c r="M1292" s="28"/>
      <c r="N1292" s="29" t="s">
        <v>31</v>
      </c>
      <c r="O1292" s="29"/>
      <c r="P1292" s="34"/>
      <c r="Q1292" s="34"/>
      <c r="R1292" s="35"/>
      <c r="S1292" s="32" t="s">
        <v>29</v>
      </c>
      <c r="T1292" s="33"/>
      <c r="U1292" s="33"/>
    </row>
    <row r="1293" ht="15.75" customHeight="1">
      <c r="A1293" s="20">
        <v>46234.0</v>
      </c>
      <c r="B1293" s="20">
        <v>46234.0</v>
      </c>
      <c r="C1293" s="20"/>
      <c r="D1293" s="21"/>
      <c r="E1293" s="21" t="s">
        <v>26</v>
      </c>
      <c r="F1293" s="22"/>
      <c r="G1293" s="21"/>
      <c r="H1293" s="149"/>
      <c r="I1293" s="25"/>
      <c r="J1293" s="26"/>
      <c r="K1293" s="21"/>
      <c r="L1293" s="27"/>
      <c r="M1293" s="28"/>
      <c r="N1293" s="29" t="s">
        <v>31</v>
      </c>
      <c r="O1293" s="29"/>
      <c r="P1293" s="34"/>
      <c r="Q1293" s="34" t="s">
        <v>1391</v>
      </c>
      <c r="R1293" s="35"/>
      <c r="S1293" s="32" t="s">
        <v>29</v>
      </c>
      <c r="T1293" s="33"/>
      <c r="U1293" s="33"/>
    </row>
    <row r="1294" ht="15.75" customHeight="1">
      <c r="A1294" s="20">
        <v>46234.0</v>
      </c>
      <c r="B1294" s="20">
        <v>46234.0</v>
      </c>
      <c r="C1294" s="20"/>
      <c r="D1294" s="21"/>
      <c r="E1294" s="21" t="s">
        <v>30</v>
      </c>
      <c r="F1294" s="22"/>
      <c r="G1294" s="21"/>
      <c r="H1294" s="149"/>
      <c r="I1294" s="25"/>
      <c r="J1294" s="26"/>
      <c r="K1294" s="21"/>
      <c r="L1294" s="27"/>
      <c r="M1294" s="28"/>
      <c r="N1294" s="29" t="s">
        <v>57</v>
      </c>
      <c r="O1294" s="29"/>
      <c r="P1294" s="34"/>
      <c r="Q1294" s="34" t="s">
        <v>1392</v>
      </c>
      <c r="R1294" s="35"/>
      <c r="S1294" s="32" t="s">
        <v>29</v>
      </c>
      <c r="T1294" s="33"/>
      <c r="U1294" s="33"/>
    </row>
    <row r="1295" ht="15.75" customHeight="1">
      <c r="A1295" s="20">
        <v>46234.0</v>
      </c>
      <c r="B1295" s="20">
        <v>46234.0</v>
      </c>
      <c r="C1295" s="20"/>
      <c r="D1295" s="21"/>
      <c r="E1295" s="21" t="s">
        <v>32</v>
      </c>
      <c r="F1295" s="22"/>
      <c r="G1295" s="21"/>
      <c r="H1295" s="149"/>
      <c r="I1295" s="25"/>
      <c r="J1295" s="26"/>
      <c r="K1295" s="21"/>
      <c r="L1295" s="27"/>
      <c r="M1295" s="28"/>
      <c r="N1295" s="29" t="s">
        <v>31</v>
      </c>
      <c r="O1295" s="29"/>
      <c r="P1295" s="34"/>
      <c r="Q1295" s="34" t="s">
        <v>1393</v>
      </c>
      <c r="R1295" s="35"/>
      <c r="S1295" s="32" t="s">
        <v>29</v>
      </c>
      <c r="T1295" s="33"/>
      <c r="U1295" s="33"/>
    </row>
    <row r="1296" ht="15.75" customHeight="1">
      <c r="A1296" s="20">
        <v>46234.0</v>
      </c>
      <c r="B1296" s="20">
        <v>46234.0</v>
      </c>
      <c r="C1296" s="20"/>
      <c r="D1296" s="21"/>
      <c r="E1296" s="21" t="s">
        <v>38</v>
      </c>
      <c r="F1296" s="22"/>
      <c r="G1296" s="21"/>
      <c r="H1296" s="149"/>
      <c r="I1296" s="25"/>
      <c r="J1296" s="26"/>
      <c r="K1296" s="21"/>
      <c r="L1296" s="27"/>
      <c r="M1296" s="28"/>
      <c r="N1296" s="29" t="s">
        <v>49</v>
      </c>
      <c r="O1296" s="29"/>
      <c r="P1296" s="34"/>
      <c r="Q1296" s="34">
        <v>1.2068832E7</v>
      </c>
      <c r="R1296" s="35"/>
      <c r="S1296" s="32" t="s">
        <v>29</v>
      </c>
      <c r="T1296" s="33"/>
      <c r="U1296" s="33"/>
    </row>
    <row r="1297" ht="15.75" customHeight="1">
      <c r="A1297" s="20">
        <v>46234.0</v>
      </c>
      <c r="B1297" s="20">
        <v>46234.0</v>
      </c>
      <c r="C1297" s="20"/>
      <c r="D1297" s="21"/>
      <c r="E1297" s="21" t="s">
        <v>40</v>
      </c>
      <c r="F1297" s="22"/>
      <c r="G1297" s="21"/>
      <c r="H1297" s="149"/>
      <c r="I1297" s="25"/>
      <c r="J1297" s="26"/>
      <c r="K1297" s="21"/>
      <c r="L1297" s="27"/>
      <c r="M1297" s="28"/>
      <c r="N1297" s="29" t="s">
        <v>49</v>
      </c>
      <c r="O1297" s="29"/>
      <c r="P1297" s="34"/>
      <c r="Q1297" s="34" t="s">
        <v>1394</v>
      </c>
      <c r="R1297" s="35"/>
      <c r="S1297" s="32" t="s">
        <v>29</v>
      </c>
      <c r="T1297" s="33"/>
      <c r="U1297" s="33"/>
    </row>
    <row r="1298" ht="15.75" customHeight="1">
      <c r="A1298" s="20">
        <v>46234.0</v>
      </c>
      <c r="B1298" s="20">
        <v>46234.0</v>
      </c>
      <c r="C1298" s="20"/>
      <c r="D1298" s="21"/>
      <c r="E1298" s="21" t="s">
        <v>43</v>
      </c>
      <c r="F1298" s="22"/>
      <c r="G1298" s="21"/>
      <c r="H1298" s="149"/>
      <c r="I1298" s="25"/>
      <c r="J1298" s="26"/>
      <c r="K1298" s="21"/>
      <c r="L1298" s="27"/>
      <c r="M1298" s="28"/>
      <c r="N1298" s="29" t="s">
        <v>57</v>
      </c>
      <c r="O1298" s="29"/>
      <c r="P1298" s="34"/>
      <c r="Q1298" s="34"/>
      <c r="R1298" s="35"/>
      <c r="S1298" s="32" t="s">
        <v>29</v>
      </c>
      <c r="T1298" s="33"/>
      <c r="U1298" s="33"/>
    </row>
    <row r="1299" ht="15.75" customHeight="1">
      <c r="A1299" s="55">
        <v>46235.0</v>
      </c>
      <c r="B1299" s="55">
        <v>46235.0</v>
      </c>
      <c r="C1299" s="55"/>
      <c r="D1299" s="56"/>
      <c r="E1299" s="56" t="s">
        <v>32</v>
      </c>
      <c r="F1299" s="57"/>
      <c r="G1299" s="56"/>
      <c r="H1299" s="149"/>
      <c r="I1299" s="25"/>
      <c r="J1299" s="26"/>
      <c r="K1299" s="21"/>
      <c r="L1299" s="27"/>
      <c r="M1299" s="28"/>
      <c r="N1299" s="29" t="s">
        <v>39</v>
      </c>
      <c r="O1299" s="29"/>
      <c r="P1299" s="34"/>
      <c r="Q1299" s="34" t="s">
        <v>1395</v>
      </c>
      <c r="R1299" s="35"/>
      <c r="S1299" s="32" t="s">
        <v>29</v>
      </c>
      <c r="T1299" s="33"/>
      <c r="U1299" s="33"/>
    </row>
    <row r="1300" ht="15.75" customHeight="1">
      <c r="A1300" s="55">
        <v>46235.0</v>
      </c>
      <c r="B1300" s="55">
        <v>46235.0</v>
      </c>
      <c r="C1300" s="55"/>
      <c r="D1300" s="56"/>
      <c r="E1300" s="56" t="s">
        <v>40</v>
      </c>
      <c r="F1300" s="57"/>
      <c r="G1300" s="56"/>
      <c r="H1300" s="149"/>
      <c r="I1300" s="25"/>
      <c r="J1300" s="26"/>
      <c r="K1300" s="21"/>
      <c r="L1300" s="27"/>
      <c r="M1300" s="28"/>
      <c r="N1300" s="29" t="s">
        <v>57</v>
      </c>
      <c r="O1300" s="29"/>
      <c r="P1300" s="34"/>
      <c r="Q1300" s="34" t="s">
        <v>1396</v>
      </c>
      <c r="R1300" s="35"/>
      <c r="S1300" s="32" t="s">
        <v>29</v>
      </c>
      <c r="T1300" s="33"/>
      <c r="U1300" s="33"/>
    </row>
    <row r="1301" ht="15.75" customHeight="1">
      <c r="A1301" s="55">
        <v>46235.0</v>
      </c>
      <c r="B1301" s="55">
        <v>46235.0</v>
      </c>
      <c r="C1301" s="55"/>
      <c r="D1301" s="56"/>
      <c r="E1301" s="56" t="s">
        <v>43</v>
      </c>
      <c r="F1301" s="57"/>
      <c r="G1301" s="56"/>
      <c r="H1301" s="149"/>
      <c r="I1301" s="25"/>
      <c r="J1301" s="26"/>
      <c r="K1301" s="21"/>
      <c r="L1301" s="27"/>
      <c r="M1301" s="28"/>
      <c r="N1301" s="29" t="s">
        <v>57</v>
      </c>
      <c r="O1301" s="29"/>
      <c r="P1301" s="34"/>
      <c r="Q1301" s="34"/>
      <c r="R1301" s="35"/>
      <c r="S1301" s="32" t="s">
        <v>29</v>
      </c>
      <c r="T1301" s="33"/>
      <c r="U1301" s="33"/>
    </row>
    <row r="1302" ht="15.75" customHeight="1">
      <c r="A1302" s="55">
        <v>46235.0</v>
      </c>
      <c r="B1302" s="55">
        <v>46235.0</v>
      </c>
      <c r="C1302" s="55"/>
      <c r="D1302" s="56"/>
      <c r="E1302" s="56" t="s">
        <v>61</v>
      </c>
      <c r="F1302" s="57"/>
      <c r="G1302" s="56"/>
      <c r="H1302" s="149"/>
      <c r="I1302" s="25"/>
      <c r="J1302" s="26"/>
      <c r="K1302" s="21"/>
      <c r="L1302" s="27"/>
      <c r="M1302" s="28"/>
      <c r="N1302" s="29" t="s">
        <v>34</v>
      </c>
      <c r="O1302" s="29"/>
      <c r="P1302" s="34"/>
      <c r="Q1302" s="34"/>
      <c r="R1302" s="35"/>
      <c r="S1302" s="32" t="s">
        <v>29</v>
      </c>
      <c r="T1302" s="33"/>
      <c r="U1302" s="33"/>
    </row>
    <row r="1303" ht="15.75" customHeight="1">
      <c r="A1303" s="55">
        <v>46235.0</v>
      </c>
      <c r="B1303" s="55">
        <v>46235.0</v>
      </c>
      <c r="C1303" s="55"/>
      <c r="D1303" s="56"/>
      <c r="E1303" s="56" t="s">
        <v>62</v>
      </c>
      <c r="F1303" s="57"/>
      <c r="G1303" s="56"/>
      <c r="H1303" s="149"/>
      <c r="I1303" s="25"/>
      <c r="J1303" s="26"/>
      <c r="K1303" s="21"/>
      <c r="L1303" s="27"/>
      <c r="M1303" s="28"/>
      <c r="N1303" s="29" t="s">
        <v>34</v>
      </c>
      <c r="O1303" s="29"/>
      <c r="P1303" s="34"/>
      <c r="Q1303" s="34"/>
      <c r="R1303" s="35"/>
      <c r="S1303" s="32" t="s">
        <v>29</v>
      </c>
      <c r="T1303" s="33"/>
      <c r="U1303" s="33"/>
    </row>
    <row r="1304" ht="15.75" customHeight="1">
      <c r="A1304" s="55">
        <v>46235.0</v>
      </c>
      <c r="B1304" s="55">
        <v>46235.0</v>
      </c>
      <c r="C1304" s="55"/>
      <c r="D1304" s="56"/>
      <c r="E1304" s="56" t="s">
        <v>63</v>
      </c>
      <c r="F1304" s="57"/>
      <c r="G1304" s="56"/>
      <c r="H1304" s="149"/>
      <c r="I1304" s="25"/>
      <c r="J1304" s="26"/>
      <c r="K1304" s="21"/>
      <c r="L1304" s="27"/>
      <c r="M1304" s="28"/>
      <c r="N1304" s="29" t="s">
        <v>57</v>
      </c>
      <c r="O1304" s="29"/>
      <c r="P1304" s="34"/>
      <c r="Q1304" s="34"/>
      <c r="R1304" s="35"/>
      <c r="S1304" s="32" t="s">
        <v>29</v>
      </c>
      <c r="T1304" s="33"/>
      <c r="U1304" s="33"/>
    </row>
    <row r="1305" ht="15.75" customHeight="1">
      <c r="A1305" s="55">
        <v>46235.0</v>
      </c>
      <c r="B1305" s="55"/>
      <c r="C1305" s="55"/>
      <c r="D1305" s="56"/>
      <c r="E1305" s="56" t="s">
        <v>1374</v>
      </c>
      <c r="F1305" s="57"/>
      <c r="G1305" s="56"/>
      <c r="H1305" s="149"/>
      <c r="I1305" s="25"/>
      <c r="J1305" s="26"/>
      <c r="K1305" s="21"/>
      <c r="L1305" s="27"/>
      <c r="M1305" s="28"/>
      <c r="N1305" s="29"/>
      <c r="O1305" s="29"/>
      <c r="P1305" s="34"/>
      <c r="Q1305" s="34"/>
      <c r="R1305" s="35"/>
      <c r="S1305" s="32"/>
      <c r="T1305" s="33"/>
      <c r="U1305" s="33"/>
    </row>
    <row r="1306" ht="15.75" customHeight="1">
      <c r="A1306" s="55">
        <v>46235.0</v>
      </c>
      <c r="B1306" s="55"/>
      <c r="C1306" s="55"/>
      <c r="D1306" s="56"/>
      <c r="E1306" s="56" t="s">
        <v>1397</v>
      </c>
      <c r="F1306" s="57"/>
      <c r="G1306" s="56"/>
      <c r="H1306" s="149"/>
      <c r="I1306" s="25"/>
      <c r="J1306" s="26"/>
      <c r="K1306" s="21"/>
      <c r="L1306" s="27"/>
      <c r="M1306" s="28"/>
      <c r="N1306" s="29"/>
      <c r="O1306" s="29"/>
      <c r="P1306" s="34"/>
      <c r="Q1306" s="34"/>
      <c r="R1306" s="35"/>
      <c r="S1306" s="32"/>
      <c r="T1306" s="33"/>
      <c r="U1306" s="33"/>
    </row>
    <row r="1307" ht="15.75" customHeight="1">
      <c r="A1307" s="60">
        <v>46236.0</v>
      </c>
      <c r="B1307" s="60">
        <v>46236.0</v>
      </c>
      <c r="C1307" s="60"/>
      <c r="D1307" s="61"/>
      <c r="E1307" s="61" t="s">
        <v>66</v>
      </c>
      <c r="F1307" s="62"/>
      <c r="G1307" s="61"/>
      <c r="H1307" s="149"/>
      <c r="I1307" s="25"/>
      <c r="J1307" s="26"/>
      <c r="K1307" s="21"/>
      <c r="L1307" s="27"/>
      <c r="M1307" s="28"/>
      <c r="N1307" s="29" t="s">
        <v>69</v>
      </c>
      <c r="O1307" s="29"/>
      <c r="P1307" s="34"/>
      <c r="Q1307" s="34"/>
      <c r="R1307" s="35"/>
      <c r="S1307" s="32" t="s">
        <v>29</v>
      </c>
      <c r="T1307" s="33"/>
      <c r="U1307" s="33"/>
    </row>
    <row r="1308" ht="15.75" customHeight="1">
      <c r="A1308" s="20">
        <v>46237.0</v>
      </c>
      <c r="B1308" s="20">
        <v>46237.0</v>
      </c>
      <c r="C1308" s="20"/>
      <c r="D1308" s="21"/>
      <c r="E1308" s="21" t="s">
        <v>26</v>
      </c>
      <c r="F1308" s="22"/>
      <c r="G1308" s="21"/>
      <c r="H1308" s="149"/>
      <c r="I1308" s="25"/>
      <c r="J1308" s="26"/>
      <c r="K1308" s="21"/>
      <c r="L1308" s="27"/>
      <c r="M1308" s="28"/>
      <c r="N1308" s="29" t="s">
        <v>34</v>
      </c>
      <c r="O1308" s="29"/>
      <c r="P1308" s="34"/>
      <c r="Q1308" s="34"/>
      <c r="R1308" s="35"/>
      <c r="S1308" s="32" t="s">
        <v>29</v>
      </c>
      <c r="T1308" s="33"/>
      <c r="U1308" s="33"/>
    </row>
    <row r="1309" ht="15.75" customHeight="1">
      <c r="A1309" s="20">
        <v>46237.0</v>
      </c>
      <c r="B1309" s="20">
        <v>46237.0</v>
      </c>
      <c r="C1309" s="20"/>
      <c r="D1309" s="21"/>
      <c r="E1309" s="21" t="s">
        <v>30</v>
      </c>
      <c r="F1309" s="22"/>
      <c r="G1309" s="21"/>
      <c r="H1309" s="149"/>
      <c r="I1309" s="25"/>
      <c r="J1309" s="26"/>
      <c r="K1309" s="21"/>
      <c r="L1309" s="27"/>
      <c r="M1309" s="28"/>
      <c r="N1309" s="29" t="s">
        <v>31</v>
      </c>
      <c r="O1309" s="29"/>
      <c r="P1309" s="34"/>
      <c r="Q1309" s="34"/>
      <c r="R1309" s="35"/>
      <c r="S1309" s="32" t="s">
        <v>29</v>
      </c>
      <c r="T1309" s="33"/>
      <c r="U1309" s="33"/>
    </row>
    <row r="1310" ht="15.75" customHeight="1">
      <c r="A1310" s="20">
        <v>46237.0</v>
      </c>
      <c r="B1310" s="20">
        <v>46237.0</v>
      </c>
      <c r="C1310" s="20"/>
      <c r="D1310" s="21"/>
      <c r="E1310" s="21" t="s">
        <v>32</v>
      </c>
      <c r="F1310" s="22"/>
      <c r="G1310" s="21"/>
      <c r="H1310" s="149"/>
      <c r="I1310" s="25"/>
      <c r="J1310" s="26"/>
      <c r="K1310" s="21"/>
      <c r="L1310" s="27"/>
      <c r="M1310" s="28"/>
      <c r="N1310" s="29" t="s">
        <v>59</v>
      </c>
      <c r="O1310" s="29"/>
      <c r="P1310" s="34"/>
      <c r="Q1310" s="34"/>
      <c r="R1310" s="35"/>
      <c r="S1310" s="32" t="s">
        <v>29</v>
      </c>
      <c r="T1310" s="33"/>
      <c r="U1310" s="33"/>
    </row>
    <row r="1311" ht="15.75" customHeight="1">
      <c r="A1311" s="20">
        <v>46237.0</v>
      </c>
      <c r="B1311" s="20">
        <v>46237.0</v>
      </c>
      <c r="C1311" s="20"/>
      <c r="D1311" s="21"/>
      <c r="E1311" s="21" t="s">
        <v>38</v>
      </c>
      <c r="F1311" s="22"/>
      <c r="G1311" s="21"/>
      <c r="H1311" s="149"/>
      <c r="I1311" s="25"/>
      <c r="J1311" s="26"/>
      <c r="K1311" s="21"/>
      <c r="L1311" s="27"/>
      <c r="M1311" s="28"/>
      <c r="N1311" s="29" t="s">
        <v>69</v>
      </c>
      <c r="O1311" s="29"/>
      <c r="P1311" s="34"/>
      <c r="Q1311" s="34"/>
      <c r="R1311" s="35"/>
      <c r="S1311" s="32" t="s">
        <v>29</v>
      </c>
      <c r="T1311" s="33"/>
      <c r="U1311" s="33"/>
    </row>
    <row r="1312" ht="15.75" customHeight="1">
      <c r="A1312" s="20">
        <v>46237.0</v>
      </c>
      <c r="B1312" s="20">
        <v>46237.0</v>
      </c>
      <c r="C1312" s="20"/>
      <c r="D1312" s="21"/>
      <c r="E1312" s="21" t="s">
        <v>40</v>
      </c>
      <c r="F1312" s="22"/>
      <c r="G1312" s="21"/>
      <c r="H1312" s="149"/>
      <c r="I1312" s="25"/>
      <c r="J1312" s="26"/>
      <c r="K1312" s="21"/>
      <c r="L1312" s="27"/>
      <c r="M1312" s="28"/>
      <c r="N1312" s="29" t="s">
        <v>31</v>
      </c>
      <c r="O1312" s="29"/>
      <c r="P1312" s="34"/>
      <c r="Q1312" s="34"/>
      <c r="R1312" s="35"/>
      <c r="S1312" s="32" t="s">
        <v>29</v>
      </c>
      <c r="T1312" s="33"/>
      <c r="U1312" s="33"/>
    </row>
    <row r="1313" ht="15.75" customHeight="1">
      <c r="A1313" s="20">
        <v>46237.0</v>
      </c>
      <c r="B1313" s="20">
        <v>46237.0</v>
      </c>
      <c r="C1313" s="20"/>
      <c r="D1313" s="21"/>
      <c r="E1313" s="21" t="s">
        <v>43</v>
      </c>
      <c r="F1313" s="22"/>
      <c r="G1313" s="21"/>
      <c r="H1313" s="149"/>
      <c r="I1313" s="25"/>
      <c r="J1313" s="26"/>
      <c r="K1313" s="21"/>
      <c r="L1313" s="27"/>
      <c r="M1313" s="28"/>
      <c r="N1313" s="29" t="s">
        <v>57</v>
      </c>
      <c r="O1313" s="29"/>
      <c r="P1313" s="34"/>
      <c r="Q1313" s="34"/>
      <c r="R1313" s="35"/>
      <c r="S1313" s="32" t="s">
        <v>29</v>
      </c>
      <c r="T1313" s="33"/>
      <c r="U1313" s="33"/>
    </row>
    <row r="1314" ht="15.75" customHeight="1">
      <c r="A1314" s="20">
        <v>46238.0</v>
      </c>
      <c r="B1314" s="20">
        <v>46238.0</v>
      </c>
      <c r="C1314" s="20"/>
      <c r="D1314" s="21"/>
      <c r="E1314" s="21" t="s">
        <v>26</v>
      </c>
      <c r="F1314" s="22"/>
      <c r="G1314" s="21"/>
      <c r="H1314" s="149"/>
      <c r="I1314" s="25"/>
      <c r="J1314" s="26"/>
      <c r="K1314" s="21"/>
      <c r="L1314" s="27"/>
      <c r="M1314" s="28"/>
      <c r="N1314" s="29" t="s">
        <v>59</v>
      </c>
      <c r="O1314" s="29"/>
      <c r="P1314" s="34"/>
      <c r="Q1314" s="34"/>
      <c r="R1314" s="35"/>
      <c r="S1314" s="32" t="s">
        <v>29</v>
      </c>
      <c r="T1314" s="33"/>
      <c r="U1314" s="33"/>
    </row>
    <row r="1315" ht="15.75" customHeight="1">
      <c r="A1315" s="20">
        <v>46238.0</v>
      </c>
      <c r="B1315" s="20">
        <v>46238.0</v>
      </c>
      <c r="C1315" s="20"/>
      <c r="D1315" s="21"/>
      <c r="E1315" s="21" t="s">
        <v>30</v>
      </c>
      <c r="F1315" s="22"/>
      <c r="G1315" s="21"/>
      <c r="H1315" s="149"/>
      <c r="I1315" s="25"/>
      <c r="J1315" s="26"/>
      <c r="K1315" s="21"/>
      <c r="L1315" s="27"/>
      <c r="M1315" s="28"/>
      <c r="N1315" s="29" t="s">
        <v>34</v>
      </c>
      <c r="O1315" s="29"/>
      <c r="P1315" s="34"/>
      <c r="Q1315" s="34"/>
      <c r="R1315" s="35"/>
      <c r="S1315" s="32" t="s">
        <v>29</v>
      </c>
      <c r="T1315" s="33"/>
      <c r="U1315" s="33"/>
    </row>
    <row r="1316" ht="15.75" customHeight="1">
      <c r="A1316" s="20">
        <v>46238.0</v>
      </c>
      <c r="B1316" s="20">
        <v>46238.0</v>
      </c>
      <c r="C1316" s="20"/>
      <c r="D1316" s="21"/>
      <c r="E1316" s="21" t="s">
        <v>32</v>
      </c>
      <c r="F1316" s="22"/>
      <c r="G1316" s="21"/>
      <c r="H1316" s="149"/>
      <c r="I1316" s="25"/>
      <c r="J1316" s="26"/>
      <c r="K1316" s="21"/>
      <c r="L1316" s="27"/>
      <c r="M1316" s="28"/>
      <c r="N1316" s="29" t="s">
        <v>31</v>
      </c>
      <c r="O1316" s="29"/>
      <c r="P1316" s="34"/>
      <c r="Q1316" s="34"/>
      <c r="R1316" s="35"/>
      <c r="S1316" s="32" t="s">
        <v>29</v>
      </c>
      <c r="T1316" s="33"/>
      <c r="U1316" s="33"/>
    </row>
    <row r="1317" ht="15.75" customHeight="1">
      <c r="A1317" s="20">
        <v>46238.0</v>
      </c>
      <c r="B1317" s="20">
        <v>46238.0</v>
      </c>
      <c r="C1317" s="20"/>
      <c r="D1317" s="21"/>
      <c r="E1317" s="21" t="s">
        <v>38</v>
      </c>
      <c r="F1317" s="22"/>
      <c r="G1317" s="21"/>
      <c r="H1317" s="149"/>
      <c r="I1317" s="25"/>
      <c r="J1317" s="26"/>
      <c r="K1317" s="21"/>
      <c r="L1317" s="27"/>
      <c r="M1317" s="28"/>
      <c r="N1317" s="29" t="s">
        <v>69</v>
      </c>
      <c r="O1317" s="29"/>
      <c r="P1317" s="34"/>
      <c r="Q1317" s="34"/>
      <c r="R1317" s="35"/>
      <c r="S1317" s="32" t="s">
        <v>29</v>
      </c>
      <c r="T1317" s="33"/>
      <c r="U1317" s="33"/>
    </row>
    <row r="1318" ht="15.75" customHeight="1">
      <c r="A1318" s="20">
        <v>46238.0</v>
      </c>
      <c r="B1318" s="20">
        <v>46238.0</v>
      </c>
      <c r="C1318" s="20"/>
      <c r="D1318" s="21"/>
      <c r="E1318" s="21" t="s">
        <v>40</v>
      </c>
      <c r="F1318" s="22"/>
      <c r="G1318" s="21"/>
      <c r="H1318" s="149"/>
      <c r="I1318" s="25"/>
      <c r="J1318" s="26"/>
      <c r="K1318" s="21"/>
      <c r="L1318" s="27"/>
      <c r="M1318" s="28"/>
      <c r="N1318" s="29" t="s">
        <v>49</v>
      </c>
      <c r="O1318" s="29"/>
      <c r="P1318" s="34"/>
      <c r="Q1318" s="34"/>
      <c r="R1318" s="35"/>
      <c r="S1318" s="32" t="s">
        <v>29</v>
      </c>
      <c r="T1318" s="33"/>
      <c r="U1318" s="33"/>
    </row>
    <row r="1319" ht="15.75" customHeight="1">
      <c r="A1319" s="20">
        <v>46238.0</v>
      </c>
      <c r="B1319" s="20">
        <v>46238.0</v>
      </c>
      <c r="C1319" s="20"/>
      <c r="D1319" s="21"/>
      <c r="E1319" s="21" t="s">
        <v>43</v>
      </c>
      <c r="F1319" s="22"/>
      <c r="G1319" s="21"/>
      <c r="H1319" s="149"/>
      <c r="I1319" s="25"/>
      <c r="J1319" s="26"/>
      <c r="K1319" s="21"/>
      <c r="L1319" s="27"/>
      <c r="M1319" s="28"/>
      <c r="N1319" s="29" t="s">
        <v>34</v>
      </c>
      <c r="O1319" s="29"/>
      <c r="P1319" s="34"/>
      <c r="Q1319" s="34"/>
      <c r="R1319" s="35"/>
      <c r="S1319" s="32" t="s">
        <v>29</v>
      </c>
      <c r="T1319" s="33"/>
      <c r="U1319" s="33"/>
    </row>
    <row r="1320" ht="15.75" customHeight="1">
      <c r="A1320" s="20">
        <v>46239.0</v>
      </c>
      <c r="B1320" s="20">
        <v>46239.0</v>
      </c>
      <c r="C1320" s="20"/>
      <c r="D1320" s="21"/>
      <c r="E1320" s="21" t="s">
        <v>26</v>
      </c>
      <c r="F1320" s="22"/>
      <c r="G1320" s="21"/>
      <c r="H1320" s="149"/>
      <c r="I1320" s="25"/>
      <c r="J1320" s="26"/>
      <c r="K1320" s="21"/>
      <c r="L1320" s="27"/>
      <c r="M1320" s="28"/>
      <c r="N1320" s="29" t="s">
        <v>39</v>
      </c>
      <c r="O1320" s="29"/>
      <c r="P1320" s="34"/>
      <c r="Q1320" s="34"/>
      <c r="R1320" s="35"/>
      <c r="S1320" s="32" t="s">
        <v>29</v>
      </c>
      <c r="T1320" s="33"/>
      <c r="U1320" s="33"/>
    </row>
    <row r="1321" ht="14.25" customHeight="1">
      <c r="A1321" s="20">
        <v>46239.0</v>
      </c>
      <c r="B1321" s="20">
        <v>46239.0</v>
      </c>
      <c r="C1321" s="20"/>
      <c r="D1321" s="21"/>
      <c r="E1321" s="21" t="s">
        <v>30</v>
      </c>
      <c r="F1321" s="22"/>
      <c r="G1321" s="21"/>
      <c r="H1321" s="149"/>
      <c r="I1321" s="25"/>
      <c r="J1321" s="26"/>
      <c r="K1321" s="21"/>
      <c r="L1321" s="27"/>
      <c r="M1321" s="28"/>
      <c r="N1321" s="29" t="s">
        <v>59</v>
      </c>
      <c r="O1321" s="29"/>
      <c r="P1321" s="34"/>
      <c r="Q1321" s="34"/>
      <c r="R1321" s="35"/>
      <c r="S1321" s="32" t="s">
        <v>29</v>
      </c>
      <c r="T1321" s="33"/>
      <c r="U1321" s="33"/>
    </row>
    <row r="1322" ht="15.75" customHeight="1">
      <c r="A1322" s="20">
        <v>46239.0</v>
      </c>
      <c r="B1322" s="20">
        <v>46239.0</v>
      </c>
      <c r="C1322" s="20"/>
      <c r="D1322" s="21"/>
      <c r="E1322" s="21" t="s">
        <v>32</v>
      </c>
      <c r="F1322" s="22"/>
      <c r="G1322" s="21"/>
      <c r="H1322" s="149"/>
      <c r="I1322" s="25"/>
      <c r="J1322" s="26"/>
      <c r="K1322" s="21"/>
      <c r="L1322" s="27"/>
      <c r="M1322" s="28"/>
      <c r="N1322" s="29" t="s">
        <v>59</v>
      </c>
      <c r="O1322" s="29"/>
      <c r="P1322" s="34"/>
      <c r="Q1322" s="34"/>
      <c r="R1322" s="35"/>
      <c r="S1322" s="32" t="s">
        <v>29</v>
      </c>
      <c r="T1322" s="33"/>
      <c r="U1322" s="33"/>
    </row>
    <row r="1323" ht="15.75" customHeight="1">
      <c r="A1323" s="20">
        <v>46239.0</v>
      </c>
      <c r="B1323" s="20">
        <v>46239.0</v>
      </c>
      <c r="C1323" s="20"/>
      <c r="D1323" s="21"/>
      <c r="E1323" s="21" t="s">
        <v>38</v>
      </c>
      <c r="F1323" s="22"/>
      <c r="G1323" s="21"/>
      <c r="H1323" s="149"/>
      <c r="I1323" s="25"/>
      <c r="J1323" s="26"/>
      <c r="K1323" s="21"/>
      <c r="L1323" s="27"/>
      <c r="M1323" s="28"/>
      <c r="N1323" s="29" t="s">
        <v>69</v>
      </c>
      <c r="O1323" s="29"/>
      <c r="P1323" s="34"/>
      <c r="Q1323" s="34"/>
      <c r="R1323" s="35"/>
      <c r="S1323" s="32" t="s">
        <v>29</v>
      </c>
      <c r="T1323" s="33"/>
      <c r="U1323" s="33"/>
    </row>
    <row r="1324" ht="15.75" customHeight="1">
      <c r="A1324" s="20">
        <v>46239.0</v>
      </c>
      <c r="B1324" s="20">
        <v>46239.0</v>
      </c>
      <c r="C1324" s="20"/>
      <c r="D1324" s="21"/>
      <c r="E1324" s="21" t="s">
        <v>40</v>
      </c>
      <c r="F1324" s="22"/>
      <c r="G1324" s="21"/>
      <c r="H1324" s="149"/>
      <c r="I1324" s="25"/>
      <c r="J1324" s="26"/>
      <c r="K1324" s="21"/>
      <c r="L1324" s="27"/>
      <c r="M1324" s="28"/>
      <c r="N1324" s="29" t="s">
        <v>31</v>
      </c>
      <c r="O1324" s="29"/>
      <c r="P1324" s="34"/>
      <c r="Q1324" s="34"/>
      <c r="R1324" s="35"/>
      <c r="S1324" s="32" t="s">
        <v>29</v>
      </c>
      <c r="T1324" s="33"/>
      <c r="U1324" s="33"/>
    </row>
    <row r="1325" ht="15.75" customHeight="1">
      <c r="A1325" s="20">
        <v>46239.0</v>
      </c>
      <c r="B1325" s="20">
        <v>46239.0</v>
      </c>
      <c r="C1325" s="20"/>
      <c r="D1325" s="21"/>
      <c r="E1325" s="21" t="s">
        <v>43</v>
      </c>
      <c r="F1325" s="22"/>
      <c r="G1325" s="21"/>
      <c r="H1325" s="149"/>
      <c r="I1325" s="25"/>
      <c r="J1325" s="26"/>
      <c r="K1325" s="21"/>
      <c r="L1325" s="27"/>
      <c r="M1325" s="28"/>
      <c r="N1325" s="29" t="s">
        <v>34</v>
      </c>
      <c r="O1325" s="29"/>
      <c r="P1325" s="34"/>
      <c r="Q1325" s="34"/>
      <c r="R1325" s="35"/>
      <c r="S1325" s="32" t="s">
        <v>29</v>
      </c>
      <c r="T1325" s="33"/>
      <c r="U1325" s="33"/>
    </row>
    <row r="1326" ht="15.75" customHeight="1">
      <c r="A1326" s="20">
        <v>46240.0</v>
      </c>
      <c r="B1326" s="20">
        <v>46240.0</v>
      </c>
      <c r="C1326" s="20"/>
      <c r="D1326" s="21"/>
      <c r="E1326" s="21" t="s">
        <v>26</v>
      </c>
      <c r="F1326" s="22"/>
      <c r="G1326" s="21"/>
      <c r="H1326" s="149"/>
      <c r="I1326" s="25"/>
      <c r="J1326" s="26"/>
      <c r="K1326" s="21"/>
      <c r="L1326" s="27"/>
      <c r="M1326" s="28"/>
      <c r="N1326" s="29" t="s">
        <v>57</v>
      </c>
      <c r="O1326" s="29"/>
      <c r="P1326" s="34"/>
      <c r="Q1326" s="34"/>
      <c r="R1326" s="35"/>
      <c r="S1326" s="32" t="s">
        <v>29</v>
      </c>
      <c r="T1326" s="33"/>
      <c r="U1326" s="33"/>
    </row>
    <row r="1327" ht="15.75" customHeight="1">
      <c r="A1327" s="20">
        <v>46240.0</v>
      </c>
      <c r="B1327" s="20">
        <v>46240.0</v>
      </c>
      <c r="C1327" s="20"/>
      <c r="D1327" s="21"/>
      <c r="E1327" s="21" t="s">
        <v>30</v>
      </c>
      <c r="F1327" s="22"/>
      <c r="G1327" s="21"/>
      <c r="H1327" s="149"/>
      <c r="I1327" s="25"/>
      <c r="J1327" s="26"/>
      <c r="K1327" s="21"/>
      <c r="L1327" s="27"/>
      <c r="M1327" s="28"/>
      <c r="N1327" s="29" t="s">
        <v>39</v>
      </c>
      <c r="O1327" s="29"/>
      <c r="P1327" s="34"/>
      <c r="Q1327" s="34"/>
      <c r="R1327" s="35"/>
      <c r="S1327" s="32" t="s">
        <v>29</v>
      </c>
      <c r="T1327" s="33"/>
      <c r="U1327" s="33"/>
    </row>
    <row r="1328" ht="15.75" customHeight="1">
      <c r="A1328" s="20">
        <v>46240.0</v>
      </c>
      <c r="B1328" s="20">
        <v>46240.0</v>
      </c>
      <c r="C1328" s="20"/>
      <c r="D1328" s="21"/>
      <c r="E1328" s="21" t="s">
        <v>32</v>
      </c>
      <c r="F1328" s="22"/>
      <c r="G1328" s="21"/>
      <c r="H1328" s="149"/>
      <c r="I1328" s="25"/>
      <c r="J1328" s="26"/>
      <c r="K1328" s="21"/>
      <c r="L1328" s="27"/>
      <c r="M1328" s="28"/>
      <c r="N1328" s="29" t="s">
        <v>59</v>
      </c>
      <c r="O1328" s="29"/>
      <c r="P1328" s="34"/>
      <c r="Q1328" s="34"/>
      <c r="R1328" s="35"/>
      <c r="S1328" s="32" t="s">
        <v>29</v>
      </c>
      <c r="T1328" s="33"/>
      <c r="U1328" s="33"/>
    </row>
    <row r="1329" ht="15.75" customHeight="1">
      <c r="A1329" s="20">
        <v>46240.0</v>
      </c>
      <c r="B1329" s="20">
        <v>46240.0</v>
      </c>
      <c r="C1329" s="20"/>
      <c r="D1329" s="21"/>
      <c r="E1329" s="21" t="s">
        <v>38</v>
      </c>
      <c r="F1329" s="22"/>
      <c r="G1329" s="21"/>
      <c r="H1329" s="149"/>
      <c r="I1329" s="25"/>
      <c r="J1329" s="26"/>
      <c r="K1329" s="21"/>
      <c r="L1329" s="27"/>
      <c r="M1329" s="28"/>
      <c r="N1329" s="29" t="s">
        <v>69</v>
      </c>
      <c r="O1329" s="29"/>
      <c r="P1329" s="34"/>
      <c r="Q1329" s="34"/>
      <c r="R1329" s="35"/>
      <c r="S1329" s="32" t="s">
        <v>29</v>
      </c>
      <c r="T1329" s="33"/>
      <c r="U1329" s="33"/>
    </row>
    <row r="1330" ht="15.75" customHeight="1">
      <c r="A1330" s="20">
        <v>46240.0</v>
      </c>
      <c r="B1330" s="20">
        <v>46240.0</v>
      </c>
      <c r="C1330" s="20"/>
      <c r="D1330" s="21"/>
      <c r="E1330" s="21" t="s">
        <v>40</v>
      </c>
      <c r="F1330" s="22"/>
      <c r="G1330" s="21"/>
      <c r="H1330" s="149"/>
      <c r="I1330" s="25"/>
      <c r="J1330" s="26"/>
      <c r="K1330" s="21"/>
      <c r="L1330" s="27"/>
      <c r="M1330" s="28"/>
      <c r="N1330" s="29" t="s">
        <v>31</v>
      </c>
      <c r="O1330" s="29"/>
      <c r="P1330" s="34"/>
      <c r="Q1330" s="34"/>
      <c r="R1330" s="35"/>
      <c r="S1330" s="32" t="s">
        <v>29</v>
      </c>
      <c r="T1330" s="33"/>
      <c r="U1330" s="33"/>
    </row>
    <row r="1331" ht="15.75" customHeight="1">
      <c r="A1331" s="20">
        <v>46240.0</v>
      </c>
      <c r="B1331" s="20">
        <v>46240.0</v>
      </c>
      <c r="C1331" s="20"/>
      <c r="D1331" s="21"/>
      <c r="E1331" s="21" t="s">
        <v>43</v>
      </c>
      <c r="F1331" s="22"/>
      <c r="G1331" s="21"/>
      <c r="H1331" s="149"/>
      <c r="I1331" s="25"/>
      <c r="J1331" s="26"/>
      <c r="K1331" s="21"/>
      <c r="L1331" s="27"/>
      <c r="M1331" s="28"/>
      <c r="N1331" s="29" t="s">
        <v>34</v>
      </c>
      <c r="O1331" s="29"/>
      <c r="P1331" s="34"/>
      <c r="Q1331" s="34"/>
      <c r="R1331" s="35"/>
      <c r="S1331" s="32" t="s">
        <v>29</v>
      </c>
      <c r="T1331" s="33"/>
      <c r="U1331" s="33"/>
    </row>
    <row r="1332" ht="15.75" customHeight="1">
      <c r="A1332" s="20">
        <v>46241.0</v>
      </c>
      <c r="B1332" s="20">
        <v>46241.0</v>
      </c>
      <c r="C1332" s="20"/>
      <c r="D1332" s="21"/>
      <c r="E1332" s="21" t="s">
        <v>26</v>
      </c>
      <c r="F1332" s="22"/>
      <c r="G1332" s="21"/>
      <c r="H1332" s="149"/>
      <c r="I1332" s="25"/>
      <c r="J1332" s="26"/>
      <c r="K1332" s="21"/>
      <c r="L1332" s="27"/>
      <c r="M1332" s="28"/>
      <c r="N1332" s="29" t="s">
        <v>31</v>
      </c>
      <c r="O1332" s="29"/>
      <c r="P1332" s="34"/>
      <c r="Q1332" s="34"/>
      <c r="R1332" s="35"/>
      <c r="S1332" s="32" t="s">
        <v>29</v>
      </c>
      <c r="T1332" s="33"/>
      <c r="U1332" s="33"/>
    </row>
    <row r="1333" ht="15.75" customHeight="1">
      <c r="A1333" s="20">
        <v>46241.0</v>
      </c>
      <c r="B1333" s="20">
        <v>46241.0</v>
      </c>
      <c r="C1333" s="20"/>
      <c r="D1333" s="21"/>
      <c r="E1333" s="21" t="s">
        <v>30</v>
      </c>
      <c r="F1333" s="22"/>
      <c r="G1333" s="21"/>
      <c r="H1333" s="149"/>
      <c r="I1333" s="25"/>
      <c r="J1333" s="26"/>
      <c r="K1333" s="21"/>
      <c r="L1333" s="27"/>
      <c r="M1333" s="28"/>
      <c r="N1333" s="29" t="s">
        <v>57</v>
      </c>
      <c r="O1333" s="29"/>
      <c r="P1333" s="34"/>
      <c r="Q1333" s="34"/>
      <c r="R1333" s="35"/>
      <c r="S1333" s="32" t="s">
        <v>29</v>
      </c>
      <c r="T1333" s="33"/>
      <c r="U1333" s="33"/>
    </row>
    <row r="1334" ht="15.75" customHeight="1">
      <c r="A1334" s="20">
        <v>46241.0</v>
      </c>
      <c r="B1334" s="20">
        <v>46241.0</v>
      </c>
      <c r="C1334" s="20"/>
      <c r="D1334" s="21"/>
      <c r="E1334" s="21" t="s">
        <v>32</v>
      </c>
      <c r="F1334" s="22"/>
      <c r="G1334" s="21"/>
      <c r="H1334" s="149"/>
      <c r="I1334" s="25"/>
      <c r="J1334" s="26"/>
      <c r="K1334" s="21"/>
      <c r="L1334" s="27"/>
      <c r="M1334" s="28"/>
      <c r="N1334" s="29" t="s">
        <v>59</v>
      </c>
      <c r="O1334" s="29"/>
      <c r="P1334" s="34"/>
      <c r="Q1334" s="34"/>
      <c r="R1334" s="35"/>
      <c r="S1334" s="32" t="s">
        <v>29</v>
      </c>
      <c r="T1334" s="33"/>
      <c r="U1334" s="33"/>
    </row>
    <row r="1335" ht="15.75" customHeight="1">
      <c r="A1335" s="20">
        <v>46241.0</v>
      </c>
      <c r="B1335" s="20">
        <v>46241.0</v>
      </c>
      <c r="C1335" s="20"/>
      <c r="D1335" s="21"/>
      <c r="E1335" s="21" t="s">
        <v>38</v>
      </c>
      <c r="F1335" s="22"/>
      <c r="G1335" s="21"/>
      <c r="H1335" s="149"/>
      <c r="I1335" s="25"/>
      <c r="J1335" s="26"/>
      <c r="K1335" s="21"/>
      <c r="L1335" s="27"/>
      <c r="M1335" s="28"/>
      <c r="N1335" s="29" t="s">
        <v>49</v>
      </c>
      <c r="O1335" s="29"/>
      <c r="P1335" s="34"/>
      <c r="Q1335" s="34"/>
      <c r="R1335" s="35"/>
      <c r="S1335" s="32" t="s">
        <v>29</v>
      </c>
      <c r="T1335" s="33"/>
      <c r="U1335" s="33"/>
    </row>
    <row r="1336" ht="15.75" customHeight="1">
      <c r="A1336" s="20">
        <v>46241.0</v>
      </c>
      <c r="B1336" s="20">
        <v>46241.0</v>
      </c>
      <c r="C1336" s="20"/>
      <c r="D1336" s="21"/>
      <c r="E1336" s="21" t="s">
        <v>40</v>
      </c>
      <c r="F1336" s="22"/>
      <c r="G1336" s="21"/>
      <c r="H1336" s="149"/>
      <c r="I1336" s="25"/>
      <c r="J1336" s="26"/>
      <c r="K1336" s="21"/>
      <c r="L1336" s="27"/>
      <c r="M1336" s="28"/>
      <c r="N1336" s="29" t="s">
        <v>49</v>
      </c>
      <c r="O1336" s="29"/>
      <c r="P1336" s="34"/>
      <c r="Q1336" s="34"/>
      <c r="R1336" s="35"/>
      <c r="S1336" s="32" t="s">
        <v>29</v>
      </c>
      <c r="T1336" s="33"/>
      <c r="U1336" s="33"/>
    </row>
    <row r="1337" ht="15.75" customHeight="1">
      <c r="A1337" s="20">
        <v>46241.0</v>
      </c>
      <c r="B1337" s="20">
        <v>46241.0</v>
      </c>
      <c r="C1337" s="20"/>
      <c r="D1337" s="21"/>
      <c r="E1337" s="21" t="s">
        <v>43</v>
      </c>
      <c r="F1337" s="22"/>
      <c r="G1337" s="21"/>
      <c r="H1337" s="149"/>
      <c r="I1337" s="25"/>
      <c r="J1337" s="26"/>
      <c r="K1337" s="21"/>
      <c r="L1337" s="27"/>
      <c r="M1337" s="28"/>
      <c r="N1337" s="29" t="s">
        <v>59</v>
      </c>
      <c r="O1337" s="29"/>
      <c r="P1337" s="34"/>
      <c r="Q1337" s="34"/>
      <c r="R1337" s="35"/>
      <c r="S1337" s="32" t="s">
        <v>29</v>
      </c>
      <c r="T1337" s="33"/>
      <c r="U1337" s="33"/>
    </row>
    <row r="1338" ht="15.75" customHeight="1">
      <c r="A1338" s="55">
        <v>46242.0</v>
      </c>
      <c r="B1338" s="55">
        <v>46242.0</v>
      </c>
      <c r="C1338" s="55"/>
      <c r="D1338" s="56"/>
      <c r="E1338" s="56" t="s">
        <v>32</v>
      </c>
      <c r="F1338" s="57"/>
      <c r="G1338" s="56"/>
      <c r="H1338" s="149"/>
      <c r="I1338" s="25"/>
      <c r="J1338" s="26"/>
      <c r="K1338" s="21"/>
      <c r="L1338" s="27"/>
      <c r="M1338" s="28"/>
      <c r="N1338" s="29" t="s">
        <v>57</v>
      </c>
      <c r="O1338" s="29"/>
      <c r="P1338" s="34"/>
      <c r="Q1338" s="34"/>
      <c r="R1338" s="35"/>
      <c r="S1338" s="32" t="s">
        <v>29</v>
      </c>
      <c r="T1338" s="33"/>
      <c r="U1338" s="33"/>
    </row>
    <row r="1339" ht="15.75" customHeight="1">
      <c r="A1339" s="55">
        <v>46242.0</v>
      </c>
      <c r="B1339" s="55">
        <v>46242.0</v>
      </c>
      <c r="C1339" s="55"/>
      <c r="D1339" s="56"/>
      <c r="E1339" s="56" t="s">
        <v>40</v>
      </c>
      <c r="F1339" s="57"/>
      <c r="G1339" s="56"/>
      <c r="H1339" s="149"/>
      <c r="I1339" s="25"/>
      <c r="J1339" s="26"/>
      <c r="K1339" s="21"/>
      <c r="L1339" s="27"/>
      <c r="M1339" s="28"/>
      <c r="N1339" s="29" t="s">
        <v>34</v>
      </c>
      <c r="O1339" s="29"/>
      <c r="P1339" s="34"/>
      <c r="Q1339" s="34"/>
      <c r="R1339" s="35"/>
      <c r="S1339" s="32" t="s">
        <v>29</v>
      </c>
      <c r="T1339" s="33"/>
      <c r="U1339" s="33"/>
    </row>
    <row r="1340" ht="15.75" customHeight="1">
      <c r="A1340" s="55">
        <v>46242.0</v>
      </c>
      <c r="B1340" s="55">
        <v>46242.0</v>
      </c>
      <c r="C1340" s="55"/>
      <c r="D1340" s="56"/>
      <c r="E1340" s="56" t="s">
        <v>43</v>
      </c>
      <c r="F1340" s="57"/>
      <c r="G1340" s="56"/>
      <c r="H1340" s="149"/>
      <c r="I1340" s="25"/>
      <c r="J1340" s="26"/>
      <c r="K1340" s="21"/>
      <c r="L1340" s="27"/>
      <c r="M1340" s="28"/>
      <c r="N1340" s="29" t="s">
        <v>59</v>
      </c>
      <c r="O1340" s="29"/>
      <c r="P1340" s="34"/>
      <c r="Q1340" s="34"/>
      <c r="R1340" s="105"/>
      <c r="S1340" s="32" t="s">
        <v>29</v>
      </c>
      <c r="T1340" s="33"/>
      <c r="U1340" s="33"/>
    </row>
    <row r="1341" ht="15.75" customHeight="1">
      <c r="A1341" s="55">
        <v>46242.0</v>
      </c>
      <c r="B1341" s="55">
        <v>46242.0</v>
      </c>
      <c r="C1341" s="55"/>
      <c r="D1341" s="56"/>
      <c r="E1341" s="56" t="s">
        <v>61</v>
      </c>
      <c r="F1341" s="57"/>
      <c r="G1341" s="56"/>
      <c r="H1341" s="149"/>
      <c r="I1341" s="25"/>
      <c r="J1341" s="26"/>
      <c r="K1341" s="21"/>
      <c r="L1341" s="27"/>
      <c r="M1341" s="28"/>
      <c r="N1341" s="29" t="s">
        <v>59</v>
      </c>
      <c r="O1341" s="29"/>
      <c r="P1341" s="34"/>
      <c r="Q1341" s="34"/>
      <c r="R1341" s="35"/>
      <c r="S1341" s="32" t="s">
        <v>29</v>
      </c>
      <c r="T1341" s="33"/>
      <c r="U1341" s="33"/>
    </row>
    <row r="1342" ht="15.75" customHeight="1">
      <c r="A1342" s="55">
        <v>46242.0</v>
      </c>
      <c r="B1342" s="55">
        <v>46242.0</v>
      </c>
      <c r="C1342" s="55"/>
      <c r="D1342" s="56"/>
      <c r="E1342" s="56" t="s">
        <v>62</v>
      </c>
      <c r="F1342" s="57"/>
      <c r="G1342" s="56"/>
      <c r="H1342" s="149"/>
      <c r="I1342" s="25"/>
      <c r="J1342" s="26"/>
      <c r="K1342" s="21"/>
      <c r="L1342" s="27"/>
      <c r="M1342" s="28"/>
      <c r="N1342" s="29" t="s">
        <v>59</v>
      </c>
      <c r="O1342" s="29"/>
      <c r="P1342" s="34"/>
      <c r="Q1342" s="34"/>
      <c r="R1342" s="35"/>
      <c r="S1342" s="32" t="s">
        <v>29</v>
      </c>
      <c r="T1342" s="33"/>
      <c r="U1342" s="33"/>
    </row>
    <row r="1343" ht="15.75" customHeight="1">
      <c r="A1343" s="55">
        <v>46242.0</v>
      </c>
      <c r="B1343" s="55">
        <v>46242.0</v>
      </c>
      <c r="C1343" s="55"/>
      <c r="D1343" s="56"/>
      <c r="E1343" s="56" t="s">
        <v>63</v>
      </c>
      <c r="F1343" s="57"/>
      <c r="G1343" s="56"/>
      <c r="H1343" s="149"/>
      <c r="I1343" s="25"/>
      <c r="J1343" s="26"/>
      <c r="K1343" s="21"/>
      <c r="L1343" s="27"/>
      <c r="M1343" s="28"/>
      <c r="N1343" s="29" t="s">
        <v>31</v>
      </c>
      <c r="O1343" s="29"/>
      <c r="P1343" s="34"/>
      <c r="Q1343" s="34"/>
      <c r="R1343" s="35"/>
      <c r="S1343" s="32" t="s">
        <v>29</v>
      </c>
      <c r="T1343" s="33"/>
      <c r="U1343" s="33"/>
    </row>
    <row r="1344" ht="15.75" customHeight="1">
      <c r="A1344" s="55">
        <v>46242.0</v>
      </c>
      <c r="B1344" s="55"/>
      <c r="C1344" s="55"/>
      <c r="D1344" s="56"/>
      <c r="E1344" s="56" t="s">
        <v>1398</v>
      </c>
      <c r="F1344" s="57"/>
      <c r="G1344" s="56"/>
      <c r="H1344" s="173"/>
      <c r="I1344" s="25"/>
      <c r="J1344" s="26"/>
      <c r="K1344" s="21"/>
      <c r="L1344" s="27"/>
      <c r="M1344" s="28"/>
      <c r="N1344" s="29"/>
      <c r="O1344" s="29"/>
      <c r="P1344" s="34"/>
      <c r="Q1344" s="34"/>
      <c r="R1344" s="35"/>
      <c r="S1344" s="32"/>
      <c r="T1344" s="33"/>
      <c r="U1344" s="33"/>
    </row>
    <row r="1345" ht="16.5" customHeight="1">
      <c r="A1345" s="60">
        <v>46243.0</v>
      </c>
      <c r="B1345" s="60">
        <v>46243.0</v>
      </c>
      <c r="C1345" s="60"/>
      <c r="D1345" s="61"/>
      <c r="E1345" s="61" t="s">
        <v>66</v>
      </c>
      <c r="F1345" s="62"/>
      <c r="G1345" s="61"/>
      <c r="H1345" s="183"/>
      <c r="I1345" s="25"/>
      <c r="J1345" s="26"/>
      <c r="K1345" s="21"/>
      <c r="L1345" s="27"/>
      <c r="M1345" s="28"/>
      <c r="N1345" s="29" t="s">
        <v>69</v>
      </c>
      <c r="O1345" s="29"/>
      <c r="P1345" s="34"/>
      <c r="Q1345" s="34"/>
      <c r="R1345" s="35"/>
      <c r="S1345" s="32" t="s">
        <v>29</v>
      </c>
      <c r="T1345" s="33"/>
      <c r="U1345" s="33"/>
    </row>
    <row r="1346" ht="15.0" customHeight="1">
      <c r="A1346" s="20">
        <v>46244.0</v>
      </c>
      <c r="B1346" s="20">
        <v>46244.0</v>
      </c>
      <c r="C1346" s="20"/>
      <c r="D1346" s="21"/>
      <c r="E1346" s="21" t="s">
        <v>26</v>
      </c>
      <c r="F1346" s="22"/>
      <c r="G1346" s="21"/>
      <c r="H1346" s="149"/>
      <c r="I1346" s="25"/>
      <c r="J1346" s="26"/>
      <c r="K1346" s="21"/>
      <c r="L1346" s="27"/>
      <c r="M1346" s="28"/>
      <c r="N1346" s="29" t="s">
        <v>34</v>
      </c>
      <c r="O1346" s="29"/>
      <c r="P1346" s="34"/>
      <c r="Q1346" s="34"/>
      <c r="R1346" s="35"/>
      <c r="S1346" s="32" t="s">
        <v>29</v>
      </c>
      <c r="T1346" s="33"/>
      <c r="U1346" s="33"/>
    </row>
    <row r="1347" ht="15.75" customHeight="1">
      <c r="A1347" s="20">
        <v>46244.0</v>
      </c>
      <c r="B1347" s="20">
        <v>46244.0</v>
      </c>
      <c r="C1347" s="20"/>
      <c r="D1347" s="21"/>
      <c r="E1347" s="21" t="s">
        <v>30</v>
      </c>
      <c r="F1347" s="22"/>
      <c r="G1347" s="21"/>
      <c r="H1347" s="149"/>
      <c r="I1347" s="25"/>
      <c r="J1347" s="26"/>
      <c r="K1347" s="21"/>
      <c r="L1347" s="27"/>
      <c r="M1347" s="28"/>
      <c r="N1347" s="29" t="s">
        <v>31</v>
      </c>
      <c r="O1347" s="29"/>
      <c r="P1347" s="34"/>
      <c r="Q1347" s="34"/>
      <c r="R1347" s="35"/>
      <c r="S1347" s="32" t="s">
        <v>29</v>
      </c>
      <c r="T1347" s="33"/>
      <c r="U1347" s="33"/>
    </row>
    <row r="1348" ht="15.75" customHeight="1">
      <c r="A1348" s="20">
        <v>46244.0</v>
      </c>
      <c r="B1348" s="20">
        <v>46244.0</v>
      </c>
      <c r="C1348" s="20"/>
      <c r="D1348" s="21"/>
      <c r="E1348" s="21" t="s">
        <v>32</v>
      </c>
      <c r="F1348" s="22"/>
      <c r="G1348" s="21"/>
      <c r="H1348" s="149"/>
      <c r="I1348" s="25"/>
      <c r="J1348" s="26"/>
      <c r="K1348" s="21"/>
      <c r="L1348" s="27"/>
      <c r="M1348" s="28"/>
      <c r="N1348" s="29" t="s">
        <v>59</v>
      </c>
      <c r="O1348" s="29"/>
      <c r="P1348" s="34"/>
      <c r="Q1348" s="34"/>
      <c r="R1348" s="35"/>
      <c r="S1348" s="32" t="s">
        <v>29</v>
      </c>
      <c r="T1348" s="33"/>
      <c r="U1348" s="33"/>
    </row>
    <row r="1349" ht="15.75" customHeight="1">
      <c r="A1349" s="20">
        <v>46244.0</v>
      </c>
      <c r="B1349" s="20">
        <v>46244.0</v>
      </c>
      <c r="C1349" s="20"/>
      <c r="D1349" s="21"/>
      <c r="E1349" s="21" t="s">
        <v>38</v>
      </c>
      <c r="F1349" s="22"/>
      <c r="G1349" s="21"/>
      <c r="H1349" s="149"/>
      <c r="I1349" s="25"/>
      <c r="J1349" s="26"/>
      <c r="K1349" s="21"/>
      <c r="L1349" s="27"/>
      <c r="M1349" s="28"/>
      <c r="N1349" s="29" t="s">
        <v>69</v>
      </c>
      <c r="O1349" s="29"/>
      <c r="P1349" s="34"/>
      <c r="Q1349" s="34"/>
      <c r="R1349" s="35"/>
      <c r="S1349" s="32" t="s">
        <v>29</v>
      </c>
      <c r="T1349" s="33"/>
      <c r="U1349" s="33"/>
    </row>
    <row r="1350" ht="15.75" customHeight="1">
      <c r="A1350" s="20">
        <v>46244.0</v>
      </c>
      <c r="B1350" s="20">
        <v>46244.0</v>
      </c>
      <c r="C1350" s="20"/>
      <c r="D1350" s="21"/>
      <c r="E1350" s="21" t="s">
        <v>40</v>
      </c>
      <c r="F1350" s="22"/>
      <c r="G1350" s="21"/>
      <c r="H1350" s="149"/>
      <c r="I1350" s="25"/>
      <c r="J1350" s="26"/>
      <c r="K1350" s="21"/>
      <c r="L1350" s="27"/>
      <c r="M1350" s="28"/>
      <c r="N1350" s="29" t="s">
        <v>31</v>
      </c>
      <c r="O1350" s="29"/>
      <c r="P1350" s="34"/>
      <c r="Q1350" s="34"/>
      <c r="R1350" s="35"/>
      <c r="S1350" s="32" t="s">
        <v>29</v>
      </c>
      <c r="T1350" s="33"/>
      <c r="U1350" s="33"/>
    </row>
    <row r="1351" ht="15.75" customHeight="1">
      <c r="A1351" s="20">
        <v>46244.0</v>
      </c>
      <c r="B1351" s="20">
        <v>46244.0</v>
      </c>
      <c r="C1351" s="20"/>
      <c r="D1351" s="21"/>
      <c r="E1351" s="21" t="s">
        <v>43</v>
      </c>
      <c r="F1351" s="22"/>
      <c r="G1351" s="21"/>
      <c r="H1351" s="149"/>
      <c r="I1351" s="25"/>
      <c r="J1351" s="26"/>
      <c r="K1351" s="21"/>
      <c r="L1351" s="27"/>
      <c r="M1351" s="28"/>
      <c r="N1351" s="29" t="s">
        <v>57</v>
      </c>
      <c r="O1351" s="29"/>
      <c r="P1351" s="34"/>
      <c r="Q1351" s="34"/>
      <c r="R1351" s="35"/>
      <c r="S1351" s="32" t="s">
        <v>29</v>
      </c>
      <c r="T1351" s="33"/>
      <c r="U1351" s="33"/>
    </row>
    <row r="1352" ht="15.75" customHeight="1">
      <c r="A1352" s="20">
        <v>46245.0</v>
      </c>
      <c r="B1352" s="20">
        <v>46245.0</v>
      </c>
      <c r="C1352" s="20"/>
      <c r="D1352" s="21"/>
      <c r="E1352" s="21" t="s">
        <v>26</v>
      </c>
      <c r="F1352" s="22"/>
      <c r="G1352" s="21"/>
      <c r="H1352" s="149"/>
      <c r="I1352" s="25"/>
      <c r="J1352" s="26"/>
      <c r="K1352" s="21"/>
      <c r="L1352" s="27"/>
      <c r="M1352" s="28"/>
      <c r="N1352" s="29" t="s">
        <v>59</v>
      </c>
      <c r="O1352" s="29"/>
      <c r="P1352" s="34"/>
      <c r="Q1352" s="34"/>
      <c r="R1352" s="35"/>
      <c r="S1352" s="32" t="s">
        <v>29</v>
      </c>
      <c r="T1352" s="33"/>
      <c r="U1352" s="33"/>
    </row>
    <row r="1353" ht="15.75" customHeight="1">
      <c r="A1353" s="20">
        <v>46245.0</v>
      </c>
      <c r="B1353" s="20">
        <v>46245.0</v>
      </c>
      <c r="C1353" s="20"/>
      <c r="D1353" s="21"/>
      <c r="E1353" s="21" t="s">
        <v>30</v>
      </c>
      <c r="F1353" s="22"/>
      <c r="G1353" s="21"/>
      <c r="H1353" s="149"/>
      <c r="I1353" s="25"/>
      <c r="J1353" s="26"/>
      <c r="K1353" s="21"/>
      <c r="L1353" s="27"/>
      <c r="M1353" s="28"/>
      <c r="N1353" s="29" t="s">
        <v>34</v>
      </c>
      <c r="O1353" s="29"/>
      <c r="P1353" s="34"/>
      <c r="Q1353" s="34"/>
      <c r="R1353" s="35"/>
      <c r="S1353" s="32" t="s">
        <v>29</v>
      </c>
      <c r="T1353" s="33"/>
      <c r="U1353" s="33"/>
    </row>
    <row r="1354" ht="15.75" customHeight="1">
      <c r="A1354" s="20">
        <v>46245.0</v>
      </c>
      <c r="B1354" s="20">
        <v>46245.0</v>
      </c>
      <c r="C1354" s="20"/>
      <c r="D1354" s="21"/>
      <c r="E1354" s="21" t="s">
        <v>32</v>
      </c>
      <c r="F1354" s="22"/>
      <c r="G1354" s="21"/>
      <c r="H1354" s="149"/>
      <c r="I1354" s="25"/>
      <c r="J1354" s="26"/>
      <c r="K1354" s="21"/>
      <c r="L1354" s="27"/>
      <c r="M1354" s="28"/>
      <c r="N1354" s="29" t="s">
        <v>31</v>
      </c>
      <c r="O1354" s="29"/>
      <c r="P1354" s="34"/>
      <c r="Q1354" s="34"/>
      <c r="R1354" s="35"/>
      <c r="S1354" s="32" t="s">
        <v>29</v>
      </c>
      <c r="T1354" s="33"/>
      <c r="U1354" s="33"/>
    </row>
    <row r="1355" ht="15.75" customHeight="1">
      <c r="A1355" s="20">
        <v>46245.0</v>
      </c>
      <c r="B1355" s="20">
        <v>46245.0</v>
      </c>
      <c r="C1355" s="20"/>
      <c r="D1355" s="21"/>
      <c r="E1355" s="21" t="s">
        <v>38</v>
      </c>
      <c r="F1355" s="22"/>
      <c r="G1355" s="21"/>
      <c r="H1355" s="149"/>
      <c r="I1355" s="25"/>
      <c r="J1355" s="26"/>
      <c r="K1355" s="21"/>
      <c r="L1355" s="27"/>
      <c r="M1355" s="28"/>
      <c r="N1355" s="29" t="s">
        <v>69</v>
      </c>
      <c r="O1355" s="29"/>
      <c r="P1355" s="34"/>
      <c r="Q1355" s="34"/>
      <c r="R1355" s="35"/>
      <c r="S1355" s="32" t="s">
        <v>29</v>
      </c>
      <c r="T1355" s="33"/>
      <c r="U1355" s="33"/>
    </row>
    <row r="1356" ht="15.75" customHeight="1">
      <c r="A1356" s="20">
        <v>46245.0</v>
      </c>
      <c r="B1356" s="20">
        <v>46245.0</v>
      </c>
      <c r="C1356" s="20"/>
      <c r="D1356" s="21"/>
      <c r="E1356" s="21" t="s">
        <v>40</v>
      </c>
      <c r="F1356" s="22"/>
      <c r="G1356" s="21"/>
      <c r="H1356" s="149"/>
      <c r="I1356" s="25"/>
      <c r="J1356" s="26"/>
      <c r="K1356" s="21"/>
      <c r="L1356" s="27"/>
      <c r="M1356" s="28"/>
      <c r="N1356" s="29" t="s">
        <v>49</v>
      </c>
      <c r="O1356" s="29"/>
      <c r="P1356" s="34"/>
      <c r="Q1356" s="34"/>
      <c r="R1356" s="35"/>
      <c r="S1356" s="32" t="s">
        <v>29</v>
      </c>
      <c r="T1356" s="33"/>
      <c r="U1356" s="33"/>
    </row>
    <row r="1357" ht="15.75" customHeight="1">
      <c r="A1357" s="20">
        <v>46245.0</v>
      </c>
      <c r="B1357" s="20">
        <v>46245.0</v>
      </c>
      <c r="C1357" s="20"/>
      <c r="D1357" s="21"/>
      <c r="E1357" s="21" t="s">
        <v>43</v>
      </c>
      <c r="F1357" s="22"/>
      <c r="G1357" s="21"/>
      <c r="H1357" s="149"/>
      <c r="I1357" s="25"/>
      <c r="J1357" s="26"/>
      <c r="K1357" s="21"/>
      <c r="L1357" s="27"/>
      <c r="M1357" s="28"/>
      <c r="N1357" s="29" t="s">
        <v>34</v>
      </c>
      <c r="O1357" s="29"/>
      <c r="P1357" s="34"/>
      <c r="Q1357" s="34"/>
      <c r="R1357" s="35"/>
      <c r="S1357" s="32" t="s">
        <v>29</v>
      </c>
      <c r="T1357" s="33"/>
      <c r="U1357" s="33"/>
    </row>
    <row r="1358" ht="15.75" customHeight="1">
      <c r="A1358" s="20">
        <v>46246.0</v>
      </c>
      <c r="B1358" s="20">
        <v>46246.0</v>
      </c>
      <c r="C1358" s="20"/>
      <c r="D1358" s="21"/>
      <c r="E1358" s="21" t="s">
        <v>26</v>
      </c>
      <c r="F1358" s="22"/>
      <c r="G1358" s="21"/>
      <c r="H1358" s="149"/>
      <c r="I1358" s="25"/>
      <c r="J1358" s="26"/>
      <c r="K1358" s="21"/>
      <c r="L1358" s="27"/>
      <c r="M1358" s="28"/>
      <c r="N1358" s="29" t="s">
        <v>39</v>
      </c>
      <c r="O1358" s="29"/>
      <c r="P1358" s="34"/>
      <c r="Q1358" s="34"/>
      <c r="R1358" s="35"/>
      <c r="S1358" s="32" t="s">
        <v>29</v>
      </c>
      <c r="T1358" s="33"/>
      <c r="U1358" s="33"/>
    </row>
    <row r="1359" ht="15.75" customHeight="1">
      <c r="A1359" s="20">
        <v>46246.0</v>
      </c>
      <c r="B1359" s="20">
        <v>46246.0</v>
      </c>
      <c r="C1359" s="20"/>
      <c r="D1359" s="21"/>
      <c r="E1359" s="21" t="s">
        <v>30</v>
      </c>
      <c r="F1359" s="22"/>
      <c r="G1359" s="21"/>
      <c r="H1359" s="149"/>
      <c r="I1359" s="25"/>
      <c r="J1359" s="26"/>
      <c r="K1359" s="21"/>
      <c r="L1359" s="27"/>
      <c r="M1359" s="28"/>
      <c r="N1359" s="29" t="s">
        <v>59</v>
      </c>
      <c r="O1359" s="29"/>
      <c r="P1359" s="34"/>
      <c r="Q1359" s="34"/>
      <c r="R1359" s="35"/>
      <c r="S1359" s="32" t="s">
        <v>29</v>
      </c>
      <c r="T1359" s="33"/>
      <c r="U1359" s="33"/>
    </row>
    <row r="1360" ht="15.75" customHeight="1">
      <c r="A1360" s="20">
        <v>46246.0</v>
      </c>
      <c r="B1360" s="20">
        <v>46246.0</v>
      </c>
      <c r="C1360" s="20"/>
      <c r="D1360" s="21"/>
      <c r="E1360" s="21" t="s">
        <v>32</v>
      </c>
      <c r="F1360" s="22"/>
      <c r="G1360" s="21"/>
      <c r="H1360" s="149"/>
      <c r="I1360" s="25"/>
      <c r="J1360" s="26"/>
      <c r="K1360" s="21"/>
      <c r="L1360" s="27"/>
      <c r="M1360" s="28"/>
      <c r="N1360" s="29" t="s">
        <v>59</v>
      </c>
      <c r="O1360" s="29"/>
      <c r="P1360" s="34"/>
      <c r="Q1360" s="34"/>
      <c r="R1360" s="35"/>
      <c r="S1360" s="32" t="s">
        <v>29</v>
      </c>
      <c r="T1360" s="33"/>
      <c r="U1360" s="33"/>
    </row>
    <row r="1361" ht="15.75" customHeight="1">
      <c r="A1361" s="20">
        <v>46246.0</v>
      </c>
      <c r="B1361" s="20">
        <v>46246.0</v>
      </c>
      <c r="C1361" s="20"/>
      <c r="D1361" s="21"/>
      <c r="E1361" s="21" t="s">
        <v>38</v>
      </c>
      <c r="F1361" s="22"/>
      <c r="G1361" s="21"/>
      <c r="H1361" s="149"/>
      <c r="I1361" s="25"/>
      <c r="J1361" s="26"/>
      <c r="K1361" s="21"/>
      <c r="L1361" s="27"/>
      <c r="M1361" s="28"/>
      <c r="N1361" s="29" t="s">
        <v>69</v>
      </c>
      <c r="O1361" s="29"/>
      <c r="P1361" s="34"/>
      <c r="Q1361" s="34"/>
      <c r="R1361" s="35"/>
      <c r="S1361" s="32" t="s">
        <v>29</v>
      </c>
      <c r="T1361" s="33"/>
      <c r="U1361" s="33"/>
    </row>
    <row r="1362" ht="15.75" customHeight="1">
      <c r="A1362" s="20">
        <v>46246.0</v>
      </c>
      <c r="B1362" s="20">
        <v>46246.0</v>
      </c>
      <c r="C1362" s="20"/>
      <c r="D1362" s="21"/>
      <c r="E1362" s="21" t="s">
        <v>40</v>
      </c>
      <c r="F1362" s="22"/>
      <c r="G1362" s="21"/>
      <c r="H1362" s="149"/>
      <c r="I1362" s="25"/>
      <c r="J1362" s="26"/>
      <c r="K1362" s="21"/>
      <c r="L1362" s="27"/>
      <c r="M1362" s="28"/>
      <c r="N1362" s="29" t="s">
        <v>31</v>
      </c>
      <c r="O1362" s="29"/>
      <c r="P1362" s="34"/>
      <c r="Q1362" s="34"/>
      <c r="R1362" s="35"/>
      <c r="S1362" s="32" t="s">
        <v>29</v>
      </c>
      <c r="T1362" s="33"/>
      <c r="U1362" s="33"/>
    </row>
    <row r="1363" ht="15.75" customHeight="1">
      <c r="A1363" s="20">
        <v>46246.0</v>
      </c>
      <c r="B1363" s="20">
        <v>46246.0</v>
      </c>
      <c r="C1363" s="20"/>
      <c r="D1363" s="21"/>
      <c r="E1363" s="21" t="s">
        <v>43</v>
      </c>
      <c r="F1363" s="22"/>
      <c r="G1363" s="21"/>
      <c r="H1363" s="149"/>
      <c r="I1363" s="25"/>
      <c r="J1363" s="26"/>
      <c r="K1363" s="21"/>
      <c r="L1363" s="27"/>
      <c r="M1363" s="28"/>
      <c r="N1363" s="29" t="s">
        <v>34</v>
      </c>
      <c r="O1363" s="29"/>
      <c r="P1363" s="34"/>
      <c r="Q1363" s="34"/>
      <c r="R1363" s="35"/>
      <c r="S1363" s="32" t="s">
        <v>29</v>
      </c>
      <c r="T1363" s="33"/>
      <c r="U1363" s="33"/>
    </row>
    <row r="1364" ht="15.75" customHeight="1">
      <c r="A1364" s="20">
        <v>46247.0</v>
      </c>
      <c r="B1364" s="20">
        <v>46247.0</v>
      </c>
      <c r="C1364" s="20"/>
      <c r="D1364" s="21"/>
      <c r="E1364" s="21" t="s">
        <v>26</v>
      </c>
      <c r="F1364" s="22"/>
      <c r="G1364" s="21"/>
      <c r="H1364" s="149"/>
      <c r="I1364" s="25"/>
      <c r="J1364" s="26"/>
      <c r="K1364" s="21"/>
      <c r="L1364" s="27"/>
      <c r="M1364" s="28"/>
      <c r="N1364" s="29" t="s">
        <v>57</v>
      </c>
      <c r="O1364" s="29"/>
      <c r="P1364" s="34"/>
      <c r="Q1364" s="34"/>
      <c r="R1364" s="35"/>
      <c r="S1364" s="32" t="s">
        <v>29</v>
      </c>
      <c r="T1364" s="33"/>
      <c r="U1364" s="33"/>
    </row>
    <row r="1365" ht="15.75" customHeight="1">
      <c r="A1365" s="20">
        <v>46247.0</v>
      </c>
      <c r="B1365" s="20">
        <v>46247.0</v>
      </c>
      <c r="C1365" s="20"/>
      <c r="D1365" s="21"/>
      <c r="E1365" s="21" t="s">
        <v>30</v>
      </c>
      <c r="F1365" s="22"/>
      <c r="G1365" s="21"/>
      <c r="H1365" s="149"/>
      <c r="I1365" s="25"/>
      <c r="J1365" s="26"/>
      <c r="K1365" s="21"/>
      <c r="L1365" s="27"/>
      <c r="M1365" s="28"/>
      <c r="N1365" s="29" t="s">
        <v>39</v>
      </c>
      <c r="O1365" s="29"/>
      <c r="P1365" s="34"/>
      <c r="Q1365" s="34"/>
      <c r="R1365" s="35"/>
      <c r="S1365" s="32" t="s">
        <v>29</v>
      </c>
      <c r="T1365" s="33"/>
      <c r="U1365" s="33"/>
    </row>
    <row r="1366" ht="15.75" customHeight="1">
      <c r="A1366" s="20">
        <v>46247.0</v>
      </c>
      <c r="B1366" s="20">
        <v>46247.0</v>
      </c>
      <c r="C1366" s="20"/>
      <c r="D1366" s="21"/>
      <c r="E1366" s="21" t="s">
        <v>32</v>
      </c>
      <c r="F1366" s="22"/>
      <c r="G1366" s="21"/>
      <c r="H1366" s="149"/>
      <c r="I1366" s="25"/>
      <c r="J1366" s="26"/>
      <c r="K1366" s="21"/>
      <c r="L1366" s="27"/>
      <c r="M1366" s="28"/>
      <c r="N1366" s="29" t="s">
        <v>59</v>
      </c>
      <c r="O1366" s="29"/>
      <c r="P1366" s="34"/>
      <c r="Q1366" s="34"/>
      <c r="R1366" s="35"/>
      <c r="S1366" s="32" t="s">
        <v>29</v>
      </c>
      <c r="T1366" s="33"/>
      <c r="U1366" s="33"/>
    </row>
    <row r="1367" ht="15.75" customHeight="1">
      <c r="A1367" s="20">
        <v>46247.0</v>
      </c>
      <c r="B1367" s="20">
        <v>46247.0</v>
      </c>
      <c r="C1367" s="20"/>
      <c r="D1367" s="21"/>
      <c r="E1367" s="21" t="s">
        <v>38</v>
      </c>
      <c r="F1367" s="22"/>
      <c r="G1367" s="21"/>
      <c r="H1367" s="149"/>
      <c r="I1367" s="25"/>
      <c r="J1367" s="26"/>
      <c r="K1367" s="21"/>
      <c r="L1367" s="27"/>
      <c r="M1367" s="28"/>
      <c r="N1367" s="29" t="s">
        <v>69</v>
      </c>
      <c r="O1367" s="29"/>
      <c r="P1367" s="34"/>
      <c r="Q1367" s="34"/>
      <c r="R1367" s="35"/>
      <c r="S1367" s="32" t="s">
        <v>29</v>
      </c>
      <c r="T1367" s="33"/>
      <c r="U1367" s="33"/>
    </row>
    <row r="1368" ht="15.75" customHeight="1">
      <c r="A1368" s="20">
        <v>46247.0</v>
      </c>
      <c r="B1368" s="20">
        <v>46247.0</v>
      </c>
      <c r="C1368" s="20"/>
      <c r="D1368" s="21"/>
      <c r="E1368" s="21" t="s">
        <v>40</v>
      </c>
      <c r="F1368" s="22"/>
      <c r="G1368" s="21"/>
      <c r="H1368" s="149"/>
      <c r="I1368" s="25"/>
      <c r="J1368" s="26"/>
      <c r="K1368" s="21"/>
      <c r="L1368" s="27"/>
      <c r="M1368" s="28"/>
      <c r="N1368" s="29" t="s">
        <v>31</v>
      </c>
      <c r="O1368" s="29"/>
      <c r="P1368" s="34"/>
      <c r="Q1368" s="34"/>
      <c r="R1368" s="35"/>
      <c r="S1368" s="32" t="s">
        <v>29</v>
      </c>
      <c r="T1368" s="33"/>
      <c r="U1368" s="33"/>
    </row>
    <row r="1369" ht="15.75" customHeight="1">
      <c r="A1369" s="20">
        <v>46247.0</v>
      </c>
      <c r="B1369" s="20">
        <v>46247.0</v>
      </c>
      <c r="C1369" s="20"/>
      <c r="D1369" s="21"/>
      <c r="E1369" s="21" t="s">
        <v>43</v>
      </c>
      <c r="F1369" s="22"/>
      <c r="G1369" s="21"/>
      <c r="H1369" s="149"/>
      <c r="I1369" s="25"/>
      <c r="J1369" s="26"/>
      <c r="K1369" s="21"/>
      <c r="L1369" s="27"/>
      <c r="M1369" s="28"/>
      <c r="N1369" s="29" t="s">
        <v>34</v>
      </c>
      <c r="O1369" s="29"/>
      <c r="P1369" s="34"/>
      <c r="Q1369" s="34"/>
      <c r="R1369" s="35"/>
      <c r="S1369" s="32" t="s">
        <v>29</v>
      </c>
      <c r="T1369" s="33"/>
      <c r="U1369" s="33"/>
    </row>
    <row r="1370" ht="15.75" customHeight="1">
      <c r="A1370" s="20">
        <v>46248.0</v>
      </c>
      <c r="B1370" s="20">
        <v>46248.0</v>
      </c>
      <c r="C1370" s="20"/>
      <c r="D1370" s="21"/>
      <c r="E1370" s="21" t="s">
        <v>26</v>
      </c>
      <c r="F1370" s="22"/>
      <c r="G1370" s="21"/>
      <c r="H1370" s="149"/>
      <c r="I1370" s="25"/>
      <c r="J1370" s="26"/>
      <c r="K1370" s="21"/>
      <c r="L1370" s="27"/>
      <c r="M1370" s="28"/>
      <c r="N1370" s="29" t="s">
        <v>31</v>
      </c>
      <c r="O1370" s="29"/>
      <c r="P1370" s="34"/>
      <c r="Q1370" s="34"/>
      <c r="R1370" s="35"/>
      <c r="S1370" s="32" t="s">
        <v>29</v>
      </c>
      <c r="T1370" s="33"/>
      <c r="U1370" s="33"/>
    </row>
    <row r="1371" ht="15.75" customHeight="1">
      <c r="A1371" s="20">
        <v>46248.0</v>
      </c>
      <c r="B1371" s="20">
        <v>46248.0</v>
      </c>
      <c r="C1371" s="20"/>
      <c r="D1371" s="21"/>
      <c r="E1371" s="21" t="s">
        <v>30</v>
      </c>
      <c r="F1371" s="22"/>
      <c r="G1371" s="21"/>
      <c r="H1371" s="149"/>
      <c r="I1371" s="25"/>
      <c r="J1371" s="26"/>
      <c r="K1371" s="21"/>
      <c r="L1371" s="27"/>
      <c r="M1371" s="28"/>
      <c r="N1371" s="29" t="s">
        <v>57</v>
      </c>
      <c r="O1371" s="29"/>
      <c r="P1371" s="34"/>
      <c r="Q1371" s="34"/>
      <c r="R1371" s="35"/>
      <c r="S1371" s="32" t="s">
        <v>29</v>
      </c>
      <c r="T1371" s="33"/>
      <c r="U1371" s="33"/>
    </row>
    <row r="1372" ht="15.75" customHeight="1">
      <c r="A1372" s="20">
        <v>46248.0</v>
      </c>
      <c r="B1372" s="20">
        <v>46248.0</v>
      </c>
      <c r="C1372" s="20"/>
      <c r="D1372" s="21"/>
      <c r="E1372" s="21" t="s">
        <v>32</v>
      </c>
      <c r="F1372" s="22"/>
      <c r="G1372" s="21"/>
      <c r="H1372" s="149"/>
      <c r="I1372" s="25"/>
      <c r="J1372" s="26"/>
      <c r="K1372" s="21"/>
      <c r="L1372" s="27"/>
      <c r="M1372" s="28"/>
      <c r="N1372" s="29" t="s">
        <v>59</v>
      </c>
      <c r="O1372" s="29"/>
      <c r="P1372" s="34"/>
      <c r="Q1372" s="34"/>
      <c r="R1372" s="35"/>
      <c r="S1372" s="32" t="s">
        <v>29</v>
      </c>
      <c r="T1372" s="33"/>
      <c r="U1372" s="33"/>
    </row>
    <row r="1373" ht="15.75" customHeight="1">
      <c r="A1373" s="20">
        <v>46248.0</v>
      </c>
      <c r="B1373" s="20">
        <v>46248.0</v>
      </c>
      <c r="C1373" s="20"/>
      <c r="D1373" s="21"/>
      <c r="E1373" s="21" t="s">
        <v>38</v>
      </c>
      <c r="F1373" s="22"/>
      <c r="G1373" s="21"/>
      <c r="H1373" s="149"/>
      <c r="I1373" s="25"/>
      <c r="J1373" s="26"/>
      <c r="K1373" s="21"/>
      <c r="L1373" s="27"/>
      <c r="M1373" s="28"/>
      <c r="N1373" s="29" t="s">
        <v>49</v>
      </c>
      <c r="O1373" s="29"/>
      <c r="P1373" s="34"/>
      <c r="Q1373" s="34"/>
      <c r="R1373" s="35"/>
      <c r="S1373" s="32" t="s">
        <v>29</v>
      </c>
      <c r="T1373" s="33"/>
      <c r="U1373" s="33"/>
    </row>
    <row r="1374" ht="15.75" customHeight="1">
      <c r="A1374" s="20">
        <v>46248.0</v>
      </c>
      <c r="B1374" s="20">
        <v>46248.0</v>
      </c>
      <c r="C1374" s="20"/>
      <c r="D1374" s="21"/>
      <c r="E1374" s="21" t="s">
        <v>40</v>
      </c>
      <c r="F1374" s="22"/>
      <c r="G1374" s="21"/>
      <c r="H1374" s="149"/>
      <c r="I1374" s="25"/>
      <c r="J1374" s="26"/>
      <c r="K1374" s="21"/>
      <c r="L1374" s="27"/>
      <c r="M1374" s="28"/>
      <c r="N1374" s="29" t="s">
        <v>49</v>
      </c>
      <c r="O1374" s="29"/>
      <c r="P1374" s="34"/>
      <c r="Q1374" s="34"/>
      <c r="R1374" s="35"/>
      <c r="S1374" s="32" t="s">
        <v>29</v>
      </c>
      <c r="T1374" s="33"/>
      <c r="U1374" s="33"/>
    </row>
    <row r="1375" ht="15.75" customHeight="1">
      <c r="A1375" s="20">
        <v>46248.0</v>
      </c>
      <c r="B1375" s="20">
        <v>46248.0</v>
      </c>
      <c r="C1375" s="20"/>
      <c r="D1375" s="21"/>
      <c r="E1375" s="21" t="s">
        <v>43</v>
      </c>
      <c r="F1375" s="22"/>
      <c r="G1375" s="21"/>
      <c r="H1375" s="149"/>
      <c r="I1375" s="25"/>
      <c r="J1375" s="26"/>
      <c r="K1375" s="21"/>
      <c r="L1375" s="27"/>
      <c r="M1375" s="28"/>
      <c r="N1375" s="29" t="s">
        <v>59</v>
      </c>
      <c r="O1375" s="29"/>
      <c r="P1375" s="34"/>
      <c r="Q1375" s="34"/>
      <c r="R1375" s="35"/>
      <c r="S1375" s="32" t="s">
        <v>29</v>
      </c>
      <c r="T1375" s="33"/>
      <c r="U1375" s="33"/>
    </row>
    <row r="1376" ht="15.75" customHeight="1">
      <c r="A1376" s="20">
        <v>46249.0</v>
      </c>
      <c r="B1376" s="20">
        <v>46249.0</v>
      </c>
      <c r="C1376" s="20"/>
      <c r="D1376" s="21"/>
      <c r="E1376" s="21" t="s">
        <v>32</v>
      </c>
      <c r="F1376" s="22"/>
      <c r="G1376" s="21"/>
      <c r="H1376" s="149"/>
      <c r="I1376" s="25"/>
      <c r="J1376" s="26"/>
      <c r="K1376" s="21"/>
      <c r="L1376" s="27"/>
      <c r="M1376" s="28"/>
      <c r="N1376" s="29" t="s">
        <v>39</v>
      </c>
      <c r="O1376" s="29"/>
      <c r="P1376" s="34"/>
      <c r="Q1376" s="34"/>
      <c r="R1376" s="35"/>
      <c r="S1376" s="32" t="s">
        <v>29</v>
      </c>
      <c r="T1376" s="33"/>
      <c r="U1376" s="33"/>
    </row>
    <row r="1377" ht="15.75" customHeight="1">
      <c r="A1377" s="20">
        <v>46249.0</v>
      </c>
      <c r="B1377" s="20">
        <v>46249.0</v>
      </c>
      <c r="C1377" s="20"/>
      <c r="D1377" s="21"/>
      <c r="E1377" s="21" t="s">
        <v>40</v>
      </c>
      <c r="F1377" s="22"/>
      <c r="G1377" s="21"/>
      <c r="H1377" s="149"/>
      <c r="I1377" s="25"/>
      <c r="J1377" s="26"/>
      <c r="K1377" s="21"/>
      <c r="L1377" s="27"/>
      <c r="M1377" s="28"/>
      <c r="N1377" s="29" t="s">
        <v>57</v>
      </c>
      <c r="O1377" s="29"/>
      <c r="P1377" s="34"/>
      <c r="Q1377" s="34"/>
      <c r="R1377" s="35"/>
      <c r="S1377" s="32" t="s">
        <v>29</v>
      </c>
      <c r="T1377" s="33"/>
      <c r="U1377" s="33"/>
    </row>
    <row r="1378" ht="15.75" customHeight="1">
      <c r="A1378" s="20">
        <v>46249.0</v>
      </c>
      <c r="B1378" s="20">
        <v>46249.0</v>
      </c>
      <c r="C1378" s="20"/>
      <c r="D1378" s="21"/>
      <c r="E1378" s="21" t="s">
        <v>43</v>
      </c>
      <c r="F1378" s="22"/>
      <c r="G1378" s="21"/>
      <c r="H1378" s="149"/>
      <c r="I1378" s="25"/>
      <c r="J1378" s="26"/>
      <c r="K1378" s="21"/>
      <c r="L1378" s="27"/>
      <c r="M1378" s="28"/>
      <c r="N1378" s="29" t="s">
        <v>57</v>
      </c>
      <c r="O1378" s="29"/>
      <c r="P1378" s="34"/>
      <c r="Q1378" s="34"/>
      <c r="R1378" s="35"/>
      <c r="S1378" s="32" t="s">
        <v>29</v>
      </c>
      <c r="T1378" s="33"/>
      <c r="U1378" s="33"/>
    </row>
    <row r="1379" ht="15.75" customHeight="1">
      <c r="A1379" s="20">
        <v>46249.0</v>
      </c>
      <c r="B1379" s="20">
        <v>46249.0</v>
      </c>
      <c r="C1379" s="20"/>
      <c r="D1379" s="21"/>
      <c r="E1379" s="21" t="s">
        <v>61</v>
      </c>
      <c r="F1379" s="22"/>
      <c r="G1379" s="21"/>
      <c r="H1379" s="149"/>
      <c r="I1379" s="25"/>
      <c r="J1379" s="26"/>
      <c r="K1379" s="21"/>
      <c r="L1379" s="27"/>
      <c r="M1379" s="28"/>
      <c r="N1379" s="29" t="s">
        <v>34</v>
      </c>
      <c r="O1379" s="29"/>
      <c r="P1379" s="34"/>
      <c r="Q1379" s="34"/>
      <c r="R1379" s="35"/>
      <c r="S1379" s="32" t="s">
        <v>29</v>
      </c>
      <c r="T1379" s="33"/>
      <c r="U1379" s="33"/>
    </row>
    <row r="1380" ht="15.75" customHeight="1">
      <c r="A1380" s="20">
        <v>46249.0</v>
      </c>
      <c r="B1380" s="20">
        <v>46249.0</v>
      </c>
      <c r="C1380" s="20"/>
      <c r="D1380" s="21"/>
      <c r="E1380" s="21" t="s">
        <v>62</v>
      </c>
      <c r="F1380" s="22"/>
      <c r="G1380" s="21"/>
      <c r="H1380" s="149"/>
      <c r="I1380" s="25"/>
      <c r="J1380" s="26"/>
      <c r="K1380" s="21"/>
      <c r="L1380" s="27"/>
      <c r="M1380" s="28"/>
      <c r="N1380" s="29" t="s">
        <v>34</v>
      </c>
      <c r="O1380" s="29"/>
      <c r="P1380" s="34"/>
      <c r="Q1380" s="34"/>
      <c r="R1380" s="35"/>
      <c r="S1380" s="32" t="s">
        <v>29</v>
      </c>
      <c r="T1380" s="33"/>
      <c r="U1380" s="33"/>
    </row>
    <row r="1381" ht="15.75" customHeight="1">
      <c r="A1381" s="20">
        <v>46249.0</v>
      </c>
      <c r="B1381" s="20">
        <v>46249.0</v>
      </c>
      <c r="C1381" s="20"/>
      <c r="D1381" s="21"/>
      <c r="E1381" s="21" t="s">
        <v>63</v>
      </c>
      <c r="F1381" s="22"/>
      <c r="G1381" s="21"/>
      <c r="H1381" s="149"/>
      <c r="I1381" s="25"/>
      <c r="J1381" s="26"/>
      <c r="K1381" s="21"/>
      <c r="L1381" s="27"/>
      <c r="M1381" s="28"/>
      <c r="N1381" s="29" t="s">
        <v>57</v>
      </c>
      <c r="O1381" s="29"/>
      <c r="P1381" s="34"/>
      <c r="Q1381" s="34"/>
      <c r="R1381" s="35"/>
      <c r="S1381" s="32" t="s">
        <v>29</v>
      </c>
      <c r="T1381" s="33"/>
      <c r="U1381" s="33"/>
    </row>
    <row r="1382" ht="15.75" customHeight="1">
      <c r="A1382" s="20">
        <v>46250.0</v>
      </c>
      <c r="B1382" s="20">
        <v>46250.0</v>
      </c>
      <c r="C1382" s="20"/>
      <c r="D1382" s="21"/>
      <c r="E1382" s="21" t="s">
        <v>66</v>
      </c>
      <c r="F1382" s="22"/>
      <c r="G1382" s="21"/>
      <c r="H1382" s="149"/>
      <c r="I1382" s="25"/>
      <c r="J1382" s="26"/>
      <c r="K1382" s="21"/>
      <c r="L1382" s="27"/>
      <c r="M1382" s="28"/>
      <c r="N1382" s="29" t="s">
        <v>69</v>
      </c>
      <c r="O1382" s="29"/>
      <c r="P1382" s="34"/>
      <c r="Q1382" s="34"/>
      <c r="R1382" s="35"/>
      <c r="S1382" s="32" t="s">
        <v>29</v>
      </c>
      <c r="T1382" s="33"/>
      <c r="U1382" s="33"/>
    </row>
    <row r="1383" ht="15.75" customHeight="1">
      <c r="A1383" s="20">
        <v>46251.0</v>
      </c>
      <c r="B1383" s="20">
        <v>46251.0</v>
      </c>
      <c r="C1383" s="20"/>
      <c r="D1383" s="21"/>
      <c r="E1383" s="21" t="s">
        <v>26</v>
      </c>
      <c r="F1383" s="22"/>
      <c r="G1383" s="21"/>
      <c r="H1383" s="149"/>
      <c r="I1383" s="25"/>
      <c r="J1383" s="26"/>
      <c r="K1383" s="21"/>
      <c r="L1383" s="27"/>
      <c r="M1383" s="28"/>
      <c r="N1383" s="29" t="s">
        <v>34</v>
      </c>
      <c r="O1383" s="29"/>
      <c r="P1383" s="34"/>
      <c r="Q1383" s="34"/>
      <c r="R1383" s="35"/>
      <c r="S1383" s="32" t="s">
        <v>29</v>
      </c>
      <c r="T1383" s="33"/>
      <c r="U1383" s="33"/>
    </row>
    <row r="1384" ht="15.75" customHeight="1">
      <c r="A1384" s="20">
        <v>46251.0</v>
      </c>
      <c r="B1384" s="20">
        <v>46251.0</v>
      </c>
      <c r="C1384" s="20"/>
      <c r="D1384" s="21"/>
      <c r="E1384" s="21" t="s">
        <v>30</v>
      </c>
      <c r="F1384" s="67"/>
      <c r="G1384" s="21"/>
      <c r="H1384" s="149"/>
      <c r="I1384" s="25"/>
      <c r="J1384" s="26"/>
      <c r="K1384" s="21"/>
      <c r="L1384" s="29"/>
      <c r="M1384" s="28"/>
      <c r="N1384" s="29" t="s">
        <v>31</v>
      </c>
      <c r="O1384" s="29"/>
      <c r="P1384" s="34"/>
      <c r="Q1384" s="34"/>
      <c r="R1384" s="35"/>
      <c r="S1384" s="32" t="s">
        <v>29</v>
      </c>
      <c r="T1384" s="33"/>
      <c r="U1384" s="33"/>
    </row>
    <row r="1385" ht="15.75" customHeight="1">
      <c r="A1385" s="20">
        <v>46251.0</v>
      </c>
      <c r="B1385" s="20">
        <v>46251.0</v>
      </c>
      <c r="C1385" s="20"/>
      <c r="D1385" s="21"/>
      <c r="E1385" s="21" t="s">
        <v>32</v>
      </c>
      <c r="F1385" s="184"/>
      <c r="G1385" s="21"/>
      <c r="H1385" s="149"/>
      <c r="I1385" s="25"/>
      <c r="J1385" s="26"/>
      <c r="K1385" s="21"/>
      <c r="L1385" s="29"/>
      <c r="M1385" s="28"/>
      <c r="N1385" s="29" t="s">
        <v>59</v>
      </c>
      <c r="O1385" s="29"/>
      <c r="P1385" s="34"/>
      <c r="Q1385" s="34"/>
      <c r="R1385" s="35"/>
      <c r="S1385" s="32" t="s">
        <v>29</v>
      </c>
      <c r="T1385" s="33"/>
      <c r="U1385" s="33"/>
    </row>
    <row r="1386" ht="15.75" customHeight="1">
      <c r="A1386" s="20">
        <v>46251.0</v>
      </c>
      <c r="B1386" s="20">
        <v>46251.0</v>
      </c>
      <c r="C1386" s="20"/>
      <c r="D1386" s="21"/>
      <c r="E1386" s="21" t="s">
        <v>38</v>
      </c>
      <c r="F1386" s="22"/>
      <c r="G1386" s="21"/>
      <c r="H1386" s="149"/>
      <c r="I1386" s="25"/>
      <c r="J1386" s="26"/>
      <c r="K1386" s="21"/>
      <c r="L1386" s="27"/>
      <c r="M1386" s="28"/>
      <c r="N1386" s="29" t="s">
        <v>69</v>
      </c>
      <c r="O1386" s="29"/>
      <c r="P1386" s="34"/>
      <c r="Q1386" s="34"/>
      <c r="R1386" s="35"/>
      <c r="S1386" s="32" t="s">
        <v>29</v>
      </c>
      <c r="T1386" s="33"/>
      <c r="U1386" s="33"/>
    </row>
    <row r="1387" ht="15.75" customHeight="1">
      <c r="A1387" s="20">
        <v>46251.0</v>
      </c>
      <c r="B1387" s="20">
        <v>46251.0</v>
      </c>
      <c r="C1387" s="20"/>
      <c r="D1387" s="21"/>
      <c r="E1387" s="21" t="s">
        <v>40</v>
      </c>
      <c r="F1387" s="22"/>
      <c r="G1387" s="21"/>
      <c r="H1387" s="149"/>
      <c r="I1387" s="25"/>
      <c r="J1387" s="26"/>
      <c r="K1387" s="21"/>
      <c r="L1387" s="27"/>
      <c r="M1387" s="28"/>
      <c r="N1387" s="29" t="s">
        <v>31</v>
      </c>
      <c r="O1387" s="29"/>
      <c r="P1387" s="34"/>
      <c r="Q1387" s="34"/>
      <c r="R1387" s="35"/>
      <c r="S1387" s="32" t="s">
        <v>29</v>
      </c>
      <c r="T1387" s="33"/>
      <c r="U1387" s="33"/>
    </row>
    <row r="1388" ht="15.75" customHeight="1">
      <c r="A1388" s="20">
        <v>46251.0</v>
      </c>
      <c r="B1388" s="20">
        <v>46251.0</v>
      </c>
      <c r="C1388" s="20"/>
      <c r="D1388" s="21"/>
      <c r="E1388" s="21" t="s">
        <v>43</v>
      </c>
      <c r="F1388" s="22"/>
      <c r="G1388" s="21"/>
      <c r="H1388" s="149"/>
      <c r="I1388" s="25"/>
      <c r="J1388" s="26"/>
      <c r="K1388" s="21"/>
      <c r="L1388" s="29"/>
      <c r="M1388" s="28"/>
      <c r="N1388" s="29" t="s">
        <v>57</v>
      </c>
      <c r="O1388" s="29"/>
      <c r="P1388" s="34"/>
      <c r="Q1388" s="34"/>
      <c r="R1388" s="35"/>
      <c r="S1388" s="32" t="s">
        <v>29</v>
      </c>
      <c r="T1388" s="33"/>
      <c r="U1388" s="33"/>
    </row>
    <row r="1389" ht="15.75" customHeight="1">
      <c r="A1389" s="20">
        <v>46252.0</v>
      </c>
      <c r="B1389" s="20">
        <v>46252.0</v>
      </c>
      <c r="C1389" s="20"/>
      <c r="D1389" s="21"/>
      <c r="E1389" s="21" t="s">
        <v>26</v>
      </c>
      <c r="F1389" s="22"/>
      <c r="G1389" s="21"/>
      <c r="H1389" s="149"/>
      <c r="I1389" s="25"/>
      <c r="J1389" s="26"/>
      <c r="K1389" s="21"/>
      <c r="L1389" s="27"/>
      <c r="M1389" s="28"/>
      <c r="N1389" s="29" t="s">
        <v>59</v>
      </c>
      <c r="O1389" s="29"/>
      <c r="P1389" s="34"/>
      <c r="Q1389" s="34"/>
      <c r="R1389" s="35"/>
      <c r="S1389" s="32" t="s">
        <v>29</v>
      </c>
      <c r="T1389" s="33"/>
      <c r="U1389" s="33"/>
    </row>
    <row r="1390" ht="15.75" customHeight="1">
      <c r="A1390" s="20">
        <v>46252.0</v>
      </c>
      <c r="B1390" s="20">
        <v>46252.0</v>
      </c>
      <c r="C1390" s="20"/>
      <c r="D1390" s="21"/>
      <c r="E1390" s="21" t="s">
        <v>30</v>
      </c>
      <c r="F1390" s="22"/>
      <c r="G1390" s="21"/>
      <c r="H1390" s="149"/>
      <c r="I1390" s="25"/>
      <c r="J1390" s="26"/>
      <c r="K1390" s="21"/>
      <c r="L1390" s="27"/>
      <c r="M1390" s="28"/>
      <c r="N1390" s="29" t="s">
        <v>34</v>
      </c>
      <c r="O1390" s="29"/>
      <c r="P1390" s="34"/>
      <c r="Q1390" s="34"/>
      <c r="R1390" s="35"/>
      <c r="S1390" s="32" t="s">
        <v>29</v>
      </c>
      <c r="T1390" s="33"/>
      <c r="U1390" s="33"/>
    </row>
    <row r="1391" ht="15.75" customHeight="1">
      <c r="A1391" s="20">
        <v>46252.0</v>
      </c>
      <c r="B1391" s="20">
        <v>46252.0</v>
      </c>
      <c r="C1391" s="20"/>
      <c r="D1391" s="21"/>
      <c r="E1391" s="21" t="s">
        <v>32</v>
      </c>
      <c r="F1391" s="22"/>
      <c r="G1391" s="21"/>
      <c r="H1391" s="149"/>
      <c r="I1391" s="25"/>
      <c r="J1391" s="26"/>
      <c r="K1391" s="21"/>
      <c r="L1391" s="27"/>
      <c r="M1391" s="28"/>
      <c r="N1391" s="29" t="s">
        <v>31</v>
      </c>
      <c r="O1391" s="29"/>
      <c r="P1391" s="34"/>
      <c r="Q1391" s="34"/>
      <c r="R1391" s="35"/>
      <c r="S1391" s="32" t="s">
        <v>29</v>
      </c>
      <c r="T1391" s="33"/>
      <c r="U1391" s="33"/>
    </row>
    <row r="1392" ht="15.75" customHeight="1">
      <c r="A1392" s="20">
        <v>46252.0</v>
      </c>
      <c r="B1392" s="20">
        <v>46252.0</v>
      </c>
      <c r="C1392" s="20"/>
      <c r="D1392" s="21"/>
      <c r="E1392" s="21" t="s">
        <v>38</v>
      </c>
      <c r="F1392" s="22"/>
      <c r="G1392" s="21"/>
      <c r="H1392" s="149"/>
      <c r="I1392" s="25"/>
      <c r="J1392" s="26"/>
      <c r="K1392" s="21"/>
      <c r="L1392" s="27"/>
      <c r="M1392" s="28"/>
      <c r="N1392" s="29" t="s">
        <v>69</v>
      </c>
      <c r="O1392" s="29"/>
      <c r="P1392" s="34"/>
      <c r="Q1392" s="34"/>
      <c r="R1392" s="35"/>
      <c r="S1392" s="32" t="s">
        <v>29</v>
      </c>
      <c r="T1392" s="33"/>
      <c r="U1392" s="33"/>
    </row>
    <row r="1393" ht="15.75" customHeight="1">
      <c r="A1393" s="20">
        <v>46252.0</v>
      </c>
      <c r="B1393" s="20">
        <v>46252.0</v>
      </c>
      <c r="C1393" s="20"/>
      <c r="D1393" s="21"/>
      <c r="E1393" s="21" t="s">
        <v>40</v>
      </c>
      <c r="F1393" s="22"/>
      <c r="G1393" s="21"/>
      <c r="H1393" s="149"/>
      <c r="I1393" s="25"/>
      <c r="J1393" s="26"/>
      <c r="K1393" s="21"/>
      <c r="L1393" s="27"/>
      <c r="M1393" s="28"/>
      <c r="N1393" s="29" t="s">
        <v>49</v>
      </c>
      <c r="O1393" s="29"/>
      <c r="P1393" s="34"/>
      <c r="Q1393" s="34"/>
      <c r="R1393" s="35"/>
      <c r="S1393" s="32" t="s">
        <v>29</v>
      </c>
      <c r="T1393" s="33"/>
      <c r="U1393" s="33"/>
    </row>
    <row r="1394" ht="15.75" customHeight="1">
      <c r="A1394" s="20">
        <v>46252.0</v>
      </c>
      <c r="B1394" s="20">
        <v>46252.0</v>
      </c>
      <c r="C1394" s="20"/>
      <c r="D1394" s="21"/>
      <c r="E1394" s="21" t="s">
        <v>43</v>
      </c>
      <c r="F1394" s="22"/>
      <c r="G1394" s="21"/>
      <c r="H1394" s="149"/>
      <c r="I1394" s="25"/>
      <c r="J1394" s="26"/>
      <c r="K1394" s="21"/>
      <c r="L1394" s="27"/>
      <c r="M1394" s="28"/>
      <c r="N1394" s="29" t="s">
        <v>34</v>
      </c>
      <c r="O1394" s="29"/>
      <c r="P1394" s="34"/>
      <c r="Q1394" s="34"/>
      <c r="R1394" s="35"/>
      <c r="S1394" s="32" t="s">
        <v>29</v>
      </c>
      <c r="T1394" s="33"/>
      <c r="U1394" s="33"/>
    </row>
    <row r="1395" ht="15.0" customHeight="1">
      <c r="A1395" s="20">
        <v>46253.0</v>
      </c>
      <c r="B1395" s="20">
        <v>46253.0</v>
      </c>
      <c r="C1395" s="20"/>
      <c r="D1395" s="21"/>
      <c r="E1395" s="21" t="s">
        <v>26</v>
      </c>
      <c r="F1395" s="22"/>
      <c r="G1395" s="21"/>
      <c r="H1395" s="149"/>
      <c r="I1395" s="25"/>
      <c r="J1395" s="26"/>
      <c r="K1395" s="21"/>
      <c r="L1395" s="27"/>
      <c r="M1395" s="28"/>
      <c r="N1395" s="29" t="s">
        <v>39</v>
      </c>
      <c r="O1395" s="29"/>
      <c r="P1395" s="34"/>
      <c r="Q1395" s="34"/>
      <c r="R1395" s="35"/>
      <c r="S1395" s="32" t="s">
        <v>29</v>
      </c>
      <c r="T1395" s="33"/>
      <c r="U1395" s="33"/>
    </row>
    <row r="1396" ht="15.75" customHeight="1">
      <c r="A1396" s="20">
        <v>46253.0</v>
      </c>
      <c r="B1396" s="20">
        <v>46253.0</v>
      </c>
      <c r="C1396" s="20"/>
      <c r="D1396" s="21"/>
      <c r="E1396" s="21" t="s">
        <v>30</v>
      </c>
      <c r="F1396" s="22"/>
      <c r="G1396" s="21"/>
      <c r="H1396" s="149"/>
      <c r="I1396" s="25"/>
      <c r="J1396" s="26"/>
      <c r="K1396" s="21"/>
      <c r="L1396" s="27"/>
      <c r="M1396" s="28"/>
      <c r="N1396" s="29" t="s">
        <v>59</v>
      </c>
      <c r="O1396" s="29"/>
      <c r="P1396" s="34"/>
      <c r="Q1396" s="34"/>
      <c r="R1396" s="35"/>
      <c r="S1396" s="32" t="s">
        <v>29</v>
      </c>
      <c r="T1396" s="33"/>
      <c r="U1396" s="33"/>
    </row>
    <row r="1397" ht="15.75" customHeight="1">
      <c r="A1397" s="20">
        <v>46253.0</v>
      </c>
      <c r="B1397" s="20">
        <v>46253.0</v>
      </c>
      <c r="C1397" s="20"/>
      <c r="D1397" s="21"/>
      <c r="E1397" s="21" t="s">
        <v>32</v>
      </c>
      <c r="F1397" s="22"/>
      <c r="G1397" s="21"/>
      <c r="H1397" s="149"/>
      <c r="I1397" s="25"/>
      <c r="J1397" s="26"/>
      <c r="K1397" s="21"/>
      <c r="L1397" s="27"/>
      <c r="M1397" s="28"/>
      <c r="N1397" s="29" t="s">
        <v>59</v>
      </c>
      <c r="O1397" s="29"/>
      <c r="P1397" s="34"/>
      <c r="Q1397" s="34"/>
      <c r="R1397" s="35"/>
      <c r="S1397" s="32" t="s">
        <v>29</v>
      </c>
      <c r="T1397" s="33"/>
      <c r="U1397" s="33"/>
    </row>
    <row r="1398" ht="15.75" customHeight="1">
      <c r="A1398" s="20">
        <v>46253.0</v>
      </c>
      <c r="B1398" s="20">
        <v>46253.0</v>
      </c>
      <c r="C1398" s="20"/>
      <c r="D1398" s="21"/>
      <c r="E1398" s="21" t="s">
        <v>38</v>
      </c>
      <c r="F1398" s="22"/>
      <c r="G1398" s="21"/>
      <c r="H1398" s="149"/>
      <c r="I1398" s="25"/>
      <c r="J1398" s="26"/>
      <c r="K1398" s="21"/>
      <c r="L1398" s="27"/>
      <c r="M1398" s="28"/>
      <c r="N1398" s="29" t="s">
        <v>69</v>
      </c>
      <c r="O1398" s="29"/>
      <c r="P1398" s="34"/>
      <c r="Q1398" s="34"/>
      <c r="R1398" s="35"/>
      <c r="S1398" s="32" t="s">
        <v>29</v>
      </c>
      <c r="T1398" s="33"/>
      <c r="U1398" s="33"/>
    </row>
    <row r="1399" ht="15.75" customHeight="1">
      <c r="A1399" s="20">
        <v>46253.0</v>
      </c>
      <c r="B1399" s="20">
        <v>46253.0</v>
      </c>
      <c r="C1399" s="20"/>
      <c r="D1399" s="21"/>
      <c r="E1399" s="21" t="s">
        <v>40</v>
      </c>
      <c r="F1399" s="22"/>
      <c r="G1399" s="21"/>
      <c r="H1399" s="149"/>
      <c r="I1399" s="25"/>
      <c r="J1399" s="26"/>
      <c r="K1399" s="21"/>
      <c r="L1399" s="27"/>
      <c r="M1399" s="28"/>
      <c r="N1399" s="29" t="s">
        <v>31</v>
      </c>
      <c r="O1399" s="29"/>
      <c r="P1399" s="34"/>
      <c r="Q1399" s="34"/>
      <c r="R1399" s="35"/>
      <c r="S1399" s="32" t="s">
        <v>29</v>
      </c>
      <c r="T1399" s="33"/>
      <c r="U1399" s="33"/>
    </row>
    <row r="1400" ht="15.75" customHeight="1">
      <c r="A1400" s="20">
        <v>46253.0</v>
      </c>
      <c r="B1400" s="20">
        <v>46253.0</v>
      </c>
      <c r="C1400" s="20"/>
      <c r="D1400" s="21"/>
      <c r="E1400" s="21" t="s">
        <v>43</v>
      </c>
      <c r="F1400" s="22"/>
      <c r="G1400" s="21"/>
      <c r="H1400" s="149"/>
      <c r="I1400" s="25"/>
      <c r="J1400" s="26"/>
      <c r="K1400" s="185"/>
      <c r="L1400" s="27"/>
      <c r="M1400" s="28"/>
      <c r="N1400" s="29" t="s">
        <v>34</v>
      </c>
      <c r="O1400" s="29"/>
      <c r="P1400" s="34"/>
      <c r="Q1400" s="34"/>
      <c r="R1400" s="35"/>
      <c r="S1400" s="32" t="s">
        <v>29</v>
      </c>
      <c r="T1400" s="33"/>
      <c r="U1400" s="33"/>
    </row>
    <row r="1401" ht="15.75" customHeight="1">
      <c r="A1401" s="20">
        <v>46254.0</v>
      </c>
      <c r="B1401" s="20">
        <v>46254.0</v>
      </c>
      <c r="C1401" s="20"/>
      <c r="D1401" s="21"/>
      <c r="E1401" s="21" t="s">
        <v>26</v>
      </c>
      <c r="F1401" s="22"/>
      <c r="G1401" s="21"/>
      <c r="H1401" s="149"/>
      <c r="I1401" s="25"/>
      <c r="J1401" s="26"/>
      <c r="K1401" s="185"/>
      <c r="L1401" s="27"/>
      <c r="M1401" s="28"/>
      <c r="N1401" s="29" t="s">
        <v>57</v>
      </c>
      <c r="O1401" s="29"/>
      <c r="P1401" s="34"/>
      <c r="Q1401" s="34"/>
      <c r="R1401" s="35"/>
      <c r="S1401" s="32" t="s">
        <v>29</v>
      </c>
      <c r="T1401" s="33"/>
      <c r="U1401" s="33"/>
    </row>
    <row r="1402" ht="15.75" customHeight="1">
      <c r="A1402" s="20">
        <v>46254.0</v>
      </c>
      <c r="B1402" s="20">
        <v>46254.0</v>
      </c>
      <c r="C1402" s="20"/>
      <c r="D1402" s="21"/>
      <c r="E1402" s="21" t="s">
        <v>30</v>
      </c>
      <c r="F1402" s="22"/>
      <c r="G1402" s="21"/>
      <c r="H1402" s="186"/>
      <c r="I1402" s="25"/>
      <c r="J1402" s="26"/>
      <c r="K1402" s="185"/>
      <c r="L1402" s="27"/>
      <c r="M1402" s="28"/>
      <c r="N1402" s="29" t="s">
        <v>39</v>
      </c>
      <c r="O1402" s="29"/>
      <c r="P1402" s="34"/>
      <c r="Q1402" s="34"/>
      <c r="R1402" s="35"/>
      <c r="S1402" s="32" t="s">
        <v>29</v>
      </c>
      <c r="T1402" s="33"/>
      <c r="U1402" s="33"/>
    </row>
    <row r="1403" ht="15.75" customHeight="1">
      <c r="A1403" s="20">
        <v>46254.0</v>
      </c>
      <c r="B1403" s="20">
        <v>46254.0</v>
      </c>
      <c r="C1403" s="20"/>
      <c r="D1403" s="21"/>
      <c r="E1403" s="21" t="s">
        <v>32</v>
      </c>
      <c r="F1403" s="22"/>
      <c r="G1403" s="21"/>
      <c r="H1403" s="149"/>
      <c r="I1403" s="25"/>
      <c r="J1403" s="26"/>
      <c r="K1403" s="21"/>
      <c r="L1403" s="27"/>
      <c r="M1403" s="28"/>
      <c r="N1403" s="29" t="s">
        <v>59</v>
      </c>
      <c r="O1403" s="29"/>
      <c r="P1403" s="34"/>
      <c r="Q1403" s="34"/>
      <c r="R1403" s="35"/>
      <c r="S1403" s="32" t="s">
        <v>29</v>
      </c>
      <c r="T1403" s="33"/>
      <c r="U1403" s="33"/>
    </row>
    <row r="1404" ht="15.75" customHeight="1">
      <c r="A1404" s="20">
        <v>46254.0</v>
      </c>
      <c r="B1404" s="20">
        <v>46254.0</v>
      </c>
      <c r="C1404" s="20"/>
      <c r="D1404" s="21"/>
      <c r="E1404" s="21" t="s">
        <v>38</v>
      </c>
      <c r="F1404" s="22"/>
      <c r="G1404" s="21"/>
      <c r="H1404" s="149"/>
      <c r="I1404" s="25"/>
      <c r="J1404" s="26"/>
      <c r="K1404" s="21"/>
      <c r="L1404" s="27"/>
      <c r="M1404" s="28"/>
      <c r="N1404" s="29" t="s">
        <v>69</v>
      </c>
      <c r="O1404" s="29"/>
      <c r="P1404" s="34"/>
      <c r="Q1404" s="34"/>
      <c r="R1404" s="35"/>
      <c r="S1404" s="32" t="s">
        <v>29</v>
      </c>
      <c r="T1404" s="33"/>
      <c r="U1404" s="33"/>
    </row>
    <row r="1405" ht="15.75" customHeight="1">
      <c r="A1405" s="20">
        <v>46254.0</v>
      </c>
      <c r="B1405" s="20">
        <v>46254.0</v>
      </c>
      <c r="C1405" s="20"/>
      <c r="D1405" s="21"/>
      <c r="E1405" s="21" t="s">
        <v>40</v>
      </c>
      <c r="F1405" s="22"/>
      <c r="G1405" s="21"/>
      <c r="H1405" s="149"/>
      <c r="I1405" s="25"/>
      <c r="J1405" s="26"/>
      <c r="K1405" s="21"/>
      <c r="L1405" s="27"/>
      <c r="M1405" s="28"/>
      <c r="N1405" s="29" t="s">
        <v>31</v>
      </c>
      <c r="O1405" s="29"/>
      <c r="P1405" s="34"/>
      <c r="Q1405" s="34"/>
      <c r="R1405" s="35"/>
      <c r="S1405" s="32" t="s">
        <v>29</v>
      </c>
      <c r="T1405" s="33"/>
      <c r="U1405" s="33"/>
    </row>
    <row r="1406" ht="15.75" customHeight="1">
      <c r="A1406" s="20">
        <v>46254.0</v>
      </c>
      <c r="B1406" s="20">
        <v>46254.0</v>
      </c>
      <c r="C1406" s="20"/>
      <c r="D1406" s="21"/>
      <c r="E1406" s="21" t="s">
        <v>43</v>
      </c>
      <c r="F1406" s="22"/>
      <c r="G1406" s="21"/>
      <c r="H1406" s="149"/>
      <c r="I1406" s="25"/>
      <c r="J1406" s="26"/>
      <c r="K1406" s="21"/>
      <c r="L1406" s="27"/>
      <c r="M1406" s="28"/>
      <c r="N1406" s="29" t="s">
        <v>34</v>
      </c>
      <c r="O1406" s="29"/>
      <c r="P1406" s="34"/>
      <c r="Q1406" s="34"/>
      <c r="R1406" s="35"/>
      <c r="S1406" s="32" t="s">
        <v>29</v>
      </c>
      <c r="T1406" s="33"/>
      <c r="U1406" s="33"/>
    </row>
    <row r="1407" ht="15.75" customHeight="1">
      <c r="A1407" s="20">
        <v>46255.0</v>
      </c>
      <c r="B1407" s="20">
        <v>46255.0</v>
      </c>
      <c r="C1407" s="20"/>
      <c r="D1407" s="21"/>
      <c r="E1407" s="21" t="s">
        <v>26</v>
      </c>
      <c r="F1407" s="22"/>
      <c r="G1407" s="21"/>
      <c r="H1407" s="149"/>
      <c r="I1407" s="25"/>
      <c r="J1407" s="26"/>
      <c r="K1407" s="21"/>
      <c r="L1407" s="27"/>
      <c r="M1407" s="28"/>
      <c r="N1407" s="29" t="s">
        <v>31</v>
      </c>
      <c r="O1407" s="29"/>
      <c r="P1407" s="34"/>
      <c r="Q1407" s="34"/>
      <c r="R1407" s="35"/>
      <c r="S1407" s="32" t="s">
        <v>29</v>
      </c>
      <c r="T1407" s="33"/>
      <c r="U1407" s="33"/>
    </row>
    <row r="1408" ht="15.75" customHeight="1">
      <c r="A1408" s="20">
        <v>46255.0</v>
      </c>
      <c r="B1408" s="20">
        <v>46255.0</v>
      </c>
      <c r="C1408" s="20"/>
      <c r="D1408" s="21"/>
      <c r="E1408" s="21" t="s">
        <v>30</v>
      </c>
      <c r="F1408" s="22"/>
      <c r="G1408" s="21"/>
      <c r="H1408" s="149"/>
      <c r="I1408" s="25"/>
      <c r="J1408" s="26"/>
      <c r="K1408" s="21"/>
      <c r="L1408" s="27"/>
      <c r="M1408" s="28"/>
      <c r="N1408" s="29" t="s">
        <v>57</v>
      </c>
      <c r="O1408" s="29"/>
      <c r="P1408" s="34"/>
      <c r="Q1408" s="34"/>
      <c r="R1408" s="35"/>
      <c r="S1408" s="32" t="s">
        <v>29</v>
      </c>
      <c r="T1408" s="33"/>
      <c r="U1408" s="33"/>
    </row>
    <row r="1409" ht="15.75" customHeight="1">
      <c r="A1409" s="20">
        <v>46255.0</v>
      </c>
      <c r="B1409" s="20">
        <v>46255.0</v>
      </c>
      <c r="C1409" s="20"/>
      <c r="D1409" s="21"/>
      <c r="E1409" s="21" t="s">
        <v>32</v>
      </c>
      <c r="F1409" s="22"/>
      <c r="G1409" s="21"/>
      <c r="H1409" s="149"/>
      <c r="I1409" s="25"/>
      <c r="J1409" s="26"/>
      <c r="K1409" s="21"/>
      <c r="L1409" s="27"/>
      <c r="M1409" s="28"/>
      <c r="N1409" s="29" t="s">
        <v>59</v>
      </c>
      <c r="O1409" s="29"/>
      <c r="P1409" s="34"/>
      <c r="Q1409" s="34"/>
      <c r="R1409" s="35"/>
      <c r="S1409" s="32" t="s">
        <v>29</v>
      </c>
      <c r="T1409" s="33"/>
      <c r="U1409" s="33"/>
    </row>
    <row r="1410" ht="15.75" customHeight="1">
      <c r="A1410" s="20">
        <v>46255.0</v>
      </c>
      <c r="B1410" s="20">
        <v>46255.0</v>
      </c>
      <c r="C1410" s="20"/>
      <c r="D1410" s="21"/>
      <c r="E1410" s="21" t="s">
        <v>38</v>
      </c>
      <c r="F1410" s="22"/>
      <c r="G1410" s="21"/>
      <c r="H1410" s="149"/>
      <c r="I1410" s="25"/>
      <c r="J1410" s="26"/>
      <c r="K1410" s="21"/>
      <c r="L1410" s="27"/>
      <c r="M1410" s="28"/>
      <c r="N1410" s="29" t="s">
        <v>49</v>
      </c>
      <c r="O1410" s="29"/>
      <c r="P1410" s="34"/>
      <c r="Q1410" s="34"/>
      <c r="R1410" s="35"/>
      <c r="S1410" s="32" t="s">
        <v>29</v>
      </c>
      <c r="T1410" s="33"/>
      <c r="U1410" s="33"/>
    </row>
    <row r="1411" ht="15.75" customHeight="1">
      <c r="A1411" s="20">
        <v>46255.0</v>
      </c>
      <c r="B1411" s="20">
        <v>46255.0</v>
      </c>
      <c r="C1411" s="20"/>
      <c r="D1411" s="21"/>
      <c r="E1411" s="21" t="s">
        <v>40</v>
      </c>
      <c r="F1411" s="22"/>
      <c r="G1411" s="21"/>
      <c r="H1411" s="149"/>
      <c r="I1411" s="25"/>
      <c r="J1411" s="26"/>
      <c r="K1411" s="21"/>
      <c r="L1411" s="27"/>
      <c r="M1411" s="28"/>
      <c r="N1411" s="29" t="s">
        <v>49</v>
      </c>
      <c r="O1411" s="29"/>
      <c r="P1411" s="34"/>
      <c r="Q1411" s="34"/>
      <c r="R1411" s="35"/>
      <c r="S1411" s="32" t="s">
        <v>29</v>
      </c>
      <c r="T1411" s="33"/>
      <c r="U1411" s="33"/>
    </row>
    <row r="1412" ht="15.75" customHeight="1">
      <c r="A1412" s="20">
        <v>46255.0</v>
      </c>
      <c r="B1412" s="20">
        <v>46255.0</v>
      </c>
      <c r="C1412" s="20"/>
      <c r="D1412" s="21"/>
      <c r="E1412" s="21" t="s">
        <v>43</v>
      </c>
      <c r="F1412" s="22"/>
      <c r="G1412" s="21"/>
      <c r="H1412" s="149"/>
      <c r="I1412" s="25"/>
      <c r="J1412" s="26"/>
      <c r="K1412" s="21"/>
      <c r="L1412" s="27"/>
      <c r="M1412" s="28"/>
      <c r="N1412" s="29" t="s">
        <v>59</v>
      </c>
      <c r="O1412" s="29"/>
      <c r="P1412" s="34"/>
      <c r="Q1412" s="34"/>
      <c r="R1412" s="35"/>
      <c r="S1412" s="32" t="s">
        <v>29</v>
      </c>
      <c r="T1412" s="33"/>
      <c r="U1412" s="33"/>
    </row>
    <row r="1413" ht="15.75" customHeight="1">
      <c r="A1413" s="20">
        <v>46256.0</v>
      </c>
      <c r="B1413" s="20">
        <v>46256.0</v>
      </c>
      <c r="C1413" s="20"/>
      <c r="D1413" s="21"/>
      <c r="E1413" s="21" t="s">
        <v>32</v>
      </c>
      <c r="F1413" s="22"/>
      <c r="G1413" s="21"/>
      <c r="H1413" s="149"/>
      <c r="I1413" s="25"/>
      <c r="J1413" s="26"/>
      <c r="K1413" s="21"/>
      <c r="L1413" s="27"/>
      <c r="M1413" s="28"/>
      <c r="N1413" s="29" t="s">
        <v>57</v>
      </c>
      <c r="O1413" s="29"/>
      <c r="P1413" s="34"/>
      <c r="Q1413" s="34"/>
      <c r="R1413" s="35"/>
      <c r="S1413" s="32" t="s">
        <v>29</v>
      </c>
      <c r="T1413" s="33"/>
      <c r="U1413" s="33"/>
    </row>
    <row r="1414" ht="15.75" customHeight="1">
      <c r="A1414" s="20">
        <v>46256.0</v>
      </c>
      <c r="B1414" s="20">
        <v>46256.0</v>
      </c>
      <c r="C1414" s="20"/>
      <c r="D1414" s="21"/>
      <c r="E1414" s="21" t="s">
        <v>40</v>
      </c>
      <c r="F1414" s="22"/>
      <c r="G1414" s="21"/>
      <c r="H1414" s="149"/>
      <c r="I1414" s="25"/>
      <c r="J1414" s="26"/>
      <c r="K1414" s="21"/>
      <c r="L1414" s="27"/>
      <c r="M1414" s="28"/>
      <c r="N1414" s="29" t="s">
        <v>34</v>
      </c>
      <c r="O1414" s="29"/>
      <c r="P1414" s="34"/>
      <c r="Q1414" s="34"/>
      <c r="R1414" s="79"/>
      <c r="S1414" s="32" t="s">
        <v>29</v>
      </c>
      <c r="T1414" s="33"/>
      <c r="U1414" s="33"/>
    </row>
    <row r="1415" ht="15.75" customHeight="1">
      <c r="A1415" s="20">
        <v>46256.0</v>
      </c>
      <c r="B1415" s="20">
        <v>46256.0</v>
      </c>
      <c r="C1415" s="20"/>
      <c r="D1415" s="21"/>
      <c r="E1415" s="21" t="s">
        <v>43</v>
      </c>
      <c r="F1415" s="22"/>
      <c r="G1415" s="21"/>
      <c r="H1415" s="149"/>
      <c r="I1415" s="25"/>
      <c r="J1415" s="26"/>
      <c r="K1415" s="21"/>
      <c r="L1415" s="27"/>
      <c r="M1415" s="28"/>
      <c r="N1415" s="29" t="s">
        <v>59</v>
      </c>
      <c r="O1415" s="29"/>
      <c r="P1415" s="34"/>
      <c r="Q1415" s="34"/>
      <c r="R1415" s="35"/>
      <c r="S1415" s="32" t="s">
        <v>29</v>
      </c>
      <c r="T1415" s="33"/>
      <c r="U1415" s="33"/>
    </row>
    <row r="1416" ht="15.75" customHeight="1">
      <c r="A1416" s="20">
        <v>46256.0</v>
      </c>
      <c r="B1416" s="20">
        <v>46256.0</v>
      </c>
      <c r="C1416" s="20"/>
      <c r="D1416" s="21"/>
      <c r="E1416" s="21" t="s">
        <v>61</v>
      </c>
      <c r="F1416" s="22"/>
      <c r="G1416" s="21"/>
      <c r="H1416" s="149"/>
      <c r="I1416" s="25"/>
      <c r="J1416" s="26"/>
      <c r="K1416" s="21"/>
      <c r="L1416" s="27"/>
      <c r="M1416" s="28"/>
      <c r="N1416" s="29" t="s">
        <v>59</v>
      </c>
      <c r="O1416" s="29"/>
      <c r="P1416" s="34"/>
      <c r="Q1416" s="34"/>
      <c r="R1416" s="35"/>
      <c r="S1416" s="32" t="s">
        <v>29</v>
      </c>
      <c r="T1416" s="33"/>
      <c r="U1416" s="33"/>
    </row>
    <row r="1417" ht="15.75" customHeight="1">
      <c r="A1417" s="20">
        <v>46256.0</v>
      </c>
      <c r="B1417" s="20">
        <v>46256.0</v>
      </c>
      <c r="C1417" s="20"/>
      <c r="D1417" s="21"/>
      <c r="E1417" s="21" t="s">
        <v>62</v>
      </c>
      <c r="F1417" s="67"/>
      <c r="G1417" s="21"/>
      <c r="H1417" s="149"/>
      <c r="I1417" s="25"/>
      <c r="J1417" s="26"/>
      <c r="K1417" s="21"/>
      <c r="L1417" s="29"/>
      <c r="M1417" s="28"/>
      <c r="N1417" s="29" t="s">
        <v>59</v>
      </c>
      <c r="O1417" s="29"/>
      <c r="P1417" s="34"/>
      <c r="Q1417" s="34"/>
      <c r="R1417" s="35"/>
      <c r="S1417" s="32" t="s">
        <v>29</v>
      </c>
      <c r="T1417" s="33"/>
      <c r="U1417" s="33"/>
    </row>
    <row r="1418" ht="15.75" customHeight="1">
      <c r="A1418" s="20">
        <v>46256.0</v>
      </c>
      <c r="B1418" s="20">
        <v>46256.0</v>
      </c>
      <c r="C1418" s="20"/>
      <c r="D1418" s="21"/>
      <c r="E1418" s="21" t="s">
        <v>63</v>
      </c>
      <c r="F1418" s="22"/>
      <c r="G1418" s="21"/>
      <c r="H1418" s="149"/>
      <c r="I1418" s="25"/>
      <c r="J1418" s="26"/>
      <c r="K1418" s="21"/>
      <c r="L1418" s="27"/>
      <c r="M1418" s="28"/>
      <c r="N1418" s="29" t="s">
        <v>31</v>
      </c>
      <c r="O1418" s="29"/>
      <c r="P1418" s="34"/>
      <c r="Q1418" s="34"/>
      <c r="R1418" s="35"/>
      <c r="S1418" s="32" t="s">
        <v>29</v>
      </c>
      <c r="T1418" s="33"/>
      <c r="U1418" s="33"/>
    </row>
    <row r="1419" ht="15.75" customHeight="1">
      <c r="A1419" s="20">
        <v>46257.0</v>
      </c>
      <c r="B1419" s="20">
        <v>46257.0</v>
      </c>
      <c r="C1419" s="20"/>
      <c r="D1419" s="21"/>
      <c r="E1419" s="21" t="s">
        <v>66</v>
      </c>
      <c r="F1419" s="22"/>
      <c r="G1419" s="21"/>
      <c r="H1419" s="149"/>
      <c r="I1419" s="25"/>
      <c r="J1419" s="26"/>
      <c r="K1419" s="21"/>
      <c r="L1419" s="27"/>
      <c r="M1419" s="28"/>
      <c r="N1419" s="29" t="s">
        <v>69</v>
      </c>
      <c r="O1419" s="29"/>
      <c r="P1419" s="34"/>
      <c r="Q1419" s="34"/>
      <c r="R1419" s="35"/>
      <c r="S1419" s="32" t="s">
        <v>29</v>
      </c>
      <c r="T1419" s="33"/>
      <c r="U1419" s="33"/>
    </row>
    <row r="1420" ht="15.75" customHeight="1">
      <c r="A1420" s="20">
        <v>46258.0</v>
      </c>
      <c r="B1420" s="20">
        <v>46258.0</v>
      </c>
      <c r="C1420" s="20"/>
      <c r="D1420" s="21"/>
      <c r="E1420" s="21" t="s">
        <v>26</v>
      </c>
      <c r="F1420" s="22"/>
      <c r="G1420" s="21"/>
      <c r="H1420" s="149"/>
      <c r="I1420" s="25"/>
      <c r="J1420" s="26"/>
      <c r="K1420" s="21"/>
      <c r="L1420" s="27"/>
      <c r="M1420" s="28"/>
      <c r="N1420" s="29" t="s">
        <v>34</v>
      </c>
      <c r="O1420" s="29"/>
      <c r="P1420" s="34"/>
      <c r="Q1420" s="34"/>
      <c r="R1420" s="35"/>
      <c r="S1420" s="32" t="s">
        <v>29</v>
      </c>
      <c r="T1420" s="33"/>
      <c r="U1420" s="33"/>
    </row>
    <row r="1421" ht="15.75" customHeight="1">
      <c r="A1421" s="20">
        <v>46258.0</v>
      </c>
      <c r="B1421" s="20">
        <v>46258.0</v>
      </c>
      <c r="C1421" s="20"/>
      <c r="D1421" s="21"/>
      <c r="E1421" s="21" t="s">
        <v>30</v>
      </c>
      <c r="F1421" s="22"/>
      <c r="G1421" s="21"/>
      <c r="H1421" s="149"/>
      <c r="I1421" s="25"/>
      <c r="J1421" s="26"/>
      <c r="K1421" s="21"/>
      <c r="L1421" s="27"/>
      <c r="M1421" s="28"/>
      <c r="N1421" s="29" t="s">
        <v>31</v>
      </c>
      <c r="O1421" s="29"/>
      <c r="P1421" s="34"/>
      <c r="Q1421" s="34"/>
      <c r="R1421" s="35"/>
      <c r="S1421" s="32" t="s">
        <v>29</v>
      </c>
      <c r="T1421" s="33"/>
      <c r="U1421" s="33"/>
    </row>
    <row r="1422" ht="15.75" customHeight="1">
      <c r="A1422" s="20">
        <v>46258.0</v>
      </c>
      <c r="B1422" s="20">
        <v>46258.0</v>
      </c>
      <c r="C1422" s="20"/>
      <c r="D1422" s="21"/>
      <c r="E1422" s="21" t="s">
        <v>32</v>
      </c>
      <c r="F1422" s="22"/>
      <c r="G1422" s="21"/>
      <c r="H1422" s="149"/>
      <c r="I1422" s="25"/>
      <c r="J1422" s="26"/>
      <c r="K1422" s="187"/>
      <c r="L1422" s="27"/>
      <c r="M1422" s="28"/>
      <c r="N1422" s="29" t="s">
        <v>59</v>
      </c>
      <c r="O1422" s="29"/>
      <c r="P1422" s="34"/>
      <c r="Q1422" s="34"/>
      <c r="R1422" s="35"/>
      <c r="S1422" s="32" t="s">
        <v>29</v>
      </c>
      <c r="T1422" s="33"/>
      <c r="U1422" s="33"/>
    </row>
    <row r="1423" ht="15.75" customHeight="1">
      <c r="A1423" s="20">
        <v>46258.0</v>
      </c>
      <c r="B1423" s="20">
        <v>46258.0</v>
      </c>
      <c r="C1423" s="20"/>
      <c r="D1423" s="21"/>
      <c r="E1423" s="21" t="s">
        <v>38</v>
      </c>
      <c r="F1423" s="22"/>
      <c r="G1423" s="21"/>
      <c r="H1423" s="149"/>
      <c r="I1423" s="25"/>
      <c r="J1423" s="188"/>
      <c r="K1423" s="189"/>
      <c r="L1423" s="27"/>
      <c r="M1423" s="28"/>
      <c r="N1423" s="29" t="s">
        <v>69</v>
      </c>
      <c r="O1423" s="29"/>
      <c r="P1423" s="34"/>
      <c r="Q1423" s="34"/>
      <c r="R1423" s="35"/>
      <c r="S1423" s="32" t="s">
        <v>29</v>
      </c>
      <c r="T1423" s="33"/>
      <c r="U1423" s="33"/>
    </row>
    <row r="1424" ht="15.75" customHeight="1">
      <c r="A1424" s="20">
        <v>46258.0</v>
      </c>
      <c r="B1424" s="20">
        <v>46258.0</v>
      </c>
      <c r="C1424" s="20"/>
      <c r="D1424" s="21"/>
      <c r="E1424" s="21" t="s">
        <v>40</v>
      </c>
      <c r="F1424" s="22"/>
      <c r="G1424" s="21"/>
      <c r="H1424" s="149"/>
      <c r="I1424" s="25"/>
      <c r="J1424" s="188"/>
      <c r="K1424" s="21"/>
      <c r="L1424" s="29"/>
      <c r="M1424" s="28"/>
      <c r="N1424" s="29" t="s">
        <v>31</v>
      </c>
      <c r="O1424" s="29"/>
      <c r="P1424" s="34"/>
      <c r="Q1424" s="34"/>
      <c r="R1424" s="35"/>
      <c r="S1424" s="32" t="s">
        <v>29</v>
      </c>
      <c r="T1424" s="33"/>
      <c r="U1424" s="33"/>
    </row>
    <row r="1425" ht="15.75" customHeight="1">
      <c r="A1425" s="20">
        <v>46258.0</v>
      </c>
      <c r="B1425" s="20">
        <v>46258.0</v>
      </c>
      <c r="C1425" s="20"/>
      <c r="D1425" s="21"/>
      <c r="E1425" s="21" t="s">
        <v>43</v>
      </c>
      <c r="F1425" s="22"/>
      <c r="G1425" s="21"/>
      <c r="H1425" s="149"/>
      <c r="I1425" s="25"/>
      <c r="J1425" s="188"/>
      <c r="K1425" s="189"/>
      <c r="L1425" s="27"/>
      <c r="M1425" s="28"/>
      <c r="N1425" s="29" t="s">
        <v>57</v>
      </c>
      <c r="O1425" s="29"/>
      <c r="P1425" s="34"/>
      <c r="Q1425" s="34"/>
      <c r="R1425" s="35"/>
      <c r="S1425" s="32" t="s">
        <v>29</v>
      </c>
      <c r="T1425" s="33"/>
      <c r="U1425" s="33"/>
    </row>
    <row r="1426" ht="15.75" customHeight="1">
      <c r="A1426" s="20">
        <v>46259.0</v>
      </c>
      <c r="B1426" s="20">
        <v>46259.0</v>
      </c>
      <c r="C1426" s="20"/>
      <c r="D1426" s="21"/>
      <c r="E1426" s="21" t="s">
        <v>26</v>
      </c>
      <c r="F1426" s="22"/>
      <c r="G1426" s="21"/>
      <c r="H1426" s="149"/>
      <c r="I1426" s="25"/>
      <c r="J1426" s="188"/>
      <c r="K1426" s="190"/>
      <c r="L1426" s="27"/>
      <c r="M1426" s="28"/>
      <c r="N1426" s="29" t="s">
        <v>59</v>
      </c>
      <c r="O1426" s="29"/>
      <c r="P1426" s="34"/>
      <c r="Q1426" s="34"/>
      <c r="R1426" s="35"/>
      <c r="S1426" s="32" t="s">
        <v>29</v>
      </c>
      <c r="T1426" s="33"/>
      <c r="U1426" s="33"/>
    </row>
    <row r="1427" ht="15.75" customHeight="1">
      <c r="A1427" s="20">
        <v>46259.0</v>
      </c>
      <c r="B1427" s="20">
        <v>46259.0</v>
      </c>
      <c r="C1427" s="20"/>
      <c r="D1427" s="21"/>
      <c r="E1427" s="21" t="s">
        <v>30</v>
      </c>
      <c r="F1427" s="22"/>
      <c r="G1427" s="21"/>
      <c r="H1427" s="149"/>
      <c r="I1427" s="25"/>
      <c r="J1427" s="26"/>
      <c r="K1427" s="70"/>
      <c r="L1427" s="27"/>
      <c r="M1427" s="28"/>
      <c r="N1427" s="29" t="s">
        <v>34</v>
      </c>
      <c r="O1427" s="29"/>
      <c r="P1427" s="34"/>
      <c r="Q1427" s="34"/>
      <c r="R1427" s="35"/>
      <c r="S1427" s="32" t="s">
        <v>29</v>
      </c>
      <c r="T1427" s="33"/>
      <c r="U1427" s="33"/>
    </row>
    <row r="1428" ht="15.75" customHeight="1">
      <c r="A1428" s="20">
        <v>46259.0</v>
      </c>
      <c r="B1428" s="20">
        <v>46259.0</v>
      </c>
      <c r="C1428" s="20"/>
      <c r="D1428" s="21"/>
      <c r="E1428" s="21" t="s">
        <v>32</v>
      </c>
      <c r="F1428" s="22"/>
      <c r="G1428" s="21"/>
      <c r="H1428" s="149"/>
      <c r="I1428" s="25"/>
      <c r="J1428" s="26"/>
      <c r="K1428" s="21"/>
      <c r="L1428" s="27"/>
      <c r="M1428" s="28"/>
      <c r="N1428" s="29" t="s">
        <v>31</v>
      </c>
      <c r="O1428" s="29"/>
      <c r="P1428" s="34"/>
      <c r="Q1428" s="34"/>
      <c r="R1428" s="35"/>
      <c r="S1428" s="32" t="s">
        <v>29</v>
      </c>
      <c r="T1428" s="33"/>
      <c r="U1428" s="33"/>
    </row>
    <row r="1429" ht="15.75" customHeight="1">
      <c r="A1429" s="20">
        <v>46259.0</v>
      </c>
      <c r="B1429" s="20">
        <v>46259.0</v>
      </c>
      <c r="C1429" s="20"/>
      <c r="D1429" s="21"/>
      <c r="E1429" s="21" t="s">
        <v>38</v>
      </c>
      <c r="F1429" s="22"/>
      <c r="G1429" s="21"/>
      <c r="H1429" s="149"/>
      <c r="I1429" s="25"/>
      <c r="J1429" s="26"/>
      <c r="K1429" s="21"/>
      <c r="L1429" s="27"/>
      <c r="M1429" s="28"/>
      <c r="N1429" s="29" t="s">
        <v>69</v>
      </c>
      <c r="O1429" s="29"/>
      <c r="P1429" s="34"/>
      <c r="Q1429" s="34"/>
      <c r="R1429" s="35"/>
      <c r="S1429" s="32" t="s">
        <v>29</v>
      </c>
      <c r="T1429" s="33"/>
      <c r="U1429" s="33"/>
    </row>
    <row r="1430" ht="15.75" customHeight="1">
      <c r="A1430" s="20">
        <v>46259.0</v>
      </c>
      <c r="B1430" s="20">
        <v>46259.0</v>
      </c>
      <c r="C1430" s="20"/>
      <c r="D1430" s="21"/>
      <c r="E1430" s="21" t="s">
        <v>40</v>
      </c>
      <c r="F1430" s="22"/>
      <c r="G1430" s="21"/>
      <c r="H1430" s="149"/>
      <c r="I1430" s="25"/>
      <c r="J1430" s="26"/>
      <c r="K1430" s="21"/>
      <c r="L1430" s="27"/>
      <c r="M1430" s="28"/>
      <c r="N1430" s="29" t="s">
        <v>49</v>
      </c>
      <c r="O1430" s="29"/>
      <c r="P1430" s="34"/>
      <c r="Q1430" s="34"/>
      <c r="R1430" s="35"/>
      <c r="S1430" s="32" t="s">
        <v>29</v>
      </c>
      <c r="T1430" s="33"/>
      <c r="U1430" s="33"/>
    </row>
    <row r="1431" ht="15.75" customHeight="1">
      <c r="A1431" s="20">
        <v>46259.0</v>
      </c>
      <c r="B1431" s="20">
        <v>46259.0</v>
      </c>
      <c r="C1431" s="20"/>
      <c r="D1431" s="21"/>
      <c r="E1431" s="21" t="s">
        <v>43</v>
      </c>
      <c r="F1431" s="22"/>
      <c r="G1431" s="21"/>
      <c r="H1431" s="149"/>
      <c r="I1431" s="25"/>
      <c r="J1431" s="26"/>
      <c r="K1431" s="21"/>
      <c r="L1431" s="27"/>
      <c r="M1431" s="28"/>
      <c r="N1431" s="29" t="s">
        <v>34</v>
      </c>
      <c r="O1431" s="29"/>
      <c r="P1431" s="34"/>
      <c r="Q1431" s="34"/>
      <c r="R1431" s="35"/>
      <c r="S1431" s="32" t="s">
        <v>29</v>
      </c>
      <c r="T1431" s="33"/>
      <c r="U1431" s="33"/>
    </row>
    <row r="1432" ht="15.75" customHeight="1">
      <c r="A1432" s="20">
        <v>46260.0</v>
      </c>
      <c r="B1432" s="20">
        <v>46260.0</v>
      </c>
      <c r="C1432" s="20"/>
      <c r="D1432" s="21"/>
      <c r="E1432" s="21" t="s">
        <v>26</v>
      </c>
      <c r="F1432" s="22"/>
      <c r="G1432" s="21"/>
      <c r="H1432" s="149"/>
      <c r="I1432" s="25"/>
      <c r="J1432" s="26"/>
      <c r="K1432" s="21"/>
      <c r="L1432" s="27"/>
      <c r="M1432" s="28"/>
      <c r="N1432" s="29" t="s">
        <v>39</v>
      </c>
      <c r="O1432" s="29"/>
      <c r="P1432" s="34"/>
      <c r="Q1432" s="34"/>
      <c r="R1432" s="35"/>
      <c r="S1432" s="32" t="s">
        <v>29</v>
      </c>
      <c r="T1432" s="33"/>
      <c r="U1432" s="33"/>
    </row>
    <row r="1433" ht="15.75" customHeight="1">
      <c r="A1433" s="20">
        <v>46260.0</v>
      </c>
      <c r="B1433" s="20">
        <v>46260.0</v>
      </c>
      <c r="C1433" s="20"/>
      <c r="D1433" s="21"/>
      <c r="E1433" s="21" t="s">
        <v>30</v>
      </c>
      <c r="F1433" s="22"/>
      <c r="G1433" s="21"/>
      <c r="H1433" s="149"/>
      <c r="I1433" s="25"/>
      <c r="J1433" s="26"/>
      <c r="K1433" s="21"/>
      <c r="L1433" s="27"/>
      <c r="M1433" s="28"/>
      <c r="N1433" s="29" t="s">
        <v>59</v>
      </c>
      <c r="O1433" s="29"/>
      <c r="P1433" s="34"/>
      <c r="Q1433" s="34"/>
      <c r="R1433" s="35"/>
      <c r="S1433" s="32" t="s">
        <v>29</v>
      </c>
      <c r="T1433" s="33"/>
      <c r="U1433" s="33"/>
    </row>
    <row r="1434" ht="15.75" customHeight="1">
      <c r="A1434" s="20">
        <v>46260.0</v>
      </c>
      <c r="B1434" s="20">
        <v>46260.0</v>
      </c>
      <c r="C1434" s="20"/>
      <c r="D1434" s="21"/>
      <c r="E1434" s="21" t="s">
        <v>32</v>
      </c>
      <c r="F1434" s="22"/>
      <c r="G1434" s="21"/>
      <c r="H1434" s="149"/>
      <c r="I1434" s="25"/>
      <c r="J1434" s="26"/>
      <c r="K1434" s="21"/>
      <c r="L1434" s="27"/>
      <c r="M1434" s="28"/>
      <c r="N1434" s="29" t="s">
        <v>59</v>
      </c>
      <c r="O1434" s="29"/>
      <c r="P1434" s="34"/>
      <c r="Q1434" s="34"/>
      <c r="R1434" s="35"/>
      <c r="S1434" s="32" t="s">
        <v>29</v>
      </c>
      <c r="T1434" s="33"/>
      <c r="U1434" s="33"/>
    </row>
    <row r="1435" ht="15.75" customHeight="1">
      <c r="A1435" s="20">
        <v>46260.0</v>
      </c>
      <c r="B1435" s="20">
        <v>46260.0</v>
      </c>
      <c r="C1435" s="20"/>
      <c r="D1435" s="21"/>
      <c r="E1435" s="21" t="s">
        <v>38</v>
      </c>
      <c r="F1435" s="22"/>
      <c r="G1435" s="21"/>
      <c r="H1435" s="149"/>
      <c r="I1435" s="25"/>
      <c r="J1435" s="26"/>
      <c r="K1435" s="21"/>
      <c r="L1435" s="27"/>
      <c r="M1435" s="28"/>
      <c r="N1435" s="29" t="s">
        <v>69</v>
      </c>
      <c r="O1435" s="29"/>
      <c r="P1435" s="34"/>
      <c r="Q1435" s="34"/>
      <c r="R1435" s="35"/>
      <c r="S1435" s="32" t="s">
        <v>29</v>
      </c>
      <c r="T1435" s="33"/>
      <c r="U1435" s="33"/>
    </row>
    <row r="1436" ht="15.75" customHeight="1">
      <c r="A1436" s="20">
        <v>46260.0</v>
      </c>
      <c r="B1436" s="20">
        <v>46260.0</v>
      </c>
      <c r="C1436" s="20"/>
      <c r="D1436" s="21"/>
      <c r="E1436" s="21" t="s">
        <v>40</v>
      </c>
      <c r="F1436" s="22"/>
      <c r="G1436" s="21"/>
      <c r="H1436" s="149"/>
      <c r="I1436" s="25"/>
      <c r="J1436" s="26"/>
      <c r="K1436" s="21"/>
      <c r="L1436" s="27"/>
      <c r="M1436" s="28"/>
      <c r="N1436" s="29" t="s">
        <v>31</v>
      </c>
      <c r="O1436" s="29"/>
      <c r="P1436" s="34"/>
      <c r="Q1436" s="34"/>
      <c r="R1436" s="35"/>
      <c r="S1436" s="32" t="s">
        <v>29</v>
      </c>
      <c r="T1436" s="33"/>
      <c r="U1436" s="33"/>
    </row>
    <row r="1437" ht="15.75" customHeight="1">
      <c r="A1437" s="20">
        <v>46260.0</v>
      </c>
      <c r="B1437" s="20">
        <v>46260.0</v>
      </c>
      <c r="C1437" s="20"/>
      <c r="D1437" s="21"/>
      <c r="E1437" s="21" t="s">
        <v>43</v>
      </c>
      <c r="F1437" s="22"/>
      <c r="G1437" s="21"/>
      <c r="H1437" s="149"/>
      <c r="I1437" s="25"/>
      <c r="J1437" s="26"/>
      <c r="K1437" s="21"/>
      <c r="L1437" s="27"/>
      <c r="M1437" s="28"/>
      <c r="N1437" s="29" t="s">
        <v>34</v>
      </c>
      <c r="O1437" s="29"/>
      <c r="P1437" s="34"/>
      <c r="Q1437" s="34"/>
      <c r="R1437" s="35"/>
      <c r="S1437" s="32" t="s">
        <v>29</v>
      </c>
      <c r="T1437" s="33"/>
      <c r="U1437" s="33"/>
    </row>
    <row r="1438" ht="15.75" customHeight="1">
      <c r="A1438" s="20">
        <v>46261.0</v>
      </c>
      <c r="B1438" s="20">
        <v>46261.0</v>
      </c>
      <c r="C1438" s="20"/>
      <c r="D1438" s="21"/>
      <c r="E1438" s="21" t="s">
        <v>26</v>
      </c>
      <c r="F1438" s="22"/>
      <c r="G1438" s="21"/>
      <c r="H1438" s="149"/>
      <c r="I1438" s="25"/>
      <c r="J1438" s="26"/>
      <c r="K1438" s="21"/>
      <c r="L1438" s="27"/>
      <c r="M1438" s="28"/>
      <c r="N1438" s="29" t="s">
        <v>57</v>
      </c>
      <c r="O1438" s="29"/>
      <c r="P1438" s="34"/>
      <c r="Q1438" s="34"/>
      <c r="R1438" s="35"/>
      <c r="S1438" s="32" t="s">
        <v>29</v>
      </c>
      <c r="T1438" s="33"/>
      <c r="U1438" s="33"/>
    </row>
    <row r="1439" ht="15.75" customHeight="1">
      <c r="A1439" s="20">
        <v>46261.0</v>
      </c>
      <c r="B1439" s="20">
        <v>46261.0</v>
      </c>
      <c r="C1439" s="20"/>
      <c r="D1439" s="21"/>
      <c r="E1439" s="21" t="s">
        <v>30</v>
      </c>
      <c r="F1439" s="22"/>
      <c r="G1439" s="21"/>
      <c r="H1439" s="149"/>
      <c r="I1439" s="25"/>
      <c r="J1439" s="26"/>
      <c r="K1439" s="21"/>
      <c r="L1439" s="27"/>
      <c r="M1439" s="28"/>
      <c r="N1439" s="29" t="s">
        <v>39</v>
      </c>
      <c r="O1439" s="29"/>
      <c r="P1439" s="34"/>
      <c r="Q1439" s="34"/>
      <c r="R1439" s="35"/>
      <c r="S1439" s="32" t="s">
        <v>29</v>
      </c>
      <c r="T1439" s="33"/>
      <c r="U1439" s="33"/>
    </row>
    <row r="1440" ht="15.75" customHeight="1">
      <c r="A1440" s="20">
        <v>46261.0</v>
      </c>
      <c r="B1440" s="20">
        <v>46261.0</v>
      </c>
      <c r="C1440" s="20"/>
      <c r="D1440" s="21"/>
      <c r="E1440" s="21" t="s">
        <v>32</v>
      </c>
      <c r="F1440" s="22"/>
      <c r="G1440" s="21"/>
      <c r="H1440" s="149"/>
      <c r="I1440" s="25"/>
      <c r="J1440" s="26"/>
      <c r="K1440" s="21"/>
      <c r="L1440" s="27"/>
      <c r="M1440" s="28"/>
      <c r="N1440" s="29" t="s">
        <v>59</v>
      </c>
      <c r="O1440" s="29"/>
      <c r="P1440" s="34"/>
      <c r="Q1440" s="34"/>
      <c r="R1440" s="35"/>
      <c r="S1440" s="32" t="s">
        <v>29</v>
      </c>
      <c r="T1440" s="33"/>
      <c r="U1440" s="33"/>
    </row>
    <row r="1441" ht="15.75" customHeight="1">
      <c r="A1441" s="20">
        <v>46261.0</v>
      </c>
      <c r="B1441" s="20">
        <v>46261.0</v>
      </c>
      <c r="C1441" s="20"/>
      <c r="D1441" s="21"/>
      <c r="E1441" s="21" t="s">
        <v>38</v>
      </c>
      <c r="F1441" s="22"/>
      <c r="G1441" s="21"/>
      <c r="H1441" s="149"/>
      <c r="I1441" s="25"/>
      <c r="J1441" s="26"/>
      <c r="K1441" s="21"/>
      <c r="L1441" s="27"/>
      <c r="M1441" s="28"/>
      <c r="N1441" s="29" t="s">
        <v>69</v>
      </c>
      <c r="O1441" s="29"/>
      <c r="P1441" s="34"/>
      <c r="Q1441" s="34"/>
      <c r="R1441" s="35"/>
      <c r="S1441" s="32" t="s">
        <v>29</v>
      </c>
      <c r="T1441" s="33"/>
      <c r="U1441" s="33"/>
    </row>
    <row r="1442" ht="15.75" customHeight="1">
      <c r="A1442" s="20">
        <v>46261.0</v>
      </c>
      <c r="B1442" s="20">
        <v>46261.0</v>
      </c>
      <c r="C1442" s="20"/>
      <c r="D1442" s="21"/>
      <c r="E1442" s="21" t="s">
        <v>40</v>
      </c>
      <c r="F1442" s="22"/>
      <c r="G1442" s="21"/>
      <c r="H1442" s="149"/>
      <c r="I1442" s="25"/>
      <c r="J1442" s="26"/>
      <c r="K1442" s="21"/>
      <c r="L1442" s="27"/>
      <c r="M1442" s="28"/>
      <c r="N1442" s="29" t="s">
        <v>31</v>
      </c>
      <c r="O1442" s="29"/>
      <c r="P1442" s="34"/>
      <c r="Q1442" s="34"/>
      <c r="R1442" s="35"/>
      <c r="S1442" s="32" t="s">
        <v>29</v>
      </c>
      <c r="T1442" s="33"/>
      <c r="U1442" s="33"/>
    </row>
    <row r="1443" ht="15.75" customHeight="1">
      <c r="A1443" s="20">
        <v>46261.0</v>
      </c>
      <c r="B1443" s="20">
        <v>46261.0</v>
      </c>
      <c r="C1443" s="20"/>
      <c r="D1443" s="21"/>
      <c r="E1443" s="21" t="s">
        <v>43</v>
      </c>
      <c r="F1443" s="22"/>
      <c r="G1443" s="21"/>
      <c r="H1443" s="149"/>
      <c r="I1443" s="25"/>
      <c r="J1443" s="26"/>
      <c r="K1443" s="21"/>
      <c r="L1443" s="29"/>
      <c r="M1443" s="28"/>
      <c r="N1443" s="29" t="s">
        <v>34</v>
      </c>
      <c r="O1443" s="29"/>
      <c r="P1443" s="34"/>
      <c r="Q1443" s="34"/>
      <c r="R1443" s="35"/>
      <c r="S1443" s="32" t="s">
        <v>29</v>
      </c>
      <c r="T1443" s="33"/>
      <c r="U1443" s="33"/>
    </row>
    <row r="1444" ht="15.75" customHeight="1">
      <c r="A1444" s="20">
        <v>46262.0</v>
      </c>
      <c r="B1444" s="20">
        <v>46262.0</v>
      </c>
      <c r="C1444" s="20"/>
      <c r="D1444" s="21"/>
      <c r="E1444" s="21" t="s">
        <v>26</v>
      </c>
      <c r="F1444" s="22"/>
      <c r="G1444" s="21"/>
      <c r="H1444" s="149"/>
      <c r="I1444" s="25"/>
      <c r="J1444" s="26"/>
      <c r="K1444" s="21"/>
      <c r="L1444" s="27"/>
      <c r="M1444" s="28"/>
      <c r="N1444" s="29" t="s">
        <v>31</v>
      </c>
      <c r="O1444" s="29"/>
      <c r="P1444" s="34"/>
      <c r="Q1444" s="34"/>
      <c r="R1444" s="35"/>
      <c r="S1444" s="32" t="s">
        <v>29</v>
      </c>
      <c r="T1444" s="33"/>
      <c r="U1444" s="33"/>
    </row>
    <row r="1445" ht="15.75" customHeight="1">
      <c r="A1445" s="20">
        <v>46262.0</v>
      </c>
      <c r="B1445" s="20">
        <v>46262.0</v>
      </c>
      <c r="C1445" s="20"/>
      <c r="D1445" s="21"/>
      <c r="E1445" s="21" t="s">
        <v>30</v>
      </c>
      <c r="F1445" s="22"/>
      <c r="G1445" s="21"/>
      <c r="H1445" s="149"/>
      <c r="I1445" s="25"/>
      <c r="J1445" s="26"/>
      <c r="K1445" s="21"/>
      <c r="L1445" s="27"/>
      <c r="M1445" s="28"/>
      <c r="N1445" s="29" t="s">
        <v>57</v>
      </c>
      <c r="O1445" s="29"/>
      <c r="P1445" s="34"/>
      <c r="Q1445" s="34"/>
      <c r="R1445" s="35"/>
      <c r="S1445" s="32" t="s">
        <v>29</v>
      </c>
      <c r="T1445" s="33"/>
      <c r="U1445" s="33"/>
    </row>
    <row r="1446" ht="15.75" customHeight="1">
      <c r="A1446" s="20">
        <v>46262.0</v>
      </c>
      <c r="B1446" s="20">
        <v>46262.0</v>
      </c>
      <c r="C1446" s="20"/>
      <c r="D1446" s="21"/>
      <c r="E1446" s="21" t="s">
        <v>32</v>
      </c>
      <c r="F1446" s="22"/>
      <c r="G1446" s="21"/>
      <c r="H1446" s="149"/>
      <c r="I1446" s="25"/>
      <c r="J1446" s="26"/>
      <c r="K1446" s="21"/>
      <c r="L1446" s="27"/>
      <c r="M1446" s="28"/>
      <c r="N1446" s="29" t="s">
        <v>59</v>
      </c>
      <c r="O1446" s="29"/>
      <c r="P1446" s="34"/>
      <c r="Q1446" s="34"/>
      <c r="R1446" s="35"/>
      <c r="S1446" s="32" t="s">
        <v>29</v>
      </c>
      <c r="T1446" s="33"/>
      <c r="U1446" s="33"/>
    </row>
    <row r="1447" ht="15.75" customHeight="1">
      <c r="A1447" s="20">
        <v>46262.0</v>
      </c>
      <c r="B1447" s="20">
        <v>46262.0</v>
      </c>
      <c r="C1447" s="20"/>
      <c r="D1447" s="21"/>
      <c r="E1447" s="21" t="s">
        <v>38</v>
      </c>
      <c r="F1447" s="184"/>
      <c r="G1447" s="21"/>
      <c r="H1447" s="149"/>
      <c r="I1447" s="25"/>
      <c r="J1447" s="26"/>
      <c r="K1447" s="21"/>
      <c r="L1447" s="29"/>
      <c r="M1447" s="28"/>
      <c r="N1447" s="29" t="s">
        <v>49</v>
      </c>
      <c r="O1447" s="29"/>
      <c r="P1447" s="34"/>
      <c r="Q1447" s="34"/>
      <c r="R1447" s="35"/>
      <c r="S1447" s="32" t="s">
        <v>29</v>
      </c>
      <c r="T1447" s="33"/>
      <c r="U1447" s="33"/>
    </row>
    <row r="1448" ht="15.75" customHeight="1">
      <c r="A1448" s="20">
        <v>46262.0</v>
      </c>
      <c r="B1448" s="20">
        <v>46262.0</v>
      </c>
      <c r="C1448" s="20"/>
      <c r="D1448" s="21"/>
      <c r="E1448" s="21" t="s">
        <v>40</v>
      </c>
      <c r="F1448" s="22"/>
      <c r="G1448" s="21"/>
      <c r="H1448" s="149"/>
      <c r="I1448" s="25"/>
      <c r="J1448" s="26"/>
      <c r="K1448" s="21"/>
      <c r="L1448" s="29"/>
      <c r="M1448" s="28"/>
      <c r="N1448" s="29" t="s">
        <v>49</v>
      </c>
      <c r="O1448" s="29"/>
      <c r="P1448" s="34"/>
      <c r="Q1448" s="34"/>
      <c r="R1448" s="35"/>
      <c r="S1448" s="32" t="s">
        <v>29</v>
      </c>
      <c r="T1448" s="33"/>
      <c r="U1448" s="33"/>
    </row>
    <row r="1449" ht="15.75" customHeight="1">
      <c r="A1449" s="20">
        <v>46262.0</v>
      </c>
      <c r="B1449" s="20">
        <v>46262.0</v>
      </c>
      <c r="C1449" s="20"/>
      <c r="D1449" s="21"/>
      <c r="E1449" s="21" t="s">
        <v>43</v>
      </c>
      <c r="F1449" s="22"/>
      <c r="G1449" s="21"/>
      <c r="H1449" s="149"/>
      <c r="I1449" s="25"/>
      <c r="J1449" s="26"/>
      <c r="K1449" s="21"/>
      <c r="L1449" s="27"/>
      <c r="M1449" s="28"/>
      <c r="N1449" s="29" t="s">
        <v>59</v>
      </c>
      <c r="O1449" s="29"/>
      <c r="P1449" s="34"/>
      <c r="Q1449" s="34"/>
      <c r="R1449" s="35"/>
      <c r="S1449" s="32" t="s">
        <v>29</v>
      </c>
      <c r="T1449" s="33"/>
      <c r="U1449" s="33"/>
    </row>
    <row r="1450" ht="15.75" customHeight="1">
      <c r="A1450" s="20">
        <v>46263.0</v>
      </c>
      <c r="B1450" s="20">
        <v>46263.0</v>
      </c>
      <c r="C1450" s="20"/>
      <c r="D1450" s="21"/>
      <c r="E1450" s="21" t="s">
        <v>32</v>
      </c>
      <c r="F1450" s="22"/>
      <c r="G1450" s="21"/>
      <c r="H1450" s="149"/>
      <c r="I1450" s="25"/>
      <c r="J1450" s="26"/>
      <c r="K1450" s="21"/>
      <c r="L1450" s="27"/>
      <c r="M1450" s="28"/>
      <c r="N1450" s="29" t="s">
        <v>39</v>
      </c>
      <c r="O1450" s="29"/>
      <c r="P1450" s="34"/>
      <c r="Q1450" s="34"/>
      <c r="R1450" s="35"/>
      <c r="S1450" s="32" t="s">
        <v>29</v>
      </c>
      <c r="T1450" s="33"/>
      <c r="U1450" s="33"/>
    </row>
    <row r="1451" ht="15.75" customHeight="1">
      <c r="A1451" s="20">
        <v>46263.0</v>
      </c>
      <c r="B1451" s="20">
        <v>46263.0</v>
      </c>
      <c r="C1451" s="20"/>
      <c r="D1451" s="21"/>
      <c r="E1451" s="21" t="s">
        <v>40</v>
      </c>
      <c r="F1451" s="22"/>
      <c r="G1451" s="21"/>
      <c r="H1451" s="149"/>
      <c r="I1451" s="25"/>
      <c r="J1451" s="26"/>
      <c r="K1451" s="185"/>
      <c r="L1451" s="27"/>
      <c r="M1451" s="28"/>
      <c r="N1451" s="29" t="s">
        <v>57</v>
      </c>
      <c r="O1451" s="29"/>
      <c r="P1451" s="34"/>
      <c r="Q1451" s="34"/>
      <c r="R1451" s="35"/>
      <c r="S1451" s="32" t="s">
        <v>29</v>
      </c>
      <c r="T1451" s="33"/>
      <c r="U1451" s="33"/>
    </row>
    <row r="1452" ht="15.75" customHeight="1">
      <c r="A1452" s="20">
        <v>46263.0</v>
      </c>
      <c r="B1452" s="20">
        <v>46263.0</v>
      </c>
      <c r="C1452" s="20"/>
      <c r="D1452" s="21"/>
      <c r="E1452" s="21" t="s">
        <v>43</v>
      </c>
      <c r="F1452" s="22"/>
      <c r="G1452" s="21"/>
      <c r="H1452" s="149"/>
      <c r="I1452" s="25"/>
      <c r="J1452" s="26"/>
      <c r="K1452" s="21"/>
      <c r="L1452" s="27"/>
      <c r="M1452" s="28"/>
      <c r="N1452" s="29" t="s">
        <v>57</v>
      </c>
      <c r="O1452" s="29"/>
      <c r="P1452" s="34"/>
      <c r="Q1452" s="34"/>
      <c r="R1452" s="35"/>
      <c r="S1452" s="32" t="s">
        <v>29</v>
      </c>
      <c r="T1452" s="33"/>
      <c r="U1452" s="33"/>
    </row>
    <row r="1453" ht="15.75" customHeight="1">
      <c r="A1453" s="20">
        <v>46263.0</v>
      </c>
      <c r="B1453" s="20">
        <v>46263.0</v>
      </c>
      <c r="C1453" s="20"/>
      <c r="D1453" s="21"/>
      <c r="E1453" s="21" t="s">
        <v>61</v>
      </c>
      <c r="F1453" s="22"/>
      <c r="G1453" s="21"/>
      <c r="H1453" s="149"/>
      <c r="I1453" s="25"/>
      <c r="J1453" s="26"/>
      <c r="K1453" s="21"/>
      <c r="L1453" s="27"/>
      <c r="M1453" s="28"/>
      <c r="N1453" s="29" t="s">
        <v>34</v>
      </c>
      <c r="O1453" s="29"/>
      <c r="P1453" s="34"/>
      <c r="Q1453" s="34"/>
      <c r="R1453" s="35"/>
      <c r="S1453" s="32" t="s">
        <v>29</v>
      </c>
      <c r="T1453" s="33"/>
      <c r="U1453" s="33"/>
    </row>
    <row r="1454" ht="15.75" customHeight="1">
      <c r="A1454" s="20">
        <v>46263.0</v>
      </c>
      <c r="B1454" s="20">
        <v>46263.0</v>
      </c>
      <c r="C1454" s="20"/>
      <c r="D1454" s="21"/>
      <c r="E1454" s="21" t="s">
        <v>62</v>
      </c>
      <c r="F1454" s="67"/>
      <c r="G1454" s="21"/>
      <c r="H1454" s="149"/>
      <c r="I1454" s="25"/>
      <c r="J1454" s="26"/>
      <c r="K1454" s="21"/>
      <c r="L1454" s="29"/>
      <c r="M1454" s="28"/>
      <c r="N1454" s="29" t="s">
        <v>34</v>
      </c>
      <c r="O1454" s="29"/>
      <c r="P1454" s="34"/>
      <c r="Q1454" s="34"/>
      <c r="R1454" s="35"/>
      <c r="S1454" s="32" t="s">
        <v>29</v>
      </c>
      <c r="T1454" s="33"/>
      <c r="U1454" s="33"/>
    </row>
    <row r="1455" ht="14.25" customHeight="1">
      <c r="A1455" s="20">
        <v>46263.0</v>
      </c>
      <c r="B1455" s="20">
        <v>46263.0</v>
      </c>
      <c r="C1455" s="20"/>
      <c r="D1455" s="21"/>
      <c r="E1455" s="21" t="s">
        <v>63</v>
      </c>
      <c r="F1455" s="22"/>
      <c r="G1455" s="21"/>
      <c r="H1455" s="149"/>
      <c r="I1455" s="25"/>
      <c r="J1455" s="26"/>
      <c r="K1455" s="21"/>
      <c r="L1455" s="27"/>
      <c r="M1455" s="28"/>
      <c r="N1455" s="29" t="s">
        <v>57</v>
      </c>
      <c r="O1455" s="29"/>
      <c r="P1455" s="34"/>
      <c r="Q1455" s="34"/>
      <c r="R1455" s="35"/>
      <c r="S1455" s="32" t="s">
        <v>29</v>
      </c>
      <c r="T1455" s="33"/>
      <c r="U1455" s="33"/>
    </row>
    <row r="1456" ht="17.25" customHeight="1">
      <c r="A1456" s="20">
        <v>46264.0</v>
      </c>
      <c r="B1456" s="20">
        <v>46264.0</v>
      </c>
      <c r="C1456" s="20"/>
      <c r="D1456" s="21"/>
      <c r="E1456" s="21" t="s">
        <v>66</v>
      </c>
      <c r="F1456" s="22"/>
      <c r="G1456" s="21"/>
      <c r="H1456" s="149"/>
      <c r="I1456" s="25"/>
      <c r="J1456" s="26"/>
      <c r="K1456" s="21"/>
      <c r="L1456" s="27"/>
      <c r="M1456" s="28"/>
      <c r="N1456" s="29" t="s">
        <v>69</v>
      </c>
      <c r="O1456" s="29"/>
      <c r="P1456" s="34"/>
      <c r="Q1456" s="34"/>
      <c r="R1456" s="35"/>
      <c r="S1456" s="32" t="s">
        <v>29</v>
      </c>
      <c r="T1456" s="33"/>
      <c r="U1456" s="33"/>
    </row>
    <row r="1457" ht="15.0" customHeight="1">
      <c r="A1457" s="20">
        <v>46265.0</v>
      </c>
      <c r="B1457" s="20">
        <v>46265.0</v>
      </c>
      <c r="C1457" s="20"/>
      <c r="D1457" s="21"/>
      <c r="E1457" s="21" t="s">
        <v>26</v>
      </c>
      <c r="F1457" s="22"/>
      <c r="G1457" s="21"/>
      <c r="H1457" s="149"/>
      <c r="I1457" s="25"/>
      <c r="J1457" s="26"/>
      <c r="K1457" s="21"/>
      <c r="L1457" s="27"/>
      <c r="M1457" s="28"/>
      <c r="N1457" s="29" t="s">
        <v>34</v>
      </c>
      <c r="O1457" s="29"/>
      <c r="P1457" s="34"/>
      <c r="Q1457" s="34"/>
      <c r="R1457" s="35"/>
      <c r="S1457" s="32" t="s">
        <v>29</v>
      </c>
      <c r="T1457" s="33"/>
      <c r="U1457" s="33"/>
    </row>
    <row r="1458" ht="15.0" customHeight="1">
      <c r="A1458" s="20">
        <v>46265.0</v>
      </c>
      <c r="B1458" s="20">
        <v>46265.0</v>
      </c>
      <c r="C1458" s="20"/>
      <c r="D1458" s="21"/>
      <c r="E1458" s="21" t="s">
        <v>30</v>
      </c>
      <c r="F1458" s="67"/>
      <c r="G1458" s="21"/>
      <c r="H1458" s="149"/>
      <c r="I1458" s="25"/>
      <c r="J1458" s="26"/>
      <c r="K1458" s="21"/>
      <c r="L1458" s="29"/>
      <c r="M1458" s="28"/>
      <c r="N1458" s="29" t="s">
        <v>31</v>
      </c>
      <c r="O1458" s="29"/>
      <c r="P1458" s="34"/>
      <c r="Q1458" s="34"/>
      <c r="R1458" s="35"/>
      <c r="S1458" s="32" t="s">
        <v>29</v>
      </c>
      <c r="T1458" s="33"/>
      <c r="U1458" s="33"/>
    </row>
    <row r="1459" ht="13.5" customHeight="1">
      <c r="A1459" s="20">
        <v>46265.0</v>
      </c>
      <c r="B1459" s="20">
        <v>46265.0</v>
      </c>
      <c r="C1459" s="20"/>
      <c r="D1459" s="21"/>
      <c r="E1459" s="21" t="s">
        <v>32</v>
      </c>
      <c r="F1459" s="22"/>
      <c r="G1459" s="21"/>
      <c r="H1459" s="149"/>
      <c r="I1459" s="25"/>
      <c r="J1459" s="26"/>
      <c r="K1459" s="21"/>
      <c r="L1459" s="27"/>
      <c r="M1459" s="28"/>
      <c r="N1459" s="29" t="s">
        <v>59</v>
      </c>
      <c r="O1459" s="29"/>
      <c r="P1459" s="34"/>
      <c r="Q1459" s="34"/>
      <c r="R1459" s="35"/>
      <c r="S1459" s="32" t="s">
        <v>29</v>
      </c>
      <c r="T1459" s="33"/>
      <c r="U1459" s="33"/>
    </row>
    <row r="1460" ht="15.75" customHeight="1">
      <c r="A1460" s="20">
        <v>46265.0</v>
      </c>
      <c r="B1460" s="20">
        <v>46265.0</v>
      </c>
      <c r="C1460" s="20"/>
      <c r="D1460" s="21"/>
      <c r="E1460" s="21" t="s">
        <v>38</v>
      </c>
      <c r="F1460" s="22"/>
      <c r="G1460" s="21"/>
      <c r="H1460" s="149"/>
      <c r="I1460" s="25"/>
      <c r="J1460" s="26"/>
      <c r="K1460" s="21"/>
      <c r="L1460" s="27"/>
      <c r="M1460" s="28"/>
      <c r="N1460" s="29" t="s">
        <v>69</v>
      </c>
      <c r="O1460" s="29"/>
      <c r="P1460" s="34"/>
      <c r="Q1460" s="34"/>
      <c r="R1460" s="35"/>
      <c r="S1460" s="32" t="s">
        <v>29</v>
      </c>
      <c r="T1460" s="33"/>
      <c r="U1460" s="33"/>
    </row>
    <row r="1461" ht="22.5" customHeight="1">
      <c r="A1461" s="20">
        <v>46265.0</v>
      </c>
      <c r="B1461" s="20">
        <v>46265.0</v>
      </c>
      <c r="C1461" s="20"/>
      <c r="D1461" s="21"/>
      <c r="E1461" s="21" t="s">
        <v>40</v>
      </c>
      <c r="F1461" s="22"/>
      <c r="G1461" s="21"/>
      <c r="H1461" s="149"/>
      <c r="I1461" s="25"/>
      <c r="J1461" s="26"/>
      <c r="K1461" s="21"/>
      <c r="L1461" s="27"/>
      <c r="M1461" s="28"/>
      <c r="N1461" s="29" t="s">
        <v>31</v>
      </c>
      <c r="O1461" s="29"/>
      <c r="P1461" s="34"/>
      <c r="Q1461" s="34"/>
      <c r="R1461" s="35"/>
      <c r="S1461" s="32" t="s">
        <v>29</v>
      </c>
      <c r="T1461" s="33"/>
      <c r="U1461" s="33"/>
    </row>
    <row r="1462" ht="13.5" customHeight="1">
      <c r="A1462" s="20">
        <v>46265.0</v>
      </c>
      <c r="B1462" s="20">
        <v>46265.0</v>
      </c>
      <c r="C1462" s="20"/>
      <c r="D1462" s="21"/>
      <c r="E1462" s="21" t="s">
        <v>43</v>
      </c>
      <c r="F1462" s="22"/>
      <c r="G1462" s="21"/>
      <c r="H1462" s="149"/>
      <c r="I1462" s="25"/>
      <c r="J1462" s="26"/>
      <c r="K1462" s="21"/>
      <c r="L1462" s="27"/>
      <c r="M1462" s="28"/>
      <c r="N1462" s="29" t="s">
        <v>57</v>
      </c>
      <c r="O1462" s="29"/>
      <c r="P1462" s="34"/>
      <c r="Q1462" s="34"/>
      <c r="R1462" s="35"/>
      <c r="S1462" s="32" t="s">
        <v>29</v>
      </c>
      <c r="T1462" s="33"/>
      <c r="U1462" s="33"/>
    </row>
    <row r="1463" ht="15.75" customHeight="1">
      <c r="A1463" s="20"/>
      <c r="B1463" s="20"/>
      <c r="C1463" s="20"/>
      <c r="D1463" s="21"/>
      <c r="E1463" s="21"/>
      <c r="F1463" s="22"/>
      <c r="G1463" s="21"/>
      <c r="H1463" s="149"/>
      <c r="I1463" s="25"/>
      <c r="J1463" s="26"/>
      <c r="K1463" s="21"/>
      <c r="L1463" s="27"/>
      <c r="M1463" s="28"/>
      <c r="N1463" s="29"/>
      <c r="O1463" s="29"/>
      <c r="P1463" s="34"/>
      <c r="Q1463" s="34"/>
      <c r="R1463" s="35"/>
      <c r="S1463" s="32" t="s">
        <v>29</v>
      </c>
      <c r="T1463" s="33"/>
      <c r="U1463" s="33"/>
    </row>
    <row r="1464" ht="15.75" customHeight="1">
      <c r="A1464" s="20"/>
      <c r="B1464" s="20"/>
      <c r="C1464" s="20"/>
      <c r="D1464" s="21"/>
      <c r="E1464" s="21"/>
      <c r="F1464" s="22"/>
      <c r="G1464" s="21"/>
      <c r="H1464" s="149"/>
      <c r="I1464" s="25"/>
      <c r="J1464" s="26"/>
      <c r="K1464" s="21"/>
      <c r="L1464" s="27"/>
      <c r="M1464" s="28"/>
      <c r="N1464" s="29"/>
      <c r="O1464" s="29"/>
      <c r="P1464" s="34"/>
      <c r="Q1464" s="34"/>
      <c r="R1464" s="35"/>
      <c r="S1464" s="32" t="s">
        <v>29</v>
      </c>
      <c r="T1464" s="33"/>
      <c r="U1464" s="33"/>
    </row>
    <row r="1465" ht="15.75" customHeight="1">
      <c r="A1465" s="20"/>
      <c r="B1465" s="20"/>
      <c r="C1465" s="20"/>
      <c r="D1465" s="21"/>
      <c r="E1465" s="21"/>
      <c r="F1465" s="22"/>
      <c r="G1465" s="21"/>
      <c r="H1465" s="149"/>
      <c r="I1465" s="25"/>
      <c r="J1465" s="26"/>
      <c r="K1465" s="21"/>
      <c r="L1465" s="27"/>
      <c r="M1465" s="28"/>
      <c r="N1465" s="29"/>
      <c r="O1465" s="29"/>
      <c r="P1465" s="34"/>
      <c r="Q1465" s="34"/>
      <c r="R1465" s="35"/>
      <c r="S1465" s="32" t="s">
        <v>29</v>
      </c>
      <c r="T1465" s="33"/>
      <c r="U1465" s="33"/>
    </row>
    <row r="1466" ht="15.75" customHeight="1">
      <c r="A1466" s="20"/>
      <c r="B1466" s="20"/>
      <c r="C1466" s="20"/>
      <c r="D1466" s="21"/>
      <c r="E1466" s="21"/>
      <c r="F1466" s="22"/>
      <c r="G1466" s="21"/>
      <c r="H1466" s="149"/>
      <c r="I1466" s="25"/>
      <c r="J1466" s="26"/>
      <c r="K1466" s="21"/>
      <c r="L1466" s="27"/>
      <c r="M1466" s="28"/>
      <c r="N1466" s="29"/>
      <c r="O1466" s="29"/>
      <c r="P1466" s="34"/>
      <c r="Q1466" s="34"/>
      <c r="R1466" s="35"/>
      <c r="S1466" s="32" t="s">
        <v>29</v>
      </c>
      <c r="T1466" s="33"/>
      <c r="U1466" s="33"/>
    </row>
    <row r="1467" ht="15.75" customHeight="1">
      <c r="A1467" s="20"/>
      <c r="B1467" s="20"/>
      <c r="C1467" s="20"/>
      <c r="D1467" s="21"/>
      <c r="E1467" s="21"/>
      <c r="F1467" s="22"/>
      <c r="G1467" s="21"/>
      <c r="H1467" s="149"/>
      <c r="I1467" s="25"/>
      <c r="J1467" s="26"/>
      <c r="K1467" s="21"/>
      <c r="L1467" s="27"/>
      <c r="M1467" s="28"/>
      <c r="N1467" s="29"/>
      <c r="O1467" s="29"/>
      <c r="P1467" s="34"/>
      <c r="Q1467" s="34"/>
      <c r="R1467" s="35"/>
      <c r="S1467" s="32" t="s">
        <v>29</v>
      </c>
      <c r="T1467" s="33"/>
      <c r="U1467" s="33"/>
    </row>
    <row r="1468" ht="15.75" customHeight="1">
      <c r="A1468" s="20"/>
      <c r="B1468" s="20"/>
      <c r="C1468" s="20"/>
      <c r="D1468" s="21"/>
      <c r="E1468" s="21"/>
      <c r="F1468" s="22"/>
      <c r="G1468" s="21"/>
      <c r="H1468" s="149"/>
      <c r="I1468" s="25"/>
      <c r="J1468" s="26"/>
      <c r="K1468" s="21"/>
      <c r="L1468" s="27"/>
      <c r="M1468" s="28"/>
      <c r="N1468" s="29"/>
      <c r="O1468" s="29"/>
      <c r="P1468" s="34"/>
      <c r="Q1468" s="34"/>
      <c r="R1468" s="35"/>
      <c r="S1468" s="32" t="s">
        <v>29</v>
      </c>
      <c r="T1468" s="33"/>
      <c r="U1468" s="33"/>
    </row>
    <row r="1469" ht="15.75" customHeight="1">
      <c r="A1469" s="20"/>
      <c r="B1469" s="20"/>
      <c r="C1469" s="20"/>
      <c r="D1469" s="21"/>
      <c r="E1469" s="21"/>
      <c r="F1469" s="22"/>
      <c r="G1469" s="21"/>
      <c r="H1469" s="149"/>
      <c r="I1469" s="25"/>
      <c r="J1469" s="26"/>
      <c r="K1469" s="21"/>
      <c r="L1469" s="27"/>
      <c r="M1469" s="28"/>
      <c r="N1469" s="29"/>
      <c r="O1469" s="29"/>
      <c r="P1469" s="34"/>
      <c r="Q1469" s="34"/>
      <c r="R1469" s="35"/>
      <c r="S1469" s="32" t="s">
        <v>29</v>
      </c>
      <c r="T1469" s="33"/>
      <c r="U1469" s="33"/>
    </row>
    <row r="1470" ht="15.75" customHeight="1">
      <c r="A1470" s="20"/>
      <c r="B1470" s="20"/>
      <c r="C1470" s="20"/>
      <c r="D1470" s="21"/>
      <c r="E1470" s="21"/>
      <c r="F1470" s="22"/>
      <c r="G1470" s="21"/>
      <c r="H1470" s="149"/>
      <c r="I1470" s="25"/>
      <c r="J1470" s="26"/>
      <c r="K1470" s="21"/>
      <c r="L1470" s="27"/>
      <c r="M1470" s="28"/>
      <c r="N1470" s="29"/>
      <c r="O1470" s="29"/>
      <c r="P1470" s="34"/>
      <c r="Q1470" s="34"/>
      <c r="R1470" s="35"/>
      <c r="S1470" s="32" t="s">
        <v>29</v>
      </c>
      <c r="T1470" s="33"/>
      <c r="U1470" s="33"/>
    </row>
    <row r="1471" ht="15.75" customHeight="1">
      <c r="A1471" s="20"/>
      <c r="B1471" s="20"/>
      <c r="C1471" s="20"/>
      <c r="D1471" s="21"/>
      <c r="E1471" s="21"/>
      <c r="F1471" s="22"/>
      <c r="G1471" s="21"/>
      <c r="H1471" s="149"/>
      <c r="I1471" s="25"/>
      <c r="J1471" s="26"/>
      <c r="K1471" s="21"/>
      <c r="L1471" s="27"/>
      <c r="M1471" s="28"/>
      <c r="N1471" s="29"/>
      <c r="O1471" s="29"/>
      <c r="P1471" s="34"/>
      <c r="Q1471" s="34"/>
      <c r="R1471" s="35"/>
      <c r="S1471" s="32" t="s">
        <v>29</v>
      </c>
      <c r="T1471" s="33"/>
      <c r="U1471" s="33"/>
    </row>
    <row r="1472" ht="15.75" customHeight="1">
      <c r="A1472" s="20"/>
      <c r="B1472" s="20"/>
      <c r="C1472" s="20"/>
      <c r="D1472" s="21"/>
      <c r="E1472" s="21"/>
      <c r="F1472" s="22"/>
      <c r="G1472" s="21"/>
      <c r="H1472" s="149"/>
      <c r="I1472" s="25"/>
      <c r="J1472" s="26"/>
      <c r="K1472" s="21"/>
      <c r="L1472" s="27"/>
      <c r="M1472" s="28"/>
      <c r="N1472" s="29"/>
      <c r="O1472" s="29"/>
      <c r="P1472" s="34"/>
      <c r="Q1472" s="34"/>
      <c r="R1472" s="35"/>
      <c r="S1472" s="32" t="s">
        <v>29</v>
      </c>
      <c r="T1472" s="33"/>
      <c r="U1472" s="33"/>
    </row>
    <row r="1473" ht="15.75" customHeight="1">
      <c r="A1473" s="20"/>
      <c r="B1473" s="20"/>
      <c r="C1473" s="20"/>
      <c r="D1473" s="21"/>
      <c r="E1473" s="21"/>
      <c r="F1473" s="22"/>
      <c r="G1473" s="21"/>
      <c r="H1473" s="149"/>
      <c r="I1473" s="25"/>
      <c r="J1473" s="26"/>
      <c r="K1473" s="21"/>
      <c r="L1473" s="27"/>
      <c r="M1473" s="28"/>
      <c r="N1473" s="29"/>
      <c r="O1473" s="29"/>
      <c r="P1473" s="34"/>
      <c r="Q1473" s="34"/>
      <c r="R1473" s="35"/>
      <c r="S1473" s="32" t="s">
        <v>29</v>
      </c>
      <c r="T1473" s="33"/>
      <c r="U1473" s="33"/>
    </row>
    <row r="1474" ht="15.75" customHeight="1">
      <c r="A1474" s="20"/>
      <c r="B1474" s="20"/>
      <c r="C1474" s="20"/>
      <c r="D1474" s="21"/>
      <c r="E1474" s="21"/>
      <c r="F1474" s="22"/>
      <c r="G1474" s="21"/>
      <c r="H1474" s="149"/>
      <c r="I1474" s="25"/>
      <c r="J1474" s="26"/>
      <c r="K1474" s="21"/>
      <c r="L1474" s="27"/>
      <c r="M1474" s="28"/>
      <c r="N1474" s="29"/>
      <c r="O1474" s="29"/>
      <c r="P1474" s="34"/>
      <c r="Q1474" s="34"/>
      <c r="R1474" s="35"/>
      <c r="S1474" s="32" t="s">
        <v>29</v>
      </c>
      <c r="T1474" s="33"/>
      <c r="U1474" s="33"/>
    </row>
    <row r="1475" ht="15.75" customHeight="1">
      <c r="A1475" s="20"/>
      <c r="B1475" s="20"/>
      <c r="C1475" s="20"/>
      <c r="D1475" s="21"/>
      <c r="E1475" s="21"/>
      <c r="F1475" s="22"/>
      <c r="G1475" s="21"/>
      <c r="H1475" s="186"/>
      <c r="I1475" s="25"/>
      <c r="J1475" s="26"/>
      <c r="K1475" s="185"/>
      <c r="L1475" s="27"/>
      <c r="M1475" s="28"/>
      <c r="N1475" s="29"/>
      <c r="O1475" s="29"/>
      <c r="P1475" s="34"/>
      <c r="Q1475" s="34"/>
      <c r="R1475" s="35"/>
      <c r="S1475" s="32" t="s">
        <v>29</v>
      </c>
      <c r="T1475" s="33"/>
      <c r="U1475" s="33"/>
    </row>
    <row r="1476" ht="15.75" customHeight="1">
      <c r="A1476" s="20"/>
      <c r="B1476" s="20"/>
      <c r="C1476" s="20"/>
      <c r="D1476" s="21"/>
      <c r="E1476" s="21"/>
      <c r="F1476" s="22"/>
      <c r="G1476" s="21"/>
      <c r="H1476" s="149"/>
      <c r="I1476" s="25"/>
      <c r="J1476" s="26"/>
      <c r="K1476" s="21"/>
      <c r="L1476" s="27"/>
      <c r="M1476" s="28"/>
      <c r="N1476" s="29"/>
      <c r="O1476" s="29"/>
      <c r="P1476" s="34"/>
      <c r="Q1476" s="34"/>
      <c r="R1476" s="35"/>
      <c r="S1476" s="32" t="s">
        <v>29</v>
      </c>
      <c r="T1476" s="33"/>
      <c r="U1476" s="33"/>
    </row>
    <row r="1477" ht="15.75" customHeight="1">
      <c r="A1477" s="20"/>
      <c r="B1477" s="20"/>
      <c r="C1477" s="20"/>
      <c r="D1477" s="21"/>
      <c r="E1477" s="21"/>
      <c r="F1477" s="22"/>
      <c r="G1477" s="21"/>
      <c r="H1477" s="149"/>
      <c r="I1477" s="25"/>
      <c r="J1477" s="26"/>
      <c r="K1477" s="21"/>
      <c r="L1477" s="27"/>
      <c r="M1477" s="28"/>
      <c r="N1477" s="29"/>
      <c r="O1477" s="29"/>
      <c r="P1477" s="34"/>
      <c r="Q1477" s="34"/>
      <c r="R1477" s="35"/>
      <c r="S1477" s="32" t="s">
        <v>29</v>
      </c>
      <c r="T1477" s="33"/>
      <c r="U1477" s="33"/>
    </row>
    <row r="1478" ht="15.75" customHeight="1">
      <c r="A1478" s="20"/>
      <c r="B1478" s="20"/>
      <c r="C1478" s="20"/>
      <c r="D1478" s="21"/>
      <c r="E1478" s="21"/>
      <c r="F1478" s="22"/>
      <c r="G1478" s="21"/>
      <c r="H1478" s="149"/>
      <c r="I1478" s="25"/>
      <c r="J1478" s="26"/>
      <c r="K1478" s="21"/>
      <c r="L1478" s="27"/>
      <c r="M1478" s="28"/>
      <c r="N1478" s="29"/>
      <c r="O1478" s="29"/>
      <c r="P1478" s="34"/>
      <c r="Q1478" s="34"/>
      <c r="R1478" s="35"/>
      <c r="S1478" s="32" t="s">
        <v>29</v>
      </c>
      <c r="T1478" s="33"/>
      <c r="U1478" s="33"/>
    </row>
    <row r="1479" ht="15.75" customHeight="1">
      <c r="A1479" s="20"/>
      <c r="B1479" s="20"/>
      <c r="C1479" s="20"/>
      <c r="D1479" s="21"/>
      <c r="E1479" s="21"/>
      <c r="F1479" s="22"/>
      <c r="G1479" s="21"/>
      <c r="H1479" s="149"/>
      <c r="I1479" s="25"/>
      <c r="J1479" s="26"/>
      <c r="K1479" s="21"/>
      <c r="L1479" s="29"/>
      <c r="M1479" s="28"/>
      <c r="N1479" s="29"/>
      <c r="O1479" s="29"/>
      <c r="P1479" s="34"/>
      <c r="Q1479" s="34"/>
      <c r="R1479" s="35"/>
      <c r="S1479" s="32" t="s">
        <v>29</v>
      </c>
      <c r="T1479" s="33"/>
      <c r="U1479" s="33"/>
    </row>
    <row r="1480" ht="15.75" customHeight="1">
      <c r="A1480" s="20"/>
      <c r="B1480" s="20"/>
      <c r="C1480" s="20"/>
      <c r="D1480" s="21"/>
      <c r="E1480" s="21"/>
      <c r="F1480" s="22"/>
      <c r="G1480" s="21"/>
      <c r="H1480" s="149"/>
      <c r="I1480" s="25"/>
      <c r="J1480" s="26"/>
      <c r="K1480" s="21"/>
      <c r="L1480" s="27"/>
      <c r="M1480" s="28"/>
      <c r="N1480" s="29"/>
      <c r="O1480" s="29"/>
      <c r="P1480" s="34"/>
      <c r="Q1480" s="34"/>
      <c r="R1480" s="35"/>
      <c r="S1480" s="32" t="s">
        <v>29</v>
      </c>
      <c r="T1480" s="33"/>
      <c r="U1480" s="33"/>
    </row>
    <row r="1481" ht="15.75" customHeight="1">
      <c r="A1481" s="20"/>
      <c r="B1481" s="20"/>
      <c r="C1481" s="20"/>
      <c r="D1481" s="21"/>
      <c r="E1481" s="21"/>
      <c r="F1481" s="22"/>
      <c r="G1481" s="21"/>
      <c r="H1481" s="149"/>
      <c r="I1481" s="25"/>
      <c r="J1481" s="26"/>
      <c r="K1481" s="21"/>
      <c r="L1481" s="27"/>
      <c r="M1481" s="28"/>
      <c r="N1481" s="29"/>
      <c r="O1481" s="29"/>
      <c r="P1481" s="34"/>
      <c r="Q1481" s="34"/>
      <c r="R1481" s="35"/>
      <c r="S1481" s="32" t="s">
        <v>29</v>
      </c>
      <c r="T1481" s="33"/>
      <c r="U1481" s="33"/>
    </row>
    <row r="1482" ht="15.75" customHeight="1">
      <c r="A1482" s="20"/>
      <c r="B1482" s="20"/>
      <c r="C1482" s="20"/>
      <c r="D1482" s="21"/>
      <c r="E1482" s="21"/>
      <c r="F1482" s="22"/>
      <c r="G1482" s="21"/>
      <c r="H1482" s="149"/>
      <c r="I1482" s="25"/>
      <c r="J1482" s="26"/>
      <c r="K1482" s="21"/>
      <c r="L1482" s="27"/>
      <c r="M1482" s="28"/>
      <c r="N1482" s="29"/>
      <c r="O1482" s="29"/>
      <c r="P1482" s="34"/>
      <c r="Q1482" s="34"/>
      <c r="R1482" s="35"/>
      <c r="S1482" s="32" t="s">
        <v>29</v>
      </c>
      <c r="T1482" s="33"/>
      <c r="U1482" s="33"/>
    </row>
    <row r="1483" ht="15.75" customHeight="1">
      <c r="A1483" s="20"/>
      <c r="B1483" s="20"/>
      <c r="C1483" s="20"/>
      <c r="D1483" s="21"/>
      <c r="E1483" s="21"/>
      <c r="F1483" s="22"/>
      <c r="G1483" s="21"/>
      <c r="H1483" s="149"/>
      <c r="I1483" s="25"/>
      <c r="J1483" s="26"/>
      <c r="K1483" s="21"/>
      <c r="L1483" s="27"/>
      <c r="M1483" s="28"/>
      <c r="N1483" s="29"/>
      <c r="O1483" s="29"/>
      <c r="P1483" s="34"/>
      <c r="Q1483" s="34"/>
      <c r="R1483" s="79"/>
      <c r="S1483" s="32" t="s">
        <v>29</v>
      </c>
      <c r="T1483" s="33"/>
      <c r="U1483" s="33"/>
    </row>
    <row r="1484" ht="15.75" customHeight="1">
      <c r="A1484" s="20"/>
      <c r="B1484" s="20"/>
      <c r="C1484" s="20"/>
      <c r="D1484" s="21"/>
      <c r="E1484" s="21"/>
      <c r="F1484" s="22"/>
      <c r="G1484" s="21"/>
      <c r="H1484" s="149"/>
      <c r="I1484" s="25"/>
      <c r="J1484" s="26"/>
      <c r="K1484" s="21"/>
      <c r="L1484" s="27"/>
      <c r="M1484" s="28"/>
      <c r="N1484" s="29"/>
      <c r="O1484" s="29"/>
      <c r="P1484" s="34"/>
      <c r="Q1484" s="34"/>
      <c r="R1484" s="35"/>
      <c r="S1484" s="32" t="s">
        <v>29</v>
      </c>
      <c r="T1484" s="33"/>
      <c r="U1484" s="33"/>
    </row>
    <row r="1485" ht="15.75" customHeight="1">
      <c r="A1485" s="20"/>
      <c r="B1485" s="20"/>
      <c r="C1485" s="20"/>
      <c r="D1485" s="21"/>
      <c r="E1485" s="21"/>
      <c r="F1485" s="22"/>
      <c r="G1485" s="21"/>
      <c r="H1485" s="149"/>
      <c r="I1485" s="25"/>
      <c r="J1485" s="26"/>
      <c r="K1485" s="21"/>
      <c r="L1485" s="27"/>
      <c r="M1485" s="28"/>
      <c r="N1485" s="29"/>
      <c r="O1485" s="29"/>
      <c r="P1485" s="34"/>
      <c r="Q1485" s="34"/>
      <c r="R1485" s="35"/>
      <c r="S1485" s="32" t="s">
        <v>29</v>
      </c>
      <c r="T1485" s="33"/>
      <c r="U1485" s="33"/>
    </row>
    <row r="1486" ht="15.75" customHeight="1">
      <c r="A1486" s="20"/>
      <c r="B1486" s="20"/>
      <c r="C1486" s="20"/>
      <c r="D1486" s="21"/>
      <c r="E1486" s="21"/>
      <c r="F1486" s="22"/>
      <c r="G1486" s="21"/>
      <c r="H1486" s="149"/>
      <c r="I1486" s="25"/>
      <c r="J1486" s="26"/>
      <c r="K1486" s="185"/>
      <c r="L1486" s="27"/>
      <c r="M1486" s="28"/>
      <c r="N1486" s="29"/>
      <c r="O1486" s="29"/>
      <c r="P1486" s="34"/>
      <c r="Q1486" s="34"/>
      <c r="R1486" s="35"/>
      <c r="S1486" s="32" t="s">
        <v>29</v>
      </c>
      <c r="T1486" s="33"/>
      <c r="U1486" s="33"/>
    </row>
    <row r="1487" ht="15.75" customHeight="1">
      <c r="A1487" s="20"/>
      <c r="B1487" s="20"/>
      <c r="C1487" s="20"/>
      <c r="D1487" s="21"/>
      <c r="E1487" s="21"/>
      <c r="F1487" s="22"/>
      <c r="G1487" s="21"/>
      <c r="H1487" s="149"/>
      <c r="I1487" s="25"/>
      <c r="J1487" s="26"/>
      <c r="K1487" s="21"/>
      <c r="L1487" s="27"/>
      <c r="M1487" s="28"/>
      <c r="N1487" s="29"/>
      <c r="O1487" s="29"/>
      <c r="P1487" s="34"/>
      <c r="Q1487" s="34"/>
      <c r="R1487" s="35"/>
      <c r="S1487" s="32" t="s">
        <v>29</v>
      </c>
      <c r="T1487" s="33"/>
      <c r="U1487" s="33"/>
    </row>
    <row r="1488" ht="15.75" customHeight="1">
      <c r="A1488" s="20"/>
      <c r="B1488" s="20"/>
      <c r="C1488" s="20"/>
      <c r="D1488" s="21"/>
      <c r="E1488" s="21"/>
      <c r="F1488" s="22"/>
      <c r="G1488" s="21"/>
      <c r="H1488" s="149"/>
      <c r="I1488" s="25"/>
      <c r="J1488" s="26"/>
      <c r="K1488" s="21"/>
      <c r="L1488" s="27"/>
      <c r="M1488" s="28"/>
      <c r="N1488" s="29"/>
      <c r="O1488" s="29"/>
      <c r="P1488" s="34"/>
      <c r="Q1488" s="34"/>
      <c r="R1488" s="35"/>
      <c r="S1488" s="32" t="s">
        <v>29</v>
      </c>
      <c r="T1488" s="33"/>
      <c r="U1488" s="33"/>
    </row>
    <row r="1489" ht="15.75" customHeight="1">
      <c r="A1489" s="20"/>
      <c r="B1489" s="20"/>
      <c r="C1489" s="20"/>
      <c r="D1489" s="21"/>
      <c r="E1489" s="21"/>
      <c r="F1489" s="22"/>
      <c r="G1489" s="21"/>
      <c r="H1489" s="149"/>
      <c r="I1489" s="25"/>
      <c r="J1489" s="26"/>
      <c r="K1489" s="21"/>
      <c r="L1489" s="27"/>
      <c r="M1489" s="28"/>
      <c r="N1489" s="29"/>
      <c r="O1489" s="29"/>
      <c r="P1489" s="34"/>
      <c r="Q1489" s="34"/>
      <c r="R1489" s="35"/>
      <c r="S1489" s="32" t="s">
        <v>29</v>
      </c>
      <c r="T1489" s="33"/>
      <c r="U1489" s="33"/>
    </row>
    <row r="1490" ht="15.75" customHeight="1">
      <c r="A1490" s="20"/>
      <c r="B1490" s="20"/>
      <c r="C1490" s="20"/>
      <c r="D1490" s="21"/>
      <c r="E1490" s="21"/>
      <c r="F1490" s="22"/>
      <c r="G1490" s="21"/>
      <c r="H1490" s="149"/>
      <c r="I1490" s="25"/>
      <c r="J1490" s="26"/>
      <c r="K1490" s="21"/>
      <c r="L1490" s="27"/>
      <c r="M1490" s="28"/>
      <c r="N1490" s="29"/>
      <c r="O1490" s="29"/>
      <c r="P1490" s="34"/>
      <c r="Q1490" s="34"/>
      <c r="R1490" s="35"/>
      <c r="S1490" s="32" t="s">
        <v>29</v>
      </c>
      <c r="T1490" s="33"/>
      <c r="U1490" s="33"/>
    </row>
    <row r="1491" ht="15.75" customHeight="1">
      <c r="A1491" s="20"/>
      <c r="B1491" s="20"/>
      <c r="C1491" s="20"/>
      <c r="D1491" s="21"/>
      <c r="E1491" s="21"/>
      <c r="F1491" s="22"/>
      <c r="G1491" s="21"/>
      <c r="H1491" s="149"/>
      <c r="I1491" s="25"/>
      <c r="J1491" s="26"/>
      <c r="K1491" s="21"/>
      <c r="L1491" s="27"/>
      <c r="M1491" s="28"/>
      <c r="N1491" s="29"/>
      <c r="O1491" s="29"/>
      <c r="P1491" s="34"/>
      <c r="Q1491" s="34"/>
      <c r="R1491" s="35"/>
      <c r="S1491" s="32" t="s">
        <v>29</v>
      </c>
      <c r="T1491" s="33"/>
      <c r="U1491" s="33"/>
    </row>
    <row r="1492" ht="15.75" customHeight="1">
      <c r="A1492" s="20"/>
      <c r="B1492" s="20"/>
      <c r="C1492" s="20"/>
      <c r="D1492" s="21"/>
      <c r="E1492" s="21"/>
      <c r="F1492" s="22"/>
      <c r="G1492" s="21"/>
      <c r="H1492" s="149"/>
      <c r="I1492" s="25"/>
      <c r="J1492" s="26"/>
      <c r="K1492" s="21"/>
      <c r="L1492" s="27"/>
      <c r="M1492" s="28"/>
      <c r="N1492" s="29"/>
      <c r="O1492" s="29"/>
      <c r="P1492" s="34"/>
      <c r="Q1492" s="34"/>
      <c r="R1492" s="35"/>
      <c r="S1492" s="32" t="s">
        <v>29</v>
      </c>
      <c r="T1492" s="33"/>
      <c r="U1492" s="33"/>
    </row>
    <row r="1493" ht="15.75" customHeight="1">
      <c r="A1493" s="20"/>
      <c r="B1493" s="20"/>
      <c r="C1493" s="20"/>
      <c r="D1493" s="21"/>
      <c r="E1493" s="21"/>
      <c r="F1493" s="22"/>
      <c r="G1493" s="21"/>
      <c r="H1493" s="149"/>
      <c r="I1493" s="25"/>
      <c r="J1493" s="26"/>
      <c r="K1493" s="21"/>
      <c r="L1493" s="27"/>
      <c r="M1493" s="28"/>
      <c r="N1493" s="29"/>
      <c r="O1493" s="29"/>
      <c r="P1493" s="34"/>
      <c r="Q1493" s="34"/>
      <c r="R1493" s="35"/>
      <c r="S1493" s="32" t="s">
        <v>29</v>
      </c>
      <c r="T1493" s="33"/>
      <c r="U1493" s="33"/>
    </row>
    <row r="1494" ht="15.75" customHeight="1">
      <c r="A1494" s="20"/>
      <c r="B1494" s="20"/>
      <c r="C1494" s="20"/>
      <c r="D1494" s="21"/>
      <c r="E1494" s="21"/>
      <c r="F1494" s="67"/>
      <c r="G1494" s="23"/>
      <c r="H1494" s="149"/>
      <c r="I1494" s="25"/>
      <c r="J1494" s="26"/>
      <c r="K1494" s="21"/>
      <c r="L1494" s="29"/>
      <c r="M1494" s="28"/>
      <c r="N1494" s="29"/>
      <c r="O1494" s="29"/>
      <c r="P1494" s="34"/>
      <c r="Q1494" s="34"/>
      <c r="R1494" s="35"/>
      <c r="S1494" s="32" t="s">
        <v>29</v>
      </c>
      <c r="T1494" s="33"/>
      <c r="U1494" s="33"/>
    </row>
    <row r="1495" ht="15.75" customHeight="1">
      <c r="A1495" s="20"/>
      <c r="B1495" s="20"/>
      <c r="C1495" s="20"/>
      <c r="D1495" s="21"/>
      <c r="E1495" s="21"/>
      <c r="F1495" s="22"/>
      <c r="G1495" s="21"/>
      <c r="H1495" s="149"/>
      <c r="I1495" s="25"/>
      <c r="J1495" s="26"/>
      <c r="K1495" s="21"/>
      <c r="L1495" s="27"/>
      <c r="M1495" s="28"/>
      <c r="N1495" s="29"/>
      <c r="O1495" s="29"/>
      <c r="P1495" s="34"/>
      <c r="Q1495" s="34"/>
      <c r="R1495" s="35"/>
      <c r="S1495" s="32" t="s">
        <v>29</v>
      </c>
      <c r="T1495" s="33"/>
      <c r="U1495" s="33"/>
    </row>
    <row r="1496" ht="15.75" customHeight="1">
      <c r="A1496" s="20"/>
      <c r="B1496" s="20"/>
      <c r="C1496" s="20"/>
      <c r="D1496" s="21"/>
      <c r="E1496" s="21"/>
      <c r="F1496" s="22"/>
      <c r="G1496" s="21"/>
      <c r="H1496" s="149"/>
      <c r="I1496" s="25"/>
      <c r="J1496" s="26"/>
      <c r="K1496" s="21"/>
      <c r="L1496" s="27"/>
      <c r="M1496" s="28"/>
      <c r="N1496" s="29"/>
      <c r="O1496" s="29"/>
      <c r="P1496" s="34"/>
      <c r="Q1496" s="34"/>
      <c r="R1496" s="35"/>
      <c r="S1496" s="32" t="s">
        <v>29</v>
      </c>
      <c r="T1496" s="33"/>
      <c r="U1496" s="33"/>
    </row>
    <row r="1497" ht="15.75" customHeight="1">
      <c r="A1497" s="20"/>
      <c r="B1497" s="20"/>
      <c r="C1497" s="20"/>
      <c r="D1497" s="21"/>
      <c r="E1497" s="21"/>
      <c r="F1497" s="22"/>
      <c r="G1497" s="21"/>
      <c r="H1497" s="149"/>
      <c r="I1497" s="25"/>
      <c r="J1497" s="26"/>
      <c r="K1497" s="21"/>
      <c r="L1497" s="27"/>
      <c r="M1497" s="28"/>
      <c r="N1497" s="29"/>
      <c r="O1497" s="29"/>
      <c r="P1497" s="34"/>
      <c r="Q1497" s="34"/>
      <c r="R1497" s="35"/>
      <c r="S1497" s="32" t="s">
        <v>29</v>
      </c>
      <c r="T1497" s="33"/>
      <c r="U1497" s="33"/>
    </row>
    <row r="1498" ht="15.75" customHeight="1">
      <c r="A1498" s="20"/>
      <c r="B1498" s="20"/>
      <c r="C1498" s="20"/>
      <c r="D1498" s="21"/>
      <c r="E1498" s="21"/>
      <c r="F1498" s="22"/>
      <c r="G1498" s="21"/>
      <c r="H1498" s="149"/>
      <c r="I1498" s="25"/>
      <c r="J1498" s="26"/>
      <c r="K1498" s="21"/>
      <c r="L1498" s="27"/>
      <c r="M1498" s="28"/>
      <c r="N1498" s="29"/>
      <c r="O1498" s="29"/>
      <c r="P1498" s="34"/>
      <c r="Q1498" s="34"/>
      <c r="R1498" s="35"/>
      <c r="S1498" s="32" t="s">
        <v>29</v>
      </c>
      <c r="T1498" s="33"/>
      <c r="U1498" s="33"/>
    </row>
    <row r="1499" ht="15.75" customHeight="1">
      <c r="A1499" s="20"/>
      <c r="B1499" s="20"/>
      <c r="C1499" s="20"/>
      <c r="D1499" s="21"/>
      <c r="E1499" s="21"/>
      <c r="F1499" s="22"/>
      <c r="G1499" s="21"/>
      <c r="H1499" s="149"/>
      <c r="I1499" s="25"/>
      <c r="J1499" s="26"/>
      <c r="K1499" s="21"/>
      <c r="L1499" s="27"/>
      <c r="M1499" s="28"/>
      <c r="N1499" s="29"/>
      <c r="O1499" s="29"/>
      <c r="P1499" s="34"/>
      <c r="Q1499" s="34"/>
      <c r="R1499" s="35"/>
      <c r="S1499" s="32" t="s">
        <v>29</v>
      </c>
      <c r="T1499" s="33"/>
      <c r="U1499" s="33"/>
    </row>
    <row r="1500" ht="15.75" customHeight="1">
      <c r="A1500" s="20"/>
      <c r="B1500" s="20"/>
      <c r="C1500" s="20"/>
      <c r="D1500" s="21"/>
      <c r="E1500" s="21"/>
      <c r="F1500" s="22"/>
      <c r="G1500" s="21"/>
      <c r="H1500" s="191"/>
      <c r="I1500" s="25"/>
      <c r="J1500" s="26"/>
      <c r="K1500" s="192"/>
      <c r="L1500" s="27"/>
      <c r="M1500" s="28"/>
      <c r="N1500" s="29"/>
      <c r="O1500" s="29"/>
      <c r="P1500" s="34"/>
      <c r="Q1500" s="34"/>
      <c r="R1500" s="35"/>
      <c r="S1500" s="32" t="s">
        <v>29</v>
      </c>
      <c r="T1500" s="33"/>
      <c r="U1500" s="33"/>
    </row>
    <row r="1501" ht="15.75" customHeight="1">
      <c r="A1501" s="20"/>
      <c r="B1501" s="20"/>
      <c r="C1501" s="20"/>
      <c r="D1501" s="21"/>
      <c r="E1501" s="21"/>
      <c r="F1501" s="22"/>
      <c r="G1501" s="21"/>
      <c r="H1501" s="149"/>
      <c r="I1501" s="25"/>
      <c r="J1501" s="26"/>
      <c r="K1501" s="21"/>
      <c r="L1501" s="27"/>
      <c r="M1501" s="28"/>
      <c r="N1501" s="29"/>
      <c r="O1501" s="29"/>
      <c r="P1501" s="34"/>
      <c r="Q1501" s="34"/>
      <c r="R1501" s="35"/>
      <c r="S1501" s="32" t="s">
        <v>29</v>
      </c>
      <c r="T1501" s="33"/>
      <c r="U1501" s="33"/>
    </row>
    <row r="1502" ht="15.75" customHeight="1">
      <c r="A1502" s="20"/>
      <c r="B1502" s="20"/>
      <c r="C1502" s="20"/>
      <c r="D1502" s="21"/>
      <c r="E1502" s="21"/>
      <c r="F1502" s="22"/>
      <c r="G1502" s="37"/>
      <c r="H1502" s="149"/>
      <c r="I1502" s="25"/>
      <c r="J1502" s="26"/>
      <c r="K1502" s="21"/>
      <c r="L1502" s="27"/>
      <c r="M1502" s="28"/>
      <c r="N1502" s="29"/>
      <c r="O1502" s="29"/>
      <c r="P1502" s="34"/>
      <c r="Q1502" s="34"/>
      <c r="R1502" s="35"/>
      <c r="S1502" s="32" t="s">
        <v>29</v>
      </c>
      <c r="T1502" s="33"/>
      <c r="U1502" s="33"/>
    </row>
    <row r="1503" ht="15.75" customHeight="1">
      <c r="A1503" s="20"/>
      <c r="B1503" s="20"/>
      <c r="C1503" s="20"/>
      <c r="D1503" s="21"/>
      <c r="E1503" s="21"/>
      <c r="F1503" s="22"/>
      <c r="G1503" s="21"/>
      <c r="H1503" s="149"/>
      <c r="I1503" s="25"/>
      <c r="J1503" s="26"/>
      <c r="K1503" s="185"/>
      <c r="L1503" s="27"/>
      <c r="M1503" s="28"/>
      <c r="N1503" s="29"/>
      <c r="O1503" s="29"/>
      <c r="P1503" s="34"/>
      <c r="Q1503" s="34"/>
      <c r="R1503" s="35"/>
      <c r="S1503" s="32" t="s">
        <v>29</v>
      </c>
      <c r="T1503" s="33"/>
      <c r="U1503" s="33"/>
    </row>
    <row r="1504" ht="15.75" customHeight="1">
      <c r="A1504" s="20"/>
      <c r="B1504" s="20"/>
      <c r="C1504" s="20"/>
      <c r="D1504" s="21"/>
      <c r="E1504" s="21"/>
      <c r="F1504" s="22"/>
      <c r="G1504" s="21"/>
      <c r="H1504" s="149"/>
      <c r="I1504" s="25"/>
      <c r="J1504" s="26"/>
      <c r="K1504" s="21"/>
      <c r="L1504" s="27"/>
      <c r="M1504" s="28"/>
      <c r="N1504" s="29"/>
      <c r="O1504" s="29"/>
      <c r="P1504" s="34"/>
      <c r="Q1504" s="34"/>
      <c r="R1504" s="35"/>
      <c r="S1504" s="32" t="s">
        <v>29</v>
      </c>
      <c r="T1504" s="33"/>
      <c r="U1504" s="33"/>
    </row>
    <row r="1505" ht="15.75" customHeight="1">
      <c r="A1505" s="20"/>
      <c r="B1505" s="20"/>
      <c r="C1505" s="20"/>
      <c r="D1505" s="21"/>
      <c r="E1505" s="21"/>
      <c r="F1505" s="22"/>
      <c r="G1505" s="21"/>
      <c r="H1505" s="149"/>
      <c r="I1505" s="25"/>
      <c r="J1505" s="26"/>
      <c r="K1505" s="21"/>
      <c r="L1505" s="27"/>
      <c r="M1505" s="28"/>
      <c r="N1505" s="29"/>
      <c r="O1505" s="29"/>
      <c r="P1505" s="34"/>
      <c r="Q1505" s="34"/>
      <c r="R1505" s="35"/>
      <c r="S1505" s="32" t="s">
        <v>29</v>
      </c>
      <c r="T1505" s="33"/>
      <c r="U1505" s="33"/>
    </row>
    <row r="1506" ht="15.75" customHeight="1">
      <c r="A1506" s="20"/>
      <c r="B1506" s="20"/>
      <c r="C1506" s="20"/>
      <c r="D1506" s="21"/>
      <c r="E1506" s="21"/>
      <c r="F1506" s="22"/>
      <c r="G1506" s="21"/>
      <c r="H1506" s="149"/>
      <c r="I1506" s="25"/>
      <c r="J1506" s="26"/>
      <c r="K1506" s="21"/>
      <c r="L1506" s="27"/>
      <c r="M1506" s="28"/>
      <c r="N1506" s="29"/>
      <c r="O1506" s="29"/>
      <c r="P1506" s="34"/>
      <c r="Q1506" s="34"/>
      <c r="R1506" s="35"/>
      <c r="S1506" s="32" t="s">
        <v>29</v>
      </c>
      <c r="T1506" s="33"/>
      <c r="U1506" s="33"/>
    </row>
    <row r="1507" ht="15.75" customHeight="1">
      <c r="A1507" s="20"/>
      <c r="B1507" s="20"/>
      <c r="C1507" s="20"/>
      <c r="D1507" s="21"/>
      <c r="E1507" s="21"/>
      <c r="F1507" s="22"/>
      <c r="G1507" s="21"/>
      <c r="H1507" s="149"/>
      <c r="I1507" s="25"/>
      <c r="J1507" s="26"/>
      <c r="K1507" s="21"/>
      <c r="L1507" s="27"/>
      <c r="M1507" s="28"/>
      <c r="N1507" s="29"/>
      <c r="O1507" s="29"/>
      <c r="P1507" s="34"/>
      <c r="Q1507" s="34"/>
      <c r="R1507" s="35"/>
      <c r="S1507" s="32" t="s">
        <v>29</v>
      </c>
      <c r="T1507" s="33"/>
      <c r="U1507" s="33"/>
    </row>
    <row r="1508" ht="15.75" customHeight="1">
      <c r="A1508" s="20"/>
      <c r="B1508" s="20"/>
      <c r="C1508" s="20"/>
      <c r="D1508" s="21"/>
      <c r="E1508" s="21"/>
      <c r="F1508" s="22"/>
      <c r="G1508" s="23"/>
      <c r="H1508" s="149"/>
      <c r="I1508" s="25"/>
      <c r="J1508" s="26"/>
      <c r="K1508" s="21"/>
      <c r="L1508" s="27"/>
      <c r="M1508" s="28"/>
      <c r="N1508" s="29"/>
      <c r="O1508" s="29"/>
      <c r="P1508" s="34"/>
      <c r="Q1508" s="34"/>
      <c r="R1508" s="35"/>
      <c r="S1508" s="32" t="s">
        <v>29</v>
      </c>
      <c r="T1508" s="33"/>
      <c r="U1508" s="33"/>
    </row>
    <row r="1509" ht="15.75" customHeight="1">
      <c r="A1509" s="20"/>
      <c r="B1509" s="20"/>
      <c r="C1509" s="20"/>
      <c r="D1509" s="21"/>
      <c r="E1509" s="21"/>
      <c r="F1509" s="22"/>
      <c r="G1509" s="21"/>
      <c r="H1509" s="149"/>
      <c r="I1509" s="25"/>
      <c r="J1509" s="26"/>
      <c r="K1509" s="185"/>
      <c r="L1509" s="27"/>
      <c r="M1509" s="28"/>
      <c r="N1509" s="29"/>
      <c r="O1509" s="29"/>
      <c r="P1509" s="34"/>
      <c r="Q1509" s="34"/>
      <c r="R1509" s="35"/>
      <c r="S1509" s="32" t="s">
        <v>29</v>
      </c>
      <c r="T1509" s="33"/>
      <c r="U1509" s="33"/>
    </row>
    <row r="1510" ht="15.75" customHeight="1">
      <c r="A1510" s="20"/>
      <c r="B1510" s="20"/>
      <c r="C1510" s="20"/>
      <c r="D1510" s="21"/>
      <c r="E1510" s="21"/>
      <c r="F1510" s="22"/>
      <c r="G1510" s="21"/>
      <c r="H1510" s="149"/>
      <c r="I1510" s="25"/>
      <c r="J1510" s="26"/>
      <c r="K1510" s="21"/>
      <c r="L1510" s="27"/>
      <c r="M1510" s="28"/>
      <c r="N1510" s="29"/>
      <c r="O1510" s="29"/>
      <c r="P1510" s="34"/>
      <c r="Q1510" s="34"/>
      <c r="R1510" s="35"/>
      <c r="S1510" s="32" t="s">
        <v>29</v>
      </c>
      <c r="T1510" s="33"/>
      <c r="U1510" s="33"/>
    </row>
    <row r="1511" ht="15.75" customHeight="1">
      <c r="A1511" s="20"/>
      <c r="B1511" s="20"/>
      <c r="C1511" s="20"/>
      <c r="D1511" s="21"/>
      <c r="E1511" s="21"/>
      <c r="F1511" s="22"/>
      <c r="G1511" s="21"/>
      <c r="H1511" s="149"/>
      <c r="I1511" s="25"/>
      <c r="J1511" s="26"/>
      <c r="K1511" s="21"/>
      <c r="L1511" s="27"/>
      <c r="M1511" s="28"/>
      <c r="N1511" s="29"/>
      <c r="O1511" s="29"/>
      <c r="P1511" s="34"/>
      <c r="Q1511" s="34"/>
      <c r="R1511" s="35"/>
      <c r="S1511" s="32" t="s">
        <v>29</v>
      </c>
      <c r="T1511" s="33"/>
      <c r="U1511" s="33"/>
    </row>
    <row r="1512" ht="15.75" customHeight="1">
      <c r="A1512" s="20"/>
      <c r="B1512" s="20"/>
      <c r="C1512" s="20"/>
      <c r="D1512" s="21"/>
      <c r="E1512" s="21"/>
      <c r="F1512" s="22"/>
      <c r="G1512" s="21"/>
      <c r="H1512" s="149"/>
      <c r="I1512" s="25"/>
      <c r="J1512" s="26"/>
      <c r="K1512" s="21"/>
      <c r="L1512" s="27"/>
      <c r="M1512" s="28"/>
      <c r="N1512" s="29"/>
      <c r="O1512" s="29"/>
      <c r="P1512" s="34"/>
      <c r="Q1512" s="34"/>
      <c r="R1512" s="35"/>
      <c r="S1512" s="32" t="s">
        <v>29</v>
      </c>
      <c r="T1512" s="33"/>
      <c r="U1512" s="33"/>
    </row>
    <row r="1513" ht="15.75" customHeight="1">
      <c r="A1513" s="20"/>
      <c r="B1513" s="20"/>
      <c r="C1513" s="20"/>
      <c r="D1513" s="21"/>
      <c r="E1513" s="21"/>
      <c r="F1513" s="22"/>
      <c r="G1513" s="21"/>
      <c r="H1513" s="149"/>
      <c r="I1513" s="25"/>
      <c r="J1513" s="26"/>
      <c r="K1513" s="21"/>
      <c r="L1513" s="27"/>
      <c r="M1513" s="28"/>
      <c r="N1513" s="29"/>
      <c r="O1513" s="29"/>
      <c r="P1513" s="34"/>
      <c r="Q1513" s="34"/>
      <c r="R1513" s="35"/>
      <c r="S1513" s="32" t="s">
        <v>29</v>
      </c>
      <c r="T1513" s="33"/>
      <c r="U1513" s="33"/>
    </row>
    <row r="1514" ht="15.75" customHeight="1">
      <c r="A1514" s="20"/>
      <c r="B1514" s="20"/>
      <c r="C1514" s="20"/>
      <c r="D1514" s="21"/>
      <c r="E1514" s="21"/>
      <c r="F1514" s="22"/>
      <c r="G1514" s="23"/>
      <c r="H1514" s="149"/>
      <c r="I1514" s="25"/>
      <c r="J1514" s="26"/>
      <c r="K1514" s="21"/>
      <c r="L1514" s="27"/>
      <c r="M1514" s="28"/>
      <c r="N1514" s="29"/>
      <c r="O1514" s="29"/>
      <c r="P1514" s="34"/>
      <c r="Q1514" s="34"/>
      <c r="R1514" s="35"/>
      <c r="S1514" s="32" t="s">
        <v>29</v>
      </c>
      <c r="T1514" s="33"/>
      <c r="U1514" s="33"/>
    </row>
    <row r="1515" ht="15.75" customHeight="1">
      <c r="A1515" s="20"/>
      <c r="B1515" s="20"/>
      <c r="C1515" s="20"/>
      <c r="D1515" s="21"/>
      <c r="E1515" s="21"/>
      <c r="F1515" s="22"/>
      <c r="G1515" s="21"/>
      <c r="H1515" s="149"/>
      <c r="I1515" s="25"/>
      <c r="J1515" s="26"/>
      <c r="K1515" s="185"/>
      <c r="L1515" s="27"/>
      <c r="M1515" s="28"/>
      <c r="N1515" s="29"/>
      <c r="O1515" s="29"/>
      <c r="P1515" s="34"/>
      <c r="Q1515" s="34"/>
      <c r="R1515" s="35"/>
      <c r="S1515" s="32" t="s">
        <v>29</v>
      </c>
      <c r="T1515" s="33"/>
      <c r="U1515" s="33"/>
    </row>
    <row r="1516" ht="15.75" customHeight="1">
      <c r="A1516" s="20"/>
      <c r="B1516" s="20"/>
      <c r="C1516" s="20"/>
      <c r="D1516" s="21"/>
      <c r="E1516" s="21"/>
      <c r="F1516" s="22"/>
      <c r="G1516" s="21"/>
      <c r="H1516" s="149"/>
      <c r="I1516" s="25"/>
      <c r="J1516" s="26"/>
      <c r="K1516" s="21"/>
      <c r="L1516" s="27"/>
      <c r="M1516" s="28"/>
      <c r="N1516" s="29"/>
      <c r="O1516" s="29"/>
      <c r="P1516" s="34"/>
      <c r="Q1516" s="34"/>
      <c r="R1516" s="35"/>
      <c r="S1516" s="32" t="s">
        <v>29</v>
      </c>
      <c r="T1516" s="33"/>
      <c r="U1516" s="33"/>
    </row>
    <row r="1517" ht="15.75" customHeight="1">
      <c r="A1517" s="20"/>
      <c r="B1517" s="20"/>
      <c r="C1517" s="20"/>
      <c r="D1517" s="21"/>
      <c r="E1517" s="21"/>
      <c r="F1517" s="22"/>
      <c r="G1517" s="21"/>
      <c r="H1517" s="149"/>
      <c r="I1517" s="25"/>
      <c r="J1517" s="26"/>
      <c r="K1517" s="21"/>
      <c r="L1517" s="27"/>
      <c r="M1517" s="28"/>
      <c r="N1517" s="29"/>
      <c r="O1517" s="29"/>
      <c r="P1517" s="34"/>
      <c r="Q1517" s="34"/>
      <c r="R1517" s="35"/>
      <c r="S1517" s="32" t="s">
        <v>29</v>
      </c>
      <c r="T1517" s="33"/>
      <c r="U1517" s="33"/>
    </row>
    <row r="1518" ht="15.75" customHeight="1">
      <c r="A1518" s="20"/>
      <c r="B1518" s="20"/>
      <c r="C1518" s="20"/>
      <c r="D1518" s="21"/>
      <c r="E1518" s="21"/>
      <c r="F1518" s="22"/>
      <c r="G1518" s="21"/>
      <c r="H1518" s="149"/>
      <c r="I1518" s="25"/>
      <c r="J1518" s="26"/>
      <c r="K1518" s="21"/>
      <c r="L1518" s="27"/>
      <c r="M1518" s="28"/>
      <c r="N1518" s="29"/>
      <c r="O1518" s="29"/>
      <c r="P1518" s="34"/>
      <c r="Q1518" s="34"/>
      <c r="R1518" s="35"/>
      <c r="S1518" s="32" t="s">
        <v>29</v>
      </c>
      <c r="T1518" s="33"/>
      <c r="U1518" s="33"/>
    </row>
    <row r="1519" ht="15.75" customHeight="1">
      <c r="A1519" s="20"/>
      <c r="B1519" s="20"/>
      <c r="C1519" s="20"/>
      <c r="D1519" s="21"/>
      <c r="E1519" s="21"/>
      <c r="F1519" s="22"/>
      <c r="G1519" s="21"/>
      <c r="H1519" s="149"/>
      <c r="I1519" s="25"/>
      <c r="J1519" s="26"/>
      <c r="K1519" s="21"/>
      <c r="L1519" s="27"/>
      <c r="M1519" s="28"/>
      <c r="N1519" s="29"/>
      <c r="O1519" s="29"/>
      <c r="P1519" s="34"/>
      <c r="Q1519" s="34"/>
      <c r="R1519" s="35"/>
      <c r="S1519" s="32" t="s">
        <v>29</v>
      </c>
      <c r="T1519" s="33"/>
      <c r="U1519" s="33"/>
    </row>
    <row r="1520" ht="15.75" customHeight="1">
      <c r="A1520" s="20"/>
      <c r="B1520" s="20"/>
      <c r="C1520" s="20"/>
      <c r="D1520" s="21"/>
      <c r="E1520" s="21"/>
      <c r="F1520" s="22"/>
      <c r="G1520" s="23"/>
      <c r="H1520" s="149"/>
      <c r="I1520" s="25"/>
      <c r="J1520" s="26"/>
      <c r="K1520" s="21"/>
      <c r="L1520" s="27"/>
      <c r="M1520" s="28"/>
      <c r="N1520" s="29"/>
      <c r="O1520" s="29"/>
      <c r="P1520" s="34"/>
      <c r="Q1520" s="34"/>
      <c r="R1520" s="35"/>
      <c r="S1520" s="32" t="s">
        <v>29</v>
      </c>
      <c r="T1520" s="33"/>
      <c r="U1520" s="33"/>
    </row>
    <row r="1521" ht="15.75" customHeight="1">
      <c r="A1521" s="20"/>
      <c r="B1521" s="20"/>
      <c r="C1521" s="20"/>
      <c r="D1521" s="21"/>
      <c r="E1521" s="21"/>
      <c r="F1521" s="22"/>
      <c r="G1521" s="21"/>
      <c r="H1521" s="149"/>
      <c r="I1521" s="25"/>
      <c r="J1521" s="26"/>
      <c r="K1521" s="21"/>
      <c r="L1521" s="27"/>
      <c r="M1521" s="28"/>
      <c r="N1521" s="29"/>
      <c r="O1521" s="29"/>
      <c r="P1521" s="34"/>
      <c r="Q1521" s="34"/>
      <c r="R1521" s="35"/>
      <c r="S1521" s="32" t="s">
        <v>29</v>
      </c>
      <c r="T1521" s="33"/>
      <c r="U1521" s="33"/>
    </row>
    <row r="1522" ht="15.75" customHeight="1">
      <c r="A1522" s="20"/>
      <c r="B1522" s="20"/>
      <c r="C1522" s="20"/>
      <c r="D1522" s="21"/>
      <c r="E1522" s="21"/>
      <c r="F1522" s="22"/>
      <c r="G1522" s="21"/>
      <c r="H1522" s="149"/>
      <c r="I1522" s="25"/>
      <c r="J1522" s="26"/>
      <c r="K1522" s="21"/>
      <c r="L1522" s="27"/>
      <c r="M1522" s="28"/>
      <c r="N1522" s="29"/>
      <c r="O1522" s="29"/>
      <c r="P1522" s="34"/>
      <c r="Q1522" s="34"/>
      <c r="R1522" s="35"/>
      <c r="S1522" s="32" t="s">
        <v>29</v>
      </c>
      <c r="T1522" s="33"/>
      <c r="U1522" s="33"/>
    </row>
    <row r="1523" ht="15.75" customHeight="1">
      <c r="A1523" s="20"/>
      <c r="B1523" s="20"/>
      <c r="C1523" s="20"/>
      <c r="D1523" s="21"/>
      <c r="E1523" s="21"/>
      <c r="F1523" s="22"/>
      <c r="G1523" s="21"/>
      <c r="H1523" s="149"/>
      <c r="I1523" s="25"/>
      <c r="J1523" s="26"/>
      <c r="K1523" s="21"/>
      <c r="L1523" s="27"/>
      <c r="M1523" s="28"/>
      <c r="N1523" s="29"/>
      <c r="O1523" s="29"/>
      <c r="P1523" s="34"/>
      <c r="Q1523" s="34"/>
      <c r="R1523" s="35"/>
      <c r="S1523" s="32" t="s">
        <v>29</v>
      </c>
      <c r="T1523" s="33"/>
      <c r="U1523" s="33"/>
    </row>
    <row r="1524" ht="15.75" customHeight="1">
      <c r="A1524" s="20"/>
      <c r="B1524" s="20"/>
      <c r="C1524" s="20"/>
      <c r="D1524" s="21"/>
      <c r="E1524" s="21"/>
      <c r="F1524" s="22"/>
      <c r="G1524" s="21"/>
      <c r="H1524" s="149"/>
      <c r="I1524" s="25"/>
      <c r="J1524" s="26"/>
      <c r="K1524" s="21"/>
      <c r="L1524" s="27"/>
      <c r="M1524" s="28"/>
      <c r="N1524" s="29"/>
      <c r="O1524" s="29"/>
      <c r="P1524" s="34"/>
      <c r="Q1524" s="34"/>
      <c r="R1524" s="35"/>
      <c r="S1524" s="32" t="s">
        <v>29</v>
      </c>
      <c r="T1524" s="33"/>
      <c r="U1524" s="33"/>
    </row>
    <row r="1525" ht="15.75" customHeight="1">
      <c r="A1525" s="20"/>
      <c r="B1525" s="20"/>
      <c r="C1525" s="20"/>
      <c r="D1525" s="21"/>
      <c r="E1525" s="21"/>
      <c r="F1525" s="67"/>
      <c r="G1525" s="23"/>
      <c r="H1525" s="149"/>
      <c r="I1525" s="25"/>
      <c r="J1525" s="26"/>
      <c r="K1525" s="21"/>
      <c r="L1525" s="27"/>
      <c r="M1525" s="28"/>
      <c r="N1525" s="29"/>
      <c r="O1525" s="29"/>
      <c r="P1525" s="34"/>
      <c r="Q1525" s="34"/>
      <c r="R1525" s="35"/>
      <c r="S1525" s="32" t="s">
        <v>29</v>
      </c>
      <c r="T1525" s="33"/>
      <c r="U1525" s="33"/>
    </row>
    <row r="1526" ht="15.75" customHeight="1">
      <c r="A1526" s="20"/>
      <c r="B1526" s="20"/>
      <c r="C1526" s="20"/>
      <c r="D1526" s="21"/>
      <c r="E1526" s="21"/>
      <c r="F1526" s="22"/>
      <c r="G1526" s="21"/>
      <c r="H1526" s="149"/>
      <c r="I1526" s="25"/>
      <c r="J1526" s="26"/>
      <c r="K1526" s="185"/>
      <c r="L1526" s="27"/>
      <c r="M1526" s="28"/>
      <c r="N1526" s="29"/>
      <c r="O1526" s="29"/>
      <c r="P1526" s="34"/>
      <c r="Q1526" s="34"/>
      <c r="R1526" s="35"/>
      <c r="S1526" s="32" t="s">
        <v>29</v>
      </c>
      <c r="T1526" s="33"/>
      <c r="U1526" s="33"/>
    </row>
    <row r="1527" ht="15.75" customHeight="1">
      <c r="A1527" s="20"/>
      <c r="B1527" s="20"/>
      <c r="C1527" s="20"/>
      <c r="D1527" s="21"/>
      <c r="E1527" s="21"/>
      <c r="F1527" s="22"/>
      <c r="G1527" s="21"/>
      <c r="H1527" s="149"/>
      <c r="I1527" s="25"/>
      <c r="J1527" s="26"/>
      <c r="K1527" s="21"/>
      <c r="L1527" s="27"/>
      <c r="M1527" s="28"/>
      <c r="N1527" s="29"/>
      <c r="O1527" s="29"/>
      <c r="P1527" s="34"/>
      <c r="Q1527" s="34"/>
      <c r="R1527" s="35"/>
      <c r="S1527" s="32" t="s">
        <v>29</v>
      </c>
      <c r="T1527" s="33"/>
      <c r="U1527" s="33"/>
    </row>
    <row r="1528" ht="15.75" customHeight="1">
      <c r="A1528" s="20"/>
      <c r="B1528" s="20"/>
      <c r="C1528" s="20"/>
      <c r="D1528" s="21"/>
      <c r="E1528" s="21"/>
      <c r="F1528" s="22"/>
      <c r="G1528" s="21"/>
      <c r="H1528" s="149"/>
      <c r="I1528" s="25"/>
      <c r="J1528" s="26"/>
      <c r="K1528" s="21"/>
      <c r="L1528" s="27"/>
      <c r="M1528" s="28"/>
      <c r="N1528" s="29"/>
      <c r="O1528" s="29"/>
      <c r="P1528" s="34"/>
      <c r="Q1528" s="34"/>
      <c r="R1528" s="35"/>
      <c r="S1528" s="32" t="s">
        <v>29</v>
      </c>
      <c r="T1528" s="33"/>
      <c r="U1528" s="33"/>
    </row>
    <row r="1529" ht="15.75" customHeight="1">
      <c r="A1529" s="20"/>
      <c r="B1529" s="20"/>
      <c r="C1529" s="20"/>
      <c r="D1529" s="21"/>
      <c r="E1529" s="21"/>
      <c r="F1529" s="67"/>
      <c r="G1529" s="23"/>
      <c r="H1529" s="149"/>
      <c r="I1529" s="25"/>
      <c r="J1529" s="26"/>
      <c r="K1529" s="21"/>
      <c r="L1529" s="29"/>
      <c r="M1529" s="28"/>
      <c r="N1529" s="29"/>
      <c r="O1529" s="29"/>
      <c r="P1529" s="34"/>
      <c r="Q1529" s="34"/>
      <c r="R1529" s="35"/>
      <c r="S1529" s="32" t="s">
        <v>29</v>
      </c>
      <c r="T1529" s="33"/>
      <c r="U1529" s="33"/>
    </row>
    <row r="1530" ht="15.75" customHeight="1">
      <c r="A1530" s="20"/>
      <c r="B1530" s="20"/>
      <c r="C1530" s="20"/>
      <c r="D1530" s="21"/>
      <c r="E1530" s="21"/>
      <c r="F1530" s="67"/>
      <c r="G1530" s="23"/>
      <c r="H1530" s="149"/>
      <c r="I1530" s="25"/>
      <c r="J1530" s="26"/>
      <c r="K1530" s="21"/>
      <c r="L1530" s="29"/>
      <c r="M1530" s="28"/>
      <c r="N1530" s="29"/>
      <c r="O1530" s="29"/>
      <c r="P1530" s="34"/>
      <c r="Q1530" s="34"/>
      <c r="R1530" s="35"/>
      <c r="S1530" s="32" t="s">
        <v>29</v>
      </c>
      <c r="T1530" s="33"/>
      <c r="U1530" s="33"/>
    </row>
    <row r="1531" ht="15.75" customHeight="1">
      <c r="A1531" s="20"/>
      <c r="B1531" s="20"/>
      <c r="C1531" s="20"/>
      <c r="D1531" s="21"/>
      <c r="E1531" s="21"/>
      <c r="F1531" s="67"/>
      <c r="G1531" s="23"/>
      <c r="H1531" s="149"/>
      <c r="I1531" s="25"/>
      <c r="J1531" s="26"/>
      <c r="K1531" s="21"/>
      <c r="L1531" s="29"/>
      <c r="M1531" s="28"/>
      <c r="N1531" s="29"/>
      <c r="O1531" s="29"/>
      <c r="P1531" s="34"/>
      <c r="Q1531" s="34"/>
      <c r="R1531" s="35"/>
      <c r="S1531" s="32" t="s">
        <v>29</v>
      </c>
      <c r="T1531" s="33"/>
      <c r="U1531" s="33"/>
    </row>
    <row r="1532" ht="15.75" customHeight="1">
      <c r="A1532" s="20"/>
      <c r="B1532" s="20"/>
      <c r="C1532" s="20"/>
      <c r="D1532" s="21"/>
      <c r="E1532" s="21"/>
      <c r="F1532" s="67"/>
      <c r="G1532" s="23"/>
      <c r="H1532" s="149"/>
      <c r="I1532" s="25"/>
      <c r="J1532" s="26"/>
      <c r="K1532" s="21"/>
      <c r="L1532" s="29"/>
      <c r="M1532" s="28"/>
      <c r="N1532" s="29"/>
      <c r="O1532" s="29"/>
      <c r="P1532" s="34"/>
      <c r="Q1532" s="34"/>
      <c r="R1532" s="35"/>
      <c r="S1532" s="32" t="s">
        <v>29</v>
      </c>
      <c r="T1532" s="33"/>
      <c r="U1532" s="33"/>
    </row>
    <row r="1533" ht="15.75" customHeight="1">
      <c r="A1533" s="20"/>
      <c r="B1533" s="20"/>
      <c r="C1533" s="20"/>
      <c r="D1533" s="21"/>
      <c r="E1533" s="21"/>
      <c r="F1533" s="67"/>
      <c r="G1533" s="23"/>
      <c r="H1533" s="149"/>
      <c r="I1533" s="25"/>
      <c r="J1533" s="26"/>
      <c r="K1533" s="21"/>
      <c r="L1533" s="29"/>
      <c r="M1533" s="28"/>
      <c r="N1533" s="29"/>
      <c r="O1533" s="29"/>
      <c r="P1533" s="34"/>
      <c r="Q1533" s="34"/>
      <c r="R1533" s="35"/>
      <c r="S1533" s="32" t="s">
        <v>29</v>
      </c>
      <c r="T1533" s="33"/>
      <c r="U1533" s="33"/>
    </row>
    <row r="1534" ht="15.75" customHeight="1">
      <c r="A1534" s="20"/>
      <c r="B1534" s="20"/>
      <c r="C1534" s="20"/>
      <c r="D1534" s="21"/>
      <c r="E1534" s="21"/>
      <c r="F1534" s="22"/>
      <c r="G1534" s="21"/>
      <c r="H1534" s="149"/>
      <c r="I1534" s="25"/>
      <c r="J1534" s="26"/>
      <c r="K1534" s="21"/>
      <c r="L1534" s="27"/>
      <c r="M1534" s="28"/>
      <c r="N1534" s="29"/>
      <c r="O1534" s="29"/>
      <c r="P1534" s="34"/>
      <c r="Q1534" s="34"/>
      <c r="R1534" s="35"/>
      <c r="S1534" s="32" t="s">
        <v>29</v>
      </c>
      <c r="T1534" s="33"/>
      <c r="U1534" s="33"/>
    </row>
    <row r="1535" ht="15.75" customHeight="1">
      <c r="A1535" s="20"/>
      <c r="B1535" s="20"/>
      <c r="C1535" s="20"/>
      <c r="D1535" s="21"/>
      <c r="E1535" s="21"/>
      <c r="F1535" s="67"/>
      <c r="G1535" s="23"/>
      <c r="H1535" s="149"/>
      <c r="I1535" s="25"/>
      <c r="J1535" s="26"/>
      <c r="K1535" s="21"/>
      <c r="L1535" s="29"/>
      <c r="M1535" s="28"/>
      <c r="N1535" s="29"/>
      <c r="O1535" s="29"/>
      <c r="P1535" s="34"/>
      <c r="Q1535" s="34"/>
      <c r="R1535" s="35"/>
      <c r="S1535" s="32" t="s">
        <v>29</v>
      </c>
      <c r="T1535" s="33"/>
      <c r="U1535" s="33"/>
    </row>
    <row r="1536" ht="15.75" customHeight="1">
      <c r="A1536" s="20"/>
      <c r="B1536" s="20"/>
      <c r="C1536" s="20"/>
      <c r="D1536" s="21"/>
      <c r="E1536" s="21"/>
      <c r="F1536" s="22"/>
      <c r="G1536" s="21"/>
      <c r="H1536" s="193"/>
      <c r="I1536" s="25"/>
      <c r="J1536" s="26"/>
      <c r="K1536" s="21"/>
      <c r="L1536" s="27"/>
      <c r="M1536" s="28"/>
      <c r="N1536" s="29"/>
      <c r="O1536" s="29"/>
      <c r="P1536" s="34"/>
      <c r="Q1536" s="34"/>
      <c r="R1536" s="35"/>
      <c r="S1536" s="32" t="s">
        <v>29</v>
      </c>
      <c r="T1536" s="33"/>
      <c r="U1536" s="33"/>
    </row>
    <row r="1537" ht="15.75" customHeight="1">
      <c r="A1537" s="20"/>
      <c r="B1537" s="20"/>
      <c r="C1537" s="20"/>
      <c r="D1537" s="21"/>
      <c r="E1537" s="21"/>
      <c r="F1537" s="22"/>
      <c r="G1537" s="21"/>
      <c r="H1537" s="191"/>
      <c r="I1537" s="25"/>
      <c r="J1537" s="26"/>
      <c r="K1537" s="192"/>
      <c r="L1537" s="27"/>
      <c r="M1537" s="28"/>
      <c r="N1537" s="29"/>
      <c r="O1537" s="29"/>
      <c r="P1537" s="34"/>
      <c r="Q1537" s="34"/>
      <c r="R1537" s="35"/>
      <c r="S1537" s="32" t="s">
        <v>29</v>
      </c>
      <c r="T1537" s="33"/>
      <c r="U1537" s="33"/>
    </row>
    <row r="1538" ht="15.75" customHeight="1">
      <c r="A1538" s="20"/>
      <c r="B1538" s="20"/>
      <c r="C1538" s="20"/>
      <c r="D1538" s="21"/>
      <c r="E1538" s="21"/>
      <c r="F1538" s="67"/>
      <c r="G1538" s="23"/>
      <c r="H1538" s="149"/>
      <c r="I1538" s="25"/>
      <c r="J1538" s="26"/>
      <c r="K1538" s="21"/>
      <c r="L1538" s="29"/>
      <c r="M1538" s="28"/>
      <c r="N1538" s="29"/>
      <c r="O1538" s="29"/>
      <c r="P1538" s="34"/>
      <c r="Q1538" s="34"/>
      <c r="R1538" s="35"/>
      <c r="S1538" s="32" t="s">
        <v>29</v>
      </c>
      <c r="T1538" s="33"/>
      <c r="U1538" s="33"/>
    </row>
    <row r="1539" ht="15.75" customHeight="1">
      <c r="A1539" s="20"/>
      <c r="B1539" s="20"/>
      <c r="C1539" s="20"/>
      <c r="D1539" s="21"/>
      <c r="E1539" s="21"/>
      <c r="F1539" s="22"/>
      <c r="G1539" s="21"/>
      <c r="H1539" s="149"/>
      <c r="I1539" s="25"/>
      <c r="J1539" s="26"/>
      <c r="K1539" s="21"/>
      <c r="L1539" s="27"/>
      <c r="M1539" s="28"/>
      <c r="N1539" s="29"/>
      <c r="O1539" s="29"/>
      <c r="P1539" s="34"/>
      <c r="Q1539" s="34"/>
      <c r="R1539" s="35"/>
      <c r="S1539" s="32" t="s">
        <v>29</v>
      </c>
      <c r="T1539" s="33"/>
      <c r="U1539" s="33"/>
    </row>
    <row r="1540" ht="15.75" customHeight="1">
      <c r="A1540" s="20"/>
      <c r="B1540" s="20"/>
      <c r="C1540" s="20"/>
      <c r="D1540" s="21"/>
      <c r="E1540" s="21"/>
      <c r="F1540" s="22"/>
      <c r="G1540" s="21"/>
      <c r="H1540" s="149"/>
      <c r="I1540" s="25"/>
      <c r="J1540" s="26"/>
      <c r="K1540" s="21"/>
      <c r="L1540" s="27"/>
      <c r="M1540" s="28"/>
      <c r="N1540" s="29"/>
      <c r="O1540" s="29"/>
      <c r="P1540" s="34"/>
      <c r="Q1540" s="34"/>
      <c r="R1540" s="35"/>
      <c r="S1540" s="32" t="s">
        <v>29</v>
      </c>
      <c r="T1540" s="33"/>
      <c r="U1540" s="33"/>
    </row>
    <row r="1541" ht="15.75" customHeight="1">
      <c r="A1541" s="20"/>
      <c r="B1541" s="20"/>
      <c r="C1541" s="20"/>
      <c r="D1541" s="21"/>
      <c r="E1541" s="21"/>
      <c r="F1541" s="22"/>
      <c r="G1541" s="21"/>
      <c r="H1541" s="149"/>
      <c r="I1541" s="25"/>
      <c r="J1541" s="26"/>
      <c r="K1541" s="21"/>
      <c r="L1541" s="27"/>
      <c r="M1541" s="28"/>
      <c r="N1541" s="29"/>
      <c r="O1541" s="29"/>
      <c r="P1541" s="34"/>
      <c r="Q1541" s="34"/>
      <c r="R1541" s="35"/>
      <c r="S1541" s="32" t="s">
        <v>29</v>
      </c>
      <c r="T1541" s="33"/>
      <c r="U1541" s="33"/>
    </row>
    <row r="1542" ht="15.75" customHeight="1">
      <c r="A1542" s="20"/>
      <c r="B1542" s="20"/>
      <c r="C1542" s="20"/>
      <c r="D1542" s="21"/>
      <c r="E1542" s="21"/>
      <c r="F1542" s="22"/>
      <c r="G1542" s="21"/>
      <c r="H1542" s="149"/>
      <c r="I1542" s="25"/>
      <c r="J1542" s="26"/>
      <c r="K1542" s="21"/>
      <c r="L1542" s="27"/>
      <c r="M1542" s="28"/>
      <c r="N1542" s="29"/>
      <c r="O1542" s="29"/>
      <c r="P1542" s="34"/>
      <c r="Q1542" s="34"/>
      <c r="R1542" s="35"/>
      <c r="S1542" s="32" t="s">
        <v>29</v>
      </c>
      <c r="T1542" s="33"/>
      <c r="U1542" s="33"/>
    </row>
    <row r="1543" ht="15.75" customHeight="1">
      <c r="A1543" s="20"/>
      <c r="B1543" s="20"/>
      <c r="C1543" s="20"/>
      <c r="D1543" s="21"/>
      <c r="E1543" s="21"/>
      <c r="F1543" s="67"/>
      <c r="G1543" s="23"/>
      <c r="H1543" s="149"/>
      <c r="I1543" s="25"/>
      <c r="J1543" s="26"/>
      <c r="K1543" s="21"/>
      <c r="L1543" s="29"/>
      <c r="M1543" s="28"/>
      <c r="N1543" s="29"/>
      <c r="O1543" s="29"/>
      <c r="P1543" s="34"/>
      <c r="Q1543" s="34"/>
      <c r="R1543" s="35"/>
      <c r="S1543" s="32" t="s">
        <v>29</v>
      </c>
      <c r="T1543" s="33"/>
      <c r="U1543" s="33"/>
    </row>
    <row r="1544" ht="15.75" customHeight="1">
      <c r="A1544" s="20"/>
      <c r="B1544" s="20"/>
      <c r="C1544" s="20"/>
      <c r="D1544" s="21"/>
      <c r="E1544" s="21"/>
      <c r="F1544" s="22"/>
      <c r="G1544" s="21"/>
      <c r="H1544" s="149"/>
      <c r="I1544" s="25"/>
      <c r="J1544" s="26"/>
      <c r="K1544" s="21"/>
      <c r="L1544" s="27"/>
      <c r="M1544" s="28"/>
      <c r="N1544" s="29"/>
      <c r="O1544" s="29"/>
      <c r="P1544" s="34"/>
      <c r="Q1544" s="34"/>
      <c r="R1544" s="35"/>
      <c r="S1544" s="32" t="s">
        <v>29</v>
      </c>
      <c r="T1544" s="33"/>
      <c r="U1544" s="33"/>
    </row>
    <row r="1545" ht="15.75" customHeight="1">
      <c r="A1545" s="20"/>
      <c r="B1545" s="20"/>
      <c r="C1545" s="20"/>
      <c r="D1545" s="21"/>
      <c r="E1545" s="21"/>
      <c r="F1545" s="22"/>
      <c r="G1545" s="21"/>
      <c r="H1545" s="149"/>
      <c r="I1545" s="25"/>
      <c r="J1545" s="26"/>
      <c r="K1545" s="21"/>
      <c r="L1545" s="29"/>
      <c r="M1545" s="28"/>
      <c r="N1545" s="29"/>
      <c r="O1545" s="29"/>
      <c r="P1545" s="34"/>
      <c r="Q1545" s="34"/>
      <c r="R1545" s="35"/>
      <c r="S1545" s="32" t="s">
        <v>29</v>
      </c>
      <c r="T1545" s="33"/>
      <c r="U1545" s="33"/>
    </row>
    <row r="1546" ht="15.75" customHeight="1">
      <c r="A1546" s="20"/>
      <c r="B1546" s="20"/>
      <c r="C1546" s="20"/>
      <c r="D1546" s="21"/>
      <c r="E1546" s="21"/>
      <c r="F1546" s="22"/>
      <c r="G1546" s="21"/>
      <c r="H1546" s="149"/>
      <c r="I1546" s="25"/>
      <c r="J1546" s="26"/>
      <c r="K1546" s="21"/>
      <c r="L1546" s="27"/>
      <c r="M1546" s="28"/>
      <c r="N1546" s="29"/>
      <c r="O1546" s="29"/>
      <c r="P1546" s="34"/>
      <c r="Q1546" s="34"/>
      <c r="R1546" s="35"/>
      <c r="S1546" s="32" t="s">
        <v>29</v>
      </c>
      <c r="T1546" s="33"/>
      <c r="U1546" s="33"/>
    </row>
    <row r="1547" ht="15.75" customHeight="1">
      <c r="A1547" s="20"/>
      <c r="B1547" s="20"/>
      <c r="C1547" s="20"/>
      <c r="D1547" s="21"/>
      <c r="E1547" s="21"/>
      <c r="F1547" s="22"/>
      <c r="G1547" s="21"/>
      <c r="H1547" s="149"/>
      <c r="I1547" s="25"/>
      <c r="J1547" s="26"/>
      <c r="K1547" s="21"/>
      <c r="L1547" s="27"/>
      <c r="M1547" s="28"/>
      <c r="N1547" s="29"/>
      <c r="O1547" s="29"/>
      <c r="P1547" s="34"/>
      <c r="Q1547" s="34"/>
      <c r="R1547" s="35"/>
      <c r="S1547" s="32" t="s">
        <v>29</v>
      </c>
      <c r="T1547" s="33"/>
      <c r="U1547" s="33"/>
    </row>
    <row r="1548" ht="15.75" customHeight="1">
      <c r="A1548" s="20"/>
      <c r="B1548" s="20"/>
      <c r="C1548" s="20"/>
      <c r="D1548" s="21"/>
      <c r="E1548" s="21"/>
      <c r="F1548" s="67"/>
      <c r="G1548" s="23"/>
      <c r="H1548" s="149"/>
      <c r="I1548" s="25"/>
      <c r="J1548" s="26"/>
      <c r="K1548" s="21"/>
      <c r="L1548" s="29"/>
      <c r="M1548" s="28"/>
      <c r="N1548" s="29"/>
      <c r="O1548" s="29"/>
      <c r="P1548" s="34"/>
      <c r="Q1548" s="34"/>
      <c r="R1548" s="35"/>
      <c r="S1548" s="32" t="s">
        <v>29</v>
      </c>
      <c r="T1548" s="33"/>
      <c r="U1548" s="33"/>
    </row>
    <row r="1549" ht="15.75" customHeight="1">
      <c r="A1549" s="20"/>
      <c r="B1549" s="20"/>
      <c r="C1549" s="20"/>
      <c r="D1549" s="21"/>
      <c r="E1549" s="21"/>
      <c r="F1549" s="22"/>
      <c r="G1549" s="21"/>
      <c r="H1549" s="149"/>
      <c r="I1549" s="25"/>
      <c r="J1549" s="26"/>
      <c r="K1549" s="21"/>
      <c r="L1549" s="27"/>
      <c r="M1549" s="28"/>
      <c r="N1549" s="29"/>
      <c r="O1549" s="29"/>
      <c r="P1549" s="34"/>
      <c r="Q1549" s="34"/>
      <c r="R1549" s="35"/>
      <c r="S1549" s="32" t="s">
        <v>29</v>
      </c>
      <c r="T1549" s="33"/>
      <c r="U1549" s="33"/>
    </row>
    <row r="1550" ht="15.75" customHeight="1">
      <c r="A1550" s="20"/>
      <c r="B1550" s="20"/>
      <c r="C1550" s="20"/>
      <c r="D1550" s="21"/>
      <c r="E1550" s="21"/>
      <c r="F1550" s="67"/>
      <c r="G1550" s="23"/>
      <c r="H1550" s="149"/>
      <c r="I1550" s="25"/>
      <c r="J1550" s="26"/>
      <c r="K1550" s="21"/>
      <c r="L1550" s="29"/>
      <c r="M1550" s="28"/>
      <c r="N1550" s="29"/>
      <c r="O1550" s="29"/>
      <c r="P1550" s="34"/>
      <c r="Q1550" s="34"/>
      <c r="R1550" s="35"/>
      <c r="S1550" s="32" t="s">
        <v>29</v>
      </c>
      <c r="T1550" s="33"/>
      <c r="U1550" s="33"/>
    </row>
    <row r="1551" ht="15.75" customHeight="1">
      <c r="A1551" s="20"/>
      <c r="B1551" s="20"/>
      <c r="C1551" s="20"/>
      <c r="D1551" s="21"/>
      <c r="E1551" s="21"/>
      <c r="F1551" s="67"/>
      <c r="G1551" s="23"/>
      <c r="H1551" s="149"/>
      <c r="I1551" s="25"/>
      <c r="J1551" s="26"/>
      <c r="K1551" s="21"/>
      <c r="L1551" s="29"/>
      <c r="M1551" s="28"/>
      <c r="N1551" s="29"/>
      <c r="O1551" s="29"/>
      <c r="P1551" s="34"/>
      <c r="Q1551" s="34"/>
      <c r="R1551" s="35"/>
      <c r="S1551" s="32" t="s">
        <v>29</v>
      </c>
      <c r="T1551" s="33"/>
      <c r="U1551" s="33"/>
    </row>
    <row r="1552" ht="15.75" customHeight="1">
      <c r="A1552" s="20"/>
      <c r="B1552" s="20"/>
      <c r="C1552" s="20"/>
      <c r="D1552" s="21"/>
      <c r="E1552" s="21"/>
      <c r="F1552" s="22"/>
      <c r="G1552" s="21"/>
      <c r="H1552" s="149"/>
      <c r="I1552" s="25"/>
      <c r="J1552" s="26"/>
      <c r="K1552" s="21"/>
      <c r="L1552" s="27"/>
      <c r="M1552" s="28"/>
      <c r="N1552" s="29"/>
      <c r="O1552" s="29"/>
      <c r="P1552" s="34"/>
      <c r="Q1552" s="34"/>
      <c r="R1552" s="35"/>
      <c r="S1552" s="32" t="s">
        <v>29</v>
      </c>
      <c r="T1552" s="33"/>
      <c r="U1552" s="33"/>
    </row>
    <row r="1553" ht="15.75" customHeight="1">
      <c r="A1553" s="20"/>
      <c r="B1553" s="20"/>
      <c r="C1553" s="20"/>
      <c r="D1553" s="21"/>
      <c r="E1553" s="21"/>
      <c r="F1553" s="67"/>
      <c r="G1553" s="23"/>
      <c r="H1553" s="149"/>
      <c r="I1553" s="25"/>
      <c r="J1553" s="26"/>
      <c r="K1553" s="21"/>
      <c r="L1553" s="29"/>
      <c r="M1553" s="28"/>
      <c r="N1553" s="29"/>
      <c r="O1553" s="29"/>
      <c r="P1553" s="34"/>
      <c r="Q1553" s="34"/>
      <c r="R1553" s="35"/>
      <c r="S1553" s="32" t="s">
        <v>29</v>
      </c>
      <c r="T1553" s="33"/>
      <c r="U1553" s="33"/>
    </row>
    <row r="1554" ht="15.75" customHeight="1">
      <c r="A1554" s="20"/>
      <c r="B1554" s="20"/>
      <c r="C1554" s="20"/>
      <c r="D1554" s="21"/>
      <c r="E1554" s="21"/>
      <c r="F1554" s="67"/>
      <c r="G1554" s="23"/>
      <c r="H1554" s="149"/>
      <c r="I1554" s="25"/>
      <c r="J1554" s="26"/>
      <c r="K1554" s="21"/>
      <c r="L1554" s="29"/>
      <c r="M1554" s="28"/>
      <c r="N1554" s="29"/>
      <c r="O1554" s="29"/>
      <c r="P1554" s="34"/>
      <c r="Q1554" s="34"/>
      <c r="R1554" s="35"/>
      <c r="S1554" s="32" t="s">
        <v>29</v>
      </c>
      <c r="T1554" s="33"/>
      <c r="U1554" s="33"/>
    </row>
    <row r="1555" ht="15.75" customHeight="1">
      <c r="A1555" s="20"/>
      <c r="B1555" s="20"/>
      <c r="C1555" s="20"/>
      <c r="D1555" s="21"/>
      <c r="E1555" s="21"/>
      <c r="F1555" s="67"/>
      <c r="G1555" s="23"/>
      <c r="H1555" s="149"/>
      <c r="I1555" s="25"/>
      <c r="J1555" s="26"/>
      <c r="K1555" s="21"/>
      <c r="L1555" s="29"/>
      <c r="M1555" s="28"/>
      <c r="N1555" s="29"/>
      <c r="O1555" s="29"/>
      <c r="P1555" s="34"/>
      <c r="Q1555" s="34"/>
      <c r="R1555" s="35"/>
      <c r="S1555" s="32" t="s">
        <v>29</v>
      </c>
      <c r="T1555" s="33"/>
      <c r="U1555" s="33"/>
    </row>
    <row r="1556" ht="15.75" customHeight="1">
      <c r="A1556" s="20"/>
      <c r="B1556" s="20"/>
      <c r="C1556" s="20"/>
      <c r="D1556" s="21"/>
      <c r="E1556" s="21"/>
      <c r="F1556" s="67"/>
      <c r="G1556" s="23"/>
      <c r="H1556" s="149"/>
      <c r="I1556" s="25"/>
      <c r="J1556" s="26"/>
      <c r="K1556" s="21"/>
      <c r="L1556" s="29"/>
      <c r="M1556" s="28"/>
      <c r="N1556" s="29"/>
      <c r="O1556" s="29"/>
      <c r="P1556" s="34"/>
      <c r="Q1556" s="34"/>
      <c r="R1556" s="35"/>
      <c r="S1556" s="32" t="s">
        <v>29</v>
      </c>
      <c r="T1556" s="33"/>
      <c r="U1556" s="33"/>
    </row>
    <row r="1557" ht="15.75" customHeight="1">
      <c r="A1557" s="20"/>
      <c r="B1557" s="20"/>
      <c r="C1557" s="20"/>
      <c r="D1557" s="21"/>
      <c r="E1557" s="21"/>
      <c r="F1557" s="22"/>
      <c r="G1557" s="21"/>
      <c r="H1557" s="149"/>
      <c r="I1557" s="25"/>
      <c r="J1557" s="26"/>
      <c r="K1557" s="21"/>
      <c r="L1557" s="27"/>
      <c r="M1557" s="28"/>
      <c r="N1557" s="29"/>
      <c r="O1557" s="29"/>
      <c r="P1557" s="34"/>
      <c r="Q1557" s="34"/>
      <c r="R1557" s="35"/>
      <c r="S1557" s="32" t="s">
        <v>29</v>
      </c>
      <c r="T1557" s="33"/>
      <c r="U1557" s="33"/>
    </row>
    <row r="1558" ht="15.75" customHeight="1">
      <c r="A1558" s="20"/>
      <c r="B1558" s="20"/>
      <c r="C1558" s="20"/>
      <c r="D1558" s="21"/>
      <c r="E1558" s="21"/>
      <c r="F1558" s="67"/>
      <c r="G1558" s="23"/>
      <c r="H1558" s="149"/>
      <c r="I1558" s="25"/>
      <c r="J1558" s="26"/>
      <c r="K1558" s="21"/>
      <c r="L1558" s="29"/>
      <c r="M1558" s="28"/>
      <c r="N1558" s="29"/>
      <c r="O1558" s="29"/>
      <c r="P1558" s="34"/>
      <c r="Q1558" s="34"/>
      <c r="R1558" s="35"/>
      <c r="S1558" s="32" t="s">
        <v>29</v>
      </c>
      <c r="T1558" s="33"/>
      <c r="U1558" s="33"/>
    </row>
    <row r="1559" ht="16.5" customHeight="1">
      <c r="A1559" s="20"/>
      <c r="B1559" s="20"/>
      <c r="C1559" s="20"/>
      <c r="D1559" s="21"/>
      <c r="E1559" s="21"/>
      <c r="F1559" s="22"/>
      <c r="G1559" s="37"/>
      <c r="H1559" s="194"/>
      <c r="I1559" s="25"/>
      <c r="J1559" s="26"/>
      <c r="K1559" s="195"/>
      <c r="L1559" s="27"/>
      <c r="M1559" s="28"/>
      <c r="N1559" s="29"/>
      <c r="O1559" s="29"/>
      <c r="P1559" s="34"/>
      <c r="Q1559" s="34"/>
      <c r="R1559" s="35"/>
      <c r="S1559" s="32" t="s">
        <v>29</v>
      </c>
      <c r="T1559" s="33"/>
      <c r="U1559" s="33"/>
    </row>
    <row r="1560" ht="15.75" customHeight="1">
      <c r="A1560" s="20"/>
      <c r="B1560" s="20"/>
      <c r="C1560" s="20"/>
      <c r="D1560" s="21"/>
      <c r="E1560" s="21"/>
      <c r="F1560" s="67"/>
      <c r="G1560" s="23"/>
      <c r="H1560" s="149"/>
      <c r="I1560" s="25"/>
      <c r="J1560" s="26"/>
      <c r="K1560" s="21"/>
      <c r="L1560" s="29"/>
      <c r="M1560" s="28"/>
      <c r="N1560" s="29"/>
      <c r="O1560" s="29"/>
      <c r="P1560" s="34"/>
      <c r="Q1560" s="34"/>
      <c r="R1560" s="35"/>
      <c r="S1560" s="32" t="s">
        <v>29</v>
      </c>
      <c r="T1560" s="33"/>
      <c r="U1560" s="33"/>
    </row>
    <row r="1561" ht="15.75" customHeight="1">
      <c r="A1561" s="20"/>
      <c r="B1561" s="20"/>
      <c r="C1561" s="20"/>
      <c r="D1561" s="21"/>
      <c r="E1561" s="21"/>
      <c r="F1561" s="22"/>
      <c r="G1561" s="21"/>
      <c r="H1561" s="149"/>
      <c r="I1561" s="25"/>
      <c r="J1561" s="26"/>
      <c r="K1561" s="21"/>
      <c r="L1561" s="27"/>
      <c r="M1561" s="28"/>
      <c r="N1561" s="29"/>
      <c r="O1561" s="29"/>
      <c r="P1561" s="34"/>
      <c r="Q1561" s="34"/>
      <c r="R1561" s="35"/>
      <c r="S1561" s="32" t="s">
        <v>29</v>
      </c>
      <c r="T1561" s="33"/>
      <c r="U1561" s="33"/>
    </row>
    <row r="1562" ht="15.75" customHeight="1">
      <c r="A1562" s="20"/>
      <c r="B1562" s="20"/>
      <c r="C1562" s="20"/>
      <c r="D1562" s="21"/>
      <c r="E1562" s="21"/>
      <c r="F1562" s="67"/>
      <c r="G1562" s="23"/>
      <c r="H1562" s="149"/>
      <c r="I1562" s="25"/>
      <c r="J1562" s="26"/>
      <c r="K1562" s="21"/>
      <c r="L1562" s="29"/>
      <c r="M1562" s="28"/>
      <c r="N1562" s="29"/>
      <c r="O1562" s="29"/>
      <c r="P1562" s="34"/>
      <c r="Q1562" s="34"/>
      <c r="R1562" s="35"/>
      <c r="S1562" s="32" t="s">
        <v>29</v>
      </c>
      <c r="T1562" s="33"/>
      <c r="U1562" s="33"/>
    </row>
    <row r="1563" ht="15.75" customHeight="1">
      <c r="A1563" s="20"/>
      <c r="B1563" s="20"/>
      <c r="C1563" s="20"/>
      <c r="D1563" s="21"/>
      <c r="E1563" s="21"/>
      <c r="F1563" s="67"/>
      <c r="G1563" s="23"/>
      <c r="H1563" s="149"/>
      <c r="I1563" s="25"/>
      <c r="J1563" s="26"/>
      <c r="K1563" s="21"/>
      <c r="L1563" s="29"/>
      <c r="M1563" s="28"/>
      <c r="N1563" s="29"/>
      <c r="O1563" s="29"/>
      <c r="P1563" s="34"/>
      <c r="Q1563" s="34"/>
      <c r="R1563" s="35"/>
      <c r="S1563" s="32" t="s">
        <v>29</v>
      </c>
      <c r="T1563" s="33"/>
      <c r="U1563" s="33"/>
    </row>
    <row r="1564" ht="15.75" customHeight="1">
      <c r="A1564" s="20"/>
      <c r="B1564" s="20"/>
      <c r="C1564" s="20"/>
      <c r="D1564" s="21"/>
      <c r="E1564" s="21"/>
      <c r="F1564" s="67"/>
      <c r="G1564" s="23"/>
      <c r="H1564" s="149"/>
      <c r="I1564" s="25"/>
      <c r="J1564" s="26"/>
      <c r="K1564" s="21"/>
      <c r="L1564" s="29"/>
      <c r="M1564" s="28"/>
      <c r="N1564" s="29"/>
      <c r="O1564" s="29"/>
      <c r="P1564" s="34"/>
      <c r="Q1564" s="34"/>
      <c r="R1564" s="35"/>
      <c r="S1564" s="32" t="s">
        <v>29</v>
      </c>
      <c r="T1564" s="33"/>
      <c r="U1564" s="33"/>
    </row>
    <row r="1565" ht="15.75" customHeight="1">
      <c r="A1565" s="20"/>
      <c r="B1565" s="20"/>
      <c r="C1565" s="20"/>
      <c r="D1565" s="21"/>
      <c r="E1565" s="21"/>
      <c r="F1565" s="67"/>
      <c r="G1565" s="23"/>
      <c r="H1565" s="149"/>
      <c r="I1565" s="25"/>
      <c r="J1565" s="26"/>
      <c r="K1565" s="21"/>
      <c r="L1565" s="29"/>
      <c r="M1565" s="28"/>
      <c r="N1565" s="29"/>
      <c r="O1565" s="29"/>
      <c r="P1565" s="34"/>
      <c r="Q1565" s="34"/>
      <c r="R1565" s="35"/>
      <c r="S1565" s="32" t="s">
        <v>29</v>
      </c>
      <c r="T1565" s="33"/>
      <c r="U1565" s="33"/>
    </row>
    <row r="1566" ht="15.75" customHeight="1">
      <c r="A1566" s="20"/>
      <c r="B1566" s="20"/>
      <c r="C1566" s="20"/>
      <c r="D1566" s="21"/>
      <c r="E1566" s="21"/>
      <c r="F1566" s="67"/>
      <c r="G1566" s="23"/>
      <c r="H1566" s="149"/>
      <c r="I1566" s="25"/>
      <c r="J1566" s="26"/>
      <c r="K1566" s="21"/>
      <c r="L1566" s="29"/>
      <c r="M1566" s="28"/>
      <c r="N1566" s="29"/>
      <c r="O1566" s="29"/>
      <c r="P1566" s="34"/>
      <c r="Q1566" s="34"/>
      <c r="R1566" s="35"/>
      <c r="S1566" s="32" t="s">
        <v>29</v>
      </c>
      <c r="T1566" s="33"/>
      <c r="U1566" s="33"/>
    </row>
    <row r="1567" ht="15.75" customHeight="1">
      <c r="A1567" s="20"/>
      <c r="B1567" s="20"/>
      <c r="C1567" s="20"/>
      <c r="D1567" s="21"/>
      <c r="E1567" s="21"/>
      <c r="F1567" s="22"/>
      <c r="G1567" s="89"/>
      <c r="H1567" s="149"/>
      <c r="I1567" s="25"/>
      <c r="J1567" s="26"/>
      <c r="K1567" s="21"/>
      <c r="L1567" s="27"/>
      <c r="M1567" s="28"/>
      <c r="N1567" s="29"/>
      <c r="O1567" s="29"/>
      <c r="P1567" s="34"/>
      <c r="Q1567" s="34"/>
      <c r="R1567" s="35"/>
      <c r="S1567" s="32" t="s">
        <v>29</v>
      </c>
      <c r="T1567" s="33"/>
      <c r="U1567" s="33"/>
    </row>
    <row r="1568" ht="15.75" customHeight="1">
      <c r="A1568" s="20"/>
      <c r="B1568" s="20"/>
      <c r="C1568" s="20"/>
      <c r="D1568" s="21"/>
      <c r="E1568" s="21"/>
      <c r="F1568" s="67"/>
      <c r="G1568" s="23"/>
      <c r="H1568" s="149"/>
      <c r="I1568" s="25"/>
      <c r="J1568" s="26"/>
      <c r="K1568" s="21"/>
      <c r="L1568" s="29"/>
      <c r="M1568" s="28"/>
      <c r="N1568" s="29"/>
      <c r="O1568" s="29"/>
      <c r="P1568" s="34"/>
      <c r="Q1568" s="34"/>
      <c r="R1568" s="35"/>
      <c r="S1568" s="32" t="s">
        <v>29</v>
      </c>
      <c r="T1568" s="33"/>
      <c r="U1568" s="33"/>
    </row>
    <row r="1569" ht="15.75" customHeight="1">
      <c r="A1569" s="20"/>
      <c r="B1569" s="20"/>
      <c r="C1569" s="20"/>
      <c r="D1569" s="21"/>
      <c r="E1569" s="21"/>
      <c r="F1569" s="22"/>
      <c r="G1569" s="21"/>
      <c r="H1569" s="149"/>
      <c r="I1569" s="25"/>
      <c r="J1569" s="26"/>
      <c r="K1569" s="21"/>
      <c r="L1569" s="27"/>
      <c r="M1569" s="28"/>
      <c r="N1569" s="29"/>
      <c r="O1569" s="29"/>
      <c r="P1569" s="34"/>
      <c r="Q1569" s="34"/>
      <c r="R1569" s="35"/>
      <c r="S1569" s="32" t="s">
        <v>29</v>
      </c>
      <c r="T1569" s="33"/>
      <c r="U1569" s="33"/>
    </row>
    <row r="1570" ht="15.75" customHeight="1">
      <c r="A1570" s="20"/>
      <c r="B1570" s="20"/>
      <c r="C1570" s="20"/>
      <c r="D1570" s="21"/>
      <c r="E1570" s="21"/>
      <c r="F1570" s="22"/>
      <c r="G1570" s="21"/>
      <c r="H1570" s="149"/>
      <c r="I1570" s="25"/>
      <c r="J1570" s="26"/>
      <c r="K1570" s="21"/>
      <c r="L1570" s="27"/>
      <c r="M1570" s="28"/>
      <c r="N1570" s="29"/>
      <c r="O1570" s="29"/>
      <c r="P1570" s="34"/>
      <c r="Q1570" s="34"/>
      <c r="R1570" s="35"/>
      <c r="S1570" s="32" t="s">
        <v>29</v>
      </c>
      <c r="T1570" s="33"/>
      <c r="U1570" s="33"/>
    </row>
    <row r="1571" ht="15.75" customHeight="1">
      <c r="A1571" s="20"/>
      <c r="B1571" s="20"/>
      <c r="C1571" s="20"/>
      <c r="D1571" s="21"/>
      <c r="E1571" s="21"/>
      <c r="F1571" s="67"/>
      <c r="G1571" s="23"/>
      <c r="H1571" s="149"/>
      <c r="I1571" s="25"/>
      <c r="J1571" s="26"/>
      <c r="K1571" s="21"/>
      <c r="L1571" s="29"/>
      <c r="M1571" s="28"/>
      <c r="N1571" s="29"/>
      <c r="O1571" s="29"/>
      <c r="P1571" s="34"/>
      <c r="Q1571" s="34"/>
      <c r="R1571" s="35"/>
      <c r="S1571" s="32" t="s">
        <v>29</v>
      </c>
      <c r="T1571" s="33"/>
      <c r="U1571" s="33"/>
    </row>
    <row r="1572" ht="15.75" customHeight="1">
      <c r="A1572" s="20"/>
      <c r="B1572" s="20"/>
      <c r="C1572" s="20"/>
      <c r="D1572" s="21"/>
      <c r="E1572" s="21"/>
      <c r="F1572" s="67"/>
      <c r="G1572" s="23"/>
      <c r="H1572" s="149"/>
      <c r="I1572" s="25"/>
      <c r="J1572" s="26"/>
      <c r="K1572" s="21"/>
      <c r="L1572" s="29"/>
      <c r="M1572" s="28"/>
      <c r="N1572" s="29"/>
      <c r="O1572" s="29"/>
      <c r="P1572" s="34"/>
      <c r="Q1572" s="34"/>
      <c r="R1572" s="35"/>
      <c r="S1572" s="32" t="s">
        <v>29</v>
      </c>
      <c r="T1572" s="33"/>
      <c r="U1572" s="33"/>
    </row>
    <row r="1573" ht="15.75" customHeight="1">
      <c r="A1573" s="20"/>
      <c r="B1573" s="20"/>
      <c r="C1573" s="20"/>
      <c r="D1573" s="21"/>
      <c r="E1573" s="21"/>
      <c r="F1573" s="67"/>
      <c r="G1573" s="23"/>
      <c r="H1573" s="149"/>
      <c r="I1573" s="25"/>
      <c r="J1573" s="26"/>
      <c r="K1573" s="21"/>
      <c r="L1573" s="29"/>
      <c r="M1573" s="28"/>
      <c r="N1573" s="29"/>
      <c r="O1573" s="29"/>
      <c r="P1573" s="34"/>
      <c r="Q1573" s="34"/>
      <c r="R1573" s="35"/>
      <c r="S1573" s="32" t="s">
        <v>29</v>
      </c>
      <c r="T1573" s="33"/>
      <c r="U1573" s="33"/>
    </row>
    <row r="1574" ht="15.75" customHeight="1">
      <c r="A1574" s="20"/>
      <c r="B1574" s="20"/>
      <c r="C1574" s="20"/>
      <c r="D1574" s="21"/>
      <c r="E1574" s="21"/>
      <c r="F1574" s="22"/>
      <c r="G1574" s="21"/>
      <c r="H1574" s="149"/>
      <c r="I1574" s="25"/>
      <c r="J1574" s="26"/>
      <c r="K1574" s="21"/>
      <c r="L1574" s="27"/>
      <c r="M1574" s="28"/>
      <c r="N1574" s="29"/>
      <c r="O1574" s="29"/>
      <c r="P1574" s="34"/>
      <c r="Q1574" s="34"/>
      <c r="R1574" s="35"/>
      <c r="S1574" s="32" t="s">
        <v>29</v>
      </c>
      <c r="T1574" s="33"/>
      <c r="U1574" s="33"/>
    </row>
    <row r="1575" ht="15.75" customHeight="1">
      <c r="A1575" s="20"/>
      <c r="B1575" s="20"/>
      <c r="C1575" s="20"/>
      <c r="D1575" s="21"/>
      <c r="E1575" s="21"/>
      <c r="F1575" s="22"/>
      <c r="G1575" s="21"/>
      <c r="H1575" s="149"/>
      <c r="I1575" s="25"/>
      <c r="J1575" s="26"/>
      <c r="K1575" s="21"/>
      <c r="L1575" s="27"/>
      <c r="M1575" s="28"/>
      <c r="N1575" s="29"/>
      <c r="O1575" s="29"/>
      <c r="P1575" s="34"/>
      <c r="Q1575" s="34"/>
      <c r="R1575" s="35"/>
      <c r="S1575" s="32" t="s">
        <v>29</v>
      </c>
      <c r="T1575" s="33"/>
      <c r="U1575" s="33"/>
    </row>
    <row r="1576" ht="15.75" customHeight="1">
      <c r="A1576" s="20"/>
      <c r="B1576" s="20"/>
      <c r="C1576" s="20"/>
      <c r="D1576" s="21"/>
      <c r="E1576" s="21"/>
      <c r="F1576" s="67"/>
      <c r="G1576" s="23"/>
      <c r="H1576" s="149"/>
      <c r="I1576" s="25"/>
      <c r="J1576" s="26"/>
      <c r="K1576" s="21"/>
      <c r="L1576" s="29"/>
      <c r="M1576" s="28"/>
      <c r="N1576" s="29"/>
      <c r="O1576" s="29"/>
      <c r="P1576" s="34"/>
      <c r="Q1576" s="34"/>
      <c r="R1576" s="35"/>
      <c r="S1576" s="32" t="s">
        <v>29</v>
      </c>
      <c r="T1576" s="33"/>
      <c r="U1576" s="33"/>
    </row>
    <row r="1577" ht="15.75" customHeight="1">
      <c r="A1577" s="20"/>
      <c r="B1577" s="20"/>
      <c r="C1577" s="20"/>
      <c r="D1577" s="21"/>
      <c r="E1577" s="21"/>
      <c r="F1577" s="67"/>
      <c r="G1577" s="23"/>
      <c r="H1577" s="149"/>
      <c r="I1577" s="25"/>
      <c r="J1577" s="26"/>
      <c r="K1577" s="21"/>
      <c r="L1577" s="29"/>
      <c r="M1577" s="28"/>
      <c r="N1577" s="29"/>
      <c r="O1577" s="29"/>
      <c r="P1577" s="34"/>
      <c r="Q1577" s="34"/>
      <c r="R1577" s="35"/>
      <c r="S1577" s="32" t="s">
        <v>29</v>
      </c>
      <c r="T1577" s="33"/>
      <c r="U1577" s="33"/>
    </row>
    <row r="1578" ht="15.75" customHeight="1">
      <c r="A1578" s="20"/>
      <c r="B1578" s="20"/>
      <c r="C1578" s="20"/>
      <c r="D1578" s="21"/>
      <c r="E1578" s="21"/>
      <c r="F1578" s="67"/>
      <c r="G1578" s="23"/>
      <c r="H1578" s="149"/>
      <c r="I1578" s="25"/>
      <c r="J1578" s="26"/>
      <c r="K1578" s="21"/>
      <c r="L1578" s="29"/>
      <c r="M1578" s="28"/>
      <c r="N1578" s="29"/>
      <c r="O1578" s="29"/>
      <c r="P1578" s="34"/>
      <c r="Q1578" s="34"/>
      <c r="R1578" s="35"/>
      <c r="S1578" s="32" t="s">
        <v>29</v>
      </c>
      <c r="T1578" s="33"/>
      <c r="U1578" s="33"/>
    </row>
    <row r="1579" ht="15.75" customHeight="1">
      <c r="A1579" s="20"/>
      <c r="B1579" s="20"/>
      <c r="C1579" s="20"/>
      <c r="D1579" s="21"/>
      <c r="E1579" s="21"/>
      <c r="F1579" s="22"/>
      <c r="G1579" s="21"/>
      <c r="H1579" s="149"/>
      <c r="I1579" s="25"/>
      <c r="J1579" s="26"/>
      <c r="K1579" s="21"/>
      <c r="L1579" s="27"/>
      <c r="M1579" s="28"/>
      <c r="N1579" s="29"/>
      <c r="O1579" s="29"/>
      <c r="P1579" s="34"/>
      <c r="Q1579" s="34"/>
      <c r="R1579" s="35"/>
      <c r="S1579" s="32" t="s">
        <v>29</v>
      </c>
      <c r="T1579" s="33"/>
      <c r="U1579" s="33"/>
    </row>
    <row r="1580" ht="15.75" customHeight="1">
      <c r="A1580" s="20"/>
      <c r="B1580" s="20"/>
      <c r="C1580" s="20"/>
      <c r="D1580" s="21"/>
      <c r="E1580" s="21"/>
      <c r="F1580" s="22"/>
      <c r="G1580" s="21"/>
      <c r="H1580" s="149"/>
      <c r="I1580" s="25"/>
      <c r="J1580" s="26"/>
      <c r="K1580" s="21"/>
      <c r="L1580" s="27"/>
      <c r="M1580" s="28"/>
      <c r="N1580" s="29"/>
      <c r="O1580" s="29"/>
      <c r="P1580" s="34"/>
      <c r="Q1580" s="34"/>
      <c r="R1580" s="35"/>
      <c r="S1580" s="32" t="s">
        <v>29</v>
      </c>
      <c r="T1580" s="33"/>
      <c r="U1580" s="33"/>
    </row>
    <row r="1581" ht="15.75" customHeight="1">
      <c r="A1581" s="20"/>
      <c r="B1581" s="20"/>
      <c r="C1581" s="20"/>
      <c r="D1581" s="21"/>
      <c r="E1581" s="21"/>
      <c r="F1581" s="67"/>
      <c r="G1581" s="23"/>
      <c r="H1581" s="149"/>
      <c r="I1581" s="25"/>
      <c r="J1581" s="26"/>
      <c r="K1581" s="21"/>
      <c r="L1581" s="29"/>
      <c r="M1581" s="28"/>
      <c r="N1581" s="29"/>
      <c r="O1581" s="29"/>
      <c r="P1581" s="34"/>
      <c r="Q1581" s="34"/>
      <c r="R1581" s="35"/>
      <c r="S1581" s="32" t="s">
        <v>29</v>
      </c>
      <c r="T1581" s="33"/>
      <c r="U1581" s="33"/>
    </row>
    <row r="1582" ht="15.75" customHeight="1">
      <c r="A1582" s="20"/>
      <c r="B1582" s="20"/>
      <c r="C1582" s="20"/>
      <c r="D1582" s="21"/>
      <c r="E1582" s="21"/>
      <c r="F1582" s="67"/>
      <c r="G1582" s="23"/>
      <c r="H1582" s="149"/>
      <c r="I1582" s="25"/>
      <c r="J1582" s="26"/>
      <c r="K1582" s="21"/>
      <c r="L1582" s="29"/>
      <c r="M1582" s="28"/>
      <c r="N1582" s="29"/>
      <c r="O1582" s="29"/>
      <c r="P1582" s="34"/>
      <c r="Q1582" s="34"/>
      <c r="R1582" s="35"/>
      <c r="S1582" s="32" t="s">
        <v>29</v>
      </c>
      <c r="T1582" s="33"/>
      <c r="U1582" s="33"/>
    </row>
    <row r="1583" ht="15.75" customHeight="1">
      <c r="A1583" s="20"/>
      <c r="B1583" s="20"/>
      <c r="C1583" s="20"/>
      <c r="D1583" s="21"/>
      <c r="E1583" s="21"/>
      <c r="F1583" s="22"/>
      <c r="G1583" s="21"/>
      <c r="H1583" s="149"/>
      <c r="I1583" s="25"/>
      <c r="J1583" s="26"/>
      <c r="K1583" s="21"/>
      <c r="L1583" s="27"/>
      <c r="M1583" s="28"/>
      <c r="N1583" s="29"/>
      <c r="O1583" s="29"/>
      <c r="P1583" s="34"/>
      <c r="Q1583" s="34"/>
      <c r="R1583" s="35"/>
      <c r="S1583" s="32" t="s">
        <v>29</v>
      </c>
      <c r="T1583" s="33"/>
      <c r="U1583" s="33"/>
    </row>
    <row r="1584" ht="15.75" customHeight="1">
      <c r="A1584" s="20"/>
      <c r="B1584" s="20"/>
      <c r="C1584" s="20"/>
      <c r="D1584" s="21"/>
      <c r="E1584" s="21"/>
      <c r="F1584" s="67"/>
      <c r="G1584" s="23"/>
      <c r="H1584" s="149"/>
      <c r="I1584" s="25"/>
      <c r="J1584" s="26"/>
      <c r="K1584" s="21"/>
      <c r="L1584" s="29"/>
      <c r="M1584" s="28"/>
      <c r="N1584" s="29"/>
      <c r="O1584" s="29"/>
      <c r="P1584" s="34"/>
      <c r="Q1584" s="34"/>
      <c r="R1584" s="35"/>
      <c r="S1584" s="32" t="s">
        <v>29</v>
      </c>
      <c r="T1584" s="33"/>
      <c r="U1584" s="33"/>
    </row>
    <row r="1585" ht="15.75" customHeight="1">
      <c r="A1585" s="20"/>
      <c r="B1585" s="20"/>
      <c r="C1585" s="20"/>
      <c r="D1585" s="21"/>
      <c r="E1585" s="21"/>
      <c r="F1585" s="22"/>
      <c r="G1585" s="21"/>
      <c r="H1585" s="149"/>
      <c r="I1585" s="25"/>
      <c r="J1585" s="26"/>
      <c r="K1585" s="21"/>
      <c r="L1585" s="27"/>
      <c r="M1585" s="28"/>
      <c r="N1585" s="29"/>
      <c r="O1585" s="29"/>
      <c r="P1585" s="34"/>
      <c r="Q1585" s="34"/>
      <c r="R1585" s="35"/>
      <c r="S1585" s="32" t="s">
        <v>29</v>
      </c>
      <c r="T1585" s="33"/>
      <c r="U1585" s="33"/>
    </row>
    <row r="1586" ht="15.75" customHeight="1">
      <c r="A1586" s="20"/>
      <c r="B1586" s="20"/>
      <c r="C1586" s="20"/>
      <c r="D1586" s="21"/>
      <c r="E1586" s="21"/>
      <c r="F1586" s="67"/>
      <c r="G1586" s="23"/>
      <c r="H1586" s="149"/>
      <c r="I1586" s="25"/>
      <c r="J1586" s="26"/>
      <c r="K1586" s="21"/>
      <c r="L1586" s="29"/>
      <c r="M1586" s="28"/>
      <c r="N1586" s="29"/>
      <c r="O1586" s="29"/>
      <c r="P1586" s="34"/>
      <c r="Q1586" s="34"/>
      <c r="R1586" s="35"/>
      <c r="S1586" s="32" t="s">
        <v>29</v>
      </c>
      <c r="T1586" s="33"/>
      <c r="U1586" s="33"/>
    </row>
    <row r="1587" ht="15.75" customHeight="1">
      <c r="A1587" s="20"/>
      <c r="B1587" s="20"/>
      <c r="C1587" s="20"/>
      <c r="D1587" s="21"/>
      <c r="E1587" s="21"/>
      <c r="F1587" s="22"/>
      <c r="G1587" s="21"/>
      <c r="H1587" s="149"/>
      <c r="I1587" s="25"/>
      <c r="J1587" s="26"/>
      <c r="K1587" s="21"/>
      <c r="L1587" s="27"/>
      <c r="M1587" s="28"/>
      <c r="N1587" s="29"/>
      <c r="O1587" s="29"/>
      <c r="P1587" s="34"/>
      <c r="Q1587" s="34"/>
      <c r="R1587" s="35"/>
      <c r="S1587" s="32" t="s">
        <v>29</v>
      </c>
      <c r="T1587" s="33"/>
      <c r="U1587" s="33"/>
    </row>
    <row r="1588" ht="15.75" customHeight="1">
      <c r="A1588" s="20"/>
      <c r="B1588" s="20"/>
      <c r="C1588" s="20"/>
      <c r="D1588" s="21"/>
      <c r="E1588" s="21"/>
      <c r="F1588" s="22"/>
      <c r="G1588" s="21"/>
      <c r="H1588" s="149"/>
      <c r="I1588" s="25"/>
      <c r="J1588" s="26"/>
      <c r="K1588" s="21"/>
      <c r="L1588" s="27"/>
      <c r="M1588" s="28"/>
      <c r="N1588" s="29"/>
      <c r="O1588" s="29"/>
      <c r="P1588" s="34"/>
      <c r="Q1588" s="34"/>
      <c r="R1588" s="35"/>
      <c r="S1588" s="32" t="s">
        <v>29</v>
      </c>
      <c r="T1588" s="33"/>
      <c r="U1588" s="33"/>
    </row>
    <row r="1589" ht="15.75" customHeight="1">
      <c r="A1589" s="20"/>
      <c r="B1589" s="20"/>
      <c r="C1589" s="20"/>
      <c r="D1589" s="21"/>
      <c r="E1589" s="21"/>
      <c r="F1589" s="22"/>
      <c r="G1589" s="21"/>
      <c r="H1589" s="149"/>
      <c r="I1589" s="25"/>
      <c r="J1589" s="26"/>
      <c r="K1589" s="21"/>
      <c r="L1589" s="27"/>
      <c r="M1589" s="28"/>
      <c r="N1589" s="29"/>
      <c r="O1589" s="29"/>
      <c r="P1589" s="34"/>
      <c r="Q1589" s="34"/>
      <c r="R1589" s="35"/>
      <c r="S1589" s="32" t="s">
        <v>29</v>
      </c>
      <c r="T1589" s="33"/>
      <c r="U1589" s="33"/>
    </row>
    <row r="1590" ht="15.75" customHeight="1">
      <c r="A1590" s="20"/>
      <c r="B1590" s="20"/>
      <c r="C1590" s="20"/>
      <c r="D1590" s="21"/>
      <c r="E1590" s="21"/>
      <c r="F1590" s="22"/>
      <c r="G1590" s="21"/>
      <c r="H1590" s="149"/>
      <c r="I1590" s="25"/>
      <c r="J1590" s="26"/>
      <c r="K1590" s="21"/>
      <c r="L1590" s="27"/>
      <c r="M1590" s="28"/>
      <c r="N1590" s="29"/>
      <c r="O1590" s="29"/>
      <c r="P1590" s="34"/>
      <c r="Q1590" s="34"/>
      <c r="R1590" s="35"/>
      <c r="S1590" s="32" t="s">
        <v>29</v>
      </c>
      <c r="T1590" s="33"/>
      <c r="U1590" s="33"/>
    </row>
    <row r="1591" ht="15.75" customHeight="1">
      <c r="A1591" s="20"/>
      <c r="B1591" s="20"/>
      <c r="C1591" s="20"/>
      <c r="D1591" s="21"/>
      <c r="E1591" s="21"/>
      <c r="F1591" s="67"/>
      <c r="G1591" s="23"/>
      <c r="H1591" s="149"/>
      <c r="I1591" s="25"/>
      <c r="J1591" s="26"/>
      <c r="K1591" s="21"/>
      <c r="L1591" s="29"/>
      <c r="M1591" s="28"/>
      <c r="N1591" s="29"/>
      <c r="O1591" s="29"/>
      <c r="P1591" s="34"/>
      <c r="Q1591" s="34"/>
      <c r="R1591" s="35"/>
      <c r="S1591" s="32" t="s">
        <v>29</v>
      </c>
      <c r="T1591" s="33"/>
      <c r="U1591" s="33"/>
    </row>
    <row r="1592" ht="15.75" customHeight="1">
      <c r="A1592" s="20"/>
      <c r="B1592" s="20"/>
      <c r="C1592" s="20"/>
      <c r="D1592" s="21"/>
      <c r="E1592" s="21"/>
      <c r="F1592" s="22"/>
      <c r="G1592" s="21"/>
      <c r="H1592" s="186"/>
      <c r="I1592" s="25"/>
      <c r="J1592" s="26"/>
      <c r="K1592" s="185"/>
      <c r="L1592" s="27"/>
      <c r="M1592" s="28"/>
      <c r="N1592" s="29"/>
      <c r="O1592" s="29"/>
      <c r="P1592" s="34"/>
      <c r="Q1592" s="34"/>
      <c r="R1592" s="35"/>
      <c r="S1592" s="32" t="s">
        <v>29</v>
      </c>
      <c r="T1592" s="33"/>
      <c r="U1592" s="33"/>
    </row>
    <row r="1593" ht="15.75" customHeight="1">
      <c r="A1593" s="20"/>
      <c r="B1593" s="20"/>
      <c r="C1593" s="20"/>
      <c r="D1593" s="21"/>
      <c r="E1593" s="21"/>
      <c r="F1593" s="22"/>
      <c r="G1593" s="21"/>
      <c r="H1593" s="186"/>
      <c r="I1593" s="25"/>
      <c r="J1593" s="26"/>
      <c r="K1593" s="185"/>
      <c r="L1593" s="27"/>
      <c r="M1593" s="28"/>
      <c r="N1593" s="29"/>
      <c r="O1593" s="29"/>
      <c r="P1593" s="34"/>
      <c r="Q1593" s="34"/>
      <c r="R1593" s="35"/>
      <c r="S1593" s="32" t="s">
        <v>29</v>
      </c>
      <c r="T1593" s="33"/>
      <c r="U1593" s="33"/>
    </row>
    <row r="1594" ht="15.75" customHeight="1">
      <c r="A1594" s="20"/>
      <c r="B1594" s="20"/>
      <c r="C1594" s="20"/>
      <c r="D1594" s="21"/>
      <c r="E1594" s="21"/>
      <c r="F1594" s="67"/>
      <c r="G1594" s="23"/>
      <c r="H1594" s="149"/>
      <c r="I1594" s="25"/>
      <c r="J1594" s="26"/>
      <c r="K1594" s="21"/>
      <c r="L1594" s="29"/>
      <c r="M1594" s="28"/>
      <c r="N1594" s="29"/>
      <c r="O1594" s="29"/>
      <c r="P1594" s="34"/>
      <c r="Q1594" s="34"/>
      <c r="R1594" s="35"/>
      <c r="S1594" s="32" t="s">
        <v>29</v>
      </c>
      <c r="T1594" s="33"/>
      <c r="U1594" s="33"/>
    </row>
    <row r="1595" ht="15.75" customHeight="1">
      <c r="A1595" s="20"/>
      <c r="B1595" s="20"/>
      <c r="C1595" s="20"/>
      <c r="D1595" s="21"/>
      <c r="E1595" s="21"/>
      <c r="F1595" s="22"/>
      <c r="G1595" s="21"/>
      <c r="H1595" s="149"/>
      <c r="I1595" s="25"/>
      <c r="J1595" s="26"/>
      <c r="K1595" s="21"/>
      <c r="L1595" s="29"/>
      <c r="M1595" s="28"/>
      <c r="N1595" s="29"/>
      <c r="O1595" s="29"/>
      <c r="P1595" s="34"/>
      <c r="Q1595" s="34"/>
      <c r="R1595" s="35"/>
      <c r="S1595" s="32" t="s">
        <v>29</v>
      </c>
      <c r="T1595" s="33"/>
      <c r="U1595" s="33"/>
    </row>
    <row r="1596" ht="15.75" customHeight="1">
      <c r="A1596" s="20"/>
      <c r="B1596" s="20"/>
      <c r="C1596" s="20"/>
      <c r="D1596" s="21"/>
      <c r="E1596" s="21"/>
      <c r="F1596" s="22"/>
      <c r="G1596" s="23"/>
      <c r="H1596" s="149"/>
      <c r="I1596" s="25"/>
      <c r="J1596" s="26"/>
      <c r="K1596" s="21"/>
      <c r="L1596" s="29"/>
      <c r="M1596" s="28"/>
      <c r="N1596" s="29"/>
      <c r="O1596" s="29"/>
      <c r="P1596" s="34"/>
      <c r="Q1596" s="34"/>
      <c r="R1596" s="35"/>
      <c r="S1596" s="32" t="s">
        <v>29</v>
      </c>
      <c r="T1596" s="33"/>
      <c r="U1596" s="33"/>
    </row>
    <row r="1597" ht="15.75" customHeight="1">
      <c r="A1597" s="20"/>
      <c r="B1597" s="20"/>
      <c r="C1597" s="20"/>
      <c r="D1597" s="21"/>
      <c r="E1597" s="21"/>
      <c r="F1597" s="67"/>
      <c r="G1597" s="23"/>
      <c r="H1597" s="149"/>
      <c r="I1597" s="25"/>
      <c r="J1597" s="26"/>
      <c r="K1597" s="21"/>
      <c r="L1597" s="29"/>
      <c r="M1597" s="28"/>
      <c r="N1597" s="29"/>
      <c r="O1597" s="29"/>
      <c r="P1597" s="34"/>
      <c r="Q1597" s="34"/>
      <c r="R1597" s="35"/>
      <c r="S1597" s="32" t="s">
        <v>29</v>
      </c>
      <c r="T1597" s="33"/>
      <c r="U1597" s="33"/>
    </row>
    <row r="1598" ht="15.75" customHeight="1">
      <c r="A1598" s="20"/>
      <c r="B1598" s="20"/>
      <c r="C1598" s="20"/>
      <c r="D1598" s="21"/>
      <c r="E1598" s="21"/>
      <c r="F1598" s="67"/>
      <c r="G1598" s="23"/>
      <c r="H1598" s="149"/>
      <c r="I1598" s="25"/>
      <c r="J1598" s="26"/>
      <c r="K1598" s="21"/>
      <c r="L1598" s="29"/>
      <c r="M1598" s="28"/>
      <c r="N1598" s="29"/>
      <c r="O1598" s="29"/>
      <c r="P1598" s="34"/>
      <c r="Q1598" s="34"/>
      <c r="R1598" s="35"/>
      <c r="S1598" s="32" t="s">
        <v>29</v>
      </c>
      <c r="T1598" s="33"/>
      <c r="U1598" s="33"/>
    </row>
    <row r="1599" ht="15.75" customHeight="1">
      <c r="A1599" s="20"/>
      <c r="B1599" s="20"/>
      <c r="C1599" s="20"/>
      <c r="D1599" s="21"/>
      <c r="E1599" s="21"/>
      <c r="F1599" s="67"/>
      <c r="G1599" s="23"/>
      <c r="H1599" s="149"/>
      <c r="I1599" s="25"/>
      <c r="J1599" s="26"/>
      <c r="K1599" s="21"/>
      <c r="L1599" s="29"/>
      <c r="M1599" s="28"/>
      <c r="N1599" s="29"/>
      <c r="O1599" s="29"/>
      <c r="P1599" s="34"/>
      <c r="Q1599" s="34"/>
      <c r="R1599" s="35"/>
      <c r="S1599" s="32" t="s">
        <v>29</v>
      </c>
      <c r="T1599" s="33"/>
      <c r="U1599" s="33"/>
    </row>
    <row r="1600" ht="15.75" customHeight="1">
      <c r="A1600" s="20"/>
      <c r="B1600" s="20"/>
      <c r="C1600" s="20"/>
      <c r="D1600" s="21"/>
      <c r="E1600" s="21"/>
      <c r="F1600" s="22"/>
      <c r="G1600" s="21"/>
      <c r="H1600" s="149"/>
      <c r="I1600" s="25"/>
      <c r="J1600" s="26"/>
      <c r="K1600" s="21"/>
      <c r="L1600" s="27"/>
      <c r="M1600" s="28"/>
      <c r="N1600" s="29"/>
      <c r="O1600" s="29"/>
      <c r="P1600" s="34"/>
      <c r="Q1600" s="34"/>
      <c r="R1600" s="35"/>
      <c r="S1600" s="32" t="s">
        <v>29</v>
      </c>
      <c r="T1600" s="33"/>
      <c r="U1600" s="33"/>
    </row>
    <row r="1601" ht="15.75" customHeight="1">
      <c r="A1601" s="20"/>
      <c r="B1601" s="20"/>
      <c r="C1601" s="20"/>
      <c r="D1601" s="21"/>
      <c r="E1601" s="21"/>
      <c r="F1601" s="22"/>
      <c r="G1601" s="21"/>
      <c r="H1601" s="149"/>
      <c r="I1601" s="25"/>
      <c r="J1601" s="26"/>
      <c r="K1601" s="21"/>
      <c r="L1601" s="27"/>
      <c r="M1601" s="28"/>
      <c r="N1601" s="29"/>
      <c r="O1601" s="29"/>
      <c r="P1601" s="34"/>
      <c r="Q1601" s="34"/>
      <c r="R1601" s="35"/>
      <c r="S1601" s="32" t="s">
        <v>29</v>
      </c>
      <c r="T1601" s="33"/>
      <c r="U1601" s="33"/>
    </row>
    <row r="1602" ht="15.75" customHeight="1">
      <c r="A1602" s="20"/>
      <c r="B1602" s="20"/>
      <c r="C1602" s="20"/>
      <c r="D1602" s="21"/>
      <c r="E1602" s="21"/>
      <c r="F1602" s="22"/>
      <c r="G1602" s="21"/>
      <c r="H1602" s="149"/>
      <c r="I1602" s="25"/>
      <c r="J1602" s="26"/>
      <c r="K1602" s="21"/>
      <c r="L1602" s="27"/>
      <c r="M1602" s="28"/>
      <c r="N1602" s="29"/>
      <c r="O1602" s="29"/>
      <c r="P1602" s="34"/>
      <c r="Q1602" s="34"/>
      <c r="R1602" s="35"/>
      <c r="S1602" s="32" t="s">
        <v>29</v>
      </c>
      <c r="T1602" s="33"/>
      <c r="U1602" s="33"/>
    </row>
    <row r="1603" ht="15.75" customHeight="1">
      <c r="A1603" s="20"/>
      <c r="B1603" s="20"/>
      <c r="C1603" s="20"/>
      <c r="D1603" s="21"/>
      <c r="E1603" s="21"/>
      <c r="F1603" s="22"/>
      <c r="G1603" s="21"/>
      <c r="H1603" s="149"/>
      <c r="I1603" s="25"/>
      <c r="J1603" s="26"/>
      <c r="K1603" s="21"/>
      <c r="L1603" s="27"/>
      <c r="M1603" s="28"/>
      <c r="N1603" s="29"/>
      <c r="O1603" s="29"/>
      <c r="P1603" s="34"/>
      <c r="Q1603" s="34"/>
      <c r="R1603" s="35"/>
      <c r="S1603" s="32" t="s">
        <v>29</v>
      </c>
      <c r="T1603" s="33"/>
      <c r="U1603" s="33"/>
    </row>
    <row r="1604" ht="15.75" customHeight="1">
      <c r="A1604" s="20"/>
      <c r="B1604" s="20"/>
      <c r="C1604" s="20"/>
      <c r="D1604" s="21"/>
      <c r="E1604" s="21"/>
      <c r="F1604" s="22"/>
      <c r="G1604" s="21"/>
      <c r="H1604" s="149"/>
      <c r="I1604" s="25"/>
      <c r="J1604" s="26"/>
      <c r="K1604" s="21"/>
      <c r="L1604" s="27"/>
      <c r="M1604" s="28"/>
      <c r="N1604" s="29"/>
      <c r="O1604" s="29"/>
      <c r="P1604" s="34"/>
      <c r="Q1604" s="34"/>
      <c r="R1604" s="35"/>
      <c r="S1604" s="32" t="s">
        <v>29</v>
      </c>
      <c r="T1604" s="33"/>
      <c r="U1604" s="33"/>
    </row>
    <row r="1605" ht="15.75" customHeight="1">
      <c r="A1605" s="20"/>
      <c r="B1605" s="20"/>
      <c r="C1605" s="20"/>
      <c r="D1605" s="21"/>
      <c r="E1605" s="21"/>
      <c r="F1605" s="67"/>
      <c r="G1605" s="23"/>
      <c r="H1605" s="149"/>
      <c r="I1605" s="25"/>
      <c r="J1605" s="26"/>
      <c r="K1605" s="21"/>
      <c r="L1605" s="29"/>
      <c r="M1605" s="28"/>
      <c r="N1605" s="29"/>
      <c r="O1605" s="29"/>
      <c r="P1605" s="34"/>
      <c r="Q1605" s="34"/>
      <c r="R1605" s="35"/>
      <c r="S1605" s="32" t="s">
        <v>29</v>
      </c>
      <c r="T1605" s="33"/>
      <c r="U1605" s="33"/>
    </row>
    <row r="1606" ht="15.75" customHeight="1">
      <c r="A1606" s="20"/>
      <c r="B1606" s="20"/>
      <c r="C1606" s="20"/>
      <c r="D1606" s="21"/>
      <c r="E1606" s="21"/>
      <c r="F1606" s="22"/>
      <c r="G1606" s="21"/>
      <c r="H1606" s="149"/>
      <c r="I1606" s="25"/>
      <c r="J1606" s="26"/>
      <c r="K1606" s="21"/>
      <c r="L1606" s="27"/>
      <c r="M1606" s="28"/>
      <c r="N1606" s="29"/>
      <c r="O1606" s="29"/>
      <c r="P1606" s="34"/>
      <c r="Q1606" s="34"/>
      <c r="R1606" s="35"/>
      <c r="S1606" s="32" t="s">
        <v>29</v>
      </c>
      <c r="T1606" s="33"/>
      <c r="U1606" s="33"/>
    </row>
    <row r="1607" ht="15.75" customHeight="1">
      <c r="A1607" s="20"/>
      <c r="B1607" s="20"/>
      <c r="C1607" s="20"/>
      <c r="D1607" s="21"/>
      <c r="E1607" s="21"/>
      <c r="F1607" s="22"/>
      <c r="G1607" s="21"/>
      <c r="H1607" s="149"/>
      <c r="I1607" s="25"/>
      <c r="J1607" s="26"/>
      <c r="K1607" s="21"/>
      <c r="L1607" s="27"/>
      <c r="M1607" s="28"/>
      <c r="N1607" s="29"/>
      <c r="O1607" s="29"/>
      <c r="P1607" s="34"/>
      <c r="Q1607" s="34"/>
      <c r="R1607" s="35"/>
      <c r="S1607" s="32" t="s">
        <v>29</v>
      </c>
      <c r="T1607" s="33"/>
      <c r="U1607" s="33"/>
    </row>
    <row r="1608" ht="15.75" customHeight="1">
      <c r="A1608" s="20"/>
      <c r="B1608" s="20"/>
      <c r="C1608" s="20"/>
      <c r="D1608" s="21"/>
      <c r="E1608" s="21"/>
      <c r="F1608" s="22"/>
      <c r="G1608" s="21"/>
      <c r="H1608" s="149"/>
      <c r="I1608" s="25"/>
      <c r="J1608" s="26"/>
      <c r="K1608" s="21"/>
      <c r="L1608" s="27"/>
      <c r="M1608" s="28"/>
      <c r="N1608" s="29"/>
      <c r="O1608" s="29"/>
      <c r="P1608" s="34"/>
      <c r="Q1608" s="34"/>
      <c r="R1608" s="35"/>
      <c r="S1608" s="32" t="s">
        <v>29</v>
      </c>
      <c r="T1608" s="33"/>
      <c r="U1608" s="33"/>
    </row>
    <row r="1609" ht="15.75" customHeight="1">
      <c r="A1609" s="20"/>
      <c r="B1609" s="20"/>
      <c r="C1609" s="20"/>
      <c r="D1609" s="21"/>
      <c r="E1609" s="21"/>
      <c r="F1609" s="22"/>
      <c r="G1609" s="21"/>
      <c r="H1609" s="149"/>
      <c r="I1609" s="25"/>
      <c r="J1609" s="26"/>
      <c r="K1609" s="21"/>
      <c r="L1609" s="27"/>
      <c r="M1609" s="28"/>
      <c r="N1609" s="29"/>
      <c r="O1609" s="29"/>
      <c r="P1609" s="34"/>
      <c r="Q1609" s="34"/>
      <c r="R1609" s="35"/>
      <c r="S1609" s="32" t="s">
        <v>29</v>
      </c>
      <c r="T1609" s="33"/>
      <c r="U1609" s="33"/>
    </row>
    <row r="1610" ht="15.75" customHeight="1">
      <c r="A1610" s="20"/>
      <c r="B1610" s="20"/>
      <c r="C1610" s="20"/>
      <c r="D1610" s="21"/>
      <c r="E1610" s="21"/>
      <c r="F1610" s="22"/>
      <c r="G1610" s="21"/>
      <c r="H1610" s="149"/>
      <c r="I1610" s="25"/>
      <c r="J1610" s="26"/>
      <c r="K1610" s="21"/>
      <c r="L1610" s="27"/>
      <c r="M1610" s="28"/>
      <c r="N1610" s="29"/>
      <c r="O1610" s="29"/>
      <c r="P1610" s="34"/>
      <c r="Q1610" s="34"/>
      <c r="R1610" s="35"/>
      <c r="S1610" s="32" t="s">
        <v>29</v>
      </c>
      <c r="T1610" s="33"/>
      <c r="U1610" s="33"/>
    </row>
    <row r="1611" ht="15.75" customHeight="1">
      <c r="A1611" s="20"/>
      <c r="B1611" s="20"/>
      <c r="C1611" s="20"/>
      <c r="D1611" s="21"/>
      <c r="E1611" s="21"/>
      <c r="F1611" s="22"/>
      <c r="G1611" s="21"/>
      <c r="H1611" s="196"/>
      <c r="I1611" s="25"/>
      <c r="J1611" s="26"/>
      <c r="K1611" s="197"/>
      <c r="L1611" s="27"/>
      <c r="M1611" s="28"/>
      <c r="N1611" s="29"/>
      <c r="O1611" s="29"/>
      <c r="P1611" s="34"/>
      <c r="Q1611" s="34"/>
      <c r="R1611" s="35"/>
      <c r="S1611" s="32" t="s">
        <v>29</v>
      </c>
      <c r="T1611" s="33"/>
      <c r="U1611" s="33"/>
    </row>
    <row r="1612" ht="15.75" customHeight="1">
      <c r="A1612" s="20"/>
      <c r="B1612" s="20"/>
      <c r="C1612" s="20"/>
      <c r="D1612" s="21"/>
      <c r="E1612" s="21"/>
      <c r="F1612" s="22"/>
      <c r="G1612" s="21"/>
      <c r="H1612" s="149"/>
      <c r="I1612" s="25"/>
      <c r="J1612" s="26"/>
      <c r="K1612" s="21"/>
      <c r="L1612" s="27"/>
      <c r="M1612" s="28"/>
      <c r="N1612" s="29"/>
      <c r="O1612" s="29"/>
      <c r="P1612" s="34"/>
      <c r="Q1612" s="34"/>
      <c r="R1612" s="35"/>
      <c r="S1612" s="32" t="s">
        <v>29</v>
      </c>
      <c r="T1612" s="33"/>
      <c r="U1612" s="33"/>
    </row>
    <row r="1613" ht="15.75" customHeight="1">
      <c r="A1613" s="20"/>
      <c r="B1613" s="20"/>
      <c r="C1613" s="20"/>
      <c r="D1613" s="21"/>
      <c r="E1613" s="21"/>
      <c r="F1613" s="22"/>
      <c r="G1613" s="21"/>
      <c r="H1613" s="149"/>
      <c r="I1613" s="25"/>
      <c r="J1613" s="26"/>
      <c r="K1613" s="21"/>
      <c r="L1613" s="27"/>
      <c r="M1613" s="28"/>
      <c r="N1613" s="29"/>
      <c r="O1613" s="29"/>
      <c r="P1613" s="34"/>
      <c r="Q1613" s="34"/>
      <c r="R1613" s="35"/>
      <c r="S1613" s="32" t="s">
        <v>29</v>
      </c>
      <c r="T1613" s="33"/>
      <c r="U1613" s="33"/>
    </row>
    <row r="1614" ht="15.75" customHeight="1">
      <c r="A1614" s="20"/>
      <c r="B1614" s="20"/>
      <c r="C1614" s="20"/>
      <c r="D1614" s="21"/>
      <c r="E1614" s="21"/>
      <c r="F1614" s="22"/>
      <c r="G1614" s="21"/>
      <c r="H1614" s="149"/>
      <c r="I1614" s="25"/>
      <c r="J1614" s="26"/>
      <c r="K1614" s="21"/>
      <c r="L1614" s="27"/>
      <c r="M1614" s="28"/>
      <c r="N1614" s="29"/>
      <c r="O1614" s="29"/>
      <c r="P1614" s="34"/>
      <c r="Q1614" s="34"/>
      <c r="R1614" s="35"/>
      <c r="S1614" s="32" t="s">
        <v>29</v>
      </c>
      <c r="T1614" s="33"/>
      <c r="U1614" s="33"/>
    </row>
    <row r="1615" ht="15.75" customHeight="1">
      <c r="A1615" s="20"/>
      <c r="B1615" s="20"/>
      <c r="C1615" s="20"/>
      <c r="D1615" s="21"/>
      <c r="E1615" s="21"/>
      <c r="F1615" s="22"/>
      <c r="G1615" s="21"/>
      <c r="H1615" s="149"/>
      <c r="I1615" s="25"/>
      <c r="J1615" s="26"/>
      <c r="K1615" s="21"/>
      <c r="L1615" s="27"/>
      <c r="M1615" s="28"/>
      <c r="N1615" s="29"/>
      <c r="O1615" s="29"/>
      <c r="P1615" s="34"/>
      <c r="Q1615" s="34"/>
      <c r="R1615" s="35"/>
      <c r="S1615" s="32" t="s">
        <v>29</v>
      </c>
      <c r="T1615" s="33"/>
      <c r="U1615" s="33"/>
    </row>
    <row r="1616" ht="15.75" customHeight="1">
      <c r="A1616" s="20"/>
      <c r="B1616" s="20"/>
      <c r="C1616" s="20"/>
      <c r="D1616" s="21"/>
      <c r="E1616" s="21"/>
      <c r="F1616" s="22"/>
      <c r="G1616" s="21"/>
      <c r="H1616" s="149"/>
      <c r="I1616" s="25"/>
      <c r="J1616" s="26"/>
      <c r="K1616" s="21"/>
      <c r="L1616" s="27"/>
      <c r="M1616" s="28"/>
      <c r="N1616" s="29"/>
      <c r="O1616" s="29"/>
      <c r="P1616" s="34"/>
      <c r="Q1616" s="34"/>
      <c r="R1616" s="35"/>
      <c r="S1616" s="32" t="s">
        <v>29</v>
      </c>
      <c r="T1616" s="33"/>
      <c r="U1616" s="33"/>
    </row>
    <row r="1617" ht="15.75" customHeight="1">
      <c r="A1617" s="20"/>
      <c r="B1617" s="20"/>
      <c r="C1617" s="20"/>
      <c r="D1617" s="21"/>
      <c r="E1617" s="21"/>
      <c r="F1617" s="22"/>
      <c r="G1617" s="21"/>
      <c r="H1617" s="149"/>
      <c r="I1617" s="25"/>
      <c r="J1617" s="26"/>
      <c r="K1617" s="197"/>
      <c r="L1617" s="27"/>
      <c r="M1617" s="28"/>
      <c r="N1617" s="29"/>
      <c r="O1617" s="29"/>
      <c r="P1617" s="34"/>
      <c r="Q1617" s="34"/>
      <c r="R1617" s="35"/>
      <c r="S1617" s="32" t="s">
        <v>29</v>
      </c>
      <c r="T1617" s="33"/>
      <c r="U1617" s="33"/>
    </row>
    <row r="1618" ht="15.75" customHeight="1">
      <c r="A1618" s="20"/>
      <c r="B1618" s="20"/>
      <c r="C1618" s="20"/>
      <c r="D1618" s="21"/>
      <c r="E1618" s="21"/>
      <c r="F1618" s="22"/>
      <c r="G1618" s="21"/>
      <c r="H1618" s="186"/>
      <c r="I1618" s="25"/>
      <c r="J1618" s="26"/>
      <c r="K1618" s="197"/>
      <c r="L1618" s="27"/>
      <c r="M1618" s="28"/>
      <c r="N1618" s="29"/>
      <c r="O1618" s="29"/>
      <c r="P1618" s="34"/>
      <c r="Q1618" s="34"/>
      <c r="R1618" s="35"/>
      <c r="S1618" s="32" t="s">
        <v>29</v>
      </c>
      <c r="T1618" s="33"/>
      <c r="U1618" s="33"/>
    </row>
    <row r="1619" ht="15.75" customHeight="1">
      <c r="A1619" s="20"/>
      <c r="B1619" s="20"/>
      <c r="C1619" s="20"/>
      <c r="D1619" s="21"/>
      <c r="E1619" s="21"/>
      <c r="F1619" s="22"/>
      <c r="G1619" s="21"/>
      <c r="H1619" s="149"/>
      <c r="I1619" s="25"/>
      <c r="J1619" s="26"/>
      <c r="K1619" s="21"/>
      <c r="L1619" s="27"/>
      <c r="M1619" s="28"/>
      <c r="N1619" s="29"/>
      <c r="O1619" s="29"/>
      <c r="P1619" s="34"/>
      <c r="Q1619" s="34"/>
      <c r="R1619" s="35"/>
      <c r="S1619" s="32" t="s">
        <v>29</v>
      </c>
      <c r="T1619" s="33"/>
      <c r="U1619" s="33"/>
    </row>
    <row r="1620" ht="15.75" customHeight="1">
      <c r="A1620" s="20"/>
      <c r="B1620" s="20"/>
      <c r="C1620" s="20"/>
      <c r="D1620" s="21"/>
      <c r="E1620" s="21"/>
      <c r="F1620" s="22"/>
      <c r="G1620" s="21"/>
      <c r="H1620" s="149"/>
      <c r="I1620" s="25"/>
      <c r="J1620" s="26"/>
      <c r="K1620" s="21"/>
      <c r="L1620" s="27"/>
      <c r="M1620" s="28"/>
      <c r="N1620" s="29"/>
      <c r="O1620" s="29"/>
      <c r="P1620" s="34"/>
      <c r="Q1620" s="34"/>
      <c r="R1620" s="35"/>
      <c r="S1620" s="32" t="s">
        <v>29</v>
      </c>
      <c r="T1620" s="33"/>
      <c r="U1620" s="33"/>
    </row>
    <row r="1621" ht="15.75" customHeight="1">
      <c r="A1621" s="20"/>
      <c r="B1621" s="20"/>
      <c r="C1621" s="20"/>
      <c r="D1621" s="21"/>
      <c r="E1621" s="21"/>
      <c r="F1621" s="22"/>
      <c r="G1621" s="21"/>
      <c r="H1621" s="149"/>
      <c r="I1621" s="25"/>
      <c r="J1621" s="26"/>
      <c r="K1621" s="21"/>
      <c r="L1621" s="27"/>
      <c r="M1621" s="28"/>
      <c r="N1621" s="29"/>
      <c r="O1621" s="29"/>
      <c r="P1621" s="34"/>
      <c r="Q1621" s="34"/>
      <c r="R1621" s="35"/>
      <c r="S1621" s="32" t="s">
        <v>29</v>
      </c>
      <c r="T1621" s="33"/>
      <c r="U1621" s="33"/>
    </row>
    <row r="1622" ht="15.75" customHeight="1">
      <c r="A1622" s="20"/>
      <c r="B1622" s="20"/>
      <c r="C1622" s="20"/>
      <c r="D1622" s="21"/>
      <c r="E1622" s="21"/>
      <c r="F1622" s="22"/>
      <c r="G1622" s="21"/>
      <c r="H1622" s="149"/>
      <c r="I1622" s="25"/>
      <c r="J1622" s="26"/>
      <c r="K1622" s="21"/>
      <c r="L1622" s="27"/>
      <c r="M1622" s="28"/>
      <c r="N1622" s="29"/>
      <c r="O1622" s="29"/>
      <c r="P1622" s="34"/>
      <c r="Q1622" s="34"/>
      <c r="R1622" s="35"/>
      <c r="S1622" s="32" t="s">
        <v>29</v>
      </c>
      <c r="T1622" s="33"/>
      <c r="U1622" s="33"/>
    </row>
    <row r="1623" ht="15.75" customHeight="1">
      <c r="A1623" s="20"/>
      <c r="B1623" s="20"/>
      <c r="C1623" s="20"/>
      <c r="D1623" s="21"/>
      <c r="E1623" s="21"/>
      <c r="F1623" s="22"/>
      <c r="G1623" s="21"/>
      <c r="H1623" s="149"/>
      <c r="I1623" s="25"/>
      <c r="J1623" s="26"/>
      <c r="K1623" s="21"/>
      <c r="L1623" s="27"/>
      <c r="M1623" s="28"/>
      <c r="N1623" s="29"/>
      <c r="O1623" s="29"/>
      <c r="P1623" s="34"/>
      <c r="Q1623" s="34"/>
      <c r="R1623" s="35"/>
      <c r="S1623" s="32" t="s">
        <v>29</v>
      </c>
      <c r="T1623" s="33"/>
      <c r="U1623" s="33"/>
    </row>
    <row r="1624" ht="15.75" customHeight="1">
      <c r="A1624" s="20"/>
      <c r="B1624" s="20"/>
      <c r="C1624" s="20"/>
      <c r="D1624" s="21"/>
      <c r="E1624" s="21"/>
      <c r="F1624" s="22"/>
      <c r="G1624" s="21"/>
      <c r="H1624" s="149"/>
      <c r="I1624" s="25"/>
      <c r="J1624" s="26"/>
      <c r="K1624" s="21"/>
      <c r="L1624" s="27"/>
      <c r="M1624" s="28"/>
      <c r="N1624" s="29"/>
      <c r="O1624" s="29"/>
      <c r="P1624" s="34"/>
      <c r="Q1624" s="34"/>
      <c r="R1624" s="35"/>
      <c r="S1624" s="32" t="s">
        <v>29</v>
      </c>
      <c r="T1624" s="33"/>
      <c r="U1624" s="33"/>
    </row>
    <row r="1625" ht="15.75" customHeight="1">
      <c r="A1625" s="20"/>
      <c r="B1625" s="20"/>
      <c r="C1625" s="20"/>
      <c r="D1625" s="21"/>
      <c r="E1625" s="21"/>
      <c r="F1625" s="22"/>
      <c r="G1625" s="21"/>
      <c r="H1625" s="149"/>
      <c r="I1625" s="25"/>
      <c r="J1625" s="26"/>
      <c r="K1625" s="21"/>
      <c r="L1625" s="27"/>
      <c r="M1625" s="28"/>
      <c r="N1625" s="29"/>
      <c r="O1625" s="29"/>
      <c r="P1625" s="34"/>
      <c r="Q1625" s="34"/>
      <c r="R1625" s="35"/>
      <c r="S1625" s="32" t="s">
        <v>29</v>
      </c>
      <c r="T1625" s="33"/>
      <c r="U1625" s="33"/>
    </row>
    <row r="1626" ht="15.75" customHeight="1">
      <c r="A1626" s="20"/>
      <c r="B1626" s="20"/>
      <c r="C1626" s="20"/>
      <c r="D1626" s="21"/>
      <c r="E1626" s="21"/>
      <c r="F1626" s="22"/>
      <c r="G1626" s="21"/>
      <c r="H1626" s="149"/>
      <c r="I1626" s="25"/>
      <c r="J1626" s="26"/>
      <c r="K1626" s="21"/>
      <c r="L1626" s="27"/>
      <c r="M1626" s="28"/>
      <c r="N1626" s="29"/>
      <c r="O1626" s="29"/>
      <c r="P1626" s="34"/>
      <c r="Q1626" s="34"/>
      <c r="R1626" s="35"/>
      <c r="S1626" s="32" t="s">
        <v>29</v>
      </c>
      <c r="T1626" s="33"/>
      <c r="U1626" s="33"/>
    </row>
    <row r="1627" ht="15.75" customHeight="1">
      <c r="A1627" s="20"/>
      <c r="B1627" s="20"/>
      <c r="C1627" s="20"/>
      <c r="D1627" s="21"/>
      <c r="E1627" s="21"/>
      <c r="F1627" s="22"/>
      <c r="G1627" s="21"/>
      <c r="H1627" s="149"/>
      <c r="I1627" s="25"/>
      <c r="J1627" s="26"/>
      <c r="K1627" s="21"/>
      <c r="L1627" s="27"/>
      <c r="M1627" s="28"/>
      <c r="N1627" s="29"/>
      <c r="O1627" s="29"/>
      <c r="P1627" s="34"/>
      <c r="Q1627" s="34"/>
      <c r="R1627" s="35"/>
      <c r="S1627" s="32" t="s">
        <v>29</v>
      </c>
      <c r="T1627" s="33"/>
      <c r="U1627" s="33"/>
    </row>
    <row r="1628" ht="15.75" customHeight="1">
      <c r="A1628" s="20"/>
      <c r="B1628" s="20"/>
      <c r="C1628" s="20"/>
      <c r="D1628" s="21"/>
      <c r="E1628" s="21"/>
      <c r="F1628" s="22"/>
      <c r="G1628" s="37"/>
      <c r="H1628" s="149"/>
      <c r="I1628" s="25"/>
      <c r="J1628" s="26"/>
      <c r="K1628" s="21"/>
      <c r="L1628" s="27"/>
      <c r="M1628" s="28"/>
      <c r="N1628" s="29"/>
      <c r="O1628" s="29"/>
      <c r="P1628" s="34"/>
      <c r="Q1628" s="34"/>
      <c r="R1628" s="35"/>
      <c r="S1628" s="32" t="s">
        <v>29</v>
      </c>
      <c r="T1628" s="33"/>
      <c r="U1628" s="33"/>
    </row>
    <row r="1629" ht="15.75" customHeight="1">
      <c r="A1629" s="20"/>
      <c r="B1629" s="20"/>
      <c r="C1629" s="20"/>
      <c r="D1629" s="21"/>
      <c r="E1629" s="21"/>
      <c r="F1629" s="22"/>
      <c r="G1629" s="21"/>
      <c r="H1629" s="149"/>
      <c r="I1629" s="25"/>
      <c r="J1629" s="26"/>
      <c r="K1629" s="21"/>
      <c r="L1629" s="27"/>
      <c r="M1629" s="28"/>
      <c r="N1629" s="29"/>
      <c r="O1629" s="29"/>
      <c r="P1629" s="34"/>
      <c r="Q1629" s="34"/>
      <c r="R1629" s="35"/>
      <c r="S1629" s="32" t="s">
        <v>29</v>
      </c>
      <c r="T1629" s="33"/>
      <c r="U1629" s="33"/>
    </row>
    <row r="1630" ht="15.75" customHeight="1">
      <c r="A1630" s="20"/>
      <c r="B1630" s="20"/>
      <c r="C1630" s="20"/>
      <c r="D1630" s="21"/>
      <c r="E1630" s="21"/>
      <c r="F1630" s="22"/>
      <c r="G1630" s="21"/>
      <c r="H1630" s="149"/>
      <c r="I1630" s="25"/>
      <c r="J1630" s="26"/>
      <c r="K1630" s="21"/>
      <c r="L1630" s="27"/>
      <c r="M1630" s="28"/>
      <c r="N1630" s="29"/>
      <c r="O1630" s="29"/>
      <c r="P1630" s="34"/>
      <c r="Q1630" s="34"/>
      <c r="R1630" s="35"/>
      <c r="S1630" s="32" t="s">
        <v>29</v>
      </c>
      <c r="T1630" s="33"/>
      <c r="U1630" s="33"/>
    </row>
    <row r="1631" ht="15.75" customHeight="1">
      <c r="A1631" s="20"/>
      <c r="B1631" s="20"/>
      <c r="C1631" s="20"/>
      <c r="D1631" s="21"/>
      <c r="E1631" s="21"/>
      <c r="F1631" s="67"/>
      <c r="G1631" s="23"/>
      <c r="H1631" s="149"/>
      <c r="I1631" s="25"/>
      <c r="J1631" s="26"/>
      <c r="K1631" s="21"/>
      <c r="L1631" s="29"/>
      <c r="M1631" s="28"/>
      <c r="N1631" s="29"/>
      <c r="O1631" s="29"/>
      <c r="P1631" s="34"/>
      <c r="Q1631" s="34"/>
      <c r="R1631" s="35"/>
      <c r="S1631" s="32" t="s">
        <v>29</v>
      </c>
      <c r="T1631" s="33"/>
      <c r="U1631" s="33"/>
    </row>
    <row r="1632" ht="15.75" customHeight="1">
      <c r="A1632" s="20"/>
      <c r="B1632" s="20"/>
      <c r="C1632" s="20"/>
      <c r="D1632" s="21"/>
      <c r="E1632" s="21"/>
      <c r="F1632" s="67"/>
      <c r="G1632" s="23"/>
      <c r="H1632" s="149"/>
      <c r="I1632" s="25"/>
      <c r="J1632" s="26"/>
      <c r="K1632" s="21"/>
      <c r="L1632" s="29"/>
      <c r="M1632" s="28"/>
      <c r="N1632" s="29"/>
      <c r="O1632" s="29"/>
      <c r="P1632" s="34"/>
      <c r="Q1632" s="34"/>
      <c r="R1632" s="35"/>
      <c r="S1632" s="32" t="s">
        <v>29</v>
      </c>
      <c r="T1632" s="33"/>
      <c r="U1632" s="33"/>
    </row>
    <row r="1633" ht="15.75" customHeight="1">
      <c r="A1633" s="20"/>
      <c r="B1633" s="20"/>
      <c r="C1633" s="20"/>
      <c r="D1633" s="21"/>
      <c r="E1633" s="21"/>
      <c r="F1633" s="67"/>
      <c r="G1633" s="23"/>
      <c r="H1633" s="149"/>
      <c r="I1633" s="25"/>
      <c r="J1633" s="26"/>
      <c r="K1633" s="21"/>
      <c r="L1633" s="29"/>
      <c r="M1633" s="28"/>
      <c r="N1633" s="29"/>
      <c r="O1633" s="29"/>
      <c r="P1633" s="34"/>
      <c r="Q1633" s="34"/>
      <c r="R1633" s="35"/>
      <c r="S1633" s="32" t="s">
        <v>29</v>
      </c>
      <c r="T1633" s="33"/>
      <c r="U1633" s="33"/>
    </row>
    <row r="1634" ht="15.75" customHeight="1">
      <c r="A1634" s="20"/>
      <c r="B1634" s="20"/>
      <c r="C1634" s="20"/>
      <c r="D1634" s="21"/>
      <c r="E1634" s="21"/>
      <c r="F1634" s="22"/>
      <c r="G1634" s="21"/>
      <c r="H1634" s="149"/>
      <c r="I1634" s="25"/>
      <c r="J1634" s="26"/>
      <c r="K1634" s="21"/>
      <c r="L1634" s="29"/>
      <c r="M1634" s="28"/>
      <c r="N1634" s="29"/>
      <c r="O1634" s="29"/>
      <c r="P1634" s="34"/>
      <c r="Q1634" s="34"/>
      <c r="R1634" s="35"/>
      <c r="S1634" s="32" t="s">
        <v>29</v>
      </c>
      <c r="T1634" s="33"/>
      <c r="U1634" s="33"/>
    </row>
    <row r="1635" ht="15.75" customHeight="1">
      <c r="A1635" s="20"/>
      <c r="B1635" s="20"/>
      <c r="C1635" s="20"/>
      <c r="D1635" s="21"/>
      <c r="E1635" s="21"/>
      <c r="F1635" s="22"/>
      <c r="G1635" s="21"/>
      <c r="H1635" s="149"/>
      <c r="I1635" s="25"/>
      <c r="J1635" s="26"/>
      <c r="K1635" s="21"/>
      <c r="L1635" s="27"/>
      <c r="M1635" s="28"/>
      <c r="N1635" s="29"/>
      <c r="O1635" s="29"/>
      <c r="P1635" s="34"/>
      <c r="Q1635" s="34"/>
      <c r="R1635" s="35"/>
      <c r="S1635" s="32" t="s">
        <v>29</v>
      </c>
      <c r="T1635" s="33"/>
      <c r="U1635" s="33"/>
    </row>
    <row r="1636" ht="15.75" customHeight="1">
      <c r="A1636" s="20"/>
      <c r="B1636" s="20"/>
      <c r="C1636" s="20"/>
      <c r="D1636" s="21"/>
      <c r="E1636" s="21"/>
      <c r="F1636" s="22"/>
      <c r="G1636" s="21"/>
      <c r="H1636" s="149"/>
      <c r="I1636" s="25"/>
      <c r="J1636" s="26"/>
      <c r="K1636" s="21"/>
      <c r="L1636" s="27"/>
      <c r="M1636" s="28"/>
      <c r="N1636" s="29"/>
      <c r="O1636" s="29"/>
      <c r="P1636" s="34"/>
      <c r="Q1636" s="34"/>
      <c r="R1636" s="35"/>
      <c r="S1636" s="32" t="s">
        <v>29</v>
      </c>
      <c r="T1636" s="33"/>
      <c r="U1636" s="33"/>
    </row>
    <row r="1637" ht="15.75" customHeight="1">
      <c r="A1637" s="20"/>
      <c r="B1637" s="20"/>
      <c r="C1637" s="20"/>
      <c r="D1637" s="21"/>
      <c r="E1637" s="21"/>
      <c r="F1637" s="22"/>
      <c r="G1637" s="21"/>
      <c r="H1637" s="149"/>
      <c r="I1637" s="25"/>
      <c r="J1637" s="26"/>
      <c r="K1637" s="21"/>
      <c r="L1637" s="27"/>
      <c r="M1637" s="28"/>
      <c r="N1637" s="29"/>
      <c r="O1637" s="29"/>
      <c r="P1637" s="34"/>
      <c r="Q1637" s="34"/>
      <c r="R1637" s="35"/>
      <c r="S1637" s="32" t="s">
        <v>29</v>
      </c>
      <c r="T1637" s="33"/>
      <c r="U1637" s="33"/>
    </row>
    <row r="1638" ht="15.75" customHeight="1">
      <c r="A1638" s="20"/>
      <c r="B1638" s="20"/>
      <c r="C1638" s="20"/>
      <c r="D1638" s="21"/>
      <c r="E1638" s="21"/>
      <c r="F1638" s="22"/>
      <c r="G1638" s="21"/>
      <c r="H1638" s="149"/>
      <c r="I1638" s="25"/>
      <c r="J1638" s="26"/>
      <c r="K1638" s="21"/>
      <c r="L1638" s="27"/>
      <c r="M1638" s="28"/>
      <c r="N1638" s="29"/>
      <c r="O1638" s="29"/>
      <c r="P1638" s="34"/>
      <c r="Q1638" s="34"/>
      <c r="R1638" s="35"/>
      <c r="S1638" s="32" t="s">
        <v>29</v>
      </c>
      <c r="T1638" s="33"/>
      <c r="U1638" s="33"/>
    </row>
    <row r="1639" ht="15.75" customHeight="1">
      <c r="A1639" s="20"/>
      <c r="B1639" s="20"/>
      <c r="C1639" s="20"/>
      <c r="D1639" s="21"/>
      <c r="E1639" s="21"/>
      <c r="F1639" s="22"/>
      <c r="G1639" s="21"/>
      <c r="H1639" s="149"/>
      <c r="I1639" s="25"/>
      <c r="J1639" s="26"/>
      <c r="K1639" s="21"/>
      <c r="L1639" s="27"/>
      <c r="M1639" s="28"/>
      <c r="N1639" s="29"/>
      <c r="O1639" s="29"/>
      <c r="P1639" s="34"/>
      <c r="Q1639" s="34"/>
      <c r="R1639" s="35"/>
      <c r="S1639" s="32" t="s">
        <v>29</v>
      </c>
      <c r="T1639" s="33"/>
      <c r="U1639" s="33"/>
    </row>
    <row r="1640" ht="15.75" customHeight="1">
      <c r="A1640" s="20"/>
      <c r="B1640" s="20"/>
      <c r="C1640" s="20"/>
      <c r="D1640" s="21"/>
      <c r="E1640" s="21"/>
      <c r="F1640" s="22"/>
      <c r="G1640" s="21"/>
      <c r="H1640" s="149"/>
      <c r="I1640" s="25"/>
      <c r="J1640" s="26"/>
      <c r="K1640" s="21"/>
      <c r="L1640" s="27"/>
      <c r="M1640" s="28"/>
      <c r="N1640" s="29"/>
      <c r="O1640" s="29"/>
      <c r="P1640" s="34"/>
      <c r="Q1640" s="34"/>
      <c r="R1640" s="35"/>
      <c r="S1640" s="32" t="s">
        <v>29</v>
      </c>
      <c r="T1640" s="33"/>
      <c r="U1640" s="33"/>
    </row>
    <row r="1641" ht="16.5" customHeight="1">
      <c r="A1641" s="20"/>
      <c r="B1641" s="20"/>
      <c r="C1641" s="20"/>
      <c r="D1641" s="21"/>
      <c r="E1641" s="21"/>
      <c r="F1641" s="22"/>
      <c r="G1641" s="21"/>
      <c r="H1641" s="150"/>
      <c r="I1641" s="25"/>
      <c r="J1641" s="26"/>
      <c r="K1641" s="195"/>
      <c r="L1641" s="27"/>
      <c r="M1641" s="28"/>
      <c r="N1641" s="29"/>
      <c r="O1641" s="29"/>
      <c r="P1641" s="34"/>
      <c r="Q1641" s="34"/>
      <c r="R1641" s="35"/>
      <c r="S1641" s="32" t="s">
        <v>29</v>
      </c>
      <c r="T1641" s="33"/>
      <c r="U1641" s="33"/>
    </row>
    <row r="1642" ht="15.75" customHeight="1">
      <c r="A1642" s="20"/>
      <c r="B1642" s="20"/>
      <c r="C1642" s="20"/>
      <c r="D1642" s="21"/>
      <c r="E1642" s="21"/>
      <c r="F1642" s="22"/>
      <c r="G1642" s="21"/>
      <c r="H1642" s="149"/>
      <c r="I1642" s="25"/>
      <c r="J1642" s="26"/>
      <c r="K1642" s="185"/>
      <c r="L1642" s="27"/>
      <c r="M1642" s="28"/>
      <c r="N1642" s="29"/>
      <c r="O1642" s="29"/>
      <c r="P1642" s="34"/>
      <c r="Q1642" s="34"/>
      <c r="R1642" s="35"/>
      <c r="S1642" s="32" t="s">
        <v>29</v>
      </c>
      <c r="T1642" s="33"/>
      <c r="U1642" s="33"/>
    </row>
    <row r="1643" ht="15.75" customHeight="1">
      <c r="A1643" s="20"/>
      <c r="B1643" s="20"/>
      <c r="C1643" s="20"/>
      <c r="D1643" s="21"/>
      <c r="E1643" s="21"/>
      <c r="F1643" s="22"/>
      <c r="G1643" s="21"/>
      <c r="H1643" s="149"/>
      <c r="I1643" s="25"/>
      <c r="J1643" s="26"/>
      <c r="K1643" s="21"/>
      <c r="L1643" s="27"/>
      <c r="M1643" s="28"/>
      <c r="N1643" s="29"/>
      <c r="O1643" s="29"/>
      <c r="P1643" s="34"/>
      <c r="Q1643" s="34"/>
      <c r="R1643" s="35"/>
      <c r="S1643" s="32" t="s">
        <v>29</v>
      </c>
      <c r="T1643" s="33"/>
      <c r="U1643" s="33"/>
    </row>
    <row r="1644" ht="15.75" customHeight="1">
      <c r="A1644" s="20"/>
      <c r="B1644" s="20"/>
      <c r="C1644" s="20"/>
      <c r="D1644" s="21"/>
      <c r="E1644" s="21"/>
      <c r="F1644" s="22"/>
      <c r="G1644" s="21"/>
      <c r="H1644" s="149"/>
      <c r="I1644" s="25"/>
      <c r="J1644" s="26"/>
      <c r="K1644" s="21"/>
      <c r="L1644" s="27"/>
      <c r="M1644" s="28"/>
      <c r="N1644" s="29"/>
      <c r="O1644" s="29"/>
      <c r="P1644" s="34"/>
      <c r="Q1644" s="34"/>
      <c r="R1644" s="35"/>
      <c r="S1644" s="32" t="s">
        <v>29</v>
      </c>
      <c r="T1644" s="33"/>
      <c r="U1644" s="33"/>
    </row>
    <row r="1645" ht="15.75" customHeight="1">
      <c r="A1645" s="20"/>
      <c r="B1645" s="20"/>
      <c r="C1645" s="20"/>
      <c r="D1645" s="21"/>
      <c r="E1645" s="21"/>
      <c r="F1645" s="22"/>
      <c r="G1645" s="21"/>
      <c r="H1645" s="149"/>
      <c r="I1645" s="25"/>
      <c r="J1645" s="26"/>
      <c r="K1645" s="21"/>
      <c r="L1645" s="27"/>
      <c r="M1645" s="28"/>
      <c r="N1645" s="29"/>
      <c r="O1645" s="29"/>
      <c r="P1645" s="34"/>
      <c r="Q1645" s="34"/>
      <c r="R1645" s="35"/>
      <c r="S1645" s="32" t="s">
        <v>29</v>
      </c>
      <c r="T1645" s="33"/>
      <c r="U1645" s="33"/>
    </row>
    <row r="1646" ht="15.75" customHeight="1">
      <c r="A1646" s="20"/>
      <c r="B1646" s="20"/>
      <c r="C1646" s="20"/>
      <c r="D1646" s="21"/>
      <c r="E1646" s="21"/>
      <c r="F1646" s="22"/>
      <c r="G1646" s="21"/>
      <c r="H1646" s="149"/>
      <c r="I1646" s="25"/>
      <c r="J1646" s="26"/>
      <c r="K1646" s="21"/>
      <c r="L1646" s="27"/>
      <c r="M1646" s="28"/>
      <c r="N1646" s="29"/>
      <c r="O1646" s="29"/>
      <c r="P1646" s="34"/>
      <c r="Q1646" s="34"/>
      <c r="R1646" s="35"/>
      <c r="S1646" s="32" t="s">
        <v>29</v>
      </c>
      <c r="T1646" s="33"/>
      <c r="U1646" s="33"/>
    </row>
    <row r="1647" ht="15.75" customHeight="1">
      <c r="A1647" s="20"/>
      <c r="B1647" s="20"/>
      <c r="C1647" s="20"/>
      <c r="D1647" s="21"/>
      <c r="E1647" s="21"/>
      <c r="F1647" s="22"/>
      <c r="G1647" s="21"/>
      <c r="H1647" s="149"/>
      <c r="I1647" s="25"/>
      <c r="J1647" s="26"/>
      <c r="K1647" s="21"/>
      <c r="L1647" s="27"/>
      <c r="M1647" s="28"/>
      <c r="N1647" s="29"/>
      <c r="O1647" s="29"/>
      <c r="P1647" s="34"/>
      <c r="Q1647" s="34"/>
      <c r="R1647" s="35"/>
      <c r="S1647" s="32" t="s">
        <v>29</v>
      </c>
      <c r="T1647" s="33"/>
      <c r="U1647" s="33"/>
    </row>
    <row r="1648" ht="15.75" customHeight="1">
      <c r="A1648" s="20"/>
      <c r="B1648" s="20"/>
      <c r="C1648" s="20"/>
      <c r="D1648" s="21"/>
      <c r="E1648" s="21"/>
      <c r="F1648" s="22"/>
      <c r="G1648" s="21"/>
      <c r="H1648" s="149"/>
      <c r="I1648" s="25"/>
      <c r="J1648" s="26"/>
      <c r="K1648" s="21"/>
      <c r="L1648" s="27"/>
      <c r="M1648" s="28"/>
      <c r="N1648" s="29"/>
      <c r="O1648" s="29"/>
      <c r="P1648" s="34"/>
      <c r="Q1648" s="34"/>
      <c r="R1648" s="35"/>
      <c r="S1648" s="32" t="s">
        <v>29</v>
      </c>
      <c r="T1648" s="33"/>
      <c r="U1648" s="33"/>
    </row>
    <row r="1649" ht="15.75" customHeight="1">
      <c r="A1649" s="20"/>
      <c r="B1649" s="20"/>
      <c r="C1649" s="20"/>
      <c r="D1649" s="21"/>
      <c r="E1649" s="21"/>
      <c r="F1649" s="22"/>
      <c r="G1649" s="21"/>
      <c r="H1649" s="149"/>
      <c r="I1649" s="25"/>
      <c r="J1649" s="26"/>
      <c r="K1649" s="21"/>
      <c r="L1649" s="27"/>
      <c r="M1649" s="28"/>
      <c r="N1649" s="29"/>
      <c r="O1649" s="29"/>
      <c r="P1649" s="34"/>
      <c r="Q1649" s="34"/>
      <c r="R1649" s="35"/>
      <c r="S1649" s="32" t="s">
        <v>29</v>
      </c>
      <c r="T1649" s="33"/>
      <c r="U1649" s="33"/>
    </row>
    <row r="1650" ht="15.75" customHeight="1">
      <c r="A1650" s="20"/>
      <c r="B1650" s="20"/>
      <c r="C1650" s="20"/>
      <c r="D1650" s="21"/>
      <c r="E1650" s="21"/>
      <c r="F1650" s="22"/>
      <c r="G1650" s="21"/>
      <c r="H1650" s="149"/>
      <c r="I1650" s="25"/>
      <c r="J1650" s="26"/>
      <c r="K1650" s="21"/>
      <c r="L1650" s="27"/>
      <c r="M1650" s="28"/>
      <c r="N1650" s="29"/>
      <c r="O1650" s="29"/>
      <c r="P1650" s="34"/>
      <c r="Q1650" s="34"/>
      <c r="R1650" s="35"/>
      <c r="S1650" s="32" t="s">
        <v>29</v>
      </c>
      <c r="T1650" s="33"/>
      <c r="U1650" s="33"/>
    </row>
    <row r="1651" ht="15.75" customHeight="1">
      <c r="A1651" s="20"/>
      <c r="B1651" s="20"/>
      <c r="C1651" s="20"/>
      <c r="D1651" s="21"/>
      <c r="E1651" s="21"/>
      <c r="F1651" s="22"/>
      <c r="G1651" s="21"/>
      <c r="H1651" s="149"/>
      <c r="I1651" s="25"/>
      <c r="J1651" s="26"/>
      <c r="K1651" s="21"/>
      <c r="L1651" s="27"/>
      <c r="M1651" s="28"/>
      <c r="N1651" s="29"/>
      <c r="O1651" s="29"/>
      <c r="P1651" s="34"/>
      <c r="Q1651" s="34"/>
      <c r="R1651" s="35"/>
      <c r="S1651" s="32" t="s">
        <v>29</v>
      </c>
      <c r="T1651" s="33"/>
      <c r="U1651" s="33"/>
    </row>
    <row r="1652" ht="15.75" customHeight="1">
      <c r="A1652" s="20"/>
      <c r="B1652" s="20"/>
      <c r="C1652" s="20"/>
      <c r="D1652" s="21"/>
      <c r="E1652" s="21"/>
      <c r="F1652" s="22"/>
      <c r="G1652" s="21"/>
      <c r="H1652" s="149"/>
      <c r="I1652" s="25"/>
      <c r="J1652" s="26"/>
      <c r="K1652" s="21"/>
      <c r="L1652" s="27"/>
      <c r="M1652" s="28"/>
      <c r="N1652" s="29"/>
      <c r="O1652" s="29"/>
      <c r="P1652" s="34"/>
      <c r="Q1652" s="34"/>
      <c r="R1652" s="35"/>
      <c r="S1652" s="32" t="s">
        <v>29</v>
      </c>
      <c r="T1652" s="33"/>
      <c r="U1652" s="33"/>
    </row>
    <row r="1653" ht="15.75" customHeight="1">
      <c r="A1653" s="20"/>
      <c r="B1653" s="20"/>
      <c r="C1653" s="20"/>
      <c r="D1653" s="21"/>
      <c r="E1653" s="21"/>
      <c r="F1653" s="22"/>
      <c r="G1653" s="21"/>
      <c r="H1653" s="186"/>
      <c r="I1653" s="25"/>
      <c r="J1653" s="26"/>
      <c r="K1653" s="185"/>
      <c r="L1653" s="27"/>
      <c r="M1653" s="28"/>
      <c r="N1653" s="29"/>
      <c r="O1653" s="29"/>
      <c r="P1653" s="34"/>
      <c r="Q1653" s="34"/>
      <c r="R1653" s="35"/>
      <c r="S1653" s="32" t="s">
        <v>29</v>
      </c>
      <c r="T1653" s="33"/>
      <c r="U1653" s="33"/>
    </row>
    <row r="1654" ht="15.75" customHeight="1">
      <c r="A1654" s="20"/>
      <c r="B1654" s="20"/>
      <c r="C1654" s="20"/>
      <c r="D1654" s="21"/>
      <c r="E1654" s="21"/>
      <c r="F1654" s="22"/>
      <c r="G1654" s="21"/>
      <c r="H1654" s="198"/>
      <c r="I1654" s="25"/>
      <c r="J1654" s="26"/>
      <c r="K1654" s="185"/>
      <c r="L1654" s="27"/>
      <c r="M1654" s="28"/>
      <c r="N1654" s="29"/>
      <c r="O1654" s="29"/>
      <c r="P1654" s="34"/>
      <c r="Q1654" s="34"/>
      <c r="R1654" s="35"/>
      <c r="S1654" s="32" t="s">
        <v>29</v>
      </c>
      <c r="T1654" s="33"/>
      <c r="U1654" s="33"/>
    </row>
    <row r="1655" ht="15.75" customHeight="1">
      <c r="A1655" s="20"/>
      <c r="B1655" s="20"/>
      <c r="C1655" s="20"/>
      <c r="D1655" s="21"/>
      <c r="E1655" s="21"/>
      <c r="F1655" s="22"/>
      <c r="G1655" s="21"/>
      <c r="H1655" s="149"/>
      <c r="I1655" s="25"/>
      <c r="J1655" s="26"/>
      <c r="K1655" s="21"/>
      <c r="L1655" s="27"/>
      <c r="M1655" s="28"/>
      <c r="N1655" s="29"/>
      <c r="O1655" s="29"/>
      <c r="P1655" s="34"/>
      <c r="Q1655" s="34"/>
      <c r="R1655" s="35"/>
      <c r="S1655" s="32" t="s">
        <v>29</v>
      </c>
      <c r="T1655" s="33"/>
      <c r="U1655" s="33"/>
    </row>
    <row r="1656" ht="15.75" customHeight="1">
      <c r="A1656" s="20"/>
      <c r="B1656" s="20"/>
      <c r="C1656" s="20"/>
      <c r="D1656" s="21"/>
      <c r="E1656" s="21"/>
      <c r="F1656" s="67"/>
      <c r="G1656" s="23"/>
      <c r="H1656" s="149"/>
      <c r="I1656" s="25"/>
      <c r="J1656" s="26"/>
      <c r="K1656" s="21"/>
      <c r="L1656" s="29"/>
      <c r="M1656" s="28"/>
      <c r="N1656" s="29"/>
      <c r="O1656" s="29"/>
      <c r="P1656" s="34"/>
      <c r="Q1656" s="34"/>
      <c r="R1656" s="35"/>
      <c r="S1656" s="32" t="s">
        <v>29</v>
      </c>
      <c r="T1656" s="33"/>
      <c r="U1656" s="33"/>
    </row>
    <row r="1657" ht="15.75" customHeight="1">
      <c r="A1657" s="20"/>
      <c r="B1657" s="20"/>
      <c r="C1657" s="20"/>
      <c r="D1657" s="21"/>
      <c r="E1657" s="21"/>
      <c r="F1657" s="22"/>
      <c r="G1657" s="21"/>
      <c r="H1657" s="149"/>
      <c r="I1657" s="25"/>
      <c r="J1657" s="26"/>
      <c r="K1657" s="21"/>
      <c r="L1657" s="27"/>
      <c r="M1657" s="28"/>
      <c r="N1657" s="29"/>
      <c r="O1657" s="29"/>
      <c r="P1657" s="34"/>
      <c r="Q1657" s="34"/>
      <c r="R1657" s="35"/>
      <c r="S1657" s="32" t="s">
        <v>29</v>
      </c>
      <c r="T1657" s="33"/>
      <c r="U1657" s="33"/>
    </row>
    <row r="1658" ht="15.75" customHeight="1">
      <c r="A1658" s="20"/>
      <c r="B1658" s="20"/>
      <c r="C1658" s="20"/>
      <c r="D1658" s="21"/>
      <c r="E1658" s="21"/>
      <c r="F1658" s="22"/>
      <c r="G1658" s="21"/>
      <c r="H1658" s="149"/>
      <c r="I1658" s="25"/>
      <c r="J1658" s="26"/>
      <c r="K1658" s="21"/>
      <c r="L1658" s="27"/>
      <c r="M1658" s="28"/>
      <c r="N1658" s="29"/>
      <c r="O1658" s="29"/>
      <c r="P1658" s="34"/>
      <c r="Q1658" s="34"/>
      <c r="R1658" s="35"/>
      <c r="S1658" s="32" t="s">
        <v>29</v>
      </c>
      <c r="T1658" s="33"/>
      <c r="U1658" s="33"/>
    </row>
    <row r="1659" ht="15.75" customHeight="1">
      <c r="A1659" s="20"/>
      <c r="B1659" s="20"/>
      <c r="C1659" s="20"/>
      <c r="D1659" s="21"/>
      <c r="E1659" s="21"/>
      <c r="F1659" s="22"/>
      <c r="G1659" s="21"/>
      <c r="H1659" s="149"/>
      <c r="I1659" s="25"/>
      <c r="J1659" s="26"/>
      <c r="K1659" s="21"/>
      <c r="L1659" s="27"/>
      <c r="M1659" s="28"/>
      <c r="N1659" s="29"/>
      <c r="O1659" s="29"/>
      <c r="P1659" s="34"/>
      <c r="Q1659" s="34"/>
      <c r="R1659" s="35"/>
      <c r="S1659" s="32" t="s">
        <v>29</v>
      </c>
      <c r="T1659" s="33"/>
      <c r="U1659" s="33"/>
    </row>
    <row r="1660" ht="15.75" customHeight="1">
      <c r="A1660" s="20"/>
      <c r="B1660" s="20"/>
      <c r="C1660" s="20"/>
      <c r="D1660" s="21"/>
      <c r="E1660" s="21"/>
      <c r="F1660" s="22"/>
      <c r="G1660" s="21"/>
      <c r="H1660" s="149"/>
      <c r="I1660" s="25"/>
      <c r="J1660" s="26"/>
      <c r="K1660" s="21"/>
      <c r="L1660" s="27"/>
      <c r="M1660" s="28"/>
      <c r="N1660" s="29"/>
      <c r="O1660" s="29"/>
      <c r="P1660" s="34"/>
      <c r="Q1660" s="34"/>
      <c r="R1660" s="35"/>
      <c r="S1660" s="32" t="s">
        <v>29</v>
      </c>
      <c r="T1660" s="33"/>
      <c r="U1660" s="33"/>
    </row>
    <row r="1661" ht="15.75" customHeight="1">
      <c r="A1661" s="20"/>
      <c r="B1661" s="20"/>
      <c r="C1661" s="20"/>
      <c r="D1661" s="21"/>
      <c r="E1661" s="21"/>
      <c r="F1661" s="22"/>
      <c r="G1661" s="21"/>
      <c r="H1661" s="178"/>
      <c r="I1661" s="25"/>
      <c r="J1661" s="26"/>
      <c r="K1661" s="21"/>
      <c r="L1661" s="27"/>
      <c r="M1661" s="28"/>
      <c r="N1661" s="29"/>
      <c r="O1661" s="29"/>
      <c r="P1661" s="34"/>
      <c r="Q1661" s="34"/>
      <c r="R1661" s="35"/>
      <c r="S1661" s="32" t="s">
        <v>29</v>
      </c>
      <c r="T1661" s="33"/>
      <c r="U1661" s="33"/>
    </row>
    <row r="1662" ht="15.75" customHeight="1">
      <c r="A1662" s="20"/>
      <c r="B1662" s="20"/>
      <c r="C1662" s="20"/>
      <c r="D1662" s="21"/>
      <c r="E1662" s="21"/>
      <c r="F1662" s="22"/>
      <c r="G1662" s="21"/>
      <c r="H1662" s="149"/>
      <c r="I1662" s="25"/>
      <c r="J1662" s="26"/>
      <c r="K1662" s="21"/>
      <c r="L1662" s="27"/>
      <c r="M1662" s="28"/>
      <c r="N1662" s="29"/>
      <c r="O1662" s="29"/>
      <c r="P1662" s="34"/>
      <c r="Q1662" s="34"/>
      <c r="R1662" s="35"/>
      <c r="S1662" s="32" t="s">
        <v>29</v>
      </c>
      <c r="T1662" s="33"/>
      <c r="U1662" s="33"/>
    </row>
    <row r="1663" ht="15.75" customHeight="1">
      <c r="A1663" s="20"/>
      <c r="B1663" s="20"/>
      <c r="C1663" s="20"/>
      <c r="D1663" s="21"/>
      <c r="E1663" s="21"/>
      <c r="F1663" s="22"/>
      <c r="G1663" s="21"/>
      <c r="H1663" s="149"/>
      <c r="I1663" s="25"/>
      <c r="J1663" s="26"/>
      <c r="K1663" s="21"/>
      <c r="L1663" s="27"/>
      <c r="M1663" s="28"/>
      <c r="N1663" s="29"/>
      <c r="O1663" s="29"/>
      <c r="P1663" s="34"/>
      <c r="Q1663" s="34"/>
      <c r="R1663" s="35"/>
      <c r="S1663" s="32" t="s">
        <v>29</v>
      </c>
      <c r="T1663" s="33"/>
      <c r="U1663" s="33"/>
    </row>
    <row r="1664" ht="15.75" customHeight="1">
      <c r="A1664" s="20"/>
      <c r="B1664" s="20"/>
      <c r="C1664" s="20"/>
      <c r="D1664" s="21"/>
      <c r="E1664" s="21"/>
      <c r="F1664" s="67"/>
      <c r="G1664" s="21"/>
      <c r="H1664" s="149"/>
      <c r="I1664" s="25"/>
      <c r="J1664" s="26"/>
      <c r="K1664" s="21"/>
      <c r="L1664" s="27"/>
      <c r="M1664" s="28"/>
      <c r="N1664" s="29"/>
      <c r="O1664" s="29"/>
      <c r="P1664" s="34"/>
      <c r="Q1664" s="34"/>
      <c r="R1664" s="35"/>
      <c r="S1664" s="32" t="s">
        <v>29</v>
      </c>
      <c r="T1664" s="33"/>
      <c r="U1664" s="33"/>
    </row>
    <row r="1665" ht="15.75" customHeight="1">
      <c r="A1665" s="20"/>
      <c r="B1665" s="20"/>
      <c r="C1665" s="20"/>
      <c r="D1665" s="21"/>
      <c r="E1665" s="21"/>
      <c r="F1665" s="22"/>
      <c r="G1665" s="21"/>
      <c r="H1665" s="199"/>
      <c r="I1665" s="25"/>
      <c r="J1665" s="26"/>
      <c r="K1665" s="200"/>
      <c r="L1665" s="27"/>
      <c r="M1665" s="28"/>
      <c r="N1665" s="29"/>
      <c r="O1665" s="29"/>
      <c r="P1665" s="34"/>
      <c r="Q1665" s="34"/>
      <c r="R1665" s="35"/>
      <c r="S1665" s="32" t="s">
        <v>29</v>
      </c>
      <c r="T1665" s="33"/>
      <c r="U1665" s="33"/>
    </row>
    <row r="1666" ht="15.75" customHeight="1">
      <c r="A1666" s="20"/>
      <c r="B1666" s="20"/>
      <c r="C1666" s="20"/>
      <c r="D1666" s="21"/>
      <c r="E1666" s="21"/>
      <c r="F1666" s="22"/>
      <c r="G1666" s="21"/>
      <c r="H1666" s="186"/>
      <c r="I1666" s="25"/>
      <c r="J1666" s="26"/>
      <c r="K1666" s="200"/>
      <c r="L1666" s="27"/>
      <c r="M1666" s="28"/>
      <c r="N1666" s="29"/>
      <c r="O1666" s="29"/>
      <c r="P1666" s="34"/>
      <c r="Q1666" s="34"/>
      <c r="R1666" s="35"/>
      <c r="S1666" s="32" t="s">
        <v>29</v>
      </c>
      <c r="T1666" s="33"/>
      <c r="U1666" s="33"/>
    </row>
    <row r="1667" ht="15.75" customHeight="1">
      <c r="A1667" s="20"/>
      <c r="B1667" s="20"/>
      <c r="C1667" s="20"/>
      <c r="D1667" s="21"/>
      <c r="E1667" s="21"/>
      <c r="F1667" s="22"/>
      <c r="G1667" s="21"/>
      <c r="H1667" s="186"/>
      <c r="I1667" s="25"/>
      <c r="J1667" s="26"/>
      <c r="K1667" s="185"/>
      <c r="L1667" s="27"/>
      <c r="M1667" s="28"/>
      <c r="N1667" s="29"/>
      <c r="O1667" s="29"/>
      <c r="P1667" s="34"/>
      <c r="Q1667" s="34"/>
      <c r="R1667" s="35"/>
      <c r="S1667" s="32" t="s">
        <v>29</v>
      </c>
      <c r="T1667" s="33"/>
      <c r="U1667" s="33"/>
    </row>
    <row r="1668" ht="12.75" customHeight="1">
      <c r="A1668" s="20"/>
      <c r="B1668" s="20"/>
      <c r="C1668" s="20"/>
      <c r="D1668" s="21"/>
      <c r="E1668" s="21"/>
      <c r="F1668" s="22"/>
      <c r="G1668" s="21"/>
      <c r="H1668" s="149"/>
      <c r="I1668" s="25"/>
      <c r="J1668" s="26"/>
      <c r="K1668" s="21"/>
      <c r="L1668" s="27"/>
      <c r="M1668" s="28"/>
      <c r="N1668" s="29"/>
      <c r="O1668" s="29"/>
      <c r="P1668" s="34"/>
      <c r="Q1668" s="34"/>
      <c r="R1668" s="35"/>
      <c r="S1668" s="32" t="s">
        <v>29</v>
      </c>
      <c r="T1668" s="33"/>
      <c r="U1668" s="33"/>
    </row>
    <row r="1669" ht="15.75" customHeight="1">
      <c r="A1669" s="20"/>
      <c r="B1669" s="20"/>
      <c r="C1669" s="20"/>
      <c r="D1669" s="21"/>
      <c r="E1669" s="21"/>
      <c r="F1669" s="22"/>
      <c r="G1669" s="21"/>
      <c r="H1669" s="149"/>
      <c r="I1669" s="25"/>
      <c r="J1669" s="26"/>
      <c r="K1669" s="21"/>
      <c r="L1669" s="27"/>
      <c r="M1669" s="28"/>
      <c r="N1669" s="29"/>
      <c r="O1669" s="29"/>
      <c r="P1669" s="34"/>
      <c r="Q1669" s="34"/>
      <c r="R1669" s="35"/>
      <c r="S1669" s="32" t="s">
        <v>29</v>
      </c>
      <c r="T1669" s="33"/>
      <c r="U1669" s="33"/>
    </row>
    <row r="1670" ht="15.75" customHeight="1">
      <c r="A1670" s="20"/>
      <c r="B1670" s="20"/>
      <c r="C1670" s="20"/>
      <c r="D1670" s="21"/>
      <c r="E1670" s="21"/>
      <c r="F1670" s="22"/>
      <c r="G1670" s="21"/>
      <c r="H1670" s="149"/>
      <c r="I1670" s="25"/>
      <c r="J1670" s="26"/>
      <c r="K1670" s="21"/>
      <c r="L1670" s="27"/>
      <c r="M1670" s="28"/>
      <c r="N1670" s="29"/>
      <c r="O1670" s="29"/>
      <c r="P1670" s="34"/>
      <c r="Q1670" s="34"/>
      <c r="R1670" s="35"/>
      <c r="S1670" s="32" t="s">
        <v>29</v>
      </c>
      <c r="T1670" s="33"/>
      <c r="U1670" s="33"/>
    </row>
    <row r="1671" ht="15.75" customHeight="1">
      <c r="A1671" s="20"/>
      <c r="B1671" s="20"/>
      <c r="C1671" s="20"/>
      <c r="D1671" s="21"/>
      <c r="E1671" s="21"/>
      <c r="F1671" s="22"/>
      <c r="G1671" s="21"/>
      <c r="H1671" s="149"/>
      <c r="I1671" s="25"/>
      <c r="J1671" s="26"/>
      <c r="K1671" s="21"/>
      <c r="L1671" s="27"/>
      <c r="M1671" s="28"/>
      <c r="N1671" s="29"/>
      <c r="O1671" s="29"/>
      <c r="P1671" s="34"/>
      <c r="Q1671" s="34"/>
      <c r="R1671" s="35"/>
      <c r="S1671" s="32" t="s">
        <v>29</v>
      </c>
      <c r="T1671" s="33"/>
      <c r="U1671" s="33"/>
    </row>
    <row r="1672" ht="15.75" customHeight="1">
      <c r="A1672" s="20"/>
      <c r="B1672" s="20"/>
      <c r="C1672" s="20"/>
      <c r="D1672" s="21"/>
      <c r="E1672" s="21"/>
      <c r="F1672" s="22"/>
      <c r="G1672" s="21"/>
      <c r="H1672" s="149"/>
      <c r="I1672" s="25"/>
      <c r="J1672" s="26"/>
      <c r="K1672" s="21"/>
      <c r="L1672" s="27"/>
      <c r="M1672" s="28"/>
      <c r="N1672" s="29"/>
      <c r="O1672" s="29"/>
      <c r="P1672" s="34"/>
      <c r="Q1672" s="34"/>
      <c r="R1672" s="35"/>
      <c r="S1672" s="32" t="s">
        <v>29</v>
      </c>
      <c r="T1672" s="33"/>
      <c r="U1672" s="33"/>
    </row>
    <row r="1673" ht="15.75" customHeight="1">
      <c r="A1673" s="20"/>
      <c r="B1673" s="20"/>
      <c r="C1673" s="20"/>
      <c r="D1673" s="21"/>
      <c r="E1673" s="21"/>
      <c r="F1673" s="22"/>
      <c r="G1673" s="21"/>
      <c r="H1673" s="149"/>
      <c r="I1673" s="25"/>
      <c r="J1673" s="26"/>
      <c r="K1673" s="21"/>
      <c r="L1673" s="27"/>
      <c r="M1673" s="28"/>
      <c r="N1673" s="29"/>
      <c r="O1673" s="29"/>
      <c r="P1673" s="34"/>
      <c r="Q1673" s="34"/>
      <c r="R1673" s="35"/>
      <c r="S1673" s="32" t="s">
        <v>29</v>
      </c>
      <c r="T1673" s="33"/>
      <c r="U1673" s="33"/>
    </row>
    <row r="1674" ht="15.75" customHeight="1">
      <c r="A1674" s="20"/>
      <c r="B1674" s="20"/>
      <c r="C1674" s="20"/>
      <c r="D1674" s="21"/>
      <c r="E1674" s="21"/>
      <c r="F1674" s="67"/>
      <c r="G1674" s="23"/>
      <c r="H1674" s="149"/>
      <c r="I1674" s="25"/>
      <c r="J1674" s="26"/>
      <c r="K1674" s="21"/>
      <c r="L1674" s="29"/>
      <c r="M1674" s="28"/>
      <c r="N1674" s="29"/>
      <c r="O1674" s="29"/>
      <c r="P1674" s="34"/>
      <c r="Q1674" s="34"/>
      <c r="R1674" s="35"/>
      <c r="S1674" s="32" t="s">
        <v>29</v>
      </c>
      <c r="T1674" s="33"/>
      <c r="U1674" s="33"/>
    </row>
    <row r="1675" ht="15.75" customHeight="1">
      <c r="A1675" s="20"/>
      <c r="B1675" s="20"/>
      <c r="C1675" s="20"/>
      <c r="D1675" s="21"/>
      <c r="E1675" s="21"/>
      <c r="F1675" s="22"/>
      <c r="G1675" s="21"/>
      <c r="H1675" s="149"/>
      <c r="I1675" s="25"/>
      <c r="J1675" s="26"/>
      <c r="K1675" s="201"/>
      <c r="L1675" s="27"/>
      <c r="M1675" s="28"/>
      <c r="N1675" s="29"/>
      <c r="O1675" s="29"/>
      <c r="P1675" s="34"/>
      <c r="Q1675" s="34"/>
      <c r="R1675" s="35"/>
      <c r="S1675" s="32" t="s">
        <v>29</v>
      </c>
      <c r="T1675" s="33"/>
      <c r="U1675" s="33"/>
    </row>
    <row r="1676" ht="15.75" customHeight="1">
      <c r="A1676" s="20"/>
      <c r="B1676" s="20"/>
      <c r="C1676" s="20"/>
      <c r="D1676" s="21"/>
      <c r="E1676" s="21"/>
      <c r="F1676" s="22"/>
      <c r="G1676" s="21"/>
      <c r="H1676" s="149"/>
      <c r="I1676" s="25"/>
      <c r="J1676" s="26"/>
      <c r="K1676" s="21"/>
      <c r="L1676" s="27"/>
      <c r="M1676" s="28"/>
      <c r="N1676" s="29"/>
      <c r="O1676" s="29"/>
      <c r="P1676" s="34"/>
      <c r="Q1676" s="34"/>
      <c r="R1676" s="35"/>
      <c r="S1676" s="32" t="s">
        <v>29</v>
      </c>
      <c r="T1676" s="33"/>
      <c r="U1676" s="33"/>
    </row>
    <row r="1677" ht="15.75" customHeight="1">
      <c r="A1677" s="20"/>
      <c r="B1677" s="20"/>
      <c r="C1677" s="20"/>
      <c r="D1677" s="21"/>
      <c r="E1677" s="21"/>
      <c r="F1677" s="22"/>
      <c r="G1677" s="21"/>
      <c r="H1677" s="149"/>
      <c r="I1677" s="25"/>
      <c r="J1677" s="26"/>
      <c r="K1677" s="21"/>
      <c r="L1677" s="27"/>
      <c r="M1677" s="28"/>
      <c r="N1677" s="29"/>
      <c r="O1677" s="29"/>
      <c r="P1677" s="34"/>
      <c r="Q1677" s="34"/>
      <c r="R1677" s="35"/>
      <c r="S1677" s="32" t="s">
        <v>29</v>
      </c>
      <c r="T1677" s="33"/>
      <c r="U1677" s="33"/>
    </row>
    <row r="1678" ht="15.75" customHeight="1">
      <c r="A1678" s="20"/>
      <c r="B1678" s="20"/>
      <c r="C1678" s="20"/>
      <c r="D1678" s="21"/>
      <c r="E1678" s="21"/>
      <c r="F1678" s="202"/>
      <c r="G1678" s="21"/>
      <c r="H1678" s="149"/>
      <c r="I1678" s="25"/>
      <c r="J1678" s="26"/>
      <c r="K1678" s="21"/>
      <c r="L1678" s="27"/>
      <c r="M1678" s="28"/>
      <c r="N1678" s="29"/>
      <c r="O1678" s="29"/>
      <c r="P1678" s="34"/>
      <c r="Q1678" s="34"/>
      <c r="R1678" s="35"/>
      <c r="S1678" s="32" t="s">
        <v>29</v>
      </c>
      <c r="T1678" s="33"/>
      <c r="U1678" s="33"/>
    </row>
    <row r="1679" ht="15.75" customHeight="1">
      <c r="A1679" s="20"/>
      <c r="B1679" s="20"/>
      <c r="C1679" s="20"/>
      <c r="D1679" s="21"/>
      <c r="E1679" s="21"/>
      <c r="F1679" s="22"/>
      <c r="G1679" s="21"/>
      <c r="H1679" s="149"/>
      <c r="I1679" s="25"/>
      <c r="J1679" s="26"/>
      <c r="K1679" s="21"/>
      <c r="L1679" s="27"/>
      <c r="M1679" s="28"/>
      <c r="N1679" s="29"/>
      <c r="O1679" s="29"/>
      <c r="P1679" s="34"/>
      <c r="Q1679" s="34"/>
      <c r="R1679" s="35"/>
      <c r="S1679" s="32" t="s">
        <v>29</v>
      </c>
      <c r="T1679" s="33"/>
      <c r="U1679" s="33"/>
    </row>
    <row r="1680" ht="15.75" customHeight="1">
      <c r="A1680" s="20"/>
      <c r="B1680" s="20"/>
      <c r="C1680" s="20"/>
      <c r="D1680" s="21"/>
      <c r="E1680" s="21"/>
      <c r="F1680" s="22"/>
      <c r="G1680" s="21"/>
      <c r="H1680" s="149"/>
      <c r="I1680" s="25"/>
      <c r="J1680" s="26"/>
      <c r="K1680" s="21"/>
      <c r="L1680" s="27"/>
      <c r="M1680" s="28"/>
      <c r="N1680" s="29"/>
      <c r="O1680" s="29"/>
      <c r="P1680" s="34"/>
      <c r="Q1680" s="34"/>
      <c r="R1680" s="35"/>
      <c r="S1680" s="32" t="s">
        <v>29</v>
      </c>
      <c r="T1680" s="33"/>
      <c r="U1680" s="33"/>
    </row>
    <row r="1681" ht="15.75" customHeight="1">
      <c r="A1681" s="20"/>
      <c r="B1681" s="20"/>
      <c r="C1681" s="20"/>
      <c r="D1681" s="21"/>
      <c r="E1681" s="21"/>
      <c r="F1681" s="22"/>
      <c r="G1681" s="21"/>
      <c r="H1681" s="149"/>
      <c r="I1681" s="25"/>
      <c r="J1681" s="26"/>
      <c r="K1681" s="21"/>
      <c r="L1681" s="27"/>
      <c r="M1681" s="28"/>
      <c r="N1681" s="29"/>
      <c r="O1681" s="29"/>
      <c r="P1681" s="34"/>
      <c r="Q1681" s="34"/>
      <c r="R1681" s="35"/>
      <c r="S1681" s="32" t="s">
        <v>29</v>
      </c>
      <c r="T1681" s="33"/>
      <c r="U1681" s="33"/>
    </row>
    <row r="1682" ht="15.75" customHeight="1">
      <c r="A1682" s="20"/>
      <c r="B1682" s="20"/>
      <c r="C1682" s="20"/>
      <c r="D1682" s="21"/>
      <c r="E1682" s="21"/>
      <c r="F1682" s="22"/>
      <c r="G1682" s="21"/>
      <c r="H1682" s="149"/>
      <c r="I1682" s="25"/>
      <c r="J1682" s="26"/>
      <c r="K1682" s="21"/>
      <c r="L1682" s="27"/>
      <c r="M1682" s="28"/>
      <c r="N1682" s="29"/>
      <c r="O1682" s="29"/>
      <c r="P1682" s="34"/>
      <c r="Q1682" s="34"/>
      <c r="R1682" s="35"/>
      <c r="S1682" s="32" t="s">
        <v>29</v>
      </c>
      <c r="T1682" s="33"/>
      <c r="U1682" s="33"/>
    </row>
    <row r="1683" ht="15.75" customHeight="1">
      <c r="A1683" s="20"/>
      <c r="B1683" s="20"/>
      <c r="C1683" s="20"/>
      <c r="D1683" s="21"/>
      <c r="E1683" s="21"/>
      <c r="F1683" s="22"/>
      <c r="G1683" s="21"/>
      <c r="H1683" s="149"/>
      <c r="I1683" s="25"/>
      <c r="J1683" s="26"/>
      <c r="K1683" s="21"/>
      <c r="L1683" s="27"/>
      <c r="M1683" s="28"/>
      <c r="N1683" s="29"/>
      <c r="O1683" s="29"/>
      <c r="P1683" s="34"/>
      <c r="Q1683" s="34"/>
      <c r="R1683" s="35"/>
      <c r="S1683" s="32" t="s">
        <v>29</v>
      </c>
      <c r="T1683" s="33"/>
      <c r="U1683" s="33"/>
    </row>
    <row r="1684" ht="15.75" customHeight="1">
      <c r="A1684" s="20"/>
      <c r="B1684" s="20"/>
      <c r="C1684" s="20"/>
      <c r="D1684" s="21"/>
      <c r="E1684" s="21"/>
      <c r="F1684" s="22"/>
      <c r="G1684" s="21"/>
      <c r="H1684" s="149"/>
      <c r="I1684" s="25"/>
      <c r="J1684" s="26"/>
      <c r="K1684" s="21"/>
      <c r="L1684" s="27"/>
      <c r="M1684" s="28"/>
      <c r="N1684" s="29"/>
      <c r="O1684" s="29"/>
      <c r="P1684" s="34"/>
      <c r="Q1684" s="34"/>
      <c r="R1684" s="35"/>
      <c r="S1684" s="32" t="s">
        <v>29</v>
      </c>
      <c r="T1684" s="33"/>
      <c r="U1684" s="33"/>
    </row>
    <row r="1685" ht="15.75" customHeight="1">
      <c r="A1685" s="20"/>
      <c r="B1685" s="20"/>
      <c r="C1685" s="20"/>
      <c r="D1685" s="21"/>
      <c r="E1685" s="21"/>
      <c r="F1685" s="22"/>
      <c r="G1685" s="21"/>
      <c r="H1685" s="149"/>
      <c r="I1685" s="25"/>
      <c r="J1685" s="26"/>
      <c r="K1685" s="21"/>
      <c r="L1685" s="27"/>
      <c r="M1685" s="28"/>
      <c r="N1685" s="29"/>
      <c r="O1685" s="29"/>
      <c r="P1685" s="34"/>
      <c r="Q1685" s="34"/>
      <c r="R1685" s="35"/>
      <c r="S1685" s="32" t="s">
        <v>29</v>
      </c>
      <c r="T1685" s="33"/>
      <c r="U1685" s="33"/>
    </row>
    <row r="1686" ht="15.75" customHeight="1">
      <c r="A1686" s="20"/>
      <c r="B1686" s="20"/>
      <c r="C1686" s="20"/>
      <c r="D1686" s="21"/>
      <c r="E1686" s="21"/>
      <c r="F1686" s="22"/>
      <c r="G1686" s="21"/>
      <c r="H1686" s="149"/>
      <c r="I1686" s="25"/>
      <c r="J1686" s="26"/>
      <c r="K1686" s="21"/>
      <c r="L1686" s="27"/>
      <c r="M1686" s="28"/>
      <c r="N1686" s="29"/>
      <c r="O1686" s="29"/>
      <c r="P1686" s="34"/>
      <c r="Q1686" s="34"/>
      <c r="R1686" s="35"/>
      <c r="S1686" s="32" t="s">
        <v>29</v>
      </c>
      <c r="T1686" s="33"/>
      <c r="U1686" s="33"/>
    </row>
    <row r="1687" ht="15.75" customHeight="1">
      <c r="A1687" s="20"/>
      <c r="B1687" s="20"/>
      <c r="C1687" s="20"/>
      <c r="D1687" s="21"/>
      <c r="E1687" s="21"/>
      <c r="F1687" s="22"/>
      <c r="G1687" s="21"/>
      <c r="H1687" s="149"/>
      <c r="I1687" s="25"/>
      <c r="J1687" s="26"/>
      <c r="K1687" s="21"/>
      <c r="L1687" s="27"/>
      <c r="M1687" s="28"/>
      <c r="N1687" s="29"/>
      <c r="O1687" s="29"/>
      <c r="P1687" s="34"/>
      <c r="Q1687" s="34"/>
      <c r="R1687" s="35"/>
      <c r="S1687" s="32" t="s">
        <v>29</v>
      </c>
      <c r="T1687" s="33"/>
      <c r="U1687" s="33"/>
    </row>
    <row r="1688" ht="15.75" customHeight="1">
      <c r="A1688" s="20"/>
      <c r="B1688" s="20"/>
      <c r="C1688" s="20"/>
      <c r="D1688" s="21"/>
      <c r="E1688" s="21"/>
      <c r="F1688" s="22"/>
      <c r="G1688" s="21"/>
      <c r="H1688" s="149"/>
      <c r="I1688" s="25"/>
      <c r="J1688" s="26"/>
      <c r="K1688" s="197"/>
      <c r="L1688" s="27"/>
      <c r="M1688" s="28"/>
      <c r="N1688" s="29"/>
      <c r="O1688" s="29"/>
      <c r="P1688" s="34"/>
      <c r="Q1688" s="34"/>
      <c r="R1688" s="35"/>
      <c r="S1688" s="32" t="s">
        <v>29</v>
      </c>
      <c r="T1688" s="33"/>
      <c r="U1688" s="33"/>
    </row>
    <row r="1689" ht="15.75" customHeight="1">
      <c r="A1689" s="20"/>
      <c r="B1689" s="20"/>
      <c r="C1689" s="20"/>
      <c r="D1689" s="21"/>
      <c r="E1689" s="21"/>
      <c r="F1689" s="22"/>
      <c r="G1689" s="21"/>
      <c r="H1689" s="149"/>
      <c r="I1689" s="25"/>
      <c r="J1689" s="26"/>
      <c r="K1689" s="197"/>
      <c r="L1689" s="27"/>
      <c r="M1689" s="68"/>
      <c r="N1689" s="29"/>
      <c r="O1689" s="29"/>
      <c r="P1689" s="34"/>
      <c r="Q1689" s="34"/>
      <c r="R1689" s="35"/>
      <c r="S1689" s="32" t="s">
        <v>29</v>
      </c>
      <c r="T1689" s="33"/>
      <c r="U1689" s="33"/>
    </row>
    <row r="1690" ht="15.75" customHeight="1">
      <c r="A1690" s="20"/>
      <c r="B1690" s="20"/>
      <c r="C1690" s="20"/>
      <c r="D1690" s="21"/>
      <c r="E1690" s="21"/>
      <c r="F1690" s="22"/>
      <c r="G1690" s="21"/>
      <c r="H1690" s="149"/>
      <c r="I1690" s="25"/>
      <c r="J1690" s="26"/>
      <c r="K1690" s="197"/>
      <c r="L1690" s="27"/>
      <c r="M1690" s="68"/>
      <c r="N1690" s="29"/>
      <c r="O1690" s="29"/>
      <c r="P1690" s="34"/>
      <c r="Q1690" s="34"/>
      <c r="R1690" s="35"/>
      <c r="S1690" s="32" t="s">
        <v>29</v>
      </c>
      <c r="T1690" s="33"/>
      <c r="U1690" s="33"/>
    </row>
    <row r="1691" ht="15.75" customHeight="1">
      <c r="A1691" s="20"/>
      <c r="B1691" s="20"/>
      <c r="C1691" s="20"/>
      <c r="D1691" s="21"/>
      <c r="E1691" s="21"/>
      <c r="F1691" s="22"/>
      <c r="G1691" s="21"/>
      <c r="H1691" s="149"/>
      <c r="I1691" s="25"/>
      <c r="J1691" s="26"/>
      <c r="K1691" s="21"/>
      <c r="L1691" s="27"/>
      <c r="M1691" s="68"/>
      <c r="N1691" s="29"/>
      <c r="O1691" s="29"/>
      <c r="P1691" s="34"/>
      <c r="Q1691" s="34"/>
      <c r="R1691" s="35"/>
      <c r="S1691" s="32" t="s">
        <v>29</v>
      </c>
      <c r="T1691" s="33"/>
      <c r="U1691" s="33"/>
    </row>
    <row r="1692" ht="15.75" customHeight="1">
      <c r="A1692" s="20"/>
      <c r="B1692" s="20"/>
      <c r="C1692" s="20"/>
      <c r="D1692" s="21"/>
      <c r="E1692" s="21"/>
      <c r="F1692" s="22"/>
      <c r="G1692" s="21"/>
      <c r="H1692" s="149"/>
      <c r="I1692" s="25"/>
      <c r="J1692" s="26"/>
      <c r="K1692" s="21"/>
      <c r="L1692" s="27"/>
      <c r="M1692" s="28"/>
      <c r="N1692" s="29"/>
      <c r="O1692" s="29"/>
      <c r="P1692" s="34"/>
      <c r="Q1692" s="34"/>
      <c r="R1692" s="35"/>
      <c r="S1692" s="32" t="s">
        <v>29</v>
      </c>
      <c r="T1692" s="33"/>
      <c r="U1692" s="33"/>
    </row>
    <row r="1693" ht="15.75" customHeight="1">
      <c r="A1693" s="20"/>
      <c r="B1693" s="20"/>
      <c r="C1693" s="20"/>
      <c r="D1693" s="21"/>
      <c r="E1693" s="21"/>
      <c r="F1693" s="22"/>
      <c r="G1693" s="21"/>
      <c r="H1693" s="149"/>
      <c r="I1693" s="25"/>
      <c r="J1693" s="26"/>
      <c r="K1693" s="21"/>
      <c r="L1693" s="27"/>
      <c r="M1693" s="28"/>
      <c r="N1693" s="29"/>
      <c r="O1693" s="29"/>
      <c r="P1693" s="34"/>
      <c r="Q1693" s="34"/>
      <c r="R1693" s="35"/>
      <c r="S1693" s="32" t="s">
        <v>29</v>
      </c>
      <c r="T1693" s="33"/>
      <c r="U1693" s="33"/>
    </row>
    <row r="1694" ht="15.75" customHeight="1">
      <c r="A1694" s="20"/>
      <c r="B1694" s="20"/>
      <c r="C1694" s="20"/>
      <c r="D1694" s="21"/>
      <c r="E1694" s="21"/>
      <c r="F1694" s="22"/>
      <c r="G1694" s="21"/>
      <c r="H1694" s="149"/>
      <c r="I1694" s="25"/>
      <c r="J1694" s="26"/>
      <c r="K1694" s="21"/>
      <c r="L1694" s="27"/>
      <c r="M1694" s="28"/>
      <c r="N1694" s="29"/>
      <c r="O1694" s="29"/>
      <c r="P1694" s="34"/>
      <c r="Q1694" s="34"/>
      <c r="R1694" s="35"/>
      <c r="S1694" s="32" t="s">
        <v>29</v>
      </c>
      <c r="T1694" s="33"/>
      <c r="U1694" s="33"/>
    </row>
    <row r="1695" ht="15.75" customHeight="1">
      <c r="A1695" s="20"/>
      <c r="B1695" s="20"/>
      <c r="C1695" s="20"/>
      <c r="D1695" s="21"/>
      <c r="E1695" s="21"/>
      <c r="F1695" s="67"/>
      <c r="G1695" s="21"/>
      <c r="H1695" s="149"/>
      <c r="I1695" s="25"/>
      <c r="J1695" s="26"/>
      <c r="K1695" s="21"/>
      <c r="L1695" s="29"/>
      <c r="M1695" s="28"/>
      <c r="N1695" s="29"/>
      <c r="O1695" s="29"/>
      <c r="P1695" s="34"/>
      <c r="Q1695" s="34"/>
      <c r="R1695" s="35"/>
      <c r="S1695" s="32" t="s">
        <v>29</v>
      </c>
      <c r="T1695" s="33"/>
      <c r="U1695" s="33"/>
    </row>
    <row r="1696" ht="15.75" customHeight="1">
      <c r="A1696" s="20"/>
      <c r="B1696" s="20"/>
      <c r="C1696" s="20"/>
      <c r="D1696" s="21"/>
      <c r="E1696" s="21"/>
      <c r="F1696" s="22"/>
      <c r="G1696" s="21"/>
      <c r="H1696" s="149"/>
      <c r="I1696" s="25"/>
      <c r="J1696" s="26"/>
      <c r="K1696" s="21"/>
      <c r="L1696" s="27"/>
      <c r="M1696" s="28"/>
      <c r="N1696" s="29"/>
      <c r="O1696" s="29"/>
      <c r="P1696" s="34"/>
      <c r="Q1696" s="34"/>
      <c r="R1696" s="35"/>
      <c r="S1696" s="32" t="s">
        <v>29</v>
      </c>
      <c r="T1696" s="33"/>
      <c r="U1696" s="33"/>
    </row>
    <row r="1697" ht="15.75" customHeight="1">
      <c r="A1697" s="20"/>
      <c r="B1697" s="20"/>
      <c r="C1697" s="20"/>
      <c r="D1697" s="21"/>
      <c r="E1697" s="21"/>
      <c r="F1697" s="22"/>
      <c r="G1697" s="21"/>
      <c r="H1697" s="149"/>
      <c r="I1697" s="25"/>
      <c r="J1697" s="26"/>
      <c r="K1697" s="21"/>
      <c r="L1697" s="27"/>
      <c r="M1697" s="28"/>
      <c r="N1697" s="29"/>
      <c r="O1697" s="29"/>
      <c r="P1697" s="34"/>
      <c r="Q1697" s="34"/>
      <c r="R1697" s="35"/>
      <c r="S1697" s="32" t="s">
        <v>29</v>
      </c>
      <c r="T1697" s="33"/>
      <c r="U1697" s="33"/>
    </row>
    <row r="1698" ht="15.75" customHeight="1">
      <c r="A1698" s="20"/>
      <c r="B1698" s="20"/>
      <c r="C1698" s="20"/>
      <c r="D1698" s="21"/>
      <c r="E1698" s="21"/>
      <c r="F1698" s="22"/>
      <c r="G1698" s="21"/>
      <c r="H1698" s="149"/>
      <c r="I1698" s="25"/>
      <c r="J1698" s="26"/>
      <c r="K1698" s="21"/>
      <c r="L1698" s="27"/>
      <c r="M1698" s="28"/>
      <c r="N1698" s="29"/>
      <c r="O1698" s="29"/>
      <c r="P1698" s="34"/>
      <c r="Q1698" s="34"/>
      <c r="R1698" s="35"/>
      <c r="S1698" s="32" t="s">
        <v>29</v>
      </c>
      <c r="T1698" s="33"/>
      <c r="U1698" s="33"/>
    </row>
    <row r="1699" ht="15.75" customHeight="1">
      <c r="A1699" s="20"/>
      <c r="B1699" s="20"/>
      <c r="C1699" s="20"/>
      <c r="D1699" s="21"/>
      <c r="E1699" s="21"/>
      <c r="F1699" s="22"/>
      <c r="G1699" s="21"/>
      <c r="H1699" s="149"/>
      <c r="I1699" s="25"/>
      <c r="J1699" s="26"/>
      <c r="K1699" s="21"/>
      <c r="L1699" s="27"/>
      <c r="M1699" s="28"/>
      <c r="N1699" s="29"/>
      <c r="O1699" s="29"/>
      <c r="P1699" s="34"/>
      <c r="Q1699" s="34"/>
      <c r="R1699" s="35"/>
      <c r="S1699" s="32" t="s">
        <v>29</v>
      </c>
      <c r="T1699" s="33"/>
      <c r="U1699" s="33"/>
    </row>
    <row r="1700" ht="18.0" customHeight="1">
      <c r="A1700" s="20"/>
      <c r="B1700" s="20"/>
      <c r="C1700" s="20"/>
      <c r="D1700" s="21"/>
      <c r="E1700" s="21"/>
      <c r="F1700" s="22"/>
      <c r="G1700" s="21"/>
      <c r="H1700" s="149"/>
      <c r="I1700" s="25"/>
      <c r="J1700" s="26"/>
      <c r="K1700" s="21"/>
      <c r="L1700" s="27"/>
      <c r="M1700" s="28"/>
      <c r="N1700" s="29"/>
      <c r="O1700" s="29"/>
      <c r="P1700" s="34"/>
      <c r="Q1700" s="34"/>
      <c r="R1700" s="35"/>
      <c r="S1700" s="32" t="s">
        <v>29</v>
      </c>
      <c r="T1700" s="33"/>
      <c r="U1700" s="33"/>
    </row>
    <row r="1701" ht="15.75" customHeight="1">
      <c r="A1701" s="20"/>
      <c r="B1701" s="20"/>
      <c r="C1701" s="20"/>
      <c r="D1701" s="21"/>
      <c r="E1701" s="21"/>
      <c r="F1701" s="22"/>
      <c r="G1701" s="21"/>
      <c r="H1701" s="149"/>
      <c r="I1701" s="25"/>
      <c r="J1701" s="26"/>
      <c r="K1701" s="21"/>
      <c r="L1701" s="27"/>
      <c r="M1701" s="28"/>
      <c r="N1701" s="29"/>
      <c r="O1701" s="29"/>
      <c r="P1701" s="34"/>
      <c r="Q1701" s="34"/>
      <c r="R1701" s="35"/>
      <c r="S1701" s="32" t="s">
        <v>29</v>
      </c>
      <c r="T1701" s="33"/>
      <c r="U1701" s="33"/>
    </row>
    <row r="1702" ht="15.75" customHeight="1">
      <c r="A1702" s="20"/>
      <c r="B1702" s="20"/>
      <c r="C1702" s="20"/>
      <c r="D1702" s="21"/>
      <c r="E1702" s="21"/>
      <c r="F1702" s="22"/>
      <c r="G1702" s="21"/>
      <c r="H1702" s="149"/>
      <c r="I1702" s="25"/>
      <c r="J1702" s="26"/>
      <c r="K1702" s="21"/>
      <c r="L1702" s="27"/>
      <c r="M1702" s="28"/>
      <c r="N1702" s="29"/>
      <c r="O1702" s="29"/>
      <c r="P1702" s="34"/>
      <c r="Q1702" s="34"/>
      <c r="R1702" s="35"/>
      <c r="S1702" s="32" t="s">
        <v>29</v>
      </c>
      <c r="T1702" s="33"/>
      <c r="U1702" s="33"/>
    </row>
    <row r="1703" ht="15.75" customHeight="1">
      <c r="A1703" s="20"/>
      <c r="B1703" s="20"/>
      <c r="C1703" s="20"/>
      <c r="D1703" s="21"/>
      <c r="E1703" s="21"/>
      <c r="F1703" s="22"/>
      <c r="G1703" s="21"/>
      <c r="H1703" s="149"/>
      <c r="I1703" s="25"/>
      <c r="J1703" s="26"/>
      <c r="K1703" s="21"/>
      <c r="L1703" s="27"/>
      <c r="M1703" s="28"/>
      <c r="N1703" s="29"/>
      <c r="O1703" s="29"/>
      <c r="P1703" s="34"/>
      <c r="Q1703" s="34"/>
      <c r="R1703" s="35"/>
      <c r="S1703" s="32" t="s">
        <v>29</v>
      </c>
      <c r="T1703" s="33"/>
      <c r="U1703" s="33"/>
    </row>
    <row r="1704" ht="15.75" customHeight="1">
      <c r="A1704" s="20"/>
      <c r="B1704" s="20"/>
      <c r="C1704" s="20"/>
      <c r="D1704" s="21"/>
      <c r="E1704" s="21"/>
      <c r="F1704" s="22"/>
      <c r="G1704" s="21"/>
      <c r="H1704" s="149"/>
      <c r="I1704" s="25"/>
      <c r="J1704" s="26"/>
      <c r="K1704" s="21"/>
      <c r="L1704" s="27"/>
      <c r="M1704" s="28"/>
      <c r="N1704" s="29"/>
      <c r="O1704" s="29"/>
      <c r="P1704" s="34"/>
      <c r="Q1704" s="34"/>
      <c r="R1704" s="35"/>
      <c r="S1704" s="32" t="s">
        <v>29</v>
      </c>
      <c r="T1704" s="33"/>
      <c r="U1704" s="33"/>
    </row>
    <row r="1705" ht="15.75" customHeight="1">
      <c r="A1705" s="20"/>
      <c r="B1705" s="20"/>
      <c r="C1705" s="20"/>
      <c r="D1705" s="21"/>
      <c r="E1705" s="21"/>
      <c r="F1705" s="22"/>
      <c r="G1705" s="21"/>
      <c r="H1705" s="149"/>
      <c r="I1705" s="25"/>
      <c r="J1705" s="26"/>
      <c r="K1705" s="21"/>
      <c r="L1705" s="27"/>
      <c r="M1705" s="28"/>
      <c r="N1705" s="29"/>
      <c r="O1705" s="29"/>
      <c r="P1705" s="34"/>
      <c r="Q1705" s="34"/>
      <c r="R1705" s="35"/>
      <c r="S1705" s="32" t="s">
        <v>29</v>
      </c>
      <c r="T1705" s="33"/>
      <c r="U1705" s="33"/>
    </row>
    <row r="1706" ht="15.75" customHeight="1">
      <c r="A1706" s="20"/>
      <c r="B1706" s="20"/>
      <c r="C1706" s="20"/>
      <c r="D1706" s="21"/>
      <c r="E1706" s="21"/>
      <c r="F1706" s="22"/>
      <c r="G1706" s="21"/>
      <c r="H1706" s="149"/>
      <c r="I1706" s="25"/>
      <c r="J1706" s="26"/>
      <c r="K1706" s="21"/>
      <c r="L1706" s="27"/>
      <c r="M1706" s="28"/>
      <c r="N1706" s="29"/>
      <c r="O1706" s="29"/>
      <c r="P1706" s="34"/>
      <c r="Q1706" s="34"/>
      <c r="R1706" s="35"/>
      <c r="S1706" s="32" t="s">
        <v>29</v>
      </c>
      <c r="T1706" s="33"/>
      <c r="U1706" s="33"/>
    </row>
    <row r="1707" ht="15.75" customHeight="1">
      <c r="A1707" s="20"/>
      <c r="B1707" s="20"/>
      <c r="C1707" s="20"/>
      <c r="D1707" s="21"/>
      <c r="E1707" s="21"/>
      <c r="F1707" s="22"/>
      <c r="G1707" s="21"/>
      <c r="H1707" s="149"/>
      <c r="I1707" s="25"/>
      <c r="J1707" s="26"/>
      <c r="K1707" s="21"/>
      <c r="L1707" s="27"/>
      <c r="M1707" s="28"/>
      <c r="N1707" s="29"/>
      <c r="O1707" s="29"/>
      <c r="P1707" s="34"/>
      <c r="Q1707" s="34"/>
      <c r="R1707" s="35"/>
      <c r="S1707" s="32" t="s">
        <v>29</v>
      </c>
      <c r="T1707" s="33"/>
      <c r="U1707" s="33"/>
    </row>
    <row r="1708" ht="15.75" customHeight="1">
      <c r="A1708" s="20"/>
      <c r="B1708" s="20"/>
      <c r="C1708" s="20"/>
      <c r="D1708" s="21"/>
      <c r="E1708" s="21"/>
      <c r="F1708" s="22"/>
      <c r="G1708" s="21"/>
      <c r="H1708" s="149"/>
      <c r="I1708" s="25"/>
      <c r="J1708" s="26"/>
      <c r="K1708" s="21"/>
      <c r="L1708" s="27"/>
      <c r="M1708" s="28"/>
      <c r="N1708" s="29"/>
      <c r="O1708" s="29"/>
      <c r="P1708" s="34"/>
      <c r="Q1708" s="34"/>
      <c r="R1708" s="35"/>
      <c r="S1708" s="32" t="s">
        <v>29</v>
      </c>
      <c r="T1708" s="33"/>
      <c r="U1708" s="33"/>
    </row>
    <row r="1709" ht="15.75" customHeight="1">
      <c r="A1709" s="20"/>
      <c r="B1709" s="20"/>
      <c r="C1709" s="20"/>
      <c r="D1709" s="21"/>
      <c r="E1709" s="21"/>
      <c r="F1709" s="22"/>
      <c r="G1709" s="21"/>
      <c r="H1709" s="149"/>
      <c r="I1709" s="25"/>
      <c r="J1709" s="26"/>
      <c r="K1709" s="21"/>
      <c r="L1709" s="27"/>
      <c r="M1709" s="28"/>
      <c r="N1709" s="29"/>
      <c r="O1709" s="29"/>
      <c r="P1709" s="34"/>
      <c r="Q1709" s="34"/>
      <c r="R1709" s="35"/>
      <c r="S1709" s="32" t="s">
        <v>29</v>
      </c>
      <c r="T1709" s="33"/>
      <c r="U1709" s="33"/>
    </row>
    <row r="1710" ht="15.75" customHeight="1">
      <c r="A1710" s="20"/>
      <c r="B1710" s="20"/>
      <c r="C1710" s="20"/>
      <c r="D1710" s="21"/>
      <c r="E1710" s="21"/>
      <c r="F1710" s="22"/>
      <c r="G1710" s="21"/>
      <c r="H1710" s="149"/>
      <c r="I1710" s="25"/>
      <c r="J1710" s="26"/>
      <c r="K1710" s="21"/>
      <c r="L1710" s="27"/>
      <c r="M1710" s="28"/>
      <c r="N1710" s="29"/>
      <c r="O1710" s="29"/>
      <c r="P1710" s="34"/>
      <c r="Q1710" s="34"/>
      <c r="R1710" s="79"/>
      <c r="S1710" s="32" t="s">
        <v>29</v>
      </c>
      <c r="T1710" s="33"/>
      <c r="U1710" s="33"/>
    </row>
    <row r="1711" ht="15.75" customHeight="1">
      <c r="A1711" s="20"/>
      <c r="B1711" s="20"/>
      <c r="C1711" s="20"/>
      <c r="D1711" s="21"/>
      <c r="E1711" s="21"/>
      <c r="F1711" s="22"/>
      <c r="G1711" s="21"/>
      <c r="H1711" s="149"/>
      <c r="I1711" s="25"/>
      <c r="J1711" s="26"/>
      <c r="K1711" s="21"/>
      <c r="L1711" s="27"/>
      <c r="M1711" s="28"/>
      <c r="N1711" s="29"/>
      <c r="O1711" s="29"/>
      <c r="P1711" s="34"/>
      <c r="Q1711" s="34"/>
      <c r="R1711" s="79"/>
      <c r="S1711" s="32" t="s">
        <v>29</v>
      </c>
      <c r="T1711" s="33"/>
      <c r="U1711" s="33"/>
    </row>
    <row r="1712" ht="15.75" customHeight="1">
      <c r="A1712" s="20"/>
      <c r="B1712" s="20"/>
      <c r="C1712" s="20"/>
      <c r="D1712" s="21"/>
      <c r="E1712" s="21"/>
      <c r="F1712" s="22"/>
      <c r="G1712" s="21"/>
      <c r="H1712" s="149"/>
      <c r="I1712" s="25"/>
      <c r="J1712" s="26"/>
      <c r="K1712" s="197"/>
      <c r="L1712" s="27"/>
      <c r="M1712" s="28"/>
      <c r="N1712" s="29"/>
      <c r="O1712" s="29"/>
      <c r="P1712" s="34"/>
      <c r="Q1712" s="34"/>
      <c r="R1712" s="35"/>
      <c r="S1712" s="32" t="s">
        <v>29</v>
      </c>
      <c r="T1712" s="33"/>
      <c r="U1712" s="33"/>
    </row>
    <row r="1713" ht="15.75" customHeight="1">
      <c r="A1713" s="20"/>
      <c r="B1713" s="20"/>
      <c r="C1713" s="20"/>
      <c r="D1713" s="21"/>
      <c r="E1713" s="21"/>
      <c r="F1713" s="22"/>
      <c r="G1713" s="21"/>
      <c r="H1713" s="149"/>
      <c r="I1713" s="25"/>
      <c r="J1713" s="26"/>
      <c r="K1713" s="37"/>
      <c r="L1713" s="27"/>
      <c r="M1713" s="28"/>
      <c r="N1713" s="29"/>
      <c r="O1713" s="29"/>
      <c r="P1713" s="34"/>
      <c r="Q1713" s="34"/>
      <c r="R1713" s="35"/>
      <c r="S1713" s="32" t="s">
        <v>29</v>
      </c>
      <c r="T1713" s="33"/>
      <c r="U1713" s="33"/>
    </row>
    <row r="1714" ht="15.75" customHeight="1">
      <c r="A1714" s="20"/>
      <c r="B1714" s="20"/>
      <c r="C1714" s="20"/>
      <c r="D1714" s="21"/>
      <c r="E1714" s="21"/>
      <c r="F1714" s="22"/>
      <c r="G1714" s="21"/>
      <c r="H1714" s="149"/>
      <c r="I1714" s="25"/>
      <c r="J1714" s="26"/>
      <c r="K1714" s="197"/>
      <c r="L1714" s="27"/>
      <c r="M1714" s="68"/>
      <c r="N1714" s="29"/>
      <c r="O1714" s="29"/>
      <c r="P1714" s="34"/>
      <c r="Q1714" s="34"/>
      <c r="R1714" s="35"/>
      <c r="S1714" s="32" t="s">
        <v>29</v>
      </c>
      <c r="T1714" s="33"/>
      <c r="U1714" s="33"/>
    </row>
    <row r="1715" ht="15.75" customHeight="1">
      <c r="A1715" s="20"/>
      <c r="B1715" s="20"/>
      <c r="C1715" s="20"/>
      <c r="D1715" s="21"/>
      <c r="E1715" s="21"/>
      <c r="F1715" s="22"/>
      <c r="G1715" s="21"/>
      <c r="H1715" s="149"/>
      <c r="I1715" s="25"/>
      <c r="J1715" s="26"/>
      <c r="K1715" s="197"/>
      <c r="L1715" s="27"/>
      <c r="M1715" s="28"/>
      <c r="N1715" s="29"/>
      <c r="O1715" s="29"/>
      <c r="P1715" s="34"/>
      <c r="Q1715" s="34"/>
      <c r="R1715" s="35"/>
      <c r="S1715" s="32" t="s">
        <v>29</v>
      </c>
      <c r="T1715" s="33"/>
      <c r="U1715" s="33"/>
    </row>
    <row r="1716" ht="15.75" customHeight="1">
      <c r="A1716" s="20"/>
      <c r="B1716" s="20"/>
      <c r="C1716" s="20"/>
      <c r="D1716" s="21"/>
      <c r="E1716" s="21"/>
      <c r="F1716" s="22"/>
      <c r="G1716" s="21"/>
      <c r="H1716" s="149"/>
      <c r="I1716" s="25"/>
      <c r="J1716" s="26"/>
      <c r="K1716" s="197"/>
      <c r="L1716" s="27"/>
      <c r="M1716" s="28"/>
      <c r="N1716" s="29"/>
      <c r="O1716" s="29"/>
      <c r="P1716" s="34"/>
      <c r="Q1716" s="34"/>
      <c r="R1716" s="35"/>
      <c r="S1716" s="32" t="s">
        <v>29</v>
      </c>
      <c r="T1716" s="33"/>
      <c r="U1716" s="33"/>
    </row>
    <row r="1717" ht="15.75" customHeight="1">
      <c r="A1717" s="20"/>
      <c r="B1717" s="20"/>
      <c r="C1717" s="20"/>
      <c r="D1717" s="21"/>
      <c r="E1717" s="21"/>
      <c r="F1717" s="22"/>
      <c r="G1717" s="21"/>
      <c r="H1717" s="149"/>
      <c r="I1717" s="25"/>
      <c r="J1717" s="26"/>
      <c r="K1717" s="197"/>
      <c r="L1717" s="27"/>
      <c r="M1717" s="28"/>
      <c r="N1717" s="29"/>
      <c r="O1717" s="29"/>
      <c r="P1717" s="34"/>
      <c r="Q1717" s="34"/>
      <c r="R1717" s="35"/>
      <c r="S1717" s="32" t="s">
        <v>29</v>
      </c>
      <c r="T1717" s="33"/>
      <c r="U1717" s="33"/>
    </row>
    <row r="1718" ht="15.75" customHeight="1">
      <c r="A1718" s="20"/>
      <c r="B1718" s="20"/>
      <c r="C1718" s="20"/>
      <c r="D1718" s="21"/>
      <c r="E1718" s="21"/>
      <c r="F1718" s="22"/>
      <c r="G1718" s="21"/>
      <c r="H1718" s="149"/>
      <c r="I1718" s="25"/>
      <c r="J1718" s="26"/>
      <c r="K1718" s="37"/>
      <c r="L1718" s="27"/>
      <c r="M1718" s="28"/>
      <c r="N1718" s="29"/>
      <c r="O1718" s="29"/>
      <c r="P1718" s="34"/>
      <c r="Q1718" s="34"/>
      <c r="R1718" s="35"/>
      <c r="S1718" s="32" t="s">
        <v>29</v>
      </c>
      <c r="T1718" s="33"/>
      <c r="U1718" s="33"/>
    </row>
    <row r="1719" ht="15.75" customHeight="1">
      <c r="A1719" s="20"/>
      <c r="B1719" s="20"/>
      <c r="C1719" s="20"/>
      <c r="D1719" s="21"/>
      <c r="E1719" s="21"/>
      <c r="F1719" s="22"/>
      <c r="G1719" s="21"/>
      <c r="H1719" s="149"/>
      <c r="I1719" s="25"/>
      <c r="J1719" s="26"/>
      <c r="K1719" s="197"/>
      <c r="L1719" s="27"/>
      <c r="M1719" s="28"/>
      <c r="N1719" s="29"/>
      <c r="O1719" s="29"/>
      <c r="P1719" s="34"/>
      <c r="Q1719" s="34"/>
      <c r="R1719" s="35"/>
      <c r="S1719" s="32" t="s">
        <v>29</v>
      </c>
      <c r="T1719" s="33"/>
      <c r="U1719" s="33"/>
    </row>
    <row r="1720" ht="15.75" customHeight="1">
      <c r="A1720" s="20"/>
      <c r="B1720" s="20"/>
      <c r="C1720" s="20"/>
      <c r="D1720" s="21"/>
      <c r="E1720" s="21"/>
      <c r="F1720" s="22"/>
      <c r="G1720" s="21"/>
      <c r="H1720" s="149"/>
      <c r="I1720" s="25"/>
      <c r="J1720" s="26"/>
      <c r="K1720" s="197"/>
      <c r="L1720" s="27"/>
      <c r="M1720" s="28"/>
      <c r="N1720" s="29"/>
      <c r="O1720" s="29"/>
      <c r="P1720" s="34"/>
      <c r="Q1720" s="34"/>
      <c r="R1720" s="35"/>
      <c r="S1720" s="32" t="s">
        <v>29</v>
      </c>
      <c r="T1720" s="33"/>
      <c r="U1720" s="33"/>
    </row>
    <row r="1721" ht="15.75" customHeight="1">
      <c r="A1721" s="20"/>
      <c r="B1721" s="20"/>
      <c r="C1721" s="20"/>
      <c r="D1721" s="21"/>
      <c r="E1721" s="21"/>
      <c r="F1721" s="22"/>
      <c r="G1721" s="21"/>
      <c r="H1721" s="149"/>
      <c r="I1721" s="25"/>
      <c r="J1721" s="26"/>
      <c r="K1721" s="21"/>
      <c r="L1721" s="27"/>
      <c r="M1721" s="28"/>
      <c r="N1721" s="29"/>
      <c r="O1721" s="29"/>
      <c r="P1721" s="34"/>
      <c r="Q1721" s="34"/>
      <c r="R1721" s="35"/>
      <c r="S1721" s="32" t="s">
        <v>29</v>
      </c>
      <c r="T1721" s="33"/>
      <c r="U1721" s="33"/>
    </row>
    <row r="1722" ht="15.75" customHeight="1">
      <c r="A1722" s="20"/>
      <c r="B1722" s="20"/>
      <c r="C1722" s="20"/>
      <c r="D1722" s="21"/>
      <c r="E1722" s="21"/>
      <c r="F1722" s="22"/>
      <c r="G1722" s="21"/>
      <c r="H1722" s="149"/>
      <c r="I1722" s="25"/>
      <c r="J1722" s="26"/>
      <c r="K1722" s="21"/>
      <c r="L1722" s="27"/>
      <c r="M1722" s="28"/>
      <c r="N1722" s="29"/>
      <c r="O1722" s="29"/>
      <c r="P1722" s="34"/>
      <c r="Q1722" s="34"/>
      <c r="R1722" s="35"/>
      <c r="S1722" s="32" t="s">
        <v>29</v>
      </c>
      <c r="T1722" s="33"/>
      <c r="U1722" s="33"/>
    </row>
    <row r="1723" ht="15.75" customHeight="1">
      <c r="A1723" s="20"/>
      <c r="B1723" s="20"/>
      <c r="C1723" s="20"/>
      <c r="D1723" s="21"/>
      <c r="E1723" s="21"/>
      <c r="F1723" s="22"/>
      <c r="G1723" s="21"/>
      <c r="H1723" s="149"/>
      <c r="I1723" s="25"/>
      <c r="J1723" s="26"/>
      <c r="K1723" s="21"/>
      <c r="L1723" s="27"/>
      <c r="M1723" s="28"/>
      <c r="N1723" s="29"/>
      <c r="O1723" s="29"/>
      <c r="P1723" s="34"/>
      <c r="Q1723" s="34"/>
      <c r="R1723" s="35"/>
      <c r="S1723" s="32" t="s">
        <v>29</v>
      </c>
      <c r="T1723" s="33"/>
      <c r="U1723" s="33"/>
    </row>
    <row r="1724" ht="15.75" customHeight="1">
      <c r="A1724" s="20"/>
      <c r="B1724" s="20"/>
      <c r="C1724" s="20"/>
      <c r="D1724" s="21"/>
      <c r="E1724" s="21"/>
      <c r="F1724" s="22"/>
      <c r="G1724" s="21"/>
      <c r="H1724" s="149"/>
      <c r="I1724" s="25"/>
      <c r="J1724" s="26"/>
      <c r="K1724" s="21"/>
      <c r="L1724" s="27"/>
      <c r="M1724" s="28"/>
      <c r="N1724" s="29"/>
      <c r="O1724" s="29"/>
      <c r="P1724" s="34"/>
      <c r="Q1724" s="34"/>
      <c r="R1724" s="35"/>
      <c r="S1724" s="32" t="s">
        <v>29</v>
      </c>
      <c r="T1724" s="33"/>
      <c r="U1724" s="33"/>
    </row>
    <row r="1725" ht="15.75" customHeight="1">
      <c r="A1725" s="20"/>
      <c r="B1725" s="20"/>
      <c r="C1725" s="20"/>
      <c r="D1725" s="21"/>
      <c r="E1725" s="21"/>
      <c r="F1725" s="22"/>
      <c r="G1725" s="21"/>
      <c r="H1725" s="149"/>
      <c r="I1725" s="25"/>
      <c r="J1725" s="26"/>
      <c r="K1725" s="21"/>
      <c r="L1725" s="27"/>
      <c r="M1725" s="28"/>
      <c r="N1725" s="29"/>
      <c r="O1725" s="29"/>
      <c r="P1725" s="34"/>
      <c r="Q1725" s="34"/>
      <c r="R1725" s="35"/>
      <c r="S1725" s="32" t="s">
        <v>29</v>
      </c>
      <c r="T1725" s="33"/>
      <c r="U1725" s="33"/>
    </row>
    <row r="1726" ht="15.75" customHeight="1">
      <c r="A1726" s="20"/>
      <c r="B1726" s="20"/>
      <c r="C1726" s="20"/>
      <c r="D1726" s="21"/>
      <c r="E1726" s="21"/>
      <c r="F1726" s="22"/>
      <c r="G1726" s="21"/>
      <c r="H1726" s="149"/>
      <c r="I1726" s="25"/>
      <c r="J1726" s="26"/>
      <c r="K1726" s="21"/>
      <c r="L1726" s="27"/>
      <c r="M1726" s="28"/>
      <c r="N1726" s="29"/>
      <c r="O1726" s="29"/>
      <c r="P1726" s="34"/>
      <c r="Q1726" s="34"/>
      <c r="R1726" s="35"/>
      <c r="S1726" s="32" t="s">
        <v>29</v>
      </c>
      <c r="T1726" s="33"/>
      <c r="U1726" s="33"/>
    </row>
    <row r="1727" ht="15.75" customHeight="1">
      <c r="A1727" s="20"/>
      <c r="B1727" s="20"/>
      <c r="C1727" s="20"/>
      <c r="D1727" s="21"/>
      <c r="E1727" s="21"/>
      <c r="F1727" s="22"/>
      <c r="G1727" s="21"/>
      <c r="H1727" s="149"/>
      <c r="I1727" s="25"/>
      <c r="J1727" s="26"/>
      <c r="K1727" s="21"/>
      <c r="L1727" s="29"/>
      <c r="M1727" s="28"/>
      <c r="N1727" s="29"/>
      <c r="O1727" s="29"/>
      <c r="P1727" s="34"/>
      <c r="Q1727" s="34"/>
      <c r="R1727" s="35"/>
      <c r="S1727" s="32" t="s">
        <v>29</v>
      </c>
      <c r="T1727" s="33"/>
      <c r="U1727" s="33"/>
    </row>
    <row r="1728" ht="15.75" customHeight="1">
      <c r="A1728" s="20"/>
      <c r="B1728" s="20"/>
      <c r="C1728" s="20"/>
      <c r="D1728" s="21"/>
      <c r="E1728" s="21"/>
      <c r="F1728" s="22"/>
      <c r="G1728" s="21"/>
      <c r="H1728" s="149"/>
      <c r="I1728" s="25"/>
      <c r="J1728" s="26"/>
      <c r="K1728" s="21"/>
      <c r="L1728" s="27"/>
      <c r="M1728" s="28"/>
      <c r="N1728" s="29"/>
      <c r="O1728" s="29"/>
      <c r="P1728" s="34"/>
      <c r="Q1728" s="34"/>
      <c r="R1728" s="35"/>
      <c r="S1728" s="32" t="s">
        <v>29</v>
      </c>
      <c r="T1728" s="33"/>
      <c r="U1728" s="33"/>
    </row>
    <row r="1729" ht="15.75" customHeight="1">
      <c r="A1729" s="20"/>
      <c r="B1729" s="20"/>
      <c r="C1729" s="20"/>
      <c r="D1729" s="21"/>
      <c r="E1729" s="21"/>
      <c r="F1729" s="22"/>
      <c r="G1729" s="21"/>
      <c r="H1729" s="149"/>
      <c r="I1729" s="25"/>
      <c r="J1729" s="26"/>
      <c r="K1729" s="21"/>
      <c r="L1729" s="27"/>
      <c r="M1729" s="28"/>
      <c r="N1729" s="29"/>
      <c r="O1729" s="29"/>
      <c r="P1729" s="34"/>
      <c r="Q1729" s="34"/>
      <c r="R1729" s="35"/>
      <c r="S1729" s="32" t="s">
        <v>29</v>
      </c>
      <c r="T1729" s="33"/>
      <c r="U1729" s="33"/>
    </row>
    <row r="1730" ht="15.75" customHeight="1">
      <c r="A1730" s="20"/>
      <c r="B1730" s="20"/>
      <c r="C1730" s="20"/>
      <c r="D1730" s="21"/>
      <c r="E1730" s="21"/>
      <c r="F1730" s="22"/>
      <c r="G1730" s="21"/>
      <c r="H1730" s="149"/>
      <c r="I1730" s="25"/>
      <c r="J1730" s="26"/>
      <c r="K1730" s="21"/>
      <c r="L1730" s="27"/>
      <c r="M1730" s="28"/>
      <c r="N1730" s="29"/>
      <c r="O1730" s="29"/>
      <c r="P1730" s="34"/>
      <c r="Q1730" s="34"/>
      <c r="R1730" s="35"/>
      <c r="S1730" s="32" t="s">
        <v>29</v>
      </c>
      <c r="T1730" s="33"/>
      <c r="U1730" s="33"/>
    </row>
    <row r="1731" ht="15.75" customHeight="1">
      <c r="A1731" s="20"/>
      <c r="B1731" s="20"/>
      <c r="C1731" s="20"/>
      <c r="D1731" s="21"/>
      <c r="E1731" s="21"/>
      <c r="F1731" s="22"/>
      <c r="G1731" s="21"/>
      <c r="H1731" s="149"/>
      <c r="I1731" s="25"/>
      <c r="J1731" s="26"/>
      <c r="K1731" s="21"/>
      <c r="L1731" s="27"/>
      <c r="M1731" s="28"/>
      <c r="N1731" s="29"/>
      <c r="O1731" s="29"/>
      <c r="P1731" s="34"/>
      <c r="Q1731" s="34"/>
      <c r="R1731" s="35"/>
      <c r="S1731" s="32" t="s">
        <v>29</v>
      </c>
      <c r="T1731" s="33"/>
      <c r="U1731" s="33"/>
    </row>
    <row r="1732" ht="15.75" customHeight="1">
      <c r="A1732" s="20"/>
      <c r="B1732" s="20"/>
      <c r="C1732" s="20"/>
      <c r="D1732" s="21"/>
      <c r="E1732" s="21"/>
      <c r="F1732" s="22"/>
      <c r="G1732" s="21"/>
      <c r="H1732" s="149"/>
      <c r="I1732" s="25"/>
      <c r="J1732" s="26"/>
      <c r="K1732" s="21"/>
      <c r="L1732" s="27"/>
      <c r="M1732" s="28"/>
      <c r="N1732" s="29"/>
      <c r="O1732" s="29"/>
      <c r="P1732" s="34"/>
      <c r="Q1732" s="34"/>
      <c r="R1732" s="35"/>
      <c r="S1732" s="32" t="s">
        <v>29</v>
      </c>
      <c r="T1732" s="33"/>
      <c r="U1732" s="33"/>
    </row>
    <row r="1733" ht="15.75" customHeight="1">
      <c r="A1733" s="20"/>
      <c r="B1733" s="20"/>
      <c r="C1733" s="20"/>
      <c r="D1733" s="21"/>
      <c r="E1733" s="21"/>
      <c r="F1733" s="22"/>
      <c r="G1733" s="21"/>
      <c r="H1733" s="149"/>
      <c r="I1733" s="25"/>
      <c r="J1733" s="26"/>
      <c r="K1733" s="21"/>
      <c r="L1733" s="27"/>
      <c r="M1733" s="28"/>
      <c r="N1733" s="29"/>
      <c r="O1733" s="29"/>
      <c r="P1733" s="34"/>
      <c r="Q1733" s="34"/>
      <c r="R1733" s="35"/>
      <c r="S1733" s="32" t="s">
        <v>29</v>
      </c>
      <c r="T1733" s="33"/>
      <c r="U1733" s="33"/>
    </row>
    <row r="1734" ht="15.75" customHeight="1">
      <c r="A1734" s="20"/>
      <c r="B1734" s="20"/>
      <c r="C1734" s="20"/>
      <c r="D1734" s="21"/>
      <c r="E1734" s="21"/>
      <c r="F1734" s="22"/>
      <c r="G1734" s="21"/>
      <c r="H1734" s="149"/>
      <c r="I1734" s="25"/>
      <c r="J1734" s="26"/>
      <c r="K1734" s="65"/>
      <c r="L1734" s="27"/>
      <c r="M1734" s="28"/>
      <c r="N1734" s="29"/>
      <c r="O1734" s="29"/>
      <c r="P1734" s="34"/>
      <c r="Q1734" s="34"/>
      <c r="R1734" s="35"/>
      <c r="S1734" s="32" t="s">
        <v>29</v>
      </c>
      <c r="T1734" s="33"/>
      <c r="U1734" s="33"/>
    </row>
    <row r="1735" ht="15.75" customHeight="1">
      <c r="A1735" s="20"/>
      <c r="B1735" s="20"/>
      <c r="C1735" s="20"/>
      <c r="D1735" s="21"/>
      <c r="E1735" s="21"/>
      <c r="F1735" s="22"/>
      <c r="G1735" s="21"/>
      <c r="H1735" s="149"/>
      <c r="I1735" s="25"/>
      <c r="J1735" s="26"/>
      <c r="K1735" s="185"/>
      <c r="L1735" s="27"/>
      <c r="M1735" s="28"/>
      <c r="N1735" s="29"/>
      <c r="O1735" s="29"/>
      <c r="P1735" s="34"/>
      <c r="Q1735" s="34"/>
      <c r="R1735" s="35"/>
      <c r="S1735" s="32" t="s">
        <v>29</v>
      </c>
      <c r="T1735" s="33"/>
      <c r="U1735" s="33"/>
    </row>
    <row r="1736" ht="15.75" customHeight="1">
      <c r="A1736" s="20"/>
      <c r="B1736" s="20"/>
      <c r="C1736" s="20"/>
      <c r="D1736" s="21"/>
      <c r="E1736" s="21"/>
      <c r="F1736" s="22"/>
      <c r="G1736" s="21"/>
      <c r="H1736" s="149"/>
      <c r="I1736" s="25"/>
      <c r="J1736" s="26"/>
      <c r="K1736" s="185"/>
      <c r="L1736" s="27"/>
      <c r="M1736" s="28"/>
      <c r="N1736" s="29"/>
      <c r="O1736" s="29"/>
      <c r="P1736" s="34"/>
      <c r="Q1736" s="34"/>
      <c r="R1736" s="35"/>
      <c r="S1736" s="32" t="s">
        <v>29</v>
      </c>
      <c r="T1736" s="33"/>
      <c r="U1736" s="33"/>
    </row>
    <row r="1737" ht="15.75" customHeight="1">
      <c r="A1737" s="20"/>
      <c r="B1737" s="20"/>
      <c r="C1737" s="20"/>
      <c r="D1737" s="21"/>
      <c r="E1737" s="21"/>
      <c r="F1737" s="22"/>
      <c r="G1737" s="21"/>
      <c r="H1737" s="149"/>
      <c r="I1737" s="25"/>
      <c r="J1737" s="26"/>
      <c r="K1737" s="21"/>
      <c r="L1737" s="27"/>
      <c r="M1737" s="28"/>
      <c r="N1737" s="29"/>
      <c r="O1737" s="29"/>
      <c r="P1737" s="34"/>
      <c r="Q1737" s="34"/>
      <c r="R1737" s="35"/>
      <c r="S1737" s="32" t="s">
        <v>29</v>
      </c>
      <c r="T1737" s="33"/>
      <c r="U1737" s="33"/>
    </row>
    <row r="1738" ht="15.75" customHeight="1">
      <c r="A1738" s="20"/>
      <c r="B1738" s="20"/>
      <c r="C1738" s="20"/>
      <c r="D1738" s="21"/>
      <c r="E1738" s="21"/>
      <c r="F1738" s="22"/>
      <c r="G1738" s="21"/>
      <c r="H1738" s="149"/>
      <c r="I1738" s="25"/>
      <c r="J1738" s="26"/>
      <c r="K1738" s="21"/>
      <c r="L1738" s="27"/>
      <c r="M1738" s="28"/>
      <c r="N1738" s="29"/>
      <c r="O1738" s="29"/>
      <c r="P1738" s="34"/>
      <c r="Q1738" s="34"/>
      <c r="R1738" s="35"/>
      <c r="S1738" s="32" t="s">
        <v>29</v>
      </c>
      <c r="T1738" s="33"/>
      <c r="U1738" s="33"/>
    </row>
    <row r="1739" ht="15.75" customHeight="1">
      <c r="A1739" s="20"/>
      <c r="B1739" s="20"/>
      <c r="C1739" s="20"/>
      <c r="D1739" s="21"/>
      <c r="E1739" s="21"/>
      <c r="F1739" s="22"/>
      <c r="G1739" s="21"/>
      <c r="H1739" s="178"/>
      <c r="I1739" s="25"/>
      <c r="J1739" s="26"/>
      <c r="K1739" s="21"/>
      <c r="L1739" s="27"/>
      <c r="M1739" s="28"/>
      <c r="N1739" s="29"/>
      <c r="O1739" s="29"/>
      <c r="P1739" s="34"/>
      <c r="Q1739" s="34"/>
      <c r="R1739" s="35"/>
      <c r="S1739" s="32" t="s">
        <v>29</v>
      </c>
      <c r="T1739" s="33"/>
      <c r="U1739" s="33"/>
    </row>
    <row r="1740" ht="15.75" customHeight="1">
      <c r="A1740" s="20"/>
      <c r="B1740" s="20"/>
      <c r="C1740" s="20"/>
      <c r="D1740" s="21"/>
      <c r="E1740" s="21"/>
      <c r="F1740" s="22"/>
      <c r="G1740" s="21"/>
      <c r="H1740" s="149"/>
      <c r="I1740" s="25"/>
      <c r="J1740" s="26"/>
      <c r="K1740" s="21"/>
      <c r="L1740" s="27"/>
      <c r="M1740" s="28"/>
      <c r="N1740" s="29"/>
      <c r="O1740" s="29"/>
      <c r="P1740" s="34"/>
      <c r="Q1740" s="34"/>
      <c r="R1740" s="35"/>
      <c r="S1740" s="32" t="s">
        <v>29</v>
      </c>
      <c r="T1740" s="33"/>
      <c r="U1740" s="33"/>
    </row>
    <row r="1741" ht="15.75" customHeight="1">
      <c r="A1741" s="20"/>
      <c r="B1741" s="20"/>
      <c r="C1741" s="20"/>
      <c r="D1741" s="21"/>
      <c r="E1741" s="21"/>
      <c r="F1741" s="22"/>
      <c r="G1741" s="21"/>
      <c r="H1741" s="149"/>
      <c r="I1741" s="25"/>
      <c r="J1741" s="26"/>
      <c r="K1741" s="21"/>
      <c r="L1741" s="27"/>
      <c r="M1741" s="28"/>
      <c r="N1741" s="29"/>
      <c r="O1741" s="29"/>
      <c r="P1741" s="34"/>
      <c r="Q1741" s="34"/>
      <c r="R1741" s="35"/>
      <c r="S1741" s="32" t="s">
        <v>29</v>
      </c>
      <c r="T1741" s="33"/>
      <c r="U1741" s="33"/>
    </row>
    <row r="1742" ht="15.75" customHeight="1">
      <c r="A1742" s="20"/>
      <c r="B1742" s="20"/>
      <c r="C1742" s="20"/>
      <c r="D1742" s="21"/>
      <c r="E1742" s="21"/>
      <c r="F1742" s="22"/>
      <c r="G1742" s="21"/>
      <c r="H1742" s="149"/>
      <c r="I1742" s="25"/>
      <c r="J1742" s="26"/>
      <c r="K1742" s="185"/>
      <c r="L1742" s="27"/>
      <c r="M1742" s="28"/>
      <c r="N1742" s="29"/>
      <c r="O1742" s="29"/>
      <c r="P1742" s="34"/>
      <c r="Q1742" s="34"/>
      <c r="R1742" s="35"/>
      <c r="S1742" s="32" t="s">
        <v>29</v>
      </c>
      <c r="T1742" s="33"/>
      <c r="U1742" s="33"/>
    </row>
    <row r="1743" ht="15.75" customHeight="1">
      <c r="A1743" s="20"/>
      <c r="B1743" s="20"/>
      <c r="C1743" s="20"/>
      <c r="D1743" s="21"/>
      <c r="E1743" s="21"/>
      <c r="F1743" s="22"/>
      <c r="G1743" s="21"/>
      <c r="H1743" s="149"/>
      <c r="I1743" s="25"/>
      <c r="J1743" s="26"/>
      <c r="K1743" s="21"/>
      <c r="L1743" s="27"/>
      <c r="M1743" s="28"/>
      <c r="N1743" s="29"/>
      <c r="O1743" s="29"/>
      <c r="P1743" s="34"/>
      <c r="Q1743" s="34"/>
      <c r="R1743" s="35"/>
      <c r="S1743" s="32" t="s">
        <v>29</v>
      </c>
      <c r="T1743" s="33"/>
      <c r="U1743" s="33"/>
    </row>
    <row r="1744" ht="15.75" customHeight="1">
      <c r="A1744" s="20"/>
      <c r="B1744" s="20"/>
      <c r="C1744" s="20"/>
      <c r="D1744" s="21"/>
      <c r="E1744" s="21"/>
      <c r="F1744" s="22"/>
      <c r="G1744" s="21"/>
      <c r="H1744" s="149"/>
      <c r="I1744" s="25"/>
      <c r="J1744" s="26"/>
      <c r="K1744" s="21"/>
      <c r="L1744" s="27"/>
      <c r="M1744" s="28"/>
      <c r="N1744" s="29"/>
      <c r="O1744" s="29"/>
      <c r="P1744" s="34"/>
      <c r="Q1744" s="34"/>
      <c r="R1744" s="35"/>
      <c r="S1744" s="32" t="s">
        <v>29</v>
      </c>
      <c r="T1744" s="33"/>
      <c r="U1744" s="33"/>
    </row>
    <row r="1745" ht="15.75" customHeight="1">
      <c r="A1745" s="20"/>
      <c r="B1745" s="20"/>
      <c r="C1745" s="20"/>
      <c r="D1745" s="21"/>
      <c r="E1745" s="21"/>
      <c r="F1745" s="22"/>
      <c r="G1745" s="21"/>
      <c r="H1745" s="149"/>
      <c r="I1745" s="25"/>
      <c r="J1745" s="26"/>
      <c r="K1745" s="21"/>
      <c r="L1745" s="27"/>
      <c r="M1745" s="28"/>
      <c r="N1745" s="29"/>
      <c r="O1745" s="29"/>
      <c r="P1745" s="34"/>
      <c r="Q1745" s="34"/>
      <c r="R1745" s="35"/>
      <c r="S1745" s="32" t="s">
        <v>29</v>
      </c>
      <c r="T1745" s="33"/>
      <c r="U1745" s="33"/>
    </row>
    <row r="1746" ht="15.75" customHeight="1">
      <c r="A1746" s="20"/>
      <c r="B1746" s="20"/>
      <c r="C1746" s="20"/>
      <c r="D1746" s="21"/>
      <c r="E1746" s="21"/>
      <c r="F1746" s="22"/>
      <c r="G1746" s="21"/>
      <c r="H1746" s="149"/>
      <c r="I1746" s="25"/>
      <c r="J1746" s="26"/>
      <c r="K1746" s="21"/>
      <c r="L1746" s="27"/>
      <c r="M1746" s="28"/>
      <c r="N1746" s="29"/>
      <c r="O1746" s="29"/>
      <c r="P1746" s="34"/>
      <c r="Q1746" s="34"/>
      <c r="R1746" s="35"/>
      <c r="S1746" s="32" t="s">
        <v>29</v>
      </c>
      <c r="T1746" s="33"/>
      <c r="U1746" s="33"/>
    </row>
    <row r="1747" ht="15.75" customHeight="1">
      <c r="A1747" s="20"/>
      <c r="B1747" s="20"/>
      <c r="C1747" s="20"/>
      <c r="D1747" s="21"/>
      <c r="E1747" s="21"/>
      <c r="F1747" s="22"/>
      <c r="G1747" s="21"/>
      <c r="H1747" s="149"/>
      <c r="I1747" s="25"/>
      <c r="J1747" s="26"/>
      <c r="K1747" s="21"/>
      <c r="L1747" s="27"/>
      <c r="M1747" s="28"/>
      <c r="N1747" s="29"/>
      <c r="O1747" s="29"/>
      <c r="P1747" s="34"/>
      <c r="Q1747" s="34"/>
      <c r="R1747" s="35"/>
      <c r="S1747" s="32" t="s">
        <v>29</v>
      </c>
      <c r="T1747" s="33"/>
      <c r="U1747" s="33"/>
    </row>
    <row r="1748" ht="15.75" customHeight="1">
      <c r="A1748" s="20"/>
      <c r="B1748" s="20"/>
      <c r="C1748" s="20"/>
      <c r="D1748" s="21"/>
      <c r="E1748" s="21"/>
      <c r="F1748" s="22"/>
      <c r="G1748" s="21"/>
      <c r="H1748" s="149"/>
      <c r="I1748" s="25"/>
      <c r="J1748" s="26"/>
      <c r="K1748" s="21"/>
      <c r="L1748" s="27"/>
      <c r="M1748" s="28"/>
      <c r="N1748" s="29"/>
      <c r="O1748" s="29"/>
      <c r="P1748" s="34"/>
      <c r="Q1748" s="34"/>
      <c r="R1748" s="35"/>
      <c r="S1748" s="32" t="s">
        <v>29</v>
      </c>
      <c r="T1748" s="33"/>
      <c r="U1748" s="33"/>
    </row>
    <row r="1749" ht="15.75" customHeight="1">
      <c r="A1749" s="20"/>
      <c r="B1749" s="20"/>
      <c r="C1749" s="20"/>
      <c r="D1749" s="21"/>
      <c r="E1749" s="21"/>
      <c r="F1749" s="22"/>
      <c r="G1749" s="21"/>
      <c r="H1749" s="149"/>
      <c r="I1749" s="25"/>
      <c r="J1749" s="26"/>
      <c r="K1749" s="21"/>
      <c r="L1749" s="27"/>
      <c r="M1749" s="28"/>
      <c r="N1749" s="29"/>
      <c r="O1749" s="29"/>
      <c r="P1749" s="34"/>
      <c r="Q1749" s="34"/>
      <c r="R1749" s="35"/>
      <c r="S1749" s="32" t="s">
        <v>29</v>
      </c>
      <c r="T1749" s="33"/>
      <c r="U1749" s="33"/>
    </row>
    <row r="1750" ht="15.75" customHeight="1">
      <c r="A1750" s="20"/>
      <c r="B1750" s="20"/>
      <c r="C1750" s="20"/>
      <c r="D1750" s="21"/>
      <c r="E1750" s="21"/>
      <c r="F1750" s="22"/>
      <c r="G1750" s="21"/>
      <c r="H1750" s="149"/>
      <c r="I1750" s="25"/>
      <c r="J1750" s="26"/>
      <c r="K1750" s="21"/>
      <c r="L1750" s="27"/>
      <c r="M1750" s="28"/>
      <c r="N1750" s="29"/>
      <c r="O1750" s="29"/>
      <c r="P1750" s="34"/>
      <c r="Q1750" s="34"/>
      <c r="R1750" s="35"/>
      <c r="S1750" s="32" t="s">
        <v>29</v>
      </c>
      <c r="T1750" s="33"/>
      <c r="U1750" s="33"/>
    </row>
    <row r="1751" ht="15.75" customHeight="1">
      <c r="A1751" s="20"/>
      <c r="B1751" s="20"/>
      <c r="C1751" s="20"/>
      <c r="D1751" s="21"/>
      <c r="E1751" s="21"/>
      <c r="F1751" s="22"/>
      <c r="G1751" s="21"/>
      <c r="H1751" s="149"/>
      <c r="I1751" s="25"/>
      <c r="J1751" s="26"/>
      <c r="K1751" s="21"/>
      <c r="L1751" s="27"/>
      <c r="M1751" s="28"/>
      <c r="N1751" s="29"/>
      <c r="O1751" s="29"/>
      <c r="P1751" s="34"/>
      <c r="Q1751" s="34"/>
      <c r="R1751" s="35"/>
      <c r="S1751" s="32" t="s">
        <v>29</v>
      </c>
      <c r="T1751" s="33"/>
      <c r="U1751" s="33"/>
    </row>
    <row r="1752" ht="15.75" customHeight="1">
      <c r="A1752" s="20"/>
      <c r="B1752" s="20"/>
      <c r="C1752" s="20"/>
      <c r="D1752" s="21"/>
      <c r="E1752" s="21"/>
      <c r="F1752" s="22"/>
      <c r="G1752" s="21"/>
      <c r="H1752" s="149"/>
      <c r="I1752" s="25"/>
      <c r="J1752" s="26"/>
      <c r="K1752" s="21"/>
      <c r="L1752" s="27"/>
      <c r="M1752" s="28"/>
      <c r="N1752" s="29"/>
      <c r="O1752" s="29"/>
      <c r="P1752" s="34"/>
      <c r="Q1752" s="34"/>
      <c r="R1752" s="35"/>
      <c r="S1752" s="32" t="s">
        <v>29</v>
      </c>
      <c r="T1752" s="33"/>
      <c r="U1752" s="33"/>
    </row>
    <row r="1753" ht="15.75" customHeight="1">
      <c r="A1753" s="20"/>
      <c r="B1753" s="20"/>
      <c r="C1753" s="20"/>
      <c r="D1753" s="21"/>
      <c r="E1753" s="21"/>
      <c r="F1753" s="22"/>
      <c r="G1753" s="21"/>
      <c r="H1753" s="149"/>
      <c r="I1753" s="25"/>
      <c r="J1753" s="26"/>
      <c r="K1753" s="21"/>
      <c r="L1753" s="27"/>
      <c r="M1753" s="28"/>
      <c r="N1753" s="29"/>
      <c r="O1753" s="29"/>
      <c r="P1753" s="34"/>
      <c r="Q1753" s="34"/>
      <c r="R1753" s="35"/>
      <c r="S1753" s="32" t="s">
        <v>29</v>
      </c>
      <c r="T1753" s="33"/>
      <c r="U1753" s="33"/>
    </row>
    <row r="1754" ht="15.75" customHeight="1">
      <c r="A1754" s="20"/>
      <c r="B1754" s="20"/>
      <c r="C1754" s="20"/>
      <c r="D1754" s="21"/>
      <c r="E1754" s="21"/>
      <c r="F1754" s="22"/>
      <c r="G1754" s="21"/>
      <c r="H1754" s="149"/>
      <c r="I1754" s="25"/>
      <c r="J1754" s="26"/>
      <c r="K1754" s="21"/>
      <c r="L1754" s="27"/>
      <c r="M1754" s="28"/>
      <c r="N1754" s="29"/>
      <c r="O1754" s="29"/>
      <c r="P1754" s="34"/>
      <c r="Q1754" s="34"/>
      <c r="R1754" s="35"/>
      <c r="S1754" s="32" t="s">
        <v>29</v>
      </c>
      <c r="T1754" s="33"/>
      <c r="U1754" s="33"/>
    </row>
    <row r="1755" ht="15.75" customHeight="1">
      <c r="A1755" s="20"/>
      <c r="B1755" s="20"/>
      <c r="C1755" s="20"/>
      <c r="D1755" s="21"/>
      <c r="E1755" s="21"/>
      <c r="F1755" s="22"/>
      <c r="G1755" s="21"/>
      <c r="H1755" s="149"/>
      <c r="I1755" s="25"/>
      <c r="J1755" s="26"/>
      <c r="K1755" s="21"/>
      <c r="L1755" s="27"/>
      <c r="M1755" s="28"/>
      <c r="N1755" s="29"/>
      <c r="O1755" s="29"/>
      <c r="P1755" s="34"/>
      <c r="Q1755" s="34"/>
      <c r="R1755" s="35"/>
      <c r="S1755" s="32" t="s">
        <v>29</v>
      </c>
      <c r="T1755" s="33"/>
      <c r="U1755" s="33"/>
    </row>
    <row r="1756" ht="15.75" customHeight="1">
      <c r="A1756" s="20"/>
      <c r="B1756" s="20"/>
      <c r="C1756" s="20"/>
      <c r="D1756" s="21"/>
      <c r="E1756" s="21"/>
      <c r="F1756" s="22"/>
      <c r="G1756" s="21"/>
      <c r="H1756" s="149"/>
      <c r="I1756" s="25"/>
      <c r="J1756" s="26"/>
      <c r="K1756" s="21"/>
      <c r="L1756" s="27"/>
      <c r="M1756" s="28"/>
      <c r="N1756" s="29"/>
      <c r="O1756" s="29"/>
      <c r="P1756" s="34"/>
      <c r="Q1756" s="34"/>
      <c r="R1756" s="35"/>
      <c r="S1756" s="32" t="s">
        <v>29</v>
      </c>
      <c r="T1756" s="33"/>
      <c r="U1756" s="33"/>
    </row>
    <row r="1757" ht="15.75" customHeight="1">
      <c r="A1757" s="20"/>
      <c r="B1757" s="20"/>
      <c r="C1757" s="20"/>
      <c r="D1757" s="21"/>
      <c r="E1757" s="21"/>
      <c r="F1757" s="22"/>
      <c r="G1757" s="21"/>
      <c r="H1757" s="149"/>
      <c r="I1757" s="25"/>
      <c r="J1757" s="26"/>
      <c r="K1757" s="21"/>
      <c r="L1757" s="27"/>
      <c r="M1757" s="28"/>
      <c r="N1757" s="29"/>
      <c r="O1757" s="29"/>
      <c r="P1757" s="34"/>
      <c r="Q1757" s="34"/>
      <c r="R1757" s="35"/>
      <c r="S1757" s="32" t="s">
        <v>29</v>
      </c>
      <c r="T1757" s="33"/>
      <c r="U1757" s="33"/>
    </row>
    <row r="1758" ht="15.75" customHeight="1">
      <c r="A1758" s="20"/>
      <c r="B1758" s="20"/>
      <c r="C1758" s="20"/>
      <c r="D1758" s="21"/>
      <c r="E1758" s="21"/>
      <c r="F1758" s="22"/>
      <c r="G1758" s="21"/>
      <c r="H1758" s="193"/>
      <c r="I1758" s="25"/>
      <c r="J1758" s="26"/>
      <c r="K1758" s="197"/>
      <c r="L1758" s="27"/>
      <c r="M1758" s="28"/>
      <c r="N1758" s="29"/>
      <c r="O1758" s="29"/>
      <c r="P1758" s="34"/>
      <c r="Q1758" s="34"/>
      <c r="R1758" s="35"/>
      <c r="S1758" s="32" t="s">
        <v>29</v>
      </c>
      <c r="T1758" s="33"/>
      <c r="U1758" s="33"/>
    </row>
    <row r="1759" ht="15.75" customHeight="1">
      <c r="A1759" s="20"/>
      <c r="B1759" s="20"/>
      <c r="C1759" s="20"/>
      <c r="D1759" s="21"/>
      <c r="E1759" s="21"/>
      <c r="F1759" s="22"/>
      <c r="G1759" s="21"/>
      <c r="H1759" s="149"/>
      <c r="I1759" s="25"/>
      <c r="J1759" s="26"/>
      <c r="K1759" s="197"/>
      <c r="L1759" s="27"/>
      <c r="M1759" s="28"/>
      <c r="N1759" s="29"/>
      <c r="O1759" s="29"/>
      <c r="P1759" s="34"/>
      <c r="Q1759" s="34"/>
      <c r="R1759" s="35"/>
      <c r="S1759" s="32" t="s">
        <v>29</v>
      </c>
      <c r="T1759" s="33"/>
      <c r="U1759" s="33"/>
    </row>
    <row r="1760" ht="15.75" customHeight="1">
      <c r="A1760" s="20"/>
      <c r="B1760" s="20"/>
      <c r="C1760" s="20"/>
      <c r="D1760" s="21"/>
      <c r="E1760" s="21"/>
      <c r="F1760" s="22"/>
      <c r="G1760" s="21"/>
      <c r="H1760" s="149"/>
      <c r="I1760" s="25"/>
      <c r="J1760" s="26"/>
      <c r="K1760" s="21"/>
      <c r="L1760" s="27"/>
      <c r="M1760" s="28"/>
      <c r="N1760" s="29"/>
      <c r="O1760" s="29"/>
      <c r="P1760" s="34"/>
      <c r="Q1760" s="34"/>
      <c r="R1760" s="35"/>
      <c r="S1760" s="32" t="s">
        <v>29</v>
      </c>
      <c r="T1760" s="33"/>
      <c r="U1760" s="33"/>
    </row>
    <row r="1761" ht="15.75" customHeight="1">
      <c r="A1761" s="20"/>
      <c r="B1761" s="20"/>
      <c r="C1761" s="20"/>
      <c r="D1761" s="21"/>
      <c r="E1761" s="21"/>
      <c r="F1761" s="22"/>
      <c r="G1761" s="21"/>
      <c r="H1761" s="149"/>
      <c r="I1761" s="25"/>
      <c r="J1761" s="26"/>
      <c r="K1761" s="21"/>
      <c r="L1761" s="27"/>
      <c r="M1761" s="28"/>
      <c r="N1761" s="29"/>
      <c r="O1761" s="29"/>
      <c r="P1761" s="34"/>
      <c r="Q1761" s="34"/>
      <c r="R1761" s="35"/>
      <c r="S1761" s="32" t="s">
        <v>29</v>
      </c>
      <c r="T1761" s="33"/>
      <c r="U1761" s="33"/>
    </row>
    <row r="1762" ht="15.75" customHeight="1">
      <c r="A1762" s="20"/>
      <c r="B1762" s="20"/>
      <c r="C1762" s="20"/>
      <c r="D1762" s="21"/>
      <c r="E1762" s="21"/>
      <c r="F1762" s="22"/>
      <c r="G1762" s="21"/>
      <c r="H1762" s="149"/>
      <c r="I1762" s="25"/>
      <c r="J1762" s="26"/>
      <c r="K1762" s="21"/>
      <c r="L1762" s="27"/>
      <c r="M1762" s="28"/>
      <c r="N1762" s="29"/>
      <c r="O1762" s="29"/>
      <c r="P1762" s="34"/>
      <c r="Q1762" s="34"/>
      <c r="R1762" s="35"/>
      <c r="S1762" s="32" t="s">
        <v>29</v>
      </c>
      <c r="T1762" s="33"/>
      <c r="U1762" s="33"/>
    </row>
    <row r="1763" ht="15.75" customHeight="1">
      <c r="A1763" s="20"/>
      <c r="B1763" s="20"/>
      <c r="C1763" s="20"/>
      <c r="D1763" s="21"/>
      <c r="E1763" s="21"/>
      <c r="F1763" s="67"/>
      <c r="G1763" s="23"/>
      <c r="H1763" s="149"/>
      <c r="I1763" s="25"/>
      <c r="J1763" s="26"/>
      <c r="K1763" s="21"/>
      <c r="L1763" s="29"/>
      <c r="M1763" s="28"/>
      <c r="N1763" s="29"/>
      <c r="O1763" s="29"/>
      <c r="P1763" s="34"/>
      <c r="Q1763" s="34"/>
      <c r="R1763" s="35"/>
      <c r="S1763" s="32" t="s">
        <v>29</v>
      </c>
      <c r="T1763" s="33"/>
      <c r="U1763" s="33"/>
    </row>
    <row r="1764" ht="15.75" customHeight="1">
      <c r="A1764" s="20"/>
      <c r="B1764" s="20"/>
      <c r="C1764" s="20"/>
      <c r="D1764" s="21"/>
      <c r="E1764" s="21"/>
      <c r="F1764" s="67"/>
      <c r="G1764" s="23"/>
      <c r="H1764" s="149"/>
      <c r="I1764" s="25"/>
      <c r="J1764" s="26"/>
      <c r="K1764" s="21"/>
      <c r="L1764" s="29"/>
      <c r="M1764" s="28"/>
      <c r="N1764" s="29"/>
      <c r="O1764" s="29"/>
      <c r="P1764" s="34"/>
      <c r="Q1764" s="34"/>
      <c r="R1764" s="35"/>
      <c r="S1764" s="32" t="s">
        <v>29</v>
      </c>
      <c r="T1764" s="33"/>
      <c r="U1764" s="33"/>
    </row>
    <row r="1765" ht="15.75" customHeight="1">
      <c r="A1765" s="20"/>
      <c r="B1765" s="20"/>
      <c r="C1765" s="20"/>
      <c r="D1765" s="21"/>
      <c r="E1765" s="21"/>
      <c r="F1765" s="22"/>
      <c r="G1765" s="23"/>
      <c r="H1765" s="149"/>
      <c r="I1765" s="25"/>
      <c r="J1765" s="26"/>
      <c r="K1765" s="21"/>
      <c r="L1765" s="29"/>
      <c r="M1765" s="28"/>
      <c r="N1765" s="29"/>
      <c r="O1765" s="29"/>
      <c r="P1765" s="34"/>
      <c r="Q1765" s="34"/>
      <c r="R1765" s="35"/>
      <c r="S1765" s="32" t="s">
        <v>29</v>
      </c>
      <c r="T1765" s="33"/>
      <c r="U1765" s="33"/>
    </row>
    <row r="1766" ht="15.75" customHeight="1">
      <c r="A1766" s="20"/>
      <c r="B1766" s="20"/>
      <c r="C1766" s="20"/>
      <c r="D1766" s="21"/>
      <c r="E1766" s="21"/>
      <c r="F1766" s="22"/>
      <c r="G1766" s="21"/>
      <c r="H1766" s="149"/>
      <c r="I1766" s="25"/>
      <c r="J1766" s="26"/>
      <c r="K1766" s="21"/>
      <c r="L1766" s="29"/>
      <c r="M1766" s="28"/>
      <c r="N1766" s="29"/>
      <c r="O1766" s="29"/>
      <c r="P1766" s="34"/>
      <c r="Q1766" s="34"/>
      <c r="R1766" s="35"/>
      <c r="S1766" s="32" t="s">
        <v>29</v>
      </c>
      <c r="T1766" s="33"/>
      <c r="U1766" s="33"/>
    </row>
    <row r="1767" ht="15.75" customHeight="1">
      <c r="A1767" s="20"/>
      <c r="B1767" s="20"/>
      <c r="C1767" s="20"/>
      <c r="D1767" s="21"/>
      <c r="E1767" s="21"/>
      <c r="F1767" s="22"/>
      <c r="G1767" s="21"/>
      <c r="H1767" s="149"/>
      <c r="I1767" s="25"/>
      <c r="J1767" s="26"/>
      <c r="K1767" s="21"/>
      <c r="L1767" s="27"/>
      <c r="M1767" s="28"/>
      <c r="N1767" s="29"/>
      <c r="O1767" s="29"/>
      <c r="P1767" s="34"/>
      <c r="Q1767" s="34"/>
      <c r="R1767" s="35"/>
      <c r="S1767" s="32" t="s">
        <v>29</v>
      </c>
      <c r="T1767" s="33"/>
      <c r="U1767" s="33"/>
    </row>
    <row r="1768" ht="15.75" customHeight="1">
      <c r="A1768" s="20"/>
      <c r="B1768" s="20"/>
      <c r="C1768" s="20"/>
      <c r="D1768" s="21"/>
      <c r="E1768" s="21"/>
      <c r="F1768" s="22"/>
      <c r="G1768" s="21"/>
      <c r="H1768" s="149"/>
      <c r="I1768" s="25"/>
      <c r="J1768" s="26"/>
      <c r="K1768" s="21"/>
      <c r="L1768" s="27"/>
      <c r="M1768" s="28"/>
      <c r="N1768" s="29"/>
      <c r="O1768" s="29"/>
      <c r="P1768" s="34"/>
      <c r="Q1768" s="34"/>
      <c r="R1768" s="35"/>
      <c r="S1768" s="32" t="s">
        <v>29</v>
      </c>
      <c r="T1768" s="33"/>
      <c r="U1768" s="33"/>
    </row>
    <row r="1769" ht="15.75" customHeight="1">
      <c r="A1769" s="20"/>
      <c r="B1769" s="20"/>
      <c r="C1769" s="20"/>
      <c r="D1769" s="21"/>
      <c r="E1769" s="21"/>
      <c r="F1769" s="22"/>
      <c r="G1769" s="21"/>
      <c r="H1769" s="149"/>
      <c r="I1769" s="25"/>
      <c r="J1769" s="26"/>
      <c r="K1769" s="21"/>
      <c r="L1769" s="27"/>
      <c r="M1769" s="28"/>
      <c r="N1769" s="29"/>
      <c r="O1769" s="29"/>
      <c r="P1769" s="34"/>
      <c r="Q1769" s="34"/>
      <c r="R1769" s="35"/>
      <c r="S1769" s="32" t="s">
        <v>29</v>
      </c>
      <c r="T1769" s="33"/>
      <c r="U1769" s="33"/>
    </row>
    <row r="1770" ht="15.75" customHeight="1">
      <c r="A1770" s="20"/>
      <c r="B1770" s="20"/>
      <c r="C1770" s="20"/>
      <c r="D1770" s="21"/>
      <c r="E1770" s="21"/>
      <c r="F1770" s="22"/>
      <c r="G1770" s="21"/>
      <c r="H1770" s="149"/>
      <c r="I1770" s="25"/>
      <c r="J1770" s="26"/>
      <c r="K1770" s="21"/>
      <c r="L1770" s="27"/>
      <c r="M1770" s="28"/>
      <c r="N1770" s="29"/>
      <c r="O1770" s="29"/>
      <c r="P1770" s="34"/>
      <c r="Q1770" s="34"/>
      <c r="R1770" s="35"/>
      <c r="S1770" s="32" t="s">
        <v>29</v>
      </c>
      <c r="T1770" s="33"/>
      <c r="U1770" s="33"/>
    </row>
    <row r="1771" ht="15.75" customHeight="1">
      <c r="A1771" s="20"/>
      <c r="B1771" s="20"/>
      <c r="C1771" s="20"/>
      <c r="D1771" s="21"/>
      <c r="E1771" s="21"/>
      <c r="F1771" s="22"/>
      <c r="G1771" s="21"/>
      <c r="H1771" s="149"/>
      <c r="I1771" s="25"/>
      <c r="J1771" s="26"/>
      <c r="K1771" s="21"/>
      <c r="L1771" s="27"/>
      <c r="M1771" s="28"/>
      <c r="N1771" s="29"/>
      <c r="O1771" s="29"/>
      <c r="P1771" s="34"/>
      <c r="Q1771" s="34"/>
      <c r="R1771" s="79"/>
      <c r="S1771" s="32" t="s">
        <v>29</v>
      </c>
      <c r="T1771" s="33"/>
      <c r="U1771" s="33"/>
    </row>
    <row r="1772" ht="15.75" customHeight="1">
      <c r="A1772" s="20"/>
      <c r="B1772" s="20"/>
      <c r="C1772" s="20"/>
      <c r="D1772" s="21"/>
      <c r="E1772" s="21"/>
      <c r="F1772" s="22"/>
      <c r="G1772" s="21"/>
      <c r="H1772" s="149"/>
      <c r="I1772" s="25"/>
      <c r="J1772" s="26"/>
      <c r="K1772" s="21"/>
      <c r="L1772" s="27"/>
      <c r="M1772" s="28"/>
      <c r="N1772" s="29"/>
      <c r="O1772" s="29"/>
      <c r="P1772" s="34"/>
      <c r="Q1772" s="34"/>
      <c r="R1772" s="35"/>
      <c r="S1772" s="32" t="s">
        <v>29</v>
      </c>
      <c r="T1772" s="33"/>
      <c r="U1772" s="33"/>
    </row>
    <row r="1773" ht="15.75" customHeight="1">
      <c r="A1773" s="20"/>
      <c r="B1773" s="20"/>
      <c r="C1773" s="20"/>
      <c r="D1773" s="21"/>
      <c r="E1773" s="21"/>
      <c r="F1773" s="22"/>
      <c r="G1773" s="21"/>
      <c r="H1773" s="149"/>
      <c r="I1773" s="25"/>
      <c r="J1773" s="26"/>
      <c r="K1773" s="21"/>
      <c r="L1773" s="27"/>
      <c r="M1773" s="28"/>
      <c r="N1773" s="29"/>
      <c r="O1773" s="29"/>
      <c r="P1773" s="34"/>
      <c r="Q1773" s="34"/>
      <c r="R1773" s="35"/>
      <c r="S1773" s="32" t="s">
        <v>29</v>
      </c>
      <c r="T1773" s="33"/>
      <c r="U1773" s="33"/>
    </row>
    <row r="1774" ht="15.75" customHeight="1">
      <c r="A1774" s="20"/>
      <c r="B1774" s="20"/>
      <c r="C1774" s="20"/>
      <c r="D1774" s="21"/>
      <c r="E1774" s="21"/>
      <c r="F1774" s="22"/>
      <c r="G1774" s="21"/>
      <c r="H1774" s="149"/>
      <c r="I1774" s="25"/>
      <c r="J1774" s="26"/>
      <c r="K1774" s="21"/>
      <c r="L1774" s="27"/>
      <c r="M1774" s="28"/>
      <c r="N1774" s="29"/>
      <c r="O1774" s="29"/>
      <c r="P1774" s="34"/>
      <c r="Q1774" s="34"/>
      <c r="R1774" s="35"/>
      <c r="S1774" s="32" t="s">
        <v>29</v>
      </c>
      <c r="T1774" s="33"/>
      <c r="U1774" s="33"/>
    </row>
    <row r="1775" ht="15.75" customHeight="1">
      <c r="A1775" s="20"/>
      <c r="B1775" s="20"/>
      <c r="C1775" s="20"/>
      <c r="D1775" s="21"/>
      <c r="E1775" s="21"/>
      <c r="F1775" s="22"/>
      <c r="G1775" s="21"/>
      <c r="H1775" s="149"/>
      <c r="I1775" s="25"/>
      <c r="J1775" s="26"/>
      <c r="K1775" s="21"/>
      <c r="L1775" s="27"/>
      <c r="M1775" s="28"/>
      <c r="N1775" s="29"/>
      <c r="O1775" s="29"/>
      <c r="P1775" s="34"/>
      <c r="Q1775" s="34"/>
      <c r="R1775" s="35"/>
      <c r="S1775" s="32" t="s">
        <v>29</v>
      </c>
      <c r="T1775" s="33"/>
      <c r="U1775" s="33"/>
    </row>
    <row r="1776" ht="15.75" customHeight="1">
      <c r="A1776" s="20"/>
      <c r="B1776" s="20"/>
      <c r="C1776" s="20"/>
      <c r="D1776" s="21"/>
      <c r="E1776" s="21"/>
      <c r="F1776" s="22"/>
      <c r="G1776" s="21"/>
      <c r="H1776" s="149"/>
      <c r="I1776" s="25"/>
      <c r="J1776" s="26"/>
      <c r="K1776" s="21"/>
      <c r="L1776" s="27"/>
      <c r="M1776" s="28"/>
      <c r="N1776" s="29"/>
      <c r="O1776" s="29"/>
      <c r="P1776" s="34"/>
      <c r="Q1776" s="34"/>
      <c r="R1776" s="35"/>
      <c r="S1776" s="32" t="s">
        <v>29</v>
      </c>
      <c r="T1776" s="33"/>
      <c r="U1776" s="33"/>
    </row>
    <row r="1777" ht="15.75" customHeight="1">
      <c r="A1777" s="20"/>
      <c r="B1777" s="20"/>
      <c r="C1777" s="20"/>
      <c r="D1777" s="21"/>
      <c r="E1777" s="21"/>
      <c r="F1777" s="22"/>
      <c r="G1777" s="21"/>
      <c r="H1777" s="149"/>
      <c r="I1777" s="25"/>
      <c r="J1777" s="26"/>
      <c r="K1777" s="21"/>
      <c r="L1777" s="27"/>
      <c r="M1777" s="28"/>
      <c r="N1777" s="29"/>
      <c r="O1777" s="29"/>
      <c r="P1777" s="34"/>
      <c r="Q1777" s="34"/>
      <c r="R1777" s="35"/>
      <c r="S1777" s="32" t="s">
        <v>29</v>
      </c>
      <c r="T1777" s="33"/>
      <c r="U1777" s="33"/>
    </row>
    <row r="1778" ht="15.75" customHeight="1">
      <c r="A1778" s="20"/>
      <c r="B1778" s="20"/>
      <c r="C1778" s="20"/>
      <c r="D1778" s="21"/>
      <c r="E1778" s="21"/>
      <c r="F1778" s="22"/>
      <c r="G1778" s="21"/>
      <c r="H1778" s="149"/>
      <c r="I1778" s="25"/>
      <c r="J1778" s="26"/>
      <c r="K1778" s="21"/>
      <c r="L1778" s="27"/>
      <c r="M1778" s="28"/>
      <c r="N1778" s="29"/>
      <c r="O1778" s="29"/>
      <c r="P1778" s="34"/>
      <c r="Q1778" s="34"/>
      <c r="R1778" s="35"/>
      <c r="S1778" s="32" t="s">
        <v>29</v>
      </c>
      <c r="T1778" s="33"/>
      <c r="U1778" s="33"/>
    </row>
    <row r="1779" ht="15.75" customHeight="1">
      <c r="A1779" s="20"/>
      <c r="B1779" s="20"/>
      <c r="C1779" s="20"/>
      <c r="D1779" s="21"/>
      <c r="E1779" s="21"/>
      <c r="F1779" s="22"/>
      <c r="G1779" s="21"/>
      <c r="H1779" s="149"/>
      <c r="I1779" s="25"/>
      <c r="J1779" s="26"/>
      <c r="K1779" s="197"/>
      <c r="L1779" s="27"/>
      <c r="M1779" s="28"/>
      <c r="N1779" s="29"/>
      <c r="O1779" s="29"/>
      <c r="P1779" s="34"/>
      <c r="Q1779" s="34"/>
      <c r="R1779" s="35"/>
      <c r="S1779" s="32" t="s">
        <v>29</v>
      </c>
      <c r="T1779" s="33"/>
      <c r="U1779" s="33"/>
    </row>
    <row r="1780" ht="15.75" customHeight="1">
      <c r="A1780" s="20"/>
      <c r="B1780" s="20"/>
      <c r="C1780" s="20"/>
      <c r="D1780" s="21"/>
      <c r="E1780" s="21"/>
      <c r="F1780" s="22"/>
      <c r="G1780" s="21"/>
      <c r="H1780" s="149"/>
      <c r="I1780" s="25"/>
      <c r="J1780" s="26"/>
      <c r="K1780" s="21"/>
      <c r="L1780" s="27"/>
      <c r="M1780" s="28"/>
      <c r="N1780" s="29"/>
      <c r="O1780" s="29"/>
      <c r="P1780" s="34"/>
      <c r="Q1780" s="34"/>
      <c r="R1780" s="35"/>
      <c r="S1780" s="32" t="s">
        <v>29</v>
      </c>
      <c r="T1780" s="33"/>
      <c r="U1780" s="33"/>
    </row>
    <row r="1781" ht="15.75" customHeight="1">
      <c r="A1781" s="20"/>
      <c r="B1781" s="20"/>
      <c r="C1781" s="20"/>
      <c r="D1781" s="21"/>
      <c r="E1781" s="21"/>
      <c r="F1781" s="22"/>
      <c r="G1781" s="21"/>
      <c r="H1781" s="149"/>
      <c r="I1781" s="25"/>
      <c r="J1781" s="26"/>
      <c r="K1781" s="21"/>
      <c r="L1781" s="27"/>
      <c r="M1781" s="28"/>
      <c r="N1781" s="29"/>
      <c r="O1781" s="29"/>
      <c r="P1781" s="34"/>
      <c r="Q1781" s="34"/>
      <c r="R1781" s="35"/>
      <c r="S1781" s="32" t="s">
        <v>29</v>
      </c>
      <c r="T1781" s="33"/>
      <c r="U1781" s="33"/>
    </row>
    <row r="1782" ht="15.75" customHeight="1">
      <c r="A1782" s="20"/>
      <c r="B1782" s="20"/>
      <c r="C1782" s="20"/>
      <c r="D1782" s="21"/>
      <c r="E1782" s="21"/>
      <c r="F1782" s="22"/>
      <c r="G1782" s="21"/>
      <c r="H1782" s="149"/>
      <c r="I1782" s="25"/>
      <c r="J1782" s="26"/>
      <c r="K1782" s="21"/>
      <c r="L1782" s="27"/>
      <c r="M1782" s="28"/>
      <c r="N1782" s="29"/>
      <c r="O1782" s="29"/>
      <c r="P1782" s="34"/>
      <c r="Q1782" s="34"/>
      <c r="R1782" s="35"/>
      <c r="S1782" s="32" t="s">
        <v>29</v>
      </c>
      <c r="T1782" s="33"/>
      <c r="U1782" s="33"/>
    </row>
    <row r="1783" ht="15.75" customHeight="1">
      <c r="A1783" s="20"/>
      <c r="B1783" s="20"/>
      <c r="C1783" s="20"/>
      <c r="D1783" s="21"/>
      <c r="E1783" s="21"/>
      <c r="F1783" s="67"/>
      <c r="G1783" s="21"/>
      <c r="H1783" s="149"/>
      <c r="I1783" s="25"/>
      <c r="J1783" s="26"/>
      <c r="K1783" s="21"/>
      <c r="L1783" s="29"/>
      <c r="M1783" s="28"/>
      <c r="N1783" s="29"/>
      <c r="O1783" s="29"/>
      <c r="P1783" s="34"/>
      <c r="Q1783" s="34"/>
      <c r="R1783" s="35"/>
      <c r="S1783" s="32" t="s">
        <v>29</v>
      </c>
      <c r="T1783" s="33"/>
      <c r="U1783" s="33"/>
    </row>
    <row r="1784" ht="15.75" customHeight="1">
      <c r="A1784" s="20"/>
      <c r="B1784" s="20"/>
      <c r="C1784" s="20"/>
      <c r="D1784" s="21"/>
      <c r="E1784" s="21"/>
      <c r="F1784" s="22"/>
      <c r="G1784" s="21"/>
      <c r="H1784" s="186"/>
      <c r="I1784" s="25"/>
      <c r="J1784" s="26"/>
      <c r="K1784" s="197"/>
      <c r="L1784" s="27"/>
      <c r="M1784" s="28"/>
      <c r="N1784" s="29"/>
      <c r="O1784" s="29"/>
      <c r="P1784" s="34"/>
      <c r="Q1784" s="34"/>
      <c r="R1784" s="35"/>
      <c r="S1784" s="32" t="s">
        <v>29</v>
      </c>
      <c r="T1784" s="33"/>
      <c r="U1784" s="33"/>
    </row>
    <row r="1785" ht="15.75" customHeight="1">
      <c r="A1785" s="20"/>
      <c r="B1785" s="20"/>
      <c r="C1785" s="20"/>
      <c r="D1785" s="21"/>
      <c r="E1785" s="21"/>
      <c r="F1785" s="22"/>
      <c r="G1785" s="21"/>
      <c r="H1785" s="198"/>
      <c r="I1785" s="25"/>
      <c r="J1785" s="26"/>
      <c r="K1785" s="197"/>
      <c r="L1785" s="27"/>
      <c r="M1785" s="28"/>
      <c r="N1785" s="29"/>
      <c r="O1785" s="29"/>
      <c r="P1785" s="34"/>
      <c r="Q1785" s="34"/>
      <c r="R1785" s="35"/>
      <c r="S1785" s="32" t="s">
        <v>29</v>
      </c>
      <c r="T1785" s="33"/>
      <c r="U1785" s="33"/>
    </row>
    <row r="1786" ht="15.75" customHeight="1">
      <c r="A1786" s="20"/>
      <c r="B1786" s="20"/>
      <c r="C1786" s="20"/>
      <c r="D1786" s="21"/>
      <c r="E1786" s="21"/>
      <c r="F1786" s="22"/>
      <c r="G1786" s="21"/>
      <c r="H1786" s="149"/>
      <c r="I1786" s="25"/>
      <c r="J1786" s="26"/>
      <c r="K1786" s="197"/>
      <c r="L1786" s="27"/>
      <c r="M1786" s="28"/>
      <c r="N1786" s="29"/>
      <c r="O1786" s="29"/>
      <c r="P1786" s="34"/>
      <c r="Q1786" s="34"/>
      <c r="R1786" s="35"/>
      <c r="S1786" s="32" t="s">
        <v>29</v>
      </c>
      <c r="T1786" s="33"/>
      <c r="U1786" s="33"/>
    </row>
    <row r="1787" ht="15.75" customHeight="1">
      <c r="A1787" s="20"/>
      <c r="B1787" s="20"/>
      <c r="C1787" s="20"/>
      <c r="D1787" s="21"/>
      <c r="E1787" s="21"/>
      <c r="F1787" s="22"/>
      <c r="G1787" s="21"/>
      <c r="H1787" s="149"/>
      <c r="I1787" s="25"/>
      <c r="J1787" s="26"/>
      <c r="K1787" s="21"/>
      <c r="L1787" s="27"/>
      <c r="M1787" s="28"/>
      <c r="N1787" s="29"/>
      <c r="O1787" s="29"/>
      <c r="P1787" s="34"/>
      <c r="Q1787" s="34"/>
      <c r="R1787" s="35"/>
      <c r="S1787" s="32" t="s">
        <v>29</v>
      </c>
      <c r="T1787" s="33"/>
      <c r="U1787" s="33"/>
    </row>
    <row r="1788" ht="15.75" customHeight="1">
      <c r="A1788" s="20"/>
      <c r="B1788" s="20"/>
      <c r="C1788" s="20"/>
      <c r="D1788" s="21"/>
      <c r="E1788" s="21"/>
      <c r="F1788" s="22"/>
      <c r="G1788" s="21"/>
      <c r="H1788" s="149"/>
      <c r="I1788" s="25"/>
      <c r="J1788" s="26"/>
      <c r="K1788" s="21"/>
      <c r="L1788" s="27"/>
      <c r="M1788" s="28"/>
      <c r="N1788" s="29"/>
      <c r="O1788" s="29"/>
      <c r="P1788" s="34"/>
      <c r="Q1788" s="34"/>
      <c r="R1788" s="35"/>
      <c r="S1788" s="32" t="s">
        <v>29</v>
      </c>
      <c r="T1788" s="33"/>
      <c r="U1788" s="33"/>
    </row>
    <row r="1789" ht="15.75" customHeight="1">
      <c r="A1789" s="20"/>
      <c r="B1789" s="20"/>
      <c r="C1789" s="20"/>
      <c r="D1789" s="21"/>
      <c r="E1789" s="21"/>
      <c r="F1789" s="22"/>
      <c r="G1789" s="21"/>
      <c r="H1789" s="149"/>
      <c r="I1789" s="25"/>
      <c r="J1789" s="26"/>
      <c r="K1789" s="21"/>
      <c r="L1789" s="27"/>
      <c r="M1789" s="28"/>
      <c r="N1789" s="29"/>
      <c r="O1789" s="29"/>
      <c r="P1789" s="34"/>
      <c r="Q1789" s="34"/>
      <c r="R1789" s="35"/>
      <c r="S1789" s="32" t="s">
        <v>29</v>
      </c>
      <c r="T1789" s="33"/>
      <c r="U1789" s="33"/>
    </row>
    <row r="1790" ht="15.75" customHeight="1">
      <c r="A1790" s="20"/>
      <c r="B1790" s="20"/>
      <c r="C1790" s="20"/>
      <c r="D1790" s="21"/>
      <c r="E1790" s="21"/>
      <c r="F1790" s="22"/>
      <c r="G1790" s="21"/>
      <c r="H1790" s="149"/>
      <c r="I1790" s="25"/>
      <c r="J1790" s="26"/>
      <c r="K1790" s="21"/>
      <c r="L1790" s="27"/>
      <c r="M1790" s="28"/>
      <c r="N1790" s="29"/>
      <c r="O1790" s="29"/>
      <c r="P1790" s="34"/>
      <c r="Q1790" s="34"/>
      <c r="R1790" s="35"/>
      <c r="S1790" s="32" t="s">
        <v>29</v>
      </c>
      <c r="T1790" s="33"/>
      <c r="U1790" s="33"/>
    </row>
    <row r="1791" ht="15.75" customHeight="1">
      <c r="A1791" s="20"/>
      <c r="B1791" s="20"/>
      <c r="C1791" s="20"/>
      <c r="D1791" s="21"/>
      <c r="E1791" s="21"/>
      <c r="F1791" s="22"/>
      <c r="G1791" s="21"/>
      <c r="H1791" s="149"/>
      <c r="I1791" s="25"/>
      <c r="J1791" s="26"/>
      <c r="K1791" s="21"/>
      <c r="L1791" s="27"/>
      <c r="M1791" s="28"/>
      <c r="N1791" s="29"/>
      <c r="O1791" s="29"/>
      <c r="P1791" s="34"/>
      <c r="Q1791" s="34"/>
      <c r="R1791" s="35"/>
      <c r="S1791" s="32" t="s">
        <v>29</v>
      </c>
      <c r="T1791" s="33"/>
      <c r="U1791" s="33"/>
    </row>
    <row r="1792" ht="15.75" customHeight="1">
      <c r="A1792" s="20"/>
      <c r="B1792" s="20"/>
      <c r="C1792" s="20"/>
      <c r="D1792" s="21"/>
      <c r="E1792" s="21"/>
      <c r="F1792" s="22"/>
      <c r="G1792" s="21"/>
      <c r="H1792" s="149"/>
      <c r="I1792" s="25"/>
      <c r="J1792" s="26"/>
      <c r="K1792" s="21"/>
      <c r="L1792" s="27"/>
      <c r="M1792" s="28"/>
      <c r="N1792" s="29"/>
      <c r="O1792" s="29"/>
      <c r="P1792" s="34"/>
      <c r="Q1792" s="34"/>
      <c r="R1792" s="35"/>
      <c r="S1792" s="32" t="s">
        <v>29</v>
      </c>
      <c r="T1792" s="33"/>
      <c r="U1792" s="33"/>
    </row>
    <row r="1793" ht="15.75" customHeight="1">
      <c r="A1793" s="20"/>
      <c r="B1793" s="20"/>
      <c r="C1793" s="20"/>
      <c r="D1793" s="21"/>
      <c r="E1793" s="21"/>
      <c r="F1793" s="22"/>
      <c r="G1793" s="21"/>
      <c r="H1793" s="149"/>
      <c r="I1793" s="25"/>
      <c r="J1793" s="26"/>
      <c r="K1793" s="21"/>
      <c r="L1793" s="27"/>
      <c r="M1793" s="28"/>
      <c r="N1793" s="29"/>
      <c r="O1793" s="29"/>
      <c r="P1793" s="34"/>
      <c r="Q1793" s="34"/>
      <c r="R1793" s="35"/>
      <c r="S1793" s="32" t="s">
        <v>29</v>
      </c>
      <c r="T1793" s="33"/>
      <c r="U1793" s="33"/>
    </row>
    <row r="1794" ht="15.75" customHeight="1">
      <c r="A1794" s="20"/>
      <c r="B1794" s="20"/>
      <c r="C1794" s="20"/>
      <c r="D1794" s="21"/>
      <c r="E1794" s="21"/>
      <c r="F1794" s="22"/>
      <c r="G1794" s="21"/>
      <c r="H1794" s="149"/>
      <c r="I1794" s="25"/>
      <c r="J1794" s="26"/>
      <c r="K1794" s="21"/>
      <c r="L1794" s="27"/>
      <c r="M1794" s="28"/>
      <c r="N1794" s="29"/>
      <c r="O1794" s="29"/>
      <c r="P1794" s="34"/>
      <c r="Q1794" s="34"/>
      <c r="R1794" s="79"/>
      <c r="S1794" s="32" t="s">
        <v>29</v>
      </c>
      <c r="T1794" s="33"/>
      <c r="U1794" s="33"/>
    </row>
    <row r="1795" ht="15.75" customHeight="1">
      <c r="A1795" s="20"/>
      <c r="B1795" s="20"/>
      <c r="C1795" s="20"/>
      <c r="D1795" s="21"/>
      <c r="E1795" s="21"/>
      <c r="F1795" s="22"/>
      <c r="G1795" s="21"/>
      <c r="H1795" s="149"/>
      <c r="I1795" s="25"/>
      <c r="J1795" s="26"/>
      <c r="K1795" s="21"/>
      <c r="L1795" s="27"/>
      <c r="M1795" s="28"/>
      <c r="N1795" s="29"/>
      <c r="O1795" s="29"/>
      <c r="P1795" s="34"/>
      <c r="Q1795" s="34"/>
      <c r="R1795" s="35"/>
      <c r="S1795" s="32" t="s">
        <v>29</v>
      </c>
      <c r="T1795" s="33"/>
      <c r="U1795" s="33"/>
    </row>
    <row r="1796" ht="15.75" customHeight="1">
      <c r="A1796" s="20"/>
      <c r="B1796" s="20"/>
      <c r="C1796" s="20"/>
      <c r="D1796" s="21"/>
      <c r="E1796" s="21"/>
      <c r="F1796" s="22"/>
      <c r="G1796" s="21"/>
      <c r="H1796" s="186"/>
      <c r="I1796" s="40"/>
      <c r="J1796" s="41"/>
      <c r="K1796" s="197"/>
      <c r="L1796" s="27"/>
      <c r="M1796" s="28"/>
      <c r="N1796" s="29"/>
      <c r="O1796" s="29"/>
      <c r="P1796" s="34"/>
      <c r="Q1796" s="34"/>
      <c r="R1796" s="35"/>
      <c r="S1796" s="32" t="s">
        <v>29</v>
      </c>
      <c r="T1796" s="33"/>
      <c r="U1796" s="33"/>
    </row>
    <row r="1797" ht="15.75" customHeight="1">
      <c r="A1797" s="20"/>
      <c r="B1797" s="20"/>
      <c r="C1797" s="20"/>
      <c r="D1797" s="21"/>
      <c r="E1797" s="21"/>
      <c r="F1797" s="22"/>
      <c r="G1797" s="21"/>
      <c r="H1797" s="150"/>
      <c r="I1797" s="40"/>
      <c r="J1797" s="41"/>
      <c r="K1797" s="197"/>
      <c r="L1797" s="27"/>
      <c r="M1797" s="28"/>
      <c r="N1797" s="29"/>
      <c r="O1797" s="29"/>
      <c r="P1797" s="34"/>
      <c r="Q1797" s="34"/>
      <c r="R1797" s="35"/>
      <c r="S1797" s="32" t="s">
        <v>29</v>
      </c>
      <c r="T1797" s="33"/>
      <c r="U1797" s="33"/>
    </row>
    <row r="1798" ht="15.75" customHeight="1">
      <c r="A1798" s="20"/>
      <c r="B1798" s="20"/>
      <c r="C1798" s="20"/>
      <c r="D1798" s="21"/>
      <c r="E1798" s="21"/>
      <c r="F1798" s="22"/>
      <c r="G1798" s="21"/>
      <c r="H1798" s="186"/>
      <c r="I1798" s="40"/>
      <c r="J1798" s="26"/>
      <c r="K1798" s="197"/>
      <c r="L1798" s="27"/>
      <c r="M1798" s="28"/>
      <c r="N1798" s="29"/>
      <c r="O1798" s="29"/>
      <c r="P1798" s="34"/>
      <c r="Q1798" s="34"/>
      <c r="R1798" s="35"/>
      <c r="S1798" s="32" t="s">
        <v>29</v>
      </c>
      <c r="T1798" s="33"/>
      <c r="U1798" s="33"/>
    </row>
    <row r="1799" ht="15.75" customHeight="1">
      <c r="A1799" s="20"/>
      <c r="B1799" s="20"/>
      <c r="C1799" s="20"/>
      <c r="D1799" s="21"/>
      <c r="E1799" s="21"/>
      <c r="F1799" s="22"/>
      <c r="G1799" s="21"/>
      <c r="H1799" s="149"/>
      <c r="I1799" s="25"/>
      <c r="J1799" s="26"/>
      <c r="K1799" s="21"/>
      <c r="L1799" s="27"/>
      <c r="M1799" s="28"/>
      <c r="N1799" s="29"/>
      <c r="O1799" s="29"/>
      <c r="P1799" s="34"/>
      <c r="Q1799" s="34"/>
      <c r="R1799" s="35"/>
      <c r="S1799" s="32" t="s">
        <v>29</v>
      </c>
      <c r="T1799" s="33"/>
      <c r="U1799" s="33"/>
    </row>
    <row r="1800" ht="15.75" customHeight="1">
      <c r="A1800" s="20"/>
      <c r="B1800" s="20"/>
      <c r="C1800" s="20"/>
      <c r="D1800" s="21"/>
      <c r="E1800" s="21"/>
      <c r="F1800" s="22"/>
      <c r="G1800" s="21"/>
      <c r="H1800" s="149"/>
      <c r="I1800" s="25"/>
      <c r="J1800" s="26"/>
      <c r="K1800" s="21"/>
      <c r="L1800" s="27"/>
      <c r="M1800" s="28"/>
      <c r="N1800" s="29"/>
      <c r="O1800" s="29"/>
      <c r="P1800" s="34"/>
      <c r="Q1800" s="34"/>
      <c r="R1800" s="35"/>
      <c r="S1800" s="32" t="s">
        <v>29</v>
      </c>
      <c r="T1800" s="33"/>
      <c r="U1800" s="33"/>
    </row>
    <row r="1801" ht="15.75" customHeight="1">
      <c r="A1801" s="20"/>
      <c r="B1801" s="20"/>
      <c r="C1801" s="20"/>
      <c r="D1801" s="21"/>
      <c r="E1801" s="21"/>
      <c r="F1801" s="22"/>
      <c r="G1801" s="21"/>
      <c r="H1801" s="149"/>
      <c r="I1801" s="25"/>
      <c r="J1801" s="26"/>
      <c r="K1801" s="21"/>
      <c r="L1801" s="27"/>
      <c r="M1801" s="28"/>
      <c r="N1801" s="29"/>
      <c r="O1801" s="29"/>
      <c r="P1801" s="34"/>
      <c r="Q1801" s="34"/>
      <c r="R1801" s="35"/>
      <c r="S1801" s="32" t="s">
        <v>29</v>
      </c>
      <c r="T1801" s="33"/>
      <c r="U1801" s="33"/>
    </row>
    <row r="1802" ht="15.75" customHeight="1">
      <c r="A1802" s="20"/>
      <c r="B1802" s="20"/>
      <c r="C1802" s="20"/>
      <c r="D1802" s="21"/>
      <c r="E1802" s="21"/>
      <c r="F1802" s="22"/>
      <c r="G1802" s="21"/>
      <c r="H1802" s="149"/>
      <c r="I1802" s="25"/>
      <c r="J1802" s="26"/>
      <c r="K1802" s="21"/>
      <c r="L1802" s="27"/>
      <c r="M1802" s="28"/>
      <c r="N1802" s="29"/>
      <c r="O1802" s="29"/>
      <c r="P1802" s="34"/>
      <c r="Q1802" s="34"/>
      <c r="R1802" s="35"/>
      <c r="S1802" s="32" t="s">
        <v>29</v>
      </c>
      <c r="T1802" s="33"/>
      <c r="U1802" s="33"/>
    </row>
    <row r="1803" ht="15.75" customHeight="1">
      <c r="A1803" s="20"/>
      <c r="B1803" s="20"/>
      <c r="C1803" s="20"/>
      <c r="D1803" s="21"/>
      <c r="E1803" s="21"/>
      <c r="F1803" s="22"/>
      <c r="G1803" s="21"/>
      <c r="H1803" s="149"/>
      <c r="I1803" s="25"/>
      <c r="J1803" s="26"/>
      <c r="K1803" s="21"/>
      <c r="L1803" s="27"/>
      <c r="M1803" s="43"/>
      <c r="N1803" s="29"/>
      <c r="O1803" s="29"/>
      <c r="P1803" s="34"/>
      <c r="Q1803" s="34"/>
      <c r="R1803" s="35"/>
      <c r="S1803" s="32" t="s">
        <v>29</v>
      </c>
      <c r="T1803" s="33"/>
      <c r="U1803" s="33"/>
    </row>
    <row r="1804" ht="15.75" customHeight="1">
      <c r="A1804" s="20"/>
      <c r="B1804" s="20"/>
      <c r="C1804" s="20"/>
      <c r="D1804" s="21"/>
      <c r="E1804" s="21"/>
      <c r="F1804" s="22"/>
      <c r="G1804" s="21"/>
      <c r="H1804" s="149"/>
      <c r="I1804" s="25"/>
      <c r="J1804" s="26"/>
      <c r="K1804" s="21"/>
      <c r="L1804" s="27"/>
      <c r="M1804" s="28"/>
      <c r="N1804" s="29"/>
      <c r="O1804" s="29"/>
      <c r="P1804" s="34"/>
      <c r="Q1804" s="34"/>
      <c r="R1804" s="35"/>
      <c r="S1804" s="32" t="s">
        <v>29</v>
      </c>
      <c r="T1804" s="33"/>
      <c r="U1804" s="33"/>
    </row>
    <row r="1805" ht="15.75" customHeight="1">
      <c r="A1805" s="20"/>
      <c r="B1805" s="20"/>
      <c r="C1805" s="20"/>
      <c r="D1805" s="21"/>
      <c r="E1805" s="21"/>
      <c r="F1805" s="67"/>
      <c r="G1805" s="23"/>
      <c r="H1805" s="149"/>
      <c r="I1805" s="25"/>
      <c r="J1805" s="26"/>
      <c r="K1805" s="21"/>
      <c r="L1805" s="29"/>
      <c r="M1805" s="28"/>
      <c r="N1805" s="29"/>
      <c r="O1805" s="29"/>
      <c r="P1805" s="34"/>
      <c r="Q1805" s="34"/>
      <c r="R1805" s="35"/>
      <c r="S1805" s="32" t="s">
        <v>29</v>
      </c>
      <c r="T1805" s="33"/>
      <c r="U1805" s="33"/>
    </row>
    <row r="1806" ht="15.75" customHeight="1">
      <c r="A1806" s="20"/>
      <c r="B1806" s="20"/>
      <c r="C1806" s="20"/>
      <c r="D1806" s="21"/>
      <c r="E1806" s="21"/>
      <c r="F1806" s="22"/>
      <c r="G1806" s="21"/>
      <c r="H1806" s="149"/>
      <c r="I1806" s="25"/>
      <c r="J1806" s="26"/>
      <c r="K1806" s="21"/>
      <c r="L1806" s="27"/>
      <c r="M1806" s="28"/>
      <c r="N1806" s="29"/>
      <c r="O1806" s="29"/>
      <c r="P1806" s="34"/>
      <c r="Q1806" s="34"/>
      <c r="R1806" s="35"/>
      <c r="S1806" s="32" t="s">
        <v>29</v>
      </c>
      <c r="T1806" s="33"/>
      <c r="U1806" s="33"/>
    </row>
    <row r="1807" ht="15.75" customHeight="1">
      <c r="A1807" s="20"/>
      <c r="B1807" s="20"/>
      <c r="C1807" s="20"/>
      <c r="D1807" s="21"/>
      <c r="E1807" s="37"/>
      <c r="F1807" s="22"/>
      <c r="G1807" s="21"/>
      <c r="H1807" s="149"/>
      <c r="I1807" s="25"/>
      <c r="J1807" s="26"/>
      <c r="K1807" s="21"/>
      <c r="L1807" s="27"/>
      <c r="M1807" s="28"/>
      <c r="N1807" s="29"/>
      <c r="O1807" s="29"/>
      <c r="P1807" s="34"/>
      <c r="Q1807" s="34"/>
      <c r="R1807" s="35"/>
      <c r="S1807" s="32" t="s">
        <v>29</v>
      </c>
      <c r="T1807" s="33"/>
      <c r="U1807" s="33"/>
    </row>
    <row r="1808" ht="15.75" customHeight="1">
      <c r="A1808" s="20"/>
      <c r="B1808" s="20"/>
      <c r="C1808" s="20"/>
      <c r="D1808" s="21"/>
      <c r="E1808" s="21"/>
      <c r="F1808" s="22"/>
      <c r="G1808" s="21"/>
      <c r="H1808" s="149"/>
      <c r="I1808" s="25"/>
      <c r="J1808" s="26"/>
      <c r="K1808" s="21"/>
      <c r="L1808" s="27"/>
      <c r="M1808" s="28"/>
      <c r="N1808" s="29"/>
      <c r="O1808" s="29"/>
      <c r="P1808" s="34"/>
      <c r="Q1808" s="34"/>
      <c r="R1808" s="35"/>
      <c r="S1808" s="32" t="s">
        <v>29</v>
      </c>
      <c r="T1808" s="33"/>
      <c r="U1808" s="33"/>
    </row>
    <row r="1809" ht="15.75" customHeight="1">
      <c r="A1809" s="20"/>
      <c r="B1809" s="20"/>
      <c r="C1809" s="20"/>
      <c r="D1809" s="21"/>
      <c r="E1809" s="37"/>
      <c r="F1809" s="22"/>
      <c r="G1809" s="21"/>
      <c r="H1809" s="149"/>
      <c r="I1809" s="25"/>
      <c r="J1809" s="26"/>
      <c r="K1809" s="21"/>
      <c r="L1809" s="27"/>
      <c r="M1809" s="28"/>
      <c r="N1809" s="29"/>
      <c r="O1809" s="29"/>
      <c r="P1809" s="34"/>
      <c r="Q1809" s="34"/>
      <c r="R1809" s="35"/>
      <c r="S1809" s="32" t="s">
        <v>29</v>
      </c>
      <c r="T1809" s="33"/>
      <c r="U1809" s="33"/>
    </row>
    <row r="1810" ht="15.75" customHeight="1">
      <c r="A1810" s="20"/>
      <c r="B1810" s="20"/>
      <c r="C1810" s="20"/>
      <c r="D1810" s="21"/>
      <c r="E1810" s="21"/>
      <c r="F1810" s="22"/>
      <c r="G1810" s="21"/>
      <c r="H1810" s="149"/>
      <c r="I1810" s="25"/>
      <c r="J1810" s="26"/>
      <c r="K1810" s="21"/>
      <c r="L1810" s="27"/>
      <c r="M1810" s="28"/>
      <c r="N1810" s="29"/>
      <c r="O1810" s="29"/>
      <c r="P1810" s="34"/>
      <c r="Q1810" s="34"/>
      <c r="R1810" s="35"/>
      <c r="S1810" s="32" t="s">
        <v>29</v>
      </c>
      <c r="T1810" s="33"/>
      <c r="U1810" s="33"/>
    </row>
    <row r="1811" ht="15.75" customHeight="1">
      <c r="A1811" s="20"/>
      <c r="B1811" s="20"/>
      <c r="C1811" s="20"/>
      <c r="D1811" s="21"/>
      <c r="E1811" s="21"/>
      <c r="F1811" s="22"/>
      <c r="G1811" s="21"/>
      <c r="H1811" s="149"/>
      <c r="I1811" s="25"/>
      <c r="J1811" s="26"/>
      <c r="K1811" s="21"/>
      <c r="L1811" s="27"/>
      <c r="M1811" s="28"/>
      <c r="N1811" s="29"/>
      <c r="O1811" s="29"/>
      <c r="P1811" s="34"/>
      <c r="Q1811" s="34"/>
      <c r="R1811" s="35"/>
      <c r="S1811" s="32" t="s">
        <v>29</v>
      </c>
      <c r="T1811" s="33"/>
      <c r="U1811" s="33"/>
    </row>
    <row r="1812" ht="15.75" customHeight="1">
      <c r="A1812" s="20"/>
      <c r="B1812" s="20"/>
      <c r="C1812" s="20"/>
      <c r="D1812" s="21"/>
      <c r="E1812" s="21"/>
      <c r="F1812" s="22"/>
      <c r="G1812" s="21"/>
      <c r="H1812" s="149"/>
      <c r="I1812" s="25"/>
      <c r="J1812" s="26"/>
      <c r="K1812" s="21"/>
      <c r="L1812" s="27"/>
      <c r="M1812" s="28"/>
      <c r="N1812" s="29"/>
      <c r="O1812" s="29"/>
      <c r="P1812" s="34"/>
      <c r="Q1812" s="34"/>
      <c r="R1812" s="35"/>
      <c r="S1812" s="32" t="s">
        <v>29</v>
      </c>
      <c r="T1812" s="33"/>
      <c r="U1812" s="33"/>
    </row>
    <row r="1813" ht="15.75" customHeight="1">
      <c r="A1813" s="20"/>
      <c r="B1813" s="20"/>
      <c r="C1813" s="20"/>
      <c r="D1813" s="21"/>
      <c r="E1813" s="21"/>
      <c r="F1813" s="22"/>
      <c r="G1813" s="21"/>
      <c r="H1813" s="149"/>
      <c r="I1813" s="25"/>
      <c r="J1813" s="26"/>
      <c r="K1813" s="21"/>
      <c r="L1813" s="27"/>
      <c r="M1813" s="28"/>
      <c r="N1813" s="29"/>
      <c r="O1813" s="29"/>
      <c r="P1813" s="34"/>
      <c r="Q1813" s="34"/>
      <c r="R1813" s="35"/>
      <c r="S1813" s="32" t="s">
        <v>29</v>
      </c>
      <c r="T1813" s="33"/>
      <c r="U1813" s="33"/>
    </row>
    <row r="1814" ht="15.75" customHeight="1">
      <c r="A1814" s="20"/>
      <c r="B1814" s="20"/>
      <c r="C1814" s="20"/>
      <c r="D1814" s="21"/>
      <c r="E1814" s="37"/>
      <c r="F1814" s="22"/>
      <c r="G1814" s="21"/>
      <c r="H1814" s="149"/>
      <c r="I1814" s="25"/>
      <c r="J1814" s="26"/>
      <c r="K1814" s="21"/>
      <c r="L1814" s="27"/>
      <c r="M1814" s="28"/>
      <c r="N1814" s="29"/>
      <c r="O1814" s="29"/>
      <c r="P1814" s="34"/>
      <c r="Q1814" s="34"/>
      <c r="R1814" s="35"/>
      <c r="S1814" s="32" t="s">
        <v>29</v>
      </c>
      <c r="T1814" s="33"/>
      <c r="U1814" s="33"/>
    </row>
    <row r="1815" ht="15.75" customHeight="1">
      <c r="A1815" s="20"/>
      <c r="B1815" s="20"/>
      <c r="C1815" s="20"/>
      <c r="D1815" s="21"/>
      <c r="E1815" s="21"/>
      <c r="F1815" s="22"/>
      <c r="G1815" s="21"/>
      <c r="H1815" s="149"/>
      <c r="I1815" s="25"/>
      <c r="J1815" s="26"/>
      <c r="K1815" s="21"/>
      <c r="L1815" s="27"/>
      <c r="M1815" s="28"/>
      <c r="N1815" s="29"/>
      <c r="O1815" s="29"/>
      <c r="P1815" s="34"/>
      <c r="Q1815" s="34"/>
      <c r="R1815" s="35"/>
      <c r="S1815" s="32" t="s">
        <v>29</v>
      </c>
      <c r="T1815" s="33"/>
      <c r="U1815" s="33"/>
    </row>
    <row r="1816" ht="15.75" customHeight="1">
      <c r="A1816" s="20"/>
      <c r="B1816" s="20"/>
      <c r="C1816" s="20"/>
      <c r="D1816" s="21"/>
      <c r="E1816" s="21"/>
      <c r="F1816" s="22"/>
      <c r="G1816" s="21"/>
      <c r="H1816" s="149"/>
      <c r="I1816" s="25"/>
      <c r="J1816" s="26"/>
      <c r="K1816" s="21"/>
      <c r="L1816" s="27"/>
      <c r="M1816" s="28"/>
      <c r="N1816" s="29"/>
      <c r="O1816" s="29"/>
      <c r="P1816" s="34"/>
      <c r="Q1816" s="34"/>
      <c r="R1816" s="35"/>
      <c r="S1816" s="32" t="s">
        <v>29</v>
      </c>
      <c r="T1816" s="33"/>
      <c r="U1816" s="33"/>
    </row>
    <row r="1817" ht="15.75" customHeight="1">
      <c r="A1817" s="20"/>
      <c r="B1817" s="20"/>
      <c r="C1817" s="20"/>
      <c r="D1817" s="21"/>
      <c r="E1817" s="21"/>
      <c r="F1817" s="22"/>
      <c r="G1817" s="21"/>
      <c r="H1817" s="186"/>
      <c r="I1817" s="25"/>
      <c r="J1817" s="26"/>
      <c r="K1817" s="21"/>
      <c r="L1817" s="27"/>
      <c r="M1817" s="28"/>
      <c r="N1817" s="29"/>
      <c r="O1817" s="29"/>
      <c r="P1817" s="34"/>
      <c r="Q1817" s="34"/>
      <c r="R1817" s="35"/>
      <c r="S1817" s="32" t="s">
        <v>29</v>
      </c>
      <c r="T1817" s="33"/>
      <c r="U1817" s="33"/>
    </row>
    <row r="1818" ht="15.75" customHeight="1">
      <c r="A1818" s="20"/>
      <c r="B1818" s="20"/>
      <c r="C1818" s="20"/>
      <c r="D1818" s="21"/>
      <c r="E1818" s="21"/>
      <c r="F1818" s="22"/>
      <c r="G1818" s="21"/>
      <c r="H1818" s="186"/>
      <c r="I1818" s="25"/>
      <c r="J1818" s="26"/>
      <c r="K1818" s="203"/>
      <c r="L1818" s="27"/>
      <c r="M1818" s="28"/>
      <c r="N1818" s="29"/>
      <c r="O1818" s="29"/>
      <c r="P1818" s="34"/>
      <c r="Q1818" s="34"/>
      <c r="R1818" s="35"/>
      <c r="S1818" s="32" t="s">
        <v>29</v>
      </c>
      <c r="T1818" s="33"/>
      <c r="U1818" s="33"/>
    </row>
    <row r="1819" ht="15.75" customHeight="1">
      <c r="A1819" s="20"/>
      <c r="B1819" s="20"/>
      <c r="C1819" s="20"/>
      <c r="D1819" s="21"/>
      <c r="E1819" s="21"/>
      <c r="F1819" s="22"/>
      <c r="G1819" s="21"/>
      <c r="H1819" s="186"/>
      <c r="I1819" s="25"/>
      <c r="J1819" s="26"/>
      <c r="K1819" s="21"/>
      <c r="L1819" s="27"/>
      <c r="M1819" s="28"/>
      <c r="N1819" s="29"/>
      <c r="O1819" s="29"/>
      <c r="P1819" s="34"/>
      <c r="Q1819" s="34"/>
      <c r="R1819" s="35"/>
      <c r="S1819" s="32" t="s">
        <v>29</v>
      </c>
      <c r="T1819" s="33"/>
      <c r="U1819" s="33"/>
    </row>
    <row r="1820" ht="15.75" customHeight="1">
      <c r="A1820" s="20"/>
      <c r="B1820" s="20"/>
      <c r="C1820" s="20"/>
      <c r="D1820" s="21"/>
      <c r="E1820" s="21"/>
      <c r="F1820" s="22"/>
      <c r="G1820" s="21"/>
      <c r="H1820" s="186"/>
      <c r="I1820" s="25"/>
      <c r="J1820" s="26"/>
      <c r="K1820" s="21"/>
      <c r="L1820" s="27"/>
      <c r="M1820" s="28"/>
      <c r="N1820" s="29"/>
      <c r="O1820" s="29"/>
      <c r="P1820" s="34"/>
      <c r="Q1820" s="34"/>
      <c r="R1820" s="35"/>
      <c r="S1820" s="32" t="s">
        <v>29</v>
      </c>
      <c r="T1820" s="33"/>
      <c r="U1820" s="33"/>
    </row>
    <row r="1821" ht="15.75" customHeight="1">
      <c r="A1821" s="20"/>
      <c r="B1821" s="20"/>
      <c r="C1821" s="20"/>
      <c r="D1821" s="21"/>
      <c r="E1821" s="21"/>
      <c r="F1821" s="22"/>
      <c r="G1821" s="21"/>
      <c r="H1821" s="149"/>
      <c r="I1821" s="25"/>
      <c r="J1821" s="26"/>
      <c r="K1821" s="21"/>
      <c r="L1821" s="27"/>
      <c r="M1821" s="28"/>
      <c r="N1821" s="29"/>
      <c r="O1821" s="29"/>
      <c r="P1821" s="34"/>
      <c r="Q1821" s="34"/>
      <c r="R1821" s="35"/>
      <c r="S1821" s="32" t="s">
        <v>29</v>
      </c>
      <c r="T1821" s="33"/>
      <c r="U1821" s="33"/>
    </row>
    <row r="1822" ht="15.75" customHeight="1">
      <c r="A1822" s="20"/>
      <c r="B1822" s="20"/>
      <c r="C1822" s="20"/>
      <c r="D1822" s="21"/>
      <c r="E1822" s="21"/>
      <c r="F1822" s="22"/>
      <c r="G1822" s="21"/>
      <c r="H1822" s="149"/>
      <c r="I1822" s="25"/>
      <c r="J1822" s="26"/>
      <c r="K1822" s="21"/>
      <c r="L1822" s="27"/>
      <c r="M1822" s="28"/>
      <c r="N1822" s="29"/>
      <c r="O1822" s="29"/>
      <c r="P1822" s="34"/>
      <c r="Q1822" s="34"/>
      <c r="R1822" s="35"/>
      <c r="S1822" s="32" t="s">
        <v>29</v>
      </c>
      <c r="T1822" s="33"/>
      <c r="U1822" s="33"/>
    </row>
    <row r="1823" ht="15.75" customHeight="1">
      <c r="A1823" s="20"/>
      <c r="B1823" s="20"/>
      <c r="C1823" s="20"/>
      <c r="D1823" s="21"/>
      <c r="E1823" s="21"/>
      <c r="F1823" s="22"/>
      <c r="G1823" s="21"/>
      <c r="H1823" s="149"/>
      <c r="I1823" s="25"/>
      <c r="J1823" s="26"/>
      <c r="K1823" s="21"/>
      <c r="L1823" s="27"/>
      <c r="M1823" s="28"/>
      <c r="N1823" s="29"/>
      <c r="O1823" s="29"/>
      <c r="P1823" s="34"/>
      <c r="Q1823" s="34"/>
      <c r="R1823" s="35"/>
      <c r="S1823" s="32" t="s">
        <v>29</v>
      </c>
      <c r="T1823" s="33"/>
      <c r="U1823" s="33"/>
    </row>
    <row r="1824" ht="15.75" customHeight="1">
      <c r="A1824" s="20"/>
      <c r="B1824" s="20"/>
      <c r="C1824" s="20"/>
      <c r="D1824" s="21"/>
      <c r="E1824" s="21"/>
      <c r="F1824" s="22"/>
      <c r="G1824" s="21"/>
      <c r="H1824" s="149"/>
      <c r="I1824" s="25"/>
      <c r="J1824" s="26"/>
      <c r="K1824" s="21"/>
      <c r="L1824" s="27"/>
      <c r="M1824" s="28"/>
      <c r="N1824" s="29"/>
      <c r="O1824" s="29"/>
      <c r="P1824" s="34"/>
      <c r="Q1824" s="34"/>
      <c r="R1824" s="35"/>
      <c r="S1824" s="32" t="s">
        <v>29</v>
      </c>
      <c r="T1824" s="33"/>
      <c r="U1824" s="33"/>
    </row>
    <row r="1825" ht="15.75" customHeight="1">
      <c r="A1825" s="20"/>
      <c r="B1825" s="20"/>
      <c r="C1825" s="20"/>
      <c r="D1825" s="21"/>
      <c r="E1825" s="21"/>
      <c r="F1825" s="22"/>
      <c r="G1825" s="21"/>
      <c r="H1825" s="149"/>
      <c r="I1825" s="25"/>
      <c r="J1825" s="26"/>
      <c r="K1825" s="21"/>
      <c r="L1825" s="27"/>
      <c r="M1825" s="28"/>
      <c r="N1825" s="29"/>
      <c r="O1825" s="29"/>
      <c r="P1825" s="34"/>
      <c r="Q1825" s="34"/>
      <c r="R1825" s="35"/>
      <c r="S1825" s="32" t="s">
        <v>29</v>
      </c>
      <c r="T1825" s="33"/>
      <c r="U1825" s="33"/>
    </row>
    <row r="1826" ht="15.75" customHeight="1">
      <c r="A1826" s="20"/>
      <c r="B1826" s="20"/>
      <c r="C1826" s="20"/>
      <c r="D1826" s="21"/>
      <c r="E1826" s="21"/>
      <c r="F1826" s="22"/>
      <c r="G1826" s="21"/>
      <c r="H1826" s="149"/>
      <c r="I1826" s="25"/>
      <c r="J1826" s="26"/>
      <c r="K1826" s="21"/>
      <c r="L1826" s="27"/>
      <c r="M1826" s="28"/>
      <c r="N1826" s="29"/>
      <c r="O1826" s="29"/>
      <c r="P1826" s="34"/>
      <c r="Q1826" s="34"/>
      <c r="R1826" s="35"/>
      <c r="S1826" s="32" t="s">
        <v>29</v>
      </c>
      <c r="T1826" s="33"/>
      <c r="U1826" s="33"/>
    </row>
    <row r="1827" ht="15.75" customHeight="1">
      <c r="A1827" s="20"/>
      <c r="B1827" s="20"/>
      <c r="C1827" s="20"/>
      <c r="D1827" s="21"/>
      <c r="E1827" s="21"/>
      <c r="F1827" s="22"/>
      <c r="G1827" s="21"/>
      <c r="H1827" s="149"/>
      <c r="I1827" s="25"/>
      <c r="J1827" s="26"/>
      <c r="K1827" s="21"/>
      <c r="L1827" s="27"/>
      <c r="M1827" s="28"/>
      <c r="N1827" s="29"/>
      <c r="O1827" s="29"/>
      <c r="P1827" s="34"/>
      <c r="Q1827" s="34"/>
      <c r="R1827" s="35"/>
      <c r="S1827" s="32" t="s">
        <v>29</v>
      </c>
      <c r="T1827" s="33"/>
      <c r="U1827" s="33"/>
    </row>
    <row r="1828" ht="15.75" customHeight="1">
      <c r="A1828" s="20"/>
      <c r="B1828" s="20"/>
      <c r="C1828" s="20"/>
      <c r="D1828" s="21"/>
      <c r="E1828" s="21"/>
      <c r="F1828" s="22"/>
      <c r="G1828" s="21"/>
      <c r="H1828" s="149"/>
      <c r="I1828" s="25"/>
      <c r="J1828" s="26"/>
      <c r="K1828" s="21"/>
      <c r="L1828" s="27"/>
      <c r="M1828" s="28"/>
      <c r="N1828" s="29"/>
      <c r="O1828" s="29"/>
      <c r="P1828" s="34"/>
      <c r="Q1828" s="34"/>
      <c r="R1828" s="35"/>
      <c r="S1828" s="32" t="s">
        <v>29</v>
      </c>
      <c r="T1828" s="33"/>
      <c r="U1828" s="33"/>
    </row>
    <row r="1829" ht="15.75" customHeight="1">
      <c r="A1829" s="20"/>
      <c r="B1829" s="20"/>
      <c r="C1829" s="20"/>
      <c r="D1829" s="21"/>
      <c r="E1829" s="21"/>
      <c r="F1829" s="22"/>
      <c r="G1829" s="21"/>
      <c r="H1829" s="149"/>
      <c r="I1829" s="25"/>
      <c r="J1829" s="26"/>
      <c r="K1829" s="21"/>
      <c r="L1829" s="27"/>
      <c r="M1829" s="28"/>
      <c r="N1829" s="29"/>
      <c r="O1829" s="29"/>
      <c r="P1829" s="34"/>
      <c r="Q1829" s="34"/>
      <c r="R1829" s="35"/>
      <c r="S1829" s="32" t="s">
        <v>29</v>
      </c>
      <c r="T1829" s="33"/>
      <c r="U1829" s="33"/>
    </row>
    <row r="1830" ht="15.75" customHeight="1">
      <c r="A1830" s="20"/>
      <c r="B1830" s="20"/>
      <c r="C1830" s="20"/>
      <c r="D1830" s="21"/>
      <c r="E1830" s="21"/>
      <c r="F1830" s="22"/>
      <c r="G1830" s="21"/>
      <c r="H1830" s="149"/>
      <c r="I1830" s="25"/>
      <c r="J1830" s="26"/>
      <c r="K1830" s="21"/>
      <c r="L1830" s="27"/>
      <c r="M1830" s="28"/>
      <c r="N1830" s="29"/>
      <c r="O1830" s="29"/>
      <c r="P1830" s="34"/>
      <c r="Q1830" s="34"/>
      <c r="R1830" s="35"/>
      <c r="S1830" s="32" t="s">
        <v>29</v>
      </c>
      <c r="T1830" s="33"/>
      <c r="U1830" s="33"/>
    </row>
    <row r="1831" ht="15.75" customHeight="1">
      <c r="A1831" s="20"/>
      <c r="B1831" s="20"/>
      <c r="C1831" s="20"/>
      <c r="D1831" s="21"/>
      <c r="E1831" s="21"/>
      <c r="F1831" s="22"/>
      <c r="G1831" s="21"/>
      <c r="H1831" s="149"/>
      <c r="I1831" s="25"/>
      <c r="J1831" s="26"/>
      <c r="K1831" s="21"/>
      <c r="L1831" s="27"/>
      <c r="M1831" s="28"/>
      <c r="N1831" s="29"/>
      <c r="O1831" s="29"/>
      <c r="P1831" s="34"/>
      <c r="Q1831" s="34"/>
      <c r="R1831" s="35"/>
      <c r="S1831" s="32" t="s">
        <v>29</v>
      </c>
      <c r="T1831" s="33"/>
      <c r="U1831" s="33"/>
    </row>
    <row r="1832" ht="15.75" customHeight="1">
      <c r="A1832" s="20"/>
      <c r="B1832" s="20"/>
      <c r="C1832" s="20"/>
      <c r="D1832" s="21"/>
      <c r="E1832" s="21"/>
      <c r="F1832" s="22"/>
      <c r="G1832" s="21"/>
      <c r="H1832" s="149"/>
      <c r="I1832" s="25"/>
      <c r="J1832" s="26"/>
      <c r="K1832" s="21"/>
      <c r="L1832" s="27"/>
      <c r="M1832" s="28"/>
      <c r="N1832" s="29"/>
      <c r="O1832" s="29"/>
      <c r="P1832" s="34"/>
      <c r="Q1832" s="34"/>
      <c r="R1832" s="35"/>
      <c r="S1832" s="32" t="s">
        <v>29</v>
      </c>
      <c r="T1832" s="33"/>
      <c r="U1832" s="33"/>
    </row>
    <row r="1833" ht="15.75" customHeight="1">
      <c r="A1833" s="20"/>
      <c r="B1833" s="20"/>
      <c r="C1833" s="20"/>
      <c r="D1833" s="21"/>
      <c r="E1833" s="21"/>
      <c r="F1833" s="22"/>
      <c r="G1833" s="21"/>
      <c r="H1833" s="149"/>
      <c r="I1833" s="25"/>
      <c r="J1833" s="26"/>
      <c r="K1833" s="21"/>
      <c r="L1833" s="27"/>
      <c r="M1833" s="28"/>
      <c r="N1833" s="29"/>
      <c r="O1833" s="29"/>
      <c r="P1833" s="34"/>
      <c r="Q1833" s="34"/>
      <c r="R1833" s="35"/>
      <c r="S1833" s="32" t="s">
        <v>29</v>
      </c>
      <c r="T1833" s="33"/>
      <c r="U1833" s="33"/>
    </row>
    <row r="1834" ht="15.75" customHeight="1">
      <c r="A1834" s="20"/>
      <c r="B1834" s="20"/>
      <c r="C1834" s="20"/>
      <c r="D1834" s="21"/>
      <c r="E1834" s="21"/>
      <c r="F1834" s="22"/>
      <c r="G1834" s="21"/>
      <c r="H1834" s="149"/>
      <c r="I1834" s="25"/>
      <c r="J1834" s="26"/>
      <c r="K1834" s="21"/>
      <c r="L1834" s="27"/>
      <c r="M1834" s="28"/>
      <c r="N1834" s="29"/>
      <c r="O1834" s="29"/>
      <c r="P1834" s="34"/>
      <c r="Q1834" s="34"/>
      <c r="R1834" s="35"/>
      <c r="S1834" s="32" t="s">
        <v>29</v>
      </c>
      <c r="T1834" s="33"/>
      <c r="U1834" s="33"/>
    </row>
    <row r="1835" ht="15.75" customHeight="1">
      <c r="A1835" s="20"/>
      <c r="B1835" s="20"/>
      <c r="C1835" s="20"/>
      <c r="D1835" s="21"/>
      <c r="E1835" s="21"/>
      <c r="F1835" s="22"/>
      <c r="G1835" s="21"/>
      <c r="H1835" s="149"/>
      <c r="I1835" s="25"/>
      <c r="J1835" s="26"/>
      <c r="K1835" s="21"/>
      <c r="L1835" s="27"/>
      <c r="M1835" s="28"/>
      <c r="N1835" s="29"/>
      <c r="O1835" s="29"/>
      <c r="P1835" s="34"/>
      <c r="Q1835" s="34"/>
      <c r="R1835" s="35"/>
      <c r="S1835" s="32" t="s">
        <v>29</v>
      </c>
      <c r="T1835" s="33"/>
      <c r="U1835" s="33"/>
    </row>
    <row r="1836" ht="15.75" customHeight="1">
      <c r="A1836" s="20"/>
      <c r="B1836" s="20"/>
      <c r="C1836" s="20"/>
      <c r="D1836" s="21"/>
      <c r="E1836" s="21"/>
      <c r="F1836" s="22"/>
      <c r="G1836" s="21"/>
      <c r="H1836" s="149"/>
      <c r="I1836" s="25"/>
      <c r="J1836" s="26"/>
      <c r="K1836" s="21"/>
      <c r="L1836" s="27"/>
      <c r="M1836" s="28"/>
      <c r="N1836" s="29"/>
      <c r="O1836" s="29"/>
      <c r="P1836" s="34"/>
      <c r="Q1836" s="34"/>
      <c r="R1836" s="35"/>
      <c r="S1836" s="32" t="s">
        <v>29</v>
      </c>
      <c r="T1836" s="33"/>
      <c r="U1836" s="33"/>
    </row>
    <row r="1837" ht="15.75" customHeight="1">
      <c r="A1837" s="20"/>
      <c r="B1837" s="20"/>
      <c r="C1837" s="20"/>
      <c r="D1837" s="21"/>
      <c r="E1837" s="21"/>
      <c r="F1837" s="22"/>
      <c r="G1837" s="21"/>
      <c r="H1837" s="149"/>
      <c r="I1837" s="25"/>
      <c r="J1837" s="26"/>
      <c r="K1837" s="21"/>
      <c r="L1837" s="27"/>
      <c r="M1837" s="28"/>
      <c r="N1837" s="29"/>
      <c r="O1837" s="29"/>
      <c r="P1837" s="34"/>
      <c r="Q1837" s="34"/>
      <c r="R1837" s="35"/>
      <c r="S1837" s="32" t="s">
        <v>29</v>
      </c>
      <c r="T1837" s="33"/>
      <c r="U1837" s="33"/>
    </row>
    <row r="1838" ht="15.75" customHeight="1">
      <c r="A1838" s="20"/>
      <c r="B1838" s="20"/>
      <c r="C1838" s="20"/>
      <c r="D1838" s="21"/>
      <c r="E1838" s="21"/>
      <c r="F1838" s="22"/>
      <c r="G1838" s="21"/>
      <c r="H1838" s="149"/>
      <c r="I1838" s="25"/>
      <c r="J1838" s="26"/>
      <c r="K1838" s="21"/>
      <c r="L1838" s="27"/>
      <c r="M1838" s="28"/>
      <c r="N1838" s="29"/>
      <c r="O1838" s="29"/>
      <c r="P1838" s="34"/>
      <c r="Q1838" s="34"/>
      <c r="R1838" s="35"/>
      <c r="S1838" s="32" t="s">
        <v>29</v>
      </c>
      <c r="T1838" s="33"/>
      <c r="U1838" s="33"/>
    </row>
    <row r="1839" ht="15.75" customHeight="1">
      <c r="A1839" s="20"/>
      <c r="B1839" s="20"/>
      <c r="C1839" s="20"/>
      <c r="D1839" s="21"/>
      <c r="E1839" s="21"/>
      <c r="F1839" s="22"/>
      <c r="G1839" s="21"/>
      <c r="H1839" s="149"/>
      <c r="I1839" s="25"/>
      <c r="J1839" s="26"/>
      <c r="K1839" s="21"/>
      <c r="L1839" s="27"/>
      <c r="M1839" s="28"/>
      <c r="N1839" s="29"/>
      <c r="O1839" s="29"/>
      <c r="P1839" s="34"/>
      <c r="Q1839" s="34"/>
      <c r="R1839" s="35"/>
      <c r="S1839" s="32" t="s">
        <v>29</v>
      </c>
      <c r="T1839" s="33"/>
      <c r="U1839" s="33"/>
    </row>
    <row r="1840" ht="15.75" customHeight="1">
      <c r="A1840" s="20"/>
      <c r="B1840" s="20"/>
      <c r="C1840" s="20"/>
      <c r="D1840" s="21"/>
      <c r="E1840" s="21"/>
      <c r="F1840" s="22"/>
      <c r="G1840" s="21"/>
      <c r="H1840" s="149"/>
      <c r="I1840" s="25"/>
      <c r="J1840" s="26"/>
      <c r="K1840" s="21"/>
      <c r="L1840" s="27"/>
      <c r="M1840" s="28"/>
      <c r="N1840" s="29"/>
      <c r="O1840" s="29"/>
      <c r="P1840" s="34"/>
      <c r="Q1840" s="34"/>
      <c r="R1840" s="35"/>
      <c r="S1840" s="32" t="s">
        <v>29</v>
      </c>
      <c r="T1840" s="33"/>
      <c r="U1840" s="33"/>
    </row>
    <row r="1841" ht="15.75" customHeight="1">
      <c r="A1841" s="20"/>
      <c r="B1841" s="20"/>
      <c r="C1841" s="20"/>
      <c r="D1841" s="21"/>
      <c r="E1841" s="21"/>
      <c r="F1841" s="67"/>
      <c r="G1841" s="23"/>
      <c r="H1841" s="149"/>
      <c r="I1841" s="25"/>
      <c r="J1841" s="26"/>
      <c r="K1841" s="21"/>
      <c r="L1841" s="29"/>
      <c r="M1841" s="28"/>
      <c r="N1841" s="29"/>
      <c r="O1841" s="29"/>
      <c r="P1841" s="34"/>
      <c r="Q1841" s="34"/>
      <c r="R1841" s="35"/>
      <c r="S1841" s="32" t="s">
        <v>29</v>
      </c>
      <c r="T1841" s="33"/>
      <c r="U1841" s="33"/>
    </row>
    <row r="1842" ht="15.75" customHeight="1">
      <c r="A1842" s="20"/>
      <c r="B1842" s="20"/>
      <c r="C1842" s="20"/>
      <c r="D1842" s="21"/>
      <c r="E1842" s="21"/>
      <c r="F1842" s="67"/>
      <c r="G1842" s="23"/>
      <c r="H1842" s="149"/>
      <c r="I1842" s="25"/>
      <c r="J1842" s="26"/>
      <c r="K1842" s="21"/>
      <c r="L1842" s="29"/>
      <c r="M1842" s="28"/>
      <c r="N1842" s="29"/>
      <c r="O1842" s="29"/>
      <c r="P1842" s="34"/>
      <c r="Q1842" s="34"/>
      <c r="R1842" s="35"/>
      <c r="S1842" s="32" t="s">
        <v>29</v>
      </c>
      <c r="T1842" s="33"/>
      <c r="U1842" s="33"/>
    </row>
    <row r="1843" ht="15.75" customHeight="1">
      <c r="A1843" s="20"/>
      <c r="B1843" s="20"/>
      <c r="C1843" s="20"/>
      <c r="D1843" s="21"/>
      <c r="E1843" s="21"/>
      <c r="F1843" s="67"/>
      <c r="G1843" s="23"/>
      <c r="H1843" s="149"/>
      <c r="I1843" s="25"/>
      <c r="J1843" s="26"/>
      <c r="K1843" s="21"/>
      <c r="L1843" s="29"/>
      <c r="M1843" s="28"/>
      <c r="N1843" s="29"/>
      <c r="O1843" s="29"/>
      <c r="P1843" s="34"/>
      <c r="Q1843" s="34"/>
      <c r="R1843" s="35"/>
      <c r="S1843" s="32" t="s">
        <v>29</v>
      </c>
      <c r="T1843" s="33"/>
      <c r="U1843" s="33"/>
    </row>
    <row r="1844" ht="15.75" customHeight="1">
      <c r="A1844" s="20"/>
      <c r="B1844" s="20"/>
      <c r="C1844" s="20"/>
      <c r="D1844" s="21"/>
      <c r="E1844" s="21"/>
      <c r="F1844" s="67"/>
      <c r="G1844" s="23"/>
      <c r="H1844" s="149"/>
      <c r="I1844" s="25"/>
      <c r="J1844" s="26"/>
      <c r="K1844" s="21"/>
      <c r="L1844" s="29"/>
      <c r="M1844" s="28"/>
      <c r="N1844" s="29"/>
      <c r="O1844" s="29"/>
      <c r="P1844" s="34"/>
      <c r="Q1844" s="34"/>
      <c r="R1844" s="35"/>
      <c r="S1844" s="32" t="s">
        <v>29</v>
      </c>
      <c r="T1844" s="33"/>
      <c r="U1844" s="33"/>
    </row>
    <row r="1845" ht="15.75" customHeight="1">
      <c r="A1845" s="20"/>
      <c r="B1845" s="20"/>
      <c r="C1845" s="20"/>
      <c r="D1845" s="21"/>
      <c r="E1845" s="21"/>
      <c r="F1845" s="22"/>
      <c r="G1845" s="21"/>
      <c r="H1845" s="149"/>
      <c r="I1845" s="25"/>
      <c r="J1845" s="26"/>
      <c r="K1845" s="21"/>
      <c r="L1845" s="27"/>
      <c r="M1845" s="28"/>
      <c r="N1845" s="29"/>
      <c r="O1845" s="29"/>
      <c r="P1845" s="34"/>
      <c r="Q1845" s="34"/>
      <c r="R1845" s="35"/>
      <c r="S1845" s="32" t="s">
        <v>29</v>
      </c>
      <c r="T1845" s="33"/>
      <c r="U1845" s="33"/>
    </row>
    <row r="1846" ht="15.75" customHeight="1">
      <c r="A1846" s="20"/>
      <c r="B1846" s="20"/>
      <c r="C1846" s="20"/>
      <c r="D1846" s="21"/>
      <c r="E1846" s="21"/>
      <c r="F1846" s="22"/>
      <c r="G1846" s="21"/>
      <c r="H1846" s="149"/>
      <c r="I1846" s="25"/>
      <c r="J1846" s="26"/>
      <c r="K1846" s="21"/>
      <c r="L1846" s="27"/>
      <c r="M1846" s="28"/>
      <c r="N1846" s="29"/>
      <c r="O1846" s="29"/>
      <c r="P1846" s="34"/>
      <c r="Q1846" s="34"/>
      <c r="R1846" s="35"/>
      <c r="S1846" s="32" t="s">
        <v>29</v>
      </c>
      <c r="T1846" s="33"/>
      <c r="U1846" s="33"/>
    </row>
    <row r="1847" ht="15.75" customHeight="1">
      <c r="A1847" s="20"/>
      <c r="B1847" s="20"/>
      <c r="C1847" s="20"/>
      <c r="D1847" s="21"/>
      <c r="E1847" s="21"/>
      <c r="F1847" s="22"/>
      <c r="G1847" s="21"/>
      <c r="H1847" s="149"/>
      <c r="I1847" s="25"/>
      <c r="J1847" s="26"/>
      <c r="K1847" s="21"/>
      <c r="L1847" s="27"/>
      <c r="M1847" s="28"/>
      <c r="N1847" s="29"/>
      <c r="O1847" s="29"/>
      <c r="P1847" s="34"/>
      <c r="Q1847" s="34"/>
      <c r="R1847" s="35"/>
      <c r="S1847" s="32" t="s">
        <v>29</v>
      </c>
      <c r="T1847" s="33"/>
      <c r="U1847" s="33"/>
    </row>
    <row r="1848" ht="15.75" customHeight="1">
      <c r="A1848" s="20"/>
      <c r="B1848" s="20"/>
      <c r="C1848" s="20"/>
      <c r="D1848" s="21"/>
      <c r="E1848" s="21"/>
      <c r="F1848" s="22"/>
      <c r="G1848" s="21"/>
      <c r="H1848" s="149"/>
      <c r="I1848" s="25"/>
      <c r="J1848" s="26"/>
      <c r="K1848" s="21"/>
      <c r="L1848" s="27"/>
      <c r="M1848" s="28"/>
      <c r="N1848" s="29"/>
      <c r="O1848" s="29"/>
      <c r="P1848" s="34"/>
      <c r="Q1848" s="34"/>
      <c r="R1848" s="35"/>
      <c r="S1848" s="32" t="s">
        <v>29</v>
      </c>
      <c r="T1848" s="33"/>
      <c r="U1848" s="33"/>
    </row>
    <row r="1849" ht="15.75" customHeight="1">
      <c r="A1849" s="20"/>
      <c r="B1849" s="20"/>
      <c r="C1849" s="20"/>
      <c r="D1849" s="21"/>
      <c r="E1849" s="21"/>
      <c r="F1849" s="22"/>
      <c r="G1849" s="21"/>
      <c r="H1849" s="149"/>
      <c r="I1849" s="25"/>
      <c r="J1849" s="26"/>
      <c r="K1849" s="21"/>
      <c r="L1849" s="27"/>
      <c r="M1849" s="28"/>
      <c r="N1849" s="29"/>
      <c r="O1849" s="29"/>
      <c r="P1849" s="34"/>
      <c r="Q1849" s="34"/>
      <c r="R1849" s="35"/>
      <c r="S1849" s="32" t="s">
        <v>29</v>
      </c>
      <c r="T1849" s="33"/>
      <c r="U1849" s="33"/>
    </row>
    <row r="1850" ht="15.75" customHeight="1">
      <c r="A1850" s="20"/>
      <c r="B1850" s="20"/>
      <c r="C1850" s="20"/>
      <c r="D1850" s="21"/>
      <c r="E1850" s="21"/>
      <c r="F1850" s="22"/>
      <c r="G1850" s="21"/>
      <c r="H1850" s="149"/>
      <c r="I1850" s="25"/>
      <c r="J1850" s="26"/>
      <c r="K1850" s="21"/>
      <c r="L1850" s="27"/>
      <c r="M1850" s="28"/>
      <c r="N1850" s="29"/>
      <c r="O1850" s="29"/>
      <c r="P1850" s="34"/>
      <c r="Q1850" s="34"/>
      <c r="R1850" s="35"/>
      <c r="S1850" s="32" t="s">
        <v>29</v>
      </c>
      <c r="T1850" s="33"/>
      <c r="U1850" s="33"/>
    </row>
    <row r="1851" ht="15.75" customHeight="1">
      <c r="A1851" s="20"/>
      <c r="B1851" s="20"/>
      <c r="C1851" s="20"/>
      <c r="D1851" s="21"/>
      <c r="E1851" s="21"/>
      <c r="F1851" s="22"/>
      <c r="G1851" s="21"/>
      <c r="H1851" s="149"/>
      <c r="I1851" s="25"/>
      <c r="J1851" s="26"/>
      <c r="K1851" s="21"/>
      <c r="L1851" s="27"/>
      <c r="M1851" s="28"/>
      <c r="N1851" s="29"/>
      <c r="O1851" s="29"/>
      <c r="P1851" s="34"/>
      <c r="Q1851" s="34"/>
      <c r="R1851" s="35"/>
      <c r="S1851" s="32" t="s">
        <v>29</v>
      </c>
      <c r="T1851" s="33"/>
      <c r="U1851" s="33"/>
    </row>
    <row r="1852" ht="15.75" customHeight="1">
      <c r="A1852" s="20"/>
      <c r="B1852" s="20"/>
      <c r="C1852" s="20"/>
      <c r="D1852" s="21"/>
      <c r="E1852" s="21"/>
      <c r="F1852" s="22"/>
      <c r="G1852" s="21"/>
      <c r="H1852" s="149"/>
      <c r="I1852" s="25"/>
      <c r="J1852" s="26"/>
      <c r="K1852" s="21"/>
      <c r="L1852" s="29"/>
      <c r="M1852" s="28"/>
      <c r="N1852" s="29"/>
      <c r="O1852" s="29"/>
      <c r="P1852" s="34"/>
      <c r="Q1852" s="34"/>
      <c r="R1852" s="35"/>
      <c r="S1852" s="32" t="s">
        <v>29</v>
      </c>
      <c r="T1852" s="33"/>
      <c r="U1852" s="33"/>
    </row>
    <row r="1853" ht="15.75" customHeight="1">
      <c r="A1853" s="20"/>
      <c r="B1853" s="20"/>
      <c r="C1853" s="20"/>
      <c r="D1853" s="21"/>
      <c r="E1853" s="21"/>
      <c r="F1853" s="22"/>
      <c r="G1853" s="21"/>
      <c r="H1853" s="149"/>
      <c r="I1853" s="25"/>
      <c r="J1853" s="26"/>
      <c r="K1853" s="21"/>
      <c r="L1853" s="27"/>
      <c r="M1853" s="28"/>
      <c r="N1853" s="29"/>
      <c r="O1853" s="29"/>
      <c r="P1853" s="34"/>
      <c r="Q1853" s="34"/>
      <c r="R1853" s="35"/>
      <c r="S1853" s="32" t="s">
        <v>29</v>
      </c>
      <c r="T1853" s="33"/>
      <c r="U1853" s="33"/>
    </row>
    <row r="1854" ht="15.75" customHeight="1">
      <c r="A1854" s="20"/>
      <c r="B1854" s="20"/>
      <c r="C1854" s="20"/>
      <c r="D1854" s="21"/>
      <c r="E1854" s="21"/>
      <c r="F1854" s="22"/>
      <c r="G1854" s="21"/>
      <c r="H1854" s="149"/>
      <c r="I1854" s="25"/>
      <c r="J1854" s="26"/>
      <c r="K1854" s="21"/>
      <c r="L1854" s="27"/>
      <c r="M1854" s="28"/>
      <c r="N1854" s="29"/>
      <c r="O1854" s="29"/>
      <c r="P1854" s="34"/>
      <c r="Q1854" s="34"/>
      <c r="R1854" s="79"/>
      <c r="S1854" s="32" t="s">
        <v>29</v>
      </c>
      <c r="T1854" s="33"/>
      <c r="U1854" s="33"/>
    </row>
    <row r="1855" ht="15.75" customHeight="1">
      <c r="A1855" s="20"/>
      <c r="B1855" s="20"/>
      <c r="C1855" s="20"/>
      <c r="D1855" s="21"/>
      <c r="E1855" s="21"/>
      <c r="F1855" s="22"/>
      <c r="G1855" s="21"/>
      <c r="H1855" s="149"/>
      <c r="I1855" s="25"/>
      <c r="J1855" s="26"/>
      <c r="K1855" s="21"/>
      <c r="L1855" s="27"/>
      <c r="M1855" s="28"/>
      <c r="N1855" s="29"/>
      <c r="O1855" s="29"/>
      <c r="P1855" s="34"/>
      <c r="Q1855" s="34"/>
      <c r="R1855" s="35"/>
      <c r="S1855" s="32" t="s">
        <v>29</v>
      </c>
      <c r="T1855" s="33"/>
      <c r="U1855" s="33"/>
    </row>
    <row r="1856" ht="15.75" customHeight="1">
      <c r="A1856" s="20"/>
      <c r="B1856" s="20"/>
      <c r="C1856" s="20"/>
      <c r="D1856" s="21"/>
      <c r="E1856" s="21"/>
      <c r="F1856" s="22"/>
      <c r="G1856" s="21"/>
      <c r="H1856" s="149"/>
      <c r="I1856" s="25"/>
      <c r="J1856" s="26"/>
      <c r="K1856" s="21"/>
      <c r="L1856" s="27"/>
      <c r="M1856" s="28"/>
      <c r="N1856" s="29"/>
      <c r="O1856" s="29"/>
      <c r="P1856" s="34"/>
      <c r="Q1856" s="34"/>
      <c r="R1856" s="35"/>
      <c r="S1856" s="32" t="s">
        <v>29</v>
      </c>
      <c r="T1856" s="33"/>
      <c r="U1856" s="33"/>
    </row>
    <row r="1857" ht="15.75" customHeight="1">
      <c r="A1857" s="20"/>
      <c r="B1857" s="20"/>
      <c r="C1857" s="20"/>
      <c r="D1857" s="21"/>
      <c r="E1857" s="21"/>
      <c r="F1857" s="22"/>
      <c r="G1857" s="21"/>
      <c r="H1857" s="149"/>
      <c r="I1857" s="25"/>
      <c r="J1857" s="26"/>
      <c r="K1857" s="21"/>
      <c r="L1857" s="27"/>
      <c r="M1857" s="28"/>
      <c r="N1857" s="29"/>
      <c r="O1857" s="29"/>
      <c r="P1857" s="34"/>
      <c r="Q1857" s="34"/>
      <c r="R1857" s="35"/>
      <c r="S1857" s="32" t="s">
        <v>29</v>
      </c>
      <c r="T1857" s="33"/>
      <c r="U1857" s="33"/>
    </row>
    <row r="1858" ht="15.75" customHeight="1">
      <c r="A1858" s="20"/>
      <c r="B1858" s="20"/>
      <c r="C1858" s="20"/>
      <c r="D1858" s="21"/>
      <c r="E1858" s="21"/>
      <c r="F1858" s="22"/>
      <c r="G1858" s="21"/>
      <c r="H1858" s="149"/>
      <c r="I1858" s="25"/>
      <c r="J1858" s="26"/>
      <c r="K1858" s="21"/>
      <c r="L1858" s="27"/>
      <c r="M1858" s="28"/>
      <c r="N1858" s="29"/>
      <c r="O1858" s="29"/>
      <c r="P1858" s="34"/>
      <c r="Q1858" s="34"/>
      <c r="R1858" s="35"/>
      <c r="S1858" s="32" t="s">
        <v>29</v>
      </c>
      <c r="T1858" s="33"/>
      <c r="U1858" s="33"/>
    </row>
    <row r="1859" ht="15.75" customHeight="1">
      <c r="A1859" s="20"/>
      <c r="B1859" s="20"/>
      <c r="C1859" s="20"/>
      <c r="D1859" s="21"/>
      <c r="E1859" s="21"/>
      <c r="F1859" s="22"/>
      <c r="G1859" s="21"/>
      <c r="H1859" s="149"/>
      <c r="I1859" s="25"/>
      <c r="J1859" s="26"/>
      <c r="K1859" s="21"/>
      <c r="L1859" s="27"/>
      <c r="M1859" s="28"/>
      <c r="N1859" s="29"/>
      <c r="O1859" s="29"/>
      <c r="P1859" s="34"/>
      <c r="Q1859" s="34"/>
      <c r="R1859" s="35"/>
      <c r="S1859" s="32" t="s">
        <v>29</v>
      </c>
      <c r="T1859" s="33"/>
      <c r="U1859" s="33"/>
    </row>
    <row r="1860" ht="15.75" customHeight="1">
      <c r="A1860" s="20"/>
      <c r="B1860" s="20"/>
      <c r="C1860" s="20"/>
      <c r="D1860" s="21"/>
      <c r="E1860" s="21"/>
      <c r="F1860" s="22"/>
      <c r="G1860" s="21"/>
      <c r="H1860" s="149"/>
      <c r="I1860" s="25"/>
      <c r="J1860" s="26"/>
      <c r="K1860" s="21"/>
      <c r="L1860" s="27"/>
      <c r="M1860" s="28"/>
      <c r="N1860" s="29"/>
      <c r="O1860" s="29"/>
      <c r="P1860" s="34"/>
      <c r="Q1860" s="34"/>
      <c r="R1860" s="35"/>
      <c r="S1860" s="32" t="s">
        <v>29</v>
      </c>
      <c r="T1860" s="33"/>
      <c r="U1860" s="33"/>
    </row>
    <row r="1861" ht="15.75" customHeight="1">
      <c r="A1861" s="20"/>
      <c r="B1861" s="20"/>
      <c r="C1861" s="20"/>
      <c r="D1861" s="21"/>
      <c r="E1861" s="21"/>
      <c r="F1861" s="22"/>
      <c r="G1861" s="21"/>
      <c r="H1861" s="149"/>
      <c r="I1861" s="25"/>
      <c r="J1861" s="26"/>
      <c r="K1861" s="21"/>
      <c r="L1861" s="27"/>
      <c r="M1861" s="28"/>
      <c r="N1861" s="29"/>
      <c r="O1861" s="29"/>
      <c r="P1861" s="34"/>
      <c r="Q1861" s="34"/>
      <c r="R1861" s="35"/>
      <c r="S1861" s="32" t="s">
        <v>29</v>
      </c>
      <c r="T1861" s="33"/>
      <c r="U1861" s="33"/>
    </row>
    <row r="1862" ht="15.75" customHeight="1">
      <c r="A1862" s="20"/>
      <c r="B1862" s="20"/>
      <c r="C1862" s="20"/>
      <c r="D1862" s="21"/>
      <c r="E1862" s="21"/>
      <c r="F1862" s="22"/>
      <c r="G1862" s="21"/>
      <c r="H1862" s="149"/>
      <c r="I1862" s="25"/>
      <c r="J1862" s="26"/>
      <c r="K1862" s="21"/>
      <c r="L1862" s="27"/>
      <c r="M1862" s="28"/>
      <c r="N1862" s="29"/>
      <c r="O1862" s="29"/>
      <c r="P1862" s="34"/>
      <c r="Q1862" s="34"/>
      <c r="R1862" s="35"/>
      <c r="S1862" s="32" t="s">
        <v>29</v>
      </c>
      <c r="T1862" s="33"/>
      <c r="U1862" s="33"/>
    </row>
    <row r="1863" ht="15.75" customHeight="1">
      <c r="A1863" s="20"/>
      <c r="B1863" s="20"/>
      <c r="C1863" s="20"/>
      <c r="D1863" s="21"/>
      <c r="E1863" s="21"/>
      <c r="F1863" s="22"/>
      <c r="G1863" s="21"/>
      <c r="H1863" s="149"/>
      <c r="I1863" s="25"/>
      <c r="J1863" s="26"/>
      <c r="K1863" s="21"/>
      <c r="L1863" s="27"/>
      <c r="M1863" s="28"/>
      <c r="N1863" s="29"/>
      <c r="O1863" s="29"/>
      <c r="P1863" s="34"/>
      <c r="Q1863" s="34"/>
      <c r="R1863" s="35"/>
      <c r="S1863" s="32" t="s">
        <v>29</v>
      </c>
      <c r="T1863" s="33"/>
      <c r="U1863" s="33"/>
    </row>
    <row r="1864" ht="15.75" customHeight="1">
      <c r="A1864" s="20"/>
      <c r="B1864" s="20"/>
      <c r="C1864" s="20"/>
      <c r="D1864" s="21"/>
      <c r="E1864" s="21"/>
      <c r="F1864" s="22"/>
      <c r="G1864" s="21"/>
      <c r="H1864" s="149"/>
      <c r="I1864" s="25"/>
      <c r="J1864" s="26"/>
      <c r="K1864" s="21"/>
      <c r="L1864" s="27"/>
      <c r="M1864" s="28"/>
      <c r="N1864" s="29"/>
      <c r="O1864" s="29"/>
      <c r="P1864" s="34"/>
      <c r="Q1864" s="34"/>
      <c r="R1864" s="35"/>
      <c r="S1864" s="32" t="s">
        <v>29</v>
      </c>
      <c r="T1864" s="33"/>
      <c r="U1864" s="33"/>
    </row>
    <row r="1865" ht="15.75" customHeight="1">
      <c r="A1865" s="20"/>
      <c r="B1865" s="20"/>
      <c r="C1865" s="20"/>
      <c r="D1865" s="21"/>
      <c r="E1865" s="21"/>
      <c r="F1865" s="22"/>
      <c r="G1865" s="21"/>
      <c r="H1865" s="149"/>
      <c r="I1865" s="25"/>
      <c r="J1865" s="26"/>
      <c r="K1865" s="21"/>
      <c r="L1865" s="27"/>
      <c r="M1865" s="28"/>
      <c r="N1865" s="29"/>
      <c r="O1865" s="29"/>
      <c r="P1865" s="34"/>
      <c r="Q1865" s="34"/>
      <c r="R1865" s="35"/>
      <c r="S1865" s="32" t="s">
        <v>29</v>
      </c>
      <c r="T1865" s="33"/>
      <c r="U1865" s="33"/>
    </row>
    <row r="1866" ht="15.75" customHeight="1">
      <c r="A1866" s="20"/>
      <c r="B1866" s="20"/>
      <c r="C1866" s="20"/>
      <c r="D1866" s="21"/>
      <c r="E1866" s="21"/>
      <c r="F1866" s="22"/>
      <c r="G1866" s="21"/>
      <c r="H1866" s="149"/>
      <c r="I1866" s="25"/>
      <c r="J1866" s="26"/>
      <c r="K1866" s="21"/>
      <c r="L1866" s="27"/>
      <c r="M1866" s="28"/>
      <c r="N1866" s="29"/>
      <c r="O1866" s="29"/>
      <c r="P1866" s="34"/>
      <c r="Q1866" s="34"/>
      <c r="R1866" s="35"/>
      <c r="S1866" s="32" t="s">
        <v>29</v>
      </c>
      <c r="T1866" s="33"/>
      <c r="U1866" s="33"/>
    </row>
    <row r="1867" ht="15.75" customHeight="1">
      <c r="A1867" s="20"/>
      <c r="B1867" s="20"/>
      <c r="C1867" s="20"/>
      <c r="D1867" s="21"/>
      <c r="E1867" s="21"/>
      <c r="F1867" s="22"/>
      <c r="G1867" s="21"/>
      <c r="H1867" s="149"/>
      <c r="I1867" s="25"/>
      <c r="J1867" s="26"/>
      <c r="K1867" s="21"/>
      <c r="L1867" s="27"/>
      <c r="M1867" s="28"/>
      <c r="N1867" s="29"/>
      <c r="O1867" s="29"/>
      <c r="P1867" s="34"/>
      <c r="Q1867" s="34"/>
      <c r="R1867" s="35"/>
      <c r="S1867" s="32" t="s">
        <v>29</v>
      </c>
      <c r="T1867" s="33"/>
      <c r="U1867" s="33"/>
    </row>
    <row r="1868" ht="15.75" customHeight="1">
      <c r="A1868" s="20"/>
      <c r="B1868" s="20"/>
      <c r="C1868" s="20"/>
      <c r="D1868" s="21"/>
      <c r="E1868" s="21"/>
      <c r="F1868" s="22"/>
      <c r="G1868" s="21"/>
      <c r="H1868" s="149"/>
      <c r="I1868" s="25"/>
      <c r="J1868" s="26"/>
      <c r="K1868" s="21"/>
      <c r="L1868" s="27"/>
      <c r="M1868" s="28"/>
      <c r="N1868" s="29"/>
      <c r="O1868" s="29"/>
      <c r="P1868" s="34"/>
      <c r="Q1868" s="34"/>
      <c r="R1868" s="35"/>
      <c r="S1868" s="32" t="s">
        <v>29</v>
      </c>
      <c r="T1868" s="33"/>
      <c r="U1868" s="33"/>
    </row>
    <row r="1869" ht="15.75" customHeight="1">
      <c r="A1869" s="20"/>
      <c r="B1869" s="20"/>
      <c r="C1869" s="20"/>
      <c r="D1869" s="21"/>
      <c r="E1869" s="21"/>
      <c r="F1869" s="22"/>
      <c r="G1869" s="21"/>
      <c r="H1869" s="149"/>
      <c r="I1869" s="25"/>
      <c r="J1869" s="26"/>
      <c r="K1869" s="21"/>
      <c r="L1869" s="27"/>
      <c r="M1869" s="28"/>
      <c r="N1869" s="29"/>
      <c r="O1869" s="29"/>
      <c r="P1869" s="34"/>
      <c r="Q1869" s="34"/>
      <c r="R1869" s="35"/>
      <c r="S1869" s="32" t="s">
        <v>29</v>
      </c>
      <c r="T1869" s="33"/>
      <c r="U1869" s="33"/>
    </row>
    <row r="1870" ht="15.75" customHeight="1">
      <c r="A1870" s="20"/>
      <c r="B1870" s="20"/>
      <c r="C1870" s="20"/>
      <c r="D1870" s="21"/>
      <c r="E1870" s="21"/>
      <c r="F1870" s="22"/>
      <c r="G1870" s="21"/>
      <c r="H1870" s="149"/>
      <c r="I1870" s="25"/>
      <c r="J1870" s="26"/>
      <c r="K1870" s="21"/>
      <c r="L1870" s="27"/>
      <c r="M1870" s="28"/>
      <c r="N1870" s="29"/>
      <c r="O1870" s="29"/>
      <c r="P1870" s="34"/>
      <c r="Q1870" s="34"/>
      <c r="R1870" s="35"/>
      <c r="S1870" s="32" t="s">
        <v>29</v>
      </c>
      <c r="T1870" s="33"/>
      <c r="U1870" s="33"/>
    </row>
    <row r="1871" ht="15.75" customHeight="1">
      <c r="A1871" s="20"/>
      <c r="B1871" s="20"/>
      <c r="C1871" s="20"/>
      <c r="D1871" s="21"/>
      <c r="E1871" s="21"/>
      <c r="F1871" s="22"/>
      <c r="G1871" s="21"/>
      <c r="H1871" s="149"/>
      <c r="I1871" s="25"/>
      <c r="J1871" s="26"/>
      <c r="K1871" s="21"/>
      <c r="L1871" s="27"/>
      <c r="M1871" s="28"/>
      <c r="N1871" s="29"/>
      <c r="O1871" s="29"/>
      <c r="P1871" s="34"/>
      <c r="Q1871" s="34"/>
      <c r="R1871" s="35"/>
      <c r="S1871" s="32" t="s">
        <v>29</v>
      </c>
      <c r="T1871" s="33"/>
      <c r="U1871" s="33"/>
    </row>
    <row r="1872" ht="15.75" customHeight="1">
      <c r="A1872" s="20"/>
      <c r="B1872" s="20"/>
      <c r="C1872" s="20"/>
      <c r="D1872" s="21"/>
      <c r="E1872" s="21"/>
      <c r="F1872" s="22"/>
      <c r="G1872" s="21"/>
      <c r="H1872" s="149"/>
      <c r="I1872" s="25"/>
      <c r="J1872" s="26"/>
      <c r="K1872" s="21"/>
      <c r="L1872" s="27"/>
      <c r="M1872" s="28"/>
      <c r="N1872" s="29"/>
      <c r="O1872" s="29"/>
      <c r="P1872" s="34"/>
      <c r="Q1872" s="34"/>
      <c r="R1872" s="35"/>
      <c r="S1872" s="32" t="s">
        <v>29</v>
      </c>
      <c r="T1872" s="33"/>
      <c r="U1872" s="33"/>
    </row>
    <row r="1873" ht="15.75" customHeight="1">
      <c r="A1873" s="20"/>
      <c r="B1873" s="20"/>
      <c r="C1873" s="20"/>
      <c r="D1873" s="21"/>
      <c r="E1873" s="21"/>
      <c r="F1873" s="22"/>
      <c r="G1873" s="21"/>
      <c r="H1873" s="149"/>
      <c r="I1873" s="25"/>
      <c r="J1873" s="26"/>
      <c r="K1873" s="21"/>
      <c r="L1873" s="27"/>
      <c r="M1873" s="28"/>
      <c r="N1873" s="29"/>
      <c r="O1873" s="29"/>
      <c r="P1873" s="34"/>
      <c r="Q1873" s="34"/>
      <c r="R1873" s="35"/>
      <c r="S1873" s="32" t="s">
        <v>29</v>
      </c>
      <c r="T1873" s="33"/>
      <c r="U1873" s="33"/>
    </row>
    <row r="1874" ht="15.75" customHeight="1">
      <c r="A1874" s="20"/>
      <c r="B1874" s="20"/>
      <c r="C1874" s="20"/>
      <c r="D1874" s="21"/>
      <c r="E1874" s="21"/>
      <c r="F1874" s="22"/>
      <c r="G1874" s="21"/>
      <c r="H1874" s="149"/>
      <c r="I1874" s="25"/>
      <c r="J1874" s="26"/>
      <c r="K1874" s="21"/>
      <c r="L1874" s="27"/>
      <c r="M1874" s="28"/>
      <c r="N1874" s="29"/>
      <c r="O1874" s="29"/>
      <c r="P1874" s="34"/>
      <c r="Q1874" s="34"/>
      <c r="R1874" s="35"/>
      <c r="S1874" s="32" t="s">
        <v>29</v>
      </c>
      <c r="T1874" s="33"/>
      <c r="U1874" s="33"/>
    </row>
    <row r="1875" ht="15.75" customHeight="1">
      <c r="A1875" s="20"/>
      <c r="B1875" s="20"/>
      <c r="C1875" s="20"/>
      <c r="D1875" s="21"/>
      <c r="E1875" s="21"/>
      <c r="F1875" s="22"/>
      <c r="G1875" s="21"/>
      <c r="H1875" s="149"/>
      <c r="I1875" s="25"/>
      <c r="J1875" s="26"/>
      <c r="K1875" s="21"/>
      <c r="L1875" s="27"/>
      <c r="M1875" s="28"/>
      <c r="N1875" s="29"/>
      <c r="O1875" s="29"/>
      <c r="P1875" s="34"/>
      <c r="Q1875" s="34"/>
      <c r="R1875" s="35"/>
      <c r="S1875" s="32" t="s">
        <v>29</v>
      </c>
      <c r="T1875" s="33"/>
      <c r="U1875" s="33"/>
    </row>
    <row r="1876" ht="15.75" customHeight="1">
      <c r="A1876" s="20"/>
      <c r="B1876" s="20"/>
      <c r="C1876" s="20"/>
      <c r="D1876" s="21"/>
      <c r="E1876" s="21"/>
      <c r="F1876" s="22"/>
      <c r="G1876" s="21"/>
      <c r="H1876" s="149"/>
      <c r="I1876" s="25"/>
      <c r="J1876" s="26"/>
      <c r="K1876" s="21"/>
      <c r="L1876" s="27"/>
      <c r="M1876" s="28"/>
      <c r="N1876" s="29"/>
      <c r="O1876" s="29"/>
      <c r="P1876" s="34"/>
      <c r="Q1876" s="34"/>
      <c r="R1876" s="35"/>
      <c r="S1876" s="32" t="s">
        <v>29</v>
      </c>
      <c r="T1876" s="33"/>
      <c r="U1876" s="33"/>
    </row>
    <row r="1877" ht="15.75" customHeight="1">
      <c r="A1877" s="20"/>
      <c r="B1877" s="20"/>
      <c r="C1877" s="20"/>
      <c r="D1877" s="21"/>
      <c r="E1877" s="21"/>
      <c r="F1877" s="22"/>
      <c r="G1877" s="21"/>
      <c r="H1877" s="149"/>
      <c r="I1877" s="25"/>
      <c r="J1877" s="26"/>
      <c r="K1877" s="21"/>
      <c r="L1877" s="27"/>
      <c r="M1877" s="28"/>
      <c r="N1877" s="29"/>
      <c r="O1877" s="29"/>
      <c r="P1877" s="34"/>
      <c r="Q1877" s="34"/>
      <c r="R1877" s="35"/>
      <c r="S1877" s="32" t="s">
        <v>29</v>
      </c>
      <c r="T1877" s="33"/>
      <c r="U1877" s="33"/>
    </row>
    <row r="1878" ht="15.75" customHeight="1">
      <c r="A1878" s="20"/>
      <c r="B1878" s="20"/>
      <c r="C1878" s="20"/>
      <c r="D1878" s="21"/>
      <c r="E1878" s="21"/>
      <c r="F1878" s="22"/>
      <c r="G1878" s="21"/>
      <c r="H1878" s="149"/>
      <c r="I1878" s="25"/>
      <c r="J1878" s="26"/>
      <c r="K1878" s="21"/>
      <c r="L1878" s="27"/>
      <c r="M1878" s="28"/>
      <c r="N1878" s="29"/>
      <c r="O1878" s="29"/>
      <c r="P1878" s="34"/>
      <c r="Q1878" s="34"/>
      <c r="R1878" s="35"/>
      <c r="S1878" s="32" t="s">
        <v>29</v>
      </c>
      <c r="T1878" s="33"/>
      <c r="U1878" s="33"/>
    </row>
    <row r="1879" ht="15.75" customHeight="1">
      <c r="A1879" s="20"/>
      <c r="B1879" s="20"/>
      <c r="C1879" s="20"/>
      <c r="D1879" s="21"/>
      <c r="E1879" s="21"/>
      <c r="F1879" s="22"/>
      <c r="G1879" s="21"/>
      <c r="H1879" s="149"/>
      <c r="I1879" s="25"/>
      <c r="J1879" s="26"/>
      <c r="K1879" s="21"/>
      <c r="L1879" s="27"/>
      <c r="M1879" s="28"/>
      <c r="N1879" s="29"/>
      <c r="O1879" s="29"/>
      <c r="P1879" s="34"/>
      <c r="Q1879" s="34"/>
      <c r="R1879" s="35"/>
      <c r="S1879" s="32" t="s">
        <v>29</v>
      </c>
      <c r="T1879" s="33"/>
      <c r="U1879" s="33"/>
    </row>
    <row r="1880" ht="15.75" customHeight="1">
      <c r="A1880" s="20"/>
      <c r="B1880" s="20"/>
      <c r="C1880" s="20"/>
      <c r="D1880" s="21"/>
      <c r="E1880" s="21"/>
      <c r="F1880" s="22"/>
      <c r="G1880" s="21"/>
      <c r="H1880" s="149"/>
      <c r="I1880" s="25"/>
      <c r="J1880" s="26"/>
      <c r="K1880" s="21"/>
      <c r="L1880" s="29"/>
      <c r="M1880" s="28"/>
      <c r="N1880" s="29"/>
      <c r="O1880" s="29"/>
      <c r="P1880" s="34"/>
      <c r="Q1880" s="34"/>
      <c r="R1880" s="35"/>
      <c r="S1880" s="32" t="s">
        <v>29</v>
      </c>
      <c r="T1880" s="33"/>
      <c r="U1880" s="33"/>
    </row>
    <row r="1881" ht="15.75" customHeight="1">
      <c r="A1881" s="20"/>
      <c r="B1881" s="20"/>
      <c r="C1881" s="20"/>
      <c r="D1881" s="21"/>
      <c r="E1881" s="21"/>
      <c r="F1881" s="22"/>
      <c r="G1881" s="21"/>
      <c r="H1881" s="149"/>
      <c r="I1881" s="25"/>
      <c r="J1881" s="26"/>
      <c r="K1881" s="21"/>
      <c r="L1881" s="27"/>
      <c r="M1881" s="28"/>
      <c r="N1881" s="29"/>
      <c r="O1881" s="29"/>
      <c r="P1881" s="34"/>
      <c r="Q1881" s="34"/>
      <c r="R1881" s="35"/>
      <c r="S1881" s="32" t="s">
        <v>29</v>
      </c>
      <c r="T1881" s="33"/>
      <c r="U1881" s="33"/>
    </row>
    <row r="1882" ht="15.75" customHeight="1">
      <c r="A1882" s="20"/>
      <c r="B1882" s="20"/>
      <c r="C1882" s="20"/>
      <c r="D1882" s="21"/>
      <c r="E1882" s="21"/>
      <c r="F1882" s="22"/>
      <c r="G1882" s="21"/>
      <c r="H1882" s="149"/>
      <c r="I1882" s="25"/>
      <c r="J1882" s="26"/>
      <c r="K1882" s="21"/>
      <c r="L1882" s="27"/>
      <c r="M1882" s="28"/>
      <c r="N1882" s="29"/>
      <c r="O1882" s="29"/>
      <c r="P1882" s="34"/>
      <c r="Q1882" s="34"/>
      <c r="R1882" s="35"/>
      <c r="S1882" s="32" t="s">
        <v>29</v>
      </c>
      <c r="T1882" s="33"/>
      <c r="U1882" s="33"/>
    </row>
    <row r="1883" ht="15.75" customHeight="1">
      <c r="A1883" s="20"/>
      <c r="B1883" s="20"/>
      <c r="C1883" s="20"/>
      <c r="D1883" s="21"/>
      <c r="E1883" s="21"/>
      <c r="F1883" s="22"/>
      <c r="G1883" s="21"/>
      <c r="H1883" s="149"/>
      <c r="I1883" s="25"/>
      <c r="J1883" s="26"/>
      <c r="K1883" s="21"/>
      <c r="L1883" s="27"/>
      <c r="M1883" s="28"/>
      <c r="N1883" s="29"/>
      <c r="O1883" s="29"/>
      <c r="P1883" s="34"/>
      <c r="Q1883" s="34"/>
      <c r="R1883" s="35"/>
      <c r="S1883" s="32" t="s">
        <v>29</v>
      </c>
      <c r="T1883" s="33"/>
      <c r="U1883" s="33"/>
    </row>
    <row r="1884" ht="15.75" customHeight="1">
      <c r="A1884" s="20"/>
      <c r="B1884" s="20"/>
      <c r="C1884" s="20"/>
      <c r="D1884" s="21"/>
      <c r="E1884" s="21"/>
      <c r="F1884" s="22"/>
      <c r="G1884" s="21"/>
      <c r="H1884" s="149"/>
      <c r="I1884" s="25"/>
      <c r="J1884" s="26"/>
      <c r="K1884" s="21"/>
      <c r="L1884" s="27"/>
      <c r="M1884" s="28"/>
      <c r="N1884" s="29"/>
      <c r="O1884" s="29"/>
      <c r="P1884" s="34"/>
      <c r="Q1884" s="34"/>
      <c r="R1884" s="35"/>
      <c r="S1884" s="32" t="s">
        <v>29</v>
      </c>
      <c r="T1884" s="33"/>
      <c r="U1884" s="33"/>
    </row>
    <row r="1885" ht="15.75" customHeight="1">
      <c r="A1885" s="20"/>
      <c r="B1885" s="20"/>
      <c r="C1885" s="20"/>
      <c r="D1885" s="21"/>
      <c r="E1885" s="21"/>
      <c r="F1885" s="22"/>
      <c r="G1885" s="21"/>
      <c r="H1885" s="149"/>
      <c r="I1885" s="25"/>
      <c r="J1885" s="26"/>
      <c r="K1885" s="21"/>
      <c r="L1885" s="27"/>
      <c r="M1885" s="28"/>
      <c r="N1885" s="29"/>
      <c r="O1885" s="29"/>
      <c r="P1885" s="34"/>
      <c r="Q1885" s="34"/>
      <c r="R1885" s="35"/>
      <c r="S1885" s="32" t="s">
        <v>29</v>
      </c>
      <c r="T1885" s="33"/>
      <c r="U1885" s="33"/>
    </row>
    <row r="1886" ht="15.75" customHeight="1">
      <c r="A1886" s="20"/>
      <c r="B1886" s="20"/>
      <c r="C1886" s="20"/>
      <c r="D1886" s="21"/>
      <c r="E1886" s="21"/>
      <c r="F1886" s="22"/>
      <c r="G1886" s="21"/>
      <c r="H1886" s="149"/>
      <c r="I1886" s="25"/>
      <c r="J1886" s="26"/>
      <c r="K1886" s="21"/>
      <c r="L1886" s="27"/>
      <c r="M1886" s="28"/>
      <c r="N1886" s="29"/>
      <c r="O1886" s="29"/>
      <c r="P1886" s="34"/>
      <c r="Q1886" s="34"/>
      <c r="R1886" s="35"/>
      <c r="S1886" s="32" t="s">
        <v>29</v>
      </c>
      <c r="T1886" s="33"/>
      <c r="U1886" s="33"/>
    </row>
    <row r="1887" ht="15.75" customHeight="1">
      <c r="A1887" s="20"/>
      <c r="B1887" s="20"/>
      <c r="C1887" s="20"/>
      <c r="D1887" s="21"/>
      <c r="E1887" s="21"/>
      <c r="F1887" s="22"/>
      <c r="G1887" s="21"/>
      <c r="H1887" s="149"/>
      <c r="I1887" s="25"/>
      <c r="J1887" s="26"/>
      <c r="K1887" s="204"/>
      <c r="L1887" s="29"/>
      <c r="M1887" s="28"/>
      <c r="N1887" s="29"/>
      <c r="O1887" s="29"/>
      <c r="P1887" s="34"/>
      <c r="Q1887" s="34"/>
      <c r="R1887" s="35"/>
      <c r="S1887" s="32" t="s">
        <v>29</v>
      </c>
      <c r="T1887" s="33"/>
      <c r="U1887" s="33"/>
    </row>
    <row r="1888" ht="15.75" customHeight="1">
      <c r="A1888" s="20"/>
      <c r="B1888" s="20"/>
      <c r="C1888" s="20"/>
      <c r="D1888" s="21"/>
      <c r="E1888" s="21"/>
      <c r="F1888" s="22"/>
      <c r="G1888" s="21"/>
      <c r="H1888" s="149"/>
      <c r="I1888" s="25"/>
      <c r="J1888" s="26"/>
      <c r="K1888" s="204"/>
      <c r="L1888" s="29"/>
      <c r="M1888" s="28"/>
      <c r="N1888" s="29"/>
      <c r="O1888" s="29"/>
      <c r="P1888" s="34"/>
      <c r="Q1888" s="34"/>
      <c r="R1888" s="35"/>
      <c r="S1888" s="32" t="s">
        <v>29</v>
      </c>
      <c r="T1888" s="33"/>
      <c r="U1888" s="33"/>
    </row>
    <row r="1889" ht="15.75" customHeight="1">
      <c r="A1889" s="20"/>
      <c r="B1889" s="20"/>
      <c r="C1889" s="20"/>
      <c r="D1889" s="21"/>
      <c r="E1889" s="21"/>
      <c r="F1889" s="22"/>
      <c r="G1889" s="21"/>
      <c r="H1889" s="149"/>
      <c r="I1889" s="25"/>
      <c r="J1889" s="26"/>
      <c r="K1889" s="21"/>
      <c r="L1889" s="27"/>
      <c r="M1889" s="28"/>
      <c r="N1889" s="29"/>
      <c r="O1889" s="29"/>
      <c r="P1889" s="34"/>
      <c r="Q1889" s="34"/>
      <c r="R1889" s="35"/>
      <c r="S1889" s="32" t="s">
        <v>29</v>
      </c>
      <c r="T1889" s="33"/>
      <c r="U1889" s="33"/>
    </row>
    <row r="1890" ht="15.75" customHeight="1">
      <c r="A1890" s="20"/>
      <c r="B1890" s="20"/>
      <c r="C1890" s="20"/>
      <c r="D1890" s="21"/>
      <c r="E1890" s="21"/>
      <c r="F1890" s="22"/>
      <c r="G1890" s="21"/>
      <c r="H1890" s="149"/>
      <c r="I1890" s="25"/>
      <c r="J1890" s="26"/>
      <c r="K1890" s="21"/>
      <c r="L1890" s="27"/>
      <c r="M1890" s="28"/>
      <c r="N1890" s="29"/>
      <c r="O1890" s="29"/>
      <c r="P1890" s="34"/>
      <c r="Q1890" s="34"/>
      <c r="R1890" s="35"/>
      <c r="S1890" s="32" t="s">
        <v>29</v>
      </c>
      <c r="T1890" s="33"/>
      <c r="U1890" s="33"/>
    </row>
    <row r="1891" ht="15.75" customHeight="1">
      <c r="A1891" s="20"/>
      <c r="B1891" s="20"/>
      <c r="C1891" s="20"/>
      <c r="D1891" s="21"/>
      <c r="E1891" s="21"/>
      <c r="F1891" s="22"/>
      <c r="G1891" s="21"/>
      <c r="H1891" s="149"/>
      <c r="I1891" s="25"/>
      <c r="J1891" s="26"/>
      <c r="K1891" s="21"/>
      <c r="L1891" s="27"/>
      <c r="M1891" s="28"/>
      <c r="N1891" s="29"/>
      <c r="O1891" s="29"/>
      <c r="P1891" s="34"/>
      <c r="Q1891" s="34"/>
      <c r="R1891" s="35"/>
      <c r="S1891" s="32" t="s">
        <v>29</v>
      </c>
      <c r="T1891" s="33"/>
      <c r="U1891" s="33"/>
    </row>
    <row r="1892" ht="15.75" customHeight="1">
      <c r="A1892" s="20"/>
      <c r="B1892" s="20"/>
      <c r="C1892" s="20"/>
      <c r="D1892" s="21"/>
      <c r="E1892" s="21"/>
      <c r="F1892" s="22"/>
      <c r="G1892" s="21"/>
      <c r="H1892" s="149"/>
      <c r="I1892" s="25"/>
      <c r="J1892" s="26"/>
      <c r="K1892" s="21"/>
      <c r="L1892" s="27"/>
      <c r="M1892" s="28"/>
      <c r="N1892" s="29"/>
      <c r="O1892" s="29"/>
      <c r="P1892" s="34"/>
      <c r="Q1892" s="34"/>
      <c r="R1892" s="35"/>
      <c r="S1892" s="32" t="s">
        <v>29</v>
      </c>
      <c r="T1892" s="33"/>
      <c r="U1892" s="33"/>
    </row>
    <row r="1893" ht="15.75" customHeight="1">
      <c r="A1893" s="20"/>
      <c r="B1893" s="20"/>
      <c r="C1893" s="20"/>
      <c r="D1893" s="21"/>
      <c r="E1893" s="21"/>
      <c r="F1893" s="22"/>
      <c r="G1893" s="21"/>
      <c r="H1893" s="149"/>
      <c r="I1893" s="25"/>
      <c r="J1893" s="26"/>
      <c r="K1893" s="21"/>
      <c r="L1893" s="29"/>
      <c r="M1893" s="28"/>
      <c r="N1893" s="29"/>
      <c r="O1893" s="29"/>
      <c r="P1893" s="34"/>
      <c r="Q1893" s="34"/>
      <c r="R1893" s="35"/>
      <c r="S1893" s="32" t="s">
        <v>29</v>
      </c>
      <c r="T1893" s="33"/>
      <c r="U1893" s="33"/>
    </row>
    <row r="1894" ht="15.75" customHeight="1">
      <c r="A1894" s="20"/>
      <c r="B1894" s="20"/>
      <c r="C1894" s="20"/>
      <c r="D1894" s="21"/>
      <c r="E1894" s="21"/>
      <c r="F1894" s="22"/>
      <c r="G1894" s="21"/>
      <c r="H1894" s="149"/>
      <c r="I1894" s="25"/>
      <c r="J1894" s="26"/>
      <c r="K1894" s="21"/>
      <c r="L1894" s="27"/>
      <c r="M1894" s="28"/>
      <c r="N1894" s="29"/>
      <c r="O1894" s="29"/>
      <c r="P1894" s="34"/>
      <c r="Q1894" s="34"/>
      <c r="R1894" s="35"/>
      <c r="S1894" s="32" t="s">
        <v>29</v>
      </c>
      <c r="T1894" s="33"/>
      <c r="U1894" s="33"/>
    </row>
    <row r="1895" ht="15.75" customHeight="1">
      <c r="A1895" s="20"/>
      <c r="B1895" s="20"/>
      <c r="C1895" s="20"/>
      <c r="D1895" s="21"/>
      <c r="E1895" s="21"/>
      <c r="F1895" s="22"/>
      <c r="G1895" s="21"/>
      <c r="H1895" s="149"/>
      <c r="I1895" s="25"/>
      <c r="J1895" s="26"/>
      <c r="K1895" s="21"/>
      <c r="L1895" s="27"/>
      <c r="M1895" s="28"/>
      <c r="N1895" s="29"/>
      <c r="O1895" s="29"/>
      <c r="P1895" s="34"/>
      <c r="Q1895" s="34"/>
      <c r="R1895" s="35"/>
      <c r="S1895" s="32" t="s">
        <v>29</v>
      </c>
      <c r="T1895" s="33"/>
      <c r="U1895" s="33"/>
    </row>
    <row r="1896" ht="15.75" customHeight="1">
      <c r="A1896" s="20"/>
      <c r="B1896" s="20"/>
      <c r="C1896" s="20"/>
      <c r="D1896" s="21"/>
      <c r="E1896" s="21"/>
      <c r="F1896" s="22"/>
      <c r="G1896" s="21"/>
      <c r="H1896" s="149"/>
      <c r="I1896" s="25"/>
      <c r="J1896" s="26"/>
      <c r="K1896" s="21"/>
      <c r="L1896" s="27"/>
      <c r="M1896" s="28"/>
      <c r="N1896" s="29"/>
      <c r="O1896" s="29"/>
      <c r="P1896" s="34"/>
      <c r="Q1896" s="34"/>
      <c r="R1896" s="35"/>
      <c r="S1896" s="32" t="s">
        <v>29</v>
      </c>
      <c r="T1896" s="33"/>
      <c r="U1896" s="33"/>
    </row>
    <row r="1897" ht="15.75" customHeight="1">
      <c r="A1897" s="20"/>
      <c r="B1897" s="20"/>
      <c r="C1897" s="20"/>
      <c r="D1897" s="21"/>
      <c r="E1897" s="21"/>
      <c r="F1897" s="22"/>
      <c r="G1897" s="21"/>
      <c r="H1897" s="149"/>
      <c r="I1897" s="25"/>
      <c r="J1897" s="26"/>
      <c r="K1897" s="21"/>
      <c r="L1897" s="27"/>
      <c r="M1897" s="28"/>
      <c r="N1897" s="29"/>
      <c r="O1897" s="29"/>
      <c r="P1897" s="34"/>
      <c r="Q1897" s="34"/>
      <c r="R1897" s="35"/>
      <c r="S1897" s="32" t="s">
        <v>29</v>
      </c>
      <c r="T1897" s="33"/>
      <c r="U1897" s="33"/>
    </row>
    <row r="1898" ht="15.75" customHeight="1">
      <c r="A1898" s="20"/>
      <c r="B1898" s="20"/>
      <c r="C1898" s="20"/>
      <c r="D1898" s="21"/>
      <c r="E1898" s="21"/>
      <c r="F1898" s="22"/>
      <c r="G1898" s="21"/>
      <c r="H1898" s="149"/>
      <c r="I1898" s="25"/>
      <c r="J1898" s="26"/>
      <c r="K1898" s="21"/>
      <c r="L1898" s="27"/>
      <c r="M1898" s="28"/>
      <c r="N1898" s="29"/>
      <c r="O1898" s="29"/>
      <c r="P1898" s="34"/>
      <c r="Q1898" s="34"/>
      <c r="R1898" s="35"/>
      <c r="S1898" s="32" t="s">
        <v>29</v>
      </c>
      <c r="T1898" s="33"/>
      <c r="U1898" s="33"/>
    </row>
    <row r="1899" ht="15.75" customHeight="1">
      <c r="A1899" s="20"/>
      <c r="B1899" s="20"/>
      <c r="C1899" s="20"/>
      <c r="D1899" s="21"/>
      <c r="E1899" s="21"/>
      <c r="F1899" s="22"/>
      <c r="G1899" s="21"/>
      <c r="H1899" s="149"/>
      <c r="I1899" s="25"/>
      <c r="J1899" s="26"/>
      <c r="K1899" s="21"/>
      <c r="L1899" s="27"/>
      <c r="M1899" s="28"/>
      <c r="N1899" s="29"/>
      <c r="O1899" s="29"/>
      <c r="P1899" s="34"/>
      <c r="Q1899" s="34"/>
      <c r="R1899" s="35"/>
      <c r="S1899" s="32" t="s">
        <v>29</v>
      </c>
      <c r="T1899" s="33"/>
      <c r="U1899" s="33"/>
    </row>
    <row r="1900" ht="15.75" customHeight="1">
      <c r="A1900" s="20"/>
      <c r="B1900" s="20"/>
      <c r="C1900" s="20"/>
      <c r="D1900" s="21"/>
      <c r="E1900" s="21"/>
      <c r="F1900" s="22"/>
      <c r="G1900" s="21"/>
      <c r="H1900" s="149"/>
      <c r="I1900" s="25"/>
      <c r="J1900" s="26"/>
      <c r="K1900" s="21"/>
      <c r="L1900" s="27"/>
      <c r="M1900" s="28"/>
      <c r="N1900" s="29"/>
      <c r="O1900" s="29"/>
      <c r="P1900" s="34"/>
      <c r="Q1900" s="34"/>
      <c r="R1900" s="35"/>
      <c r="S1900" s="32" t="s">
        <v>29</v>
      </c>
      <c r="T1900" s="33"/>
      <c r="U1900" s="33"/>
    </row>
    <row r="1901" ht="15.75" customHeight="1">
      <c r="A1901" s="20"/>
      <c r="B1901" s="20"/>
      <c r="C1901" s="20"/>
      <c r="D1901" s="21"/>
      <c r="E1901" s="21"/>
      <c r="F1901" s="67"/>
      <c r="G1901" s="23"/>
      <c r="H1901" s="149"/>
      <c r="I1901" s="25"/>
      <c r="J1901" s="26"/>
      <c r="K1901" s="21"/>
      <c r="L1901" s="29"/>
      <c r="M1901" s="28"/>
      <c r="N1901" s="29"/>
      <c r="O1901" s="29"/>
      <c r="P1901" s="34"/>
      <c r="Q1901" s="34"/>
      <c r="R1901" s="35"/>
      <c r="S1901" s="32" t="s">
        <v>29</v>
      </c>
      <c r="T1901" s="33"/>
      <c r="U1901" s="33"/>
    </row>
    <row r="1902" ht="15.75" customHeight="1">
      <c r="A1902" s="20"/>
      <c r="B1902" s="20"/>
      <c r="C1902" s="20"/>
      <c r="D1902" s="21"/>
      <c r="E1902" s="21"/>
      <c r="F1902" s="22"/>
      <c r="G1902" s="21"/>
      <c r="H1902" s="149"/>
      <c r="I1902" s="25"/>
      <c r="J1902" s="26"/>
      <c r="K1902" s="21"/>
      <c r="L1902" s="27"/>
      <c r="M1902" s="28"/>
      <c r="N1902" s="29"/>
      <c r="O1902" s="29"/>
      <c r="P1902" s="34"/>
      <c r="Q1902" s="34"/>
      <c r="R1902" s="35"/>
      <c r="S1902" s="32" t="s">
        <v>29</v>
      </c>
      <c r="T1902" s="33"/>
      <c r="U1902" s="33"/>
    </row>
    <row r="1903" ht="15.75" customHeight="1">
      <c r="A1903" s="20"/>
      <c r="B1903" s="20"/>
      <c r="C1903" s="20"/>
      <c r="D1903" s="21"/>
      <c r="E1903" s="21"/>
      <c r="F1903" s="22"/>
      <c r="G1903" s="21"/>
      <c r="H1903" s="149"/>
      <c r="I1903" s="25"/>
      <c r="J1903" s="26"/>
      <c r="K1903" s="21"/>
      <c r="L1903" s="27"/>
      <c r="M1903" s="28"/>
      <c r="N1903" s="29"/>
      <c r="O1903" s="29"/>
      <c r="P1903" s="34"/>
      <c r="Q1903" s="34"/>
      <c r="R1903" s="35"/>
      <c r="S1903" s="32" t="s">
        <v>29</v>
      </c>
      <c r="T1903" s="33"/>
      <c r="U1903" s="33"/>
    </row>
    <row r="1904" ht="15.75" customHeight="1">
      <c r="A1904" s="20"/>
      <c r="B1904" s="20"/>
      <c r="C1904" s="20"/>
      <c r="D1904" s="21"/>
      <c r="E1904" s="21"/>
      <c r="F1904" s="22"/>
      <c r="G1904" s="21"/>
      <c r="H1904" s="205"/>
      <c r="I1904" s="25"/>
      <c r="J1904" s="26"/>
      <c r="K1904" s="21"/>
      <c r="L1904" s="27"/>
      <c r="M1904" s="28"/>
      <c r="N1904" s="29"/>
      <c r="O1904" s="29"/>
      <c r="P1904" s="34"/>
      <c r="Q1904" s="34"/>
      <c r="R1904" s="35"/>
      <c r="S1904" s="32" t="s">
        <v>29</v>
      </c>
      <c r="T1904" s="33"/>
      <c r="U1904" s="33"/>
    </row>
    <row r="1905" ht="15.75" customHeight="1">
      <c r="A1905" s="20"/>
      <c r="B1905" s="20"/>
      <c r="C1905" s="20"/>
      <c r="D1905" s="21"/>
      <c r="E1905" s="21"/>
      <c r="F1905" s="22"/>
      <c r="G1905" s="21"/>
      <c r="H1905" s="149"/>
      <c r="I1905" s="25"/>
      <c r="J1905" s="26"/>
      <c r="K1905" s="21"/>
      <c r="L1905" s="27"/>
      <c r="M1905" s="28"/>
      <c r="N1905" s="29"/>
      <c r="O1905" s="29"/>
      <c r="P1905" s="34"/>
      <c r="Q1905" s="34"/>
      <c r="R1905" s="35"/>
      <c r="S1905" s="32" t="s">
        <v>29</v>
      </c>
      <c r="T1905" s="33"/>
      <c r="U1905" s="33"/>
    </row>
    <row r="1906" ht="15.75" customHeight="1">
      <c r="A1906" s="20"/>
      <c r="B1906" s="20"/>
      <c r="C1906" s="20"/>
      <c r="D1906" s="21"/>
      <c r="E1906" s="21"/>
      <c r="F1906" s="22"/>
      <c r="G1906" s="21"/>
      <c r="H1906" s="149"/>
      <c r="I1906" s="25"/>
      <c r="J1906" s="26"/>
      <c r="K1906" s="21"/>
      <c r="L1906" s="27"/>
      <c r="M1906" s="28"/>
      <c r="N1906" s="29"/>
      <c r="O1906" s="29"/>
      <c r="P1906" s="34"/>
      <c r="Q1906" s="34"/>
      <c r="R1906" s="35"/>
      <c r="S1906" s="32" t="s">
        <v>29</v>
      </c>
      <c r="T1906" s="33"/>
      <c r="U1906" s="33"/>
    </row>
    <row r="1907" ht="15.75" customHeight="1">
      <c r="A1907" s="20"/>
      <c r="B1907" s="20"/>
      <c r="C1907" s="20"/>
      <c r="D1907" s="21"/>
      <c r="E1907" s="21"/>
      <c r="F1907" s="22"/>
      <c r="G1907" s="21"/>
      <c r="H1907" s="149"/>
      <c r="I1907" s="25"/>
      <c r="J1907" s="26"/>
      <c r="K1907" s="21"/>
      <c r="L1907" s="27"/>
      <c r="M1907" s="28"/>
      <c r="N1907" s="29"/>
      <c r="O1907" s="29"/>
      <c r="P1907" s="34"/>
      <c r="Q1907" s="34"/>
      <c r="R1907" s="35"/>
      <c r="S1907" s="32" t="s">
        <v>29</v>
      </c>
      <c r="T1907" s="33"/>
      <c r="U1907" s="33"/>
    </row>
    <row r="1908" ht="15.75" customHeight="1">
      <c r="A1908" s="20"/>
      <c r="B1908" s="20"/>
      <c r="C1908" s="20"/>
      <c r="D1908" s="21"/>
      <c r="E1908" s="21"/>
      <c r="F1908" s="22"/>
      <c r="G1908" s="21"/>
      <c r="H1908" s="149"/>
      <c r="I1908" s="25"/>
      <c r="J1908" s="26"/>
      <c r="K1908" s="21"/>
      <c r="L1908" s="27"/>
      <c r="M1908" s="28"/>
      <c r="N1908" s="29"/>
      <c r="O1908" s="29"/>
      <c r="P1908" s="34"/>
      <c r="Q1908" s="34"/>
      <c r="R1908" s="35"/>
      <c r="S1908" s="32" t="s">
        <v>29</v>
      </c>
      <c r="T1908" s="33"/>
      <c r="U1908" s="33"/>
    </row>
    <row r="1909" ht="15.75" customHeight="1">
      <c r="A1909" s="20"/>
      <c r="B1909" s="20"/>
      <c r="C1909" s="20"/>
      <c r="D1909" s="21"/>
      <c r="E1909" s="21"/>
      <c r="F1909" s="22"/>
      <c r="G1909" s="21"/>
      <c r="H1909" s="149"/>
      <c r="I1909" s="25"/>
      <c r="J1909" s="26"/>
      <c r="K1909" s="21"/>
      <c r="L1909" s="27"/>
      <c r="M1909" s="28"/>
      <c r="N1909" s="29"/>
      <c r="O1909" s="29"/>
      <c r="P1909" s="34"/>
      <c r="Q1909" s="34"/>
      <c r="R1909" s="35"/>
      <c r="S1909" s="32" t="s">
        <v>29</v>
      </c>
      <c r="T1909" s="33"/>
      <c r="U1909" s="33"/>
    </row>
    <row r="1910" ht="15.75" customHeight="1">
      <c r="A1910" s="20"/>
      <c r="B1910" s="20"/>
      <c r="C1910" s="20"/>
      <c r="D1910" s="21"/>
      <c r="E1910" s="21"/>
      <c r="F1910" s="67"/>
      <c r="G1910" s="21"/>
      <c r="H1910" s="149"/>
      <c r="I1910" s="25"/>
      <c r="J1910" s="26"/>
      <c r="K1910" s="21"/>
      <c r="L1910" s="27"/>
      <c r="M1910" s="28"/>
      <c r="N1910" s="29"/>
      <c r="O1910" s="29"/>
      <c r="P1910" s="34"/>
      <c r="Q1910" s="34"/>
      <c r="R1910" s="35"/>
      <c r="S1910" s="32" t="s">
        <v>29</v>
      </c>
      <c r="T1910" s="33"/>
      <c r="U1910" s="33"/>
    </row>
    <row r="1911" ht="15.75" customHeight="1">
      <c r="A1911" s="20"/>
      <c r="B1911" s="20"/>
      <c r="C1911" s="20"/>
      <c r="D1911" s="21"/>
      <c r="E1911" s="21"/>
      <c r="F1911" s="22"/>
      <c r="G1911" s="21"/>
      <c r="H1911" s="149"/>
      <c r="I1911" s="25"/>
      <c r="J1911" s="26"/>
      <c r="K1911" s="21"/>
      <c r="L1911" s="29"/>
      <c r="M1911" s="28"/>
      <c r="N1911" s="29"/>
      <c r="O1911" s="29"/>
      <c r="P1911" s="34"/>
      <c r="Q1911" s="34"/>
      <c r="R1911" s="35"/>
      <c r="S1911" s="32" t="s">
        <v>29</v>
      </c>
      <c r="T1911" s="33"/>
      <c r="U1911" s="33"/>
    </row>
    <row r="1912" ht="15.75" customHeight="1">
      <c r="A1912" s="20"/>
      <c r="B1912" s="20"/>
      <c r="C1912" s="20"/>
      <c r="D1912" s="21"/>
      <c r="E1912" s="21"/>
      <c r="F1912" s="22"/>
      <c r="G1912" s="21"/>
      <c r="H1912" s="149"/>
      <c r="I1912" s="25"/>
      <c r="J1912" s="26"/>
      <c r="K1912" s="21"/>
      <c r="L1912" s="27"/>
      <c r="M1912" s="28"/>
      <c r="N1912" s="29"/>
      <c r="O1912" s="29"/>
      <c r="P1912" s="34"/>
      <c r="Q1912" s="34"/>
      <c r="R1912" s="35"/>
      <c r="S1912" s="32" t="s">
        <v>29</v>
      </c>
      <c r="T1912" s="33"/>
      <c r="U1912" s="33"/>
    </row>
    <row r="1913" ht="15.75" customHeight="1">
      <c r="A1913" s="20"/>
      <c r="B1913" s="20"/>
      <c r="C1913" s="20"/>
      <c r="D1913" s="21"/>
      <c r="E1913" s="21"/>
      <c r="F1913" s="67"/>
      <c r="G1913" s="21"/>
      <c r="H1913" s="149"/>
      <c r="I1913" s="25"/>
      <c r="J1913" s="26"/>
      <c r="K1913" s="21"/>
      <c r="L1913" s="27"/>
      <c r="M1913" s="28"/>
      <c r="N1913" s="29"/>
      <c r="O1913" s="29"/>
      <c r="P1913" s="34"/>
      <c r="Q1913" s="34"/>
      <c r="R1913" s="35"/>
      <c r="S1913" s="32" t="s">
        <v>29</v>
      </c>
      <c r="T1913" s="33"/>
      <c r="U1913" s="33"/>
    </row>
    <row r="1914" ht="15.75" customHeight="1">
      <c r="A1914" s="20"/>
      <c r="B1914" s="20"/>
      <c r="C1914" s="20"/>
      <c r="D1914" s="21"/>
      <c r="E1914" s="21"/>
      <c r="F1914" s="22"/>
      <c r="G1914" s="21"/>
      <c r="H1914" s="149"/>
      <c r="I1914" s="25"/>
      <c r="J1914" s="26"/>
      <c r="K1914" s="21"/>
      <c r="L1914" s="27"/>
      <c r="M1914" s="28"/>
      <c r="N1914" s="29"/>
      <c r="O1914" s="29"/>
      <c r="P1914" s="34"/>
      <c r="Q1914" s="34"/>
      <c r="R1914" s="35"/>
      <c r="S1914" s="32" t="s">
        <v>29</v>
      </c>
      <c r="T1914" s="33"/>
      <c r="U1914" s="33"/>
    </row>
    <row r="1915" ht="15.75" customHeight="1">
      <c r="A1915" s="20"/>
      <c r="B1915" s="20"/>
      <c r="C1915" s="20"/>
      <c r="D1915" s="21"/>
      <c r="E1915" s="21"/>
      <c r="F1915" s="67"/>
      <c r="G1915" s="23"/>
      <c r="H1915" s="149"/>
      <c r="I1915" s="25"/>
      <c r="J1915" s="26"/>
      <c r="K1915" s="21"/>
      <c r="L1915" s="29"/>
      <c r="M1915" s="28"/>
      <c r="N1915" s="29"/>
      <c r="O1915" s="29"/>
      <c r="P1915" s="34"/>
      <c r="Q1915" s="34"/>
      <c r="R1915" s="35"/>
      <c r="S1915" s="32" t="s">
        <v>29</v>
      </c>
      <c r="T1915" s="33"/>
      <c r="U1915" s="33"/>
    </row>
    <row r="1916" ht="15.75" customHeight="1">
      <c r="A1916" s="20"/>
      <c r="B1916" s="20"/>
      <c r="C1916" s="20"/>
      <c r="D1916" s="21"/>
      <c r="E1916" s="21"/>
      <c r="F1916" s="67"/>
      <c r="G1916" s="23"/>
      <c r="H1916" s="149"/>
      <c r="I1916" s="25"/>
      <c r="J1916" s="26"/>
      <c r="K1916" s="21"/>
      <c r="L1916" s="29"/>
      <c r="M1916" s="28"/>
      <c r="N1916" s="29"/>
      <c r="O1916" s="29"/>
      <c r="P1916" s="34"/>
      <c r="Q1916" s="34"/>
      <c r="R1916" s="35"/>
      <c r="S1916" s="32" t="s">
        <v>29</v>
      </c>
      <c r="T1916" s="33"/>
      <c r="U1916" s="33"/>
    </row>
    <row r="1917" ht="15.75" customHeight="1">
      <c r="A1917" s="20"/>
      <c r="B1917" s="20"/>
      <c r="C1917" s="20"/>
      <c r="D1917" s="21"/>
      <c r="E1917" s="21"/>
      <c r="F1917" s="22"/>
      <c r="G1917" s="21"/>
      <c r="H1917" s="149"/>
      <c r="I1917" s="25"/>
      <c r="J1917" s="26"/>
      <c r="K1917" s="21"/>
      <c r="L1917" s="29"/>
      <c r="M1917" s="28"/>
      <c r="N1917" s="29"/>
      <c r="O1917" s="29"/>
      <c r="P1917" s="34"/>
      <c r="Q1917" s="34"/>
      <c r="R1917" s="35"/>
      <c r="S1917" s="32" t="s">
        <v>29</v>
      </c>
      <c r="T1917" s="33"/>
      <c r="U1917" s="33"/>
    </row>
    <row r="1918" ht="15.75" customHeight="1">
      <c r="A1918" s="20"/>
      <c r="B1918" s="20"/>
      <c r="C1918" s="20"/>
      <c r="D1918" s="21"/>
      <c r="E1918" s="21"/>
      <c r="F1918" s="67"/>
      <c r="G1918" s="23"/>
      <c r="H1918" s="149"/>
      <c r="I1918" s="25"/>
      <c r="J1918" s="26"/>
      <c r="K1918" s="21"/>
      <c r="L1918" s="29"/>
      <c r="M1918" s="28"/>
      <c r="N1918" s="29"/>
      <c r="O1918" s="29"/>
      <c r="P1918" s="34"/>
      <c r="Q1918" s="34"/>
      <c r="R1918" s="35"/>
      <c r="S1918" s="32" t="s">
        <v>29</v>
      </c>
      <c r="T1918" s="33"/>
      <c r="U1918" s="33"/>
    </row>
    <row r="1919" ht="15.75" customHeight="1">
      <c r="A1919" s="20"/>
      <c r="B1919" s="20"/>
      <c r="C1919" s="20"/>
      <c r="D1919" s="21"/>
      <c r="E1919" s="21"/>
      <c r="F1919" s="22"/>
      <c r="G1919" s="21"/>
      <c r="H1919" s="149"/>
      <c r="I1919" s="25"/>
      <c r="J1919" s="26"/>
      <c r="K1919" s="21"/>
      <c r="L1919" s="27"/>
      <c r="M1919" s="28"/>
      <c r="N1919" s="29"/>
      <c r="O1919" s="29"/>
      <c r="P1919" s="34"/>
      <c r="Q1919" s="34"/>
      <c r="R1919" s="35"/>
      <c r="S1919" s="32" t="s">
        <v>29</v>
      </c>
      <c r="T1919" s="33"/>
      <c r="U1919" s="33"/>
    </row>
    <row r="1920" ht="15.75" customHeight="1">
      <c r="A1920" s="20"/>
      <c r="B1920" s="20"/>
      <c r="C1920" s="20"/>
      <c r="D1920" s="21"/>
      <c r="E1920" s="21"/>
      <c r="F1920" s="22"/>
      <c r="G1920" s="21"/>
      <c r="H1920" s="149"/>
      <c r="I1920" s="25"/>
      <c r="J1920" s="26"/>
      <c r="K1920" s="21"/>
      <c r="L1920" s="27"/>
      <c r="M1920" s="28"/>
      <c r="N1920" s="29"/>
      <c r="O1920" s="29"/>
      <c r="P1920" s="34"/>
      <c r="Q1920" s="34"/>
      <c r="R1920" s="35"/>
      <c r="S1920" s="32" t="s">
        <v>29</v>
      </c>
      <c r="T1920" s="33"/>
      <c r="U1920" s="33"/>
    </row>
    <row r="1921" ht="15.75" customHeight="1">
      <c r="A1921" s="20"/>
      <c r="B1921" s="20"/>
      <c r="C1921" s="20"/>
      <c r="D1921" s="21"/>
      <c r="E1921" s="21"/>
      <c r="F1921" s="22"/>
      <c r="G1921" s="21"/>
      <c r="H1921" s="149"/>
      <c r="I1921" s="25"/>
      <c r="J1921" s="26"/>
      <c r="K1921" s="21"/>
      <c r="L1921" s="27"/>
      <c r="M1921" s="28"/>
      <c r="N1921" s="29"/>
      <c r="O1921" s="29"/>
      <c r="P1921" s="34"/>
      <c r="Q1921" s="34"/>
      <c r="R1921" s="35"/>
      <c r="S1921" s="32" t="s">
        <v>29</v>
      </c>
      <c r="T1921" s="33"/>
      <c r="U1921" s="33"/>
    </row>
    <row r="1922" ht="15.75" customHeight="1">
      <c r="A1922" s="20"/>
      <c r="B1922" s="20"/>
      <c r="C1922" s="20"/>
      <c r="D1922" s="21"/>
      <c r="E1922" s="21"/>
      <c r="F1922" s="67"/>
      <c r="G1922" s="23"/>
      <c r="H1922" s="149"/>
      <c r="I1922" s="25"/>
      <c r="J1922" s="26"/>
      <c r="K1922" s="21"/>
      <c r="L1922" s="29"/>
      <c r="M1922" s="28"/>
      <c r="N1922" s="29"/>
      <c r="O1922" s="29"/>
      <c r="P1922" s="34"/>
      <c r="Q1922" s="34"/>
      <c r="R1922" s="35"/>
      <c r="S1922" s="32" t="s">
        <v>29</v>
      </c>
      <c r="T1922" s="33"/>
      <c r="U1922" s="33"/>
    </row>
    <row r="1923" ht="15.75" customHeight="1">
      <c r="A1923" s="20"/>
      <c r="B1923" s="20"/>
      <c r="C1923" s="20"/>
      <c r="D1923" s="21"/>
      <c r="E1923" s="21"/>
      <c r="F1923" s="22"/>
      <c r="G1923" s="21"/>
      <c r="H1923" s="149"/>
      <c r="I1923" s="25"/>
      <c r="J1923" s="26"/>
      <c r="K1923" s="21"/>
      <c r="L1923" s="27"/>
      <c r="M1923" s="28"/>
      <c r="N1923" s="29"/>
      <c r="O1923" s="29"/>
      <c r="P1923" s="34"/>
      <c r="Q1923" s="34"/>
      <c r="R1923" s="35"/>
      <c r="S1923" s="32" t="s">
        <v>29</v>
      </c>
      <c r="T1923" s="33"/>
      <c r="U1923" s="33"/>
    </row>
    <row r="1924" ht="15.75" customHeight="1">
      <c r="A1924" s="20"/>
      <c r="B1924" s="20"/>
      <c r="C1924" s="20"/>
      <c r="D1924" s="21"/>
      <c r="E1924" s="21"/>
      <c r="F1924" s="22"/>
      <c r="G1924" s="21"/>
      <c r="H1924" s="149"/>
      <c r="I1924" s="25"/>
      <c r="J1924" s="26"/>
      <c r="K1924" s="21"/>
      <c r="L1924" s="27"/>
      <c r="M1924" s="28"/>
      <c r="N1924" s="29"/>
      <c r="O1924" s="29"/>
      <c r="P1924" s="34"/>
      <c r="Q1924" s="34"/>
      <c r="R1924" s="35"/>
      <c r="S1924" s="32" t="s">
        <v>29</v>
      </c>
      <c r="T1924" s="33"/>
      <c r="U1924" s="33"/>
    </row>
    <row r="1925" ht="15.75" customHeight="1">
      <c r="A1925" s="20"/>
      <c r="B1925" s="20"/>
      <c r="C1925" s="20"/>
      <c r="D1925" s="21"/>
      <c r="E1925" s="21"/>
      <c r="F1925" s="22"/>
      <c r="G1925" s="21"/>
      <c r="H1925" s="149"/>
      <c r="I1925" s="25"/>
      <c r="J1925" s="26"/>
      <c r="K1925" s="21"/>
      <c r="L1925" s="27"/>
      <c r="M1925" s="28"/>
      <c r="N1925" s="29"/>
      <c r="O1925" s="29"/>
      <c r="P1925" s="34"/>
      <c r="Q1925" s="34"/>
      <c r="R1925" s="35"/>
      <c r="S1925" s="32" t="s">
        <v>29</v>
      </c>
      <c r="T1925" s="33"/>
      <c r="U1925" s="33"/>
    </row>
    <row r="1926" ht="15.75" customHeight="1">
      <c r="A1926" s="20"/>
      <c r="B1926" s="20"/>
      <c r="C1926" s="20"/>
      <c r="D1926" s="21"/>
      <c r="E1926" s="21"/>
      <c r="F1926" s="22"/>
      <c r="G1926" s="21"/>
      <c r="H1926" s="149"/>
      <c r="I1926" s="25"/>
      <c r="J1926" s="26"/>
      <c r="K1926" s="21"/>
      <c r="L1926" s="27"/>
      <c r="M1926" s="28"/>
      <c r="N1926" s="29"/>
      <c r="O1926" s="29"/>
      <c r="P1926" s="34"/>
      <c r="Q1926" s="34"/>
      <c r="R1926" s="35"/>
      <c r="S1926" s="32" t="s">
        <v>29</v>
      </c>
      <c r="T1926" s="33"/>
      <c r="U1926" s="33"/>
    </row>
    <row r="1927" ht="15.75" customHeight="1">
      <c r="A1927" s="20"/>
      <c r="B1927" s="20"/>
      <c r="C1927" s="20"/>
      <c r="D1927" s="21"/>
      <c r="E1927" s="21"/>
      <c r="F1927" s="22"/>
      <c r="G1927" s="21"/>
      <c r="H1927" s="149"/>
      <c r="I1927" s="25"/>
      <c r="J1927" s="26"/>
      <c r="K1927" s="21"/>
      <c r="L1927" s="27"/>
      <c r="M1927" s="28"/>
      <c r="N1927" s="29"/>
      <c r="O1927" s="29"/>
      <c r="P1927" s="34"/>
      <c r="Q1927" s="34"/>
      <c r="R1927" s="35"/>
      <c r="S1927" s="32" t="s">
        <v>29</v>
      </c>
      <c r="T1927" s="33"/>
      <c r="U1927" s="33"/>
    </row>
    <row r="1928" ht="15.75" customHeight="1">
      <c r="A1928" s="20"/>
      <c r="B1928" s="20"/>
      <c r="C1928" s="20"/>
      <c r="D1928" s="21"/>
      <c r="E1928" s="21"/>
      <c r="F1928" s="22"/>
      <c r="G1928" s="21"/>
      <c r="H1928" s="149"/>
      <c r="I1928" s="25"/>
      <c r="J1928" s="26"/>
      <c r="K1928" s="21"/>
      <c r="L1928" s="27"/>
      <c r="M1928" s="28"/>
      <c r="N1928" s="29"/>
      <c r="O1928" s="29"/>
      <c r="P1928" s="34"/>
      <c r="Q1928" s="34"/>
      <c r="R1928" s="35"/>
      <c r="S1928" s="32" t="s">
        <v>29</v>
      </c>
      <c r="T1928" s="33"/>
      <c r="U1928" s="33"/>
    </row>
    <row r="1929" ht="15.75" customHeight="1">
      <c r="A1929" s="20"/>
      <c r="B1929" s="20"/>
      <c r="C1929" s="20"/>
      <c r="D1929" s="21"/>
      <c r="E1929" s="21"/>
      <c r="F1929" s="22"/>
      <c r="G1929" s="21"/>
      <c r="H1929" s="149"/>
      <c r="I1929" s="25"/>
      <c r="J1929" s="26"/>
      <c r="K1929" s="21"/>
      <c r="L1929" s="27"/>
      <c r="M1929" s="28"/>
      <c r="N1929" s="29"/>
      <c r="O1929" s="29"/>
      <c r="P1929" s="34"/>
      <c r="Q1929" s="34"/>
      <c r="R1929" s="35"/>
      <c r="S1929" s="32" t="s">
        <v>29</v>
      </c>
      <c r="T1929" s="33"/>
      <c r="U1929" s="33"/>
    </row>
    <row r="1930" ht="15.75" customHeight="1">
      <c r="A1930" s="20"/>
      <c r="B1930" s="20"/>
      <c r="C1930" s="20"/>
      <c r="D1930" s="21"/>
      <c r="E1930" s="21"/>
      <c r="F1930" s="22"/>
      <c r="G1930" s="21"/>
      <c r="H1930" s="149"/>
      <c r="I1930" s="25"/>
      <c r="J1930" s="26"/>
      <c r="K1930" s="21"/>
      <c r="L1930" s="27"/>
      <c r="M1930" s="28"/>
      <c r="N1930" s="29"/>
      <c r="O1930" s="29"/>
      <c r="P1930" s="34"/>
      <c r="Q1930" s="34"/>
      <c r="R1930" s="35"/>
      <c r="S1930" s="32" t="s">
        <v>29</v>
      </c>
      <c r="T1930" s="33"/>
      <c r="U1930" s="33"/>
    </row>
    <row r="1931" ht="15.75" customHeight="1">
      <c r="A1931" s="20"/>
      <c r="B1931" s="20"/>
      <c r="C1931" s="20"/>
      <c r="D1931" s="21"/>
      <c r="E1931" s="21"/>
      <c r="F1931" s="22"/>
      <c r="G1931" s="21"/>
      <c r="H1931" s="149"/>
      <c r="I1931" s="25"/>
      <c r="J1931" s="26"/>
      <c r="K1931" s="21"/>
      <c r="L1931" s="27"/>
      <c r="M1931" s="28"/>
      <c r="N1931" s="29"/>
      <c r="O1931" s="29"/>
      <c r="P1931" s="34"/>
      <c r="Q1931" s="34"/>
      <c r="R1931" s="35"/>
      <c r="S1931" s="32" t="s">
        <v>29</v>
      </c>
      <c r="T1931" s="33"/>
      <c r="U1931" s="33"/>
    </row>
    <row r="1932" ht="15.75" customHeight="1">
      <c r="A1932" s="20"/>
      <c r="B1932" s="20"/>
      <c r="C1932" s="20"/>
      <c r="D1932" s="21"/>
      <c r="E1932" s="21"/>
      <c r="F1932" s="22"/>
      <c r="G1932" s="21"/>
      <c r="H1932" s="149"/>
      <c r="I1932" s="25"/>
      <c r="J1932" s="26"/>
      <c r="K1932" s="21"/>
      <c r="L1932" s="27"/>
      <c r="M1932" s="28"/>
      <c r="N1932" s="29"/>
      <c r="O1932" s="29"/>
      <c r="P1932" s="34"/>
      <c r="Q1932" s="34"/>
      <c r="R1932" s="35"/>
      <c r="S1932" s="32" t="s">
        <v>29</v>
      </c>
      <c r="T1932" s="33"/>
      <c r="U1932" s="33"/>
    </row>
    <row r="1933" ht="15.75" customHeight="1">
      <c r="A1933" s="20"/>
      <c r="B1933" s="20"/>
      <c r="C1933" s="20"/>
      <c r="D1933" s="21"/>
      <c r="E1933" s="21"/>
      <c r="F1933" s="22"/>
      <c r="G1933" s="21"/>
      <c r="H1933" s="149"/>
      <c r="I1933" s="25"/>
      <c r="J1933" s="26"/>
      <c r="K1933" s="21"/>
      <c r="L1933" s="27"/>
      <c r="M1933" s="28"/>
      <c r="N1933" s="29"/>
      <c r="O1933" s="29"/>
      <c r="P1933" s="34"/>
      <c r="Q1933" s="34"/>
      <c r="R1933" s="35"/>
      <c r="S1933" s="32" t="s">
        <v>29</v>
      </c>
      <c r="T1933" s="33"/>
      <c r="U1933" s="33"/>
    </row>
    <row r="1934" ht="15.75" customHeight="1">
      <c r="A1934" s="20"/>
      <c r="B1934" s="20"/>
      <c r="C1934" s="20"/>
      <c r="D1934" s="21"/>
      <c r="E1934" s="21"/>
      <c r="F1934" s="67"/>
      <c r="G1934" s="21"/>
      <c r="H1934" s="149"/>
      <c r="I1934" s="25"/>
      <c r="J1934" s="26"/>
      <c r="K1934" s="21"/>
      <c r="L1934" s="27"/>
      <c r="M1934" s="28"/>
      <c r="N1934" s="29"/>
      <c r="O1934" s="29"/>
      <c r="P1934" s="34"/>
      <c r="Q1934" s="34"/>
      <c r="R1934" s="35"/>
      <c r="S1934" s="32" t="s">
        <v>29</v>
      </c>
      <c r="T1934" s="33"/>
      <c r="U1934" s="33"/>
    </row>
    <row r="1935" ht="15.75" customHeight="1">
      <c r="A1935" s="20"/>
      <c r="B1935" s="20"/>
      <c r="C1935" s="20"/>
      <c r="D1935" s="21"/>
      <c r="E1935" s="21"/>
      <c r="F1935" s="22"/>
      <c r="G1935" s="21"/>
      <c r="H1935" s="149"/>
      <c r="I1935" s="25"/>
      <c r="J1935" s="26"/>
      <c r="K1935" s="21"/>
      <c r="L1935" s="27"/>
      <c r="M1935" s="28"/>
      <c r="N1935" s="29"/>
      <c r="O1935" s="29"/>
      <c r="P1935" s="34"/>
      <c r="Q1935" s="34"/>
      <c r="R1935" s="35"/>
      <c r="S1935" s="32" t="s">
        <v>29</v>
      </c>
      <c r="T1935" s="33"/>
      <c r="U1935" s="33"/>
    </row>
    <row r="1936" ht="15.75" customHeight="1">
      <c r="A1936" s="20"/>
      <c r="B1936" s="20"/>
      <c r="C1936" s="20"/>
      <c r="D1936" s="21"/>
      <c r="E1936" s="21"/>
      <c r="F1936" s="22"/>
      <c r="G1936" s="21"/>
      <c r="H1936" s="149"/>
      <c r="I1936" s="25"/>
      <c r="J1936" s="26"/>
      <c r="K1936" s="21"/>
      <c r="L1936" s="27"/>
      <c r="M1936" s="28"/>
      <c r="N1936" s="29"/>
      <c r="O1936" s="29"/>
      <c r="P1936" s="34"/>
      <c r="Q1936" s="34"/>
      <c r="R1936" s="35"/>
      <c r="S1936" s="32" t="s">
        <v>29</v>
      </c>
      <c r="T1936" s="33"/>
      <c r="U1936" s="33"/>
    </row>
    <row r="1937" ht="15.75" customHeight="1">
      <c r="A1937" s="20"/>
      <c r="B1937" s="20"/>
      <c r="C1937" s="20"/>
      <c r="D1937" s="21"/>
      <c r="E1937" s="21"/>
      <c r="F1937" s="22"/>
      <c r="G1937" s="21"/>
      <c r="H1937" s="149"/>
      <c r="I1937" s="25"/>
      <c r="J1937" s="26"/>
      <c r="K1937" s="21"/>
      <c r="L1937" s="27"/>
      <c r="M1937" s="28"/>
      <c r="N1937" s="29"/>
      <c r="O1937" s="29"/>
      <c r="P1937" s="34"/>
      <c r="Q1937" s="34"/>
      <c r="R1937" s="35"/>
      <c r="S1937" s="32" t="s">
        <v>29</v>
      </c>
      <c r="T1937" s="33"/>
      <c r="U1937" s="33"/>
    </row>
    <row r="1938" ht="15.75" customHeight="1">
      <c r="A1938" s="20"/>
      <c r="B1938" s="20"/>
      <c r="C1938" s="20"/>
      <c r="D1938" s="21"/>
      <c r="E1938" s="21"/>
      <c r="F1938" s="22"/>
      <c r="G1938" s="21"/>
      <c r="H1938" s="149"/>
      <c r="I1938" s="25"/>
      <c r="J1938" s="26"/>
      <c r="K1938" s="21"/>
      <c r="L1938" s="27"/>
      <c r="M1938" s="28"/>
      <c r="N1938" s="29"/>
      <c r="O1938" s="29"/>
      <c r="P1938" s="34"/>
      <c r="Q1938" s="34"/>
      <c r="R1938" s="79"/>
      <c r="S1938" s="32" t="s">
        <v>29</v>
      </c>
      <c r="T1938" s="33"/>
      <c r="U1938" s="33"/>
    </row>
    <row r="1939" ht="15.75" customHeight="1">
      <c r="A1939" s="20"/>
      <c r="B1939" s="20"/>
      <c r="C1939" s="20"/>
      <c r="D1939" s="21"/>
      <c r="E1939" s="21"/>
      <c r="F1939" s="22"/>
      <c r="G1939" s="21"/>
      <c r="H1939" s="149"/>
      <c r="I1939" s="25"/>
      <c r="J1939" s="26"/>
      <c r="K1939" s="21"/>
      <c r="L1939" s="27"/>
      <c r="M1939" s="28"/>
      <c r="N1939" s="29"/>
      <c r="O1939" s="29"/>
      <c r="P1939" s="34"/>
      <c r="Q1939" s="34"/>
      <c r="R1939" s="35"/>
      <c r="S1939" s="32" t="s">
        <v>29</v>
      </c>
      <c r="T1939" s="33"/>
      <c r="U1939" s="33"/>
    </row>
    <row r="1940" ht="15.75" customHeight="1">
      <c r="A1940" s="20"/>
      <c r="B1940" s="20"/>
      <c r="C1940" s="20"/>
      <c r="D1940" s="21"/>
      <c r="E1940" s="21"/>
      <c r="F1940" s="67"/>
      <c r="G1940" s="21"/>
      <c r="H1940" s="149"/>
      <c r="I1940" s="25"/>
      <c r="J1940" s="26"/>
      <c r="K1940" s="21"/>
      <c r="L1940" s="27"/>
      <c r="M1940" s="28"/>
      <c r="N1940" s="29"/>
      <c r="O1940" s="29"/>
      <c r="P1940" s="34"/>
      <c r="Q1940" s="34"/>
      <c r="R1940" s="35"/>
      <c r="S1940" s="32" t="s">
        <v>29</v>
      </c>
      <c r="T1940" s="33"/>
      <c r="U1940" s="33"/>
    </row>
    <row r="1941" ht="15.75" customHeight="1">
      <c r="A1941" s="20"/>
      <c r="B1941" s="20"/>
      <c r="C1941" s="20"/>
      <c r="D1941" s="21"/>
      <c r="E1941" s="21"/>
      <c r="F1941" s="22"/>
      <c r="G1941" s="21"/>
      <c r="H1941" s="149"/>
      <c r="I1941" s="25"/>
      <c r="J1941" s="26"/>
      <c r="K1941" s="21"/>
      <c r="L1941" s="27"/>
      <c r="M1941" s="28"/>
      <c r="N1941" s="29"/>
      <c r="O1941" s="29"/>
      <c r="P1941" s="34"/>
      <c r="Q1941" s="34"/>
      <c r="R1941" s="35"/>
      <c r="S1941" s="32" t="s">
        <v>29</v>
      </c>
      <c r="T1941" s="33"/>
      <c r="U1941" s="33"/>
    </row>
    <row r="1942" ht="15.75" customHeight="1">
      <c r="A1942" s="20"/>
      <c r="B1942" s="20"/>
      <c r="C1942" s="20"/>
      <c r="D1942" s="21"/>
      <c r="E1942" s="21"/>
      <c r="F1942" s="22"/>
      <c r="G1942" s="21"/>
      <c r="H1942" s="149"/>
      <c r="I1942" s="25"/>
      <c r="J1942" s="26"/>
      <c r="K1942" s="21"/>
      <c r="L1942" s="27"/>
      <c r="M1942" s="28"/>
      <c r="N1942" s="29"/>
      <c r="O1942" s="29"/>
      <c r="P1942" s="34"/>
      <c r="Q1942" s="34"/>
      <c r="R1942" s="35"/>
      <c r="S1942" s="32" t="s">
        <v>29</v>
      </c>
      <c r="T1942" s="33"/>
      <c r="U1942" s="33"/>
    </row>
    <row r="1943" ht="15.75" customHeight="1">
      <c r="A1943" s="20"/>
      <c r="B1943" s="20"/>
      <c r="C1943" s="20"/>
      <c r="D1943" s="21"/>
      <c r="E1943" s="21"/>
      <c r="F1943" s="22"/>
      <c r="G1943" s="21"/>
      <c r="H1943" s="149"/>
      <c r="I1943" s="25"/>
      <c r="J1943" s="26"/>
      <c r="K1943" s="21"/>
      <c r="L1943" s="27"/>
      <c r="M1943" s="28"/>
      <c r="N1943" s="29"/>
      <c r="O1943" s="29"/>
      <c r="P1943" s="34"/>
      <c r="Q1943" s="34"/>
      <c r="R1943" s="35"/>
      <c r="S1943" s="32" t="s">
        <v>29</v>
      </c>
      <c r="T1943" s="33"/>
      <c r="U1943" s="33"/>
    </row>
    <row r="1944" ht="15.75" customHeight="1">
      <c r="A1944" s="20"/>
      <c r="B1944" s="20"/>
      <c r="C1944" s="20"/>
      <c r="D1944" s="21"/>
      <c r="E1944" s="21"/>
      <c r="F1944" s="22"/>
      <c r="G1944" s="21"/>
      <c r="H1944" s="149"/>
      <c r="I1944" s="25"/>
      <c r="J1944" s="26"/>
      <c r="K1944" s="21"/>
      <c r="L1944" s="27"/>
      <c r="M1944" s="28"/>
      <c r="N1944" s="29"/>
      <c r="O1944" s="29"/>
      <c r="P1944" s="34"/>
      <c r="Q1944" s="34"/>
      <c r="R1944" s="35"/>
      <c r="S1944" s="32" t="s">
        <v>29</v>
      </c>
      <c r="T1944" s="33"/>
      <c r="U1944" s="33"/>
    </row>
    <row r="1945" ht="15.75" customHeight="1">
      <c r="A1945" s="20"/>
      <c r="B1945" s="20"/>
      <c r="C1945" s="20"/>
      <c r="D1945" s="21"/>
      <c r="E1945" s="21"/>
      <c r="F1945" s="22"/>
      <c r="G1945" s="21"/>
      <c r="H1945" s="149"/>
      <c r="I1945" s="25"/>
      <c r="J1945" s="26"/>
      <c r="K1945" s="21"/>
      <c r="L1945" s="27"/>
      <c r="M1945" s="28"/>
      <c r="N1945" s="29"/>
      <c r="O1945" s="29"/>
      <c r="P1945" s="34"/>
      <c r="Q1945" s="34"/>
      <c r="R1945" s="35"/>
      <c r="S1945" s="32" t="s">
        <v>29</v>
      </c>
      <c r="T1945" s="33"/>
      <c r="U1945" s="33"/>
    </row>
    <row r="1946" ht="15.75" customHeight="1">
      <c r="A1946" s="20"/>
      <c r="B1946" s="20"/>
      <c r="C1946" s="20"/>
      <c r="D1946" s="21"/>
      <c r="E1946" s="21"/>
      <c r="F1946" s="22"/>
      <c r="G1946" s="21"/>
      <c r="H1946" s="149"/>
      <c r="I1946" s="25"/>
      <c r="J1946" s="26"/>
      <c r="K1946" s="21"/>
      <c r="L1946" s="29"/>
      <c r="M1946" s="28"/>
      <c r="N1946" s="29"/>
      <c r="O1946" s="29"/>
      <c r="P1946" s="34"/>
      <c r="Q1946" s="34"/>
      <c r="R1946" s="35"/>
      <c r="S1946" s="32" t="s">
        <v>29</v>
      </c>
      <c r="T1946" s="33"/>
      <c r="U1946" s="33"/>
    </row>
    <row r="1947" ht="15.75" customHeight="1">
      <c r="A1947" s="20"/>
      <c r="B1947" s="20"/>
      <c r="C1947" s="20"/>
      <c r="D1947" s="21"/>
      <c r="E1947" s="21"/>
      <c r="F1947" s="22"/>
      <c r="G1947" s="21"/>
      <c r="H1947" s="149"/>
      <c r="I1947" s="25"/>
      <c r="J1947" s="26"/>
      <c r="K1947" s="21"/>
      <c r="L1947" s="27"/>
      <c r="M1947" s="28"/>
      <c r="N1947" s="29"/>
      <c r="O1947" s="29"/>
      <c r="P1947" s="34"/>
      <c r="Q1947" s="34"/>
      <c r="R1947" s="35"/>
      <c r="S1947" s="32" t="s">
        <v>29</v>
      </c>
      <c r="T1947" s="33"/>
      <c r="U1947" s="33"/>
    </row>
    <row r="1948" ht="15.75" customHeight="1">
      <c r="A1948" s="20"/>
      <c r="B1948" s="20"/>
      <c r="C1948" s="20"/>
      <c r="D1948" s="21"/>
      <c r="E1948" s="21"/>
      <c r="F1948" s="22"/>
      <c r="G1948" s="21"/>
      <c r="H1948" s="149"/>
      <c r="I1948" s="25"/>
      <c r="J1948" s="26"/>
      <c r="K1948" s="21"/>
      <c r="L1948" s="27"/>
      <c r="M1948" s="28"/>
      <c r="N1948" s="29"/>
      <c r="O1948" s="29"/>
      <c r="P1948" s="34"/>
      <c r="Q1948" s="34"/>
      <c r="R1948" s="35"/>
      <c r="S1948" s="32" t="s">
        <v>29</v>
      </c>
      <c r="T1948" s="33"/>
      <c r="U1948" s="33"/>
    </row>
    <row r="1949" ht="15.75" customHeight="1">
      <c r="A1949" s="20"/>
      <c r="B1949" s="20"/>
      <c r="C1949" s="20"/>
      <c r="D1949" s="21"/>
      <c r="E1949" s="21"/>
      <c r="F1949" s="22"/>
      <c r="G1949" s="21"/>
      <c r="H1949" s="149"/>
      <c r="I1949" s="25"/>
      <c r="J1949" s="26"/>
      <c r="K1949" s="21"/>
      <c r="L1949" s="27"/>
      <c r="M1949" s="28"/>
      <c r="N1949" s="29"/>
      <c r="O1949" s="29"/>
      <c r="P1949" s="34"/>
      <c r="Q1949" s="34"/>
      <c r="R1949" s="35"/>
      <c r="S1949" s="32" t="s">
        <v>29</v>
      </c>
      <c r="T1949" s="33"/>
      <c r="U1949" s="33"/>
    </row>
    <row r="1950" ht="15.75" customHeight="1">
      <c r="A1950" s="20"/>
      <c r="B1950" s="20"/>
      <c r="C1950" s="20"/>
      <c r="D1950" s="21"/>
      <c r="E1950" s="21"/>
      <c r="F1950" s="22"/>
      <c r="G1950" s="21"/>
      <c r="H1950" s="149"/>
      <c r="I1950" s="25"/>
      <c r="J1950" s="26"/>
      <c r="K1950" s="21"/>
      <c r="L1950" s="27"/>
      <c r="M1950" s="28"/>
      <c r="N1950" s="29"/>
      <c r="O1950" s="29"/>
      <c r="P1950" s="34"/>
      <c r="Q1950" s="34"/>
      <c r="R1950" s="35"/>
      <c r="S1950" s="32" t="s">
        <v>29</v>
      </c>
      <c r="T1950" s="33"/>
      <c r="U1950" s="33"/>
    </row>
    <row r="1951" ht="15.75" customHeight="1">
      <c r="A1951" s="20"/>
      <c r="B1951" s="20"/>
      <c r="C1951" s="20"/>
      <c r="D1951" s="21"/>
      <c r="E1951" s="21"/>
      <c r="F1951" s="22"/>
      <c r="G1951" s="21"/>
      <c r="H1951" s="149"/>
      <c r="I1951" s="25"/>
      <c r="J1951" s="26"/>
      <c r="K1951" s="21"/>
      <c r="L1951" s="27"/>
      <c r="M1951" s="28"/>
      <c r="N1951" s="29"/>
      <c r="O1951" s="29"/>
      <c r="P1951" s="34"/>
      <c r="Q1951" s="34"/>
      <c r="R1951" s="35"/>
      <c r="S1951" s="32" t="s">
        <v>29</v>
      </c>
      <c r="T1951" s="33"/>
      <c r="U1951" s="33"/>
    </row>
    <row r="1952" ht="15.75" customHeight="1">
      <c r="A1952" s="20"/>
      <c r="B1952" s="20"/>
      <c r="C1952" s="20"/>
      <c r="D1952" s="21"/>
      <c r="E1952" s="21"/>
      <c r="F1952" s="22"/>
      <c r="G1952" s="21"/>
      <c r="H1952" s="149"/>
      <c r="I1952" s="25"/>
      <c r="J1952" s="26"/>
      <c r="K1952" s="21"/>
      <c r="L1952" s="27"/>
      <c r="M1952" s="28"/>
      <c r="N1952" s="29"/>
      <c r="O1952" s="29"/>
      <c r="P1952" s="34"/>
      <c r="Q1952" s="34"/>
      <c r="R1952" s="35"/>
      <c r="S1952" s="32" t="s">
        <v>29</v>
      </c>
      <c r="T1952" s="33"/>
      <c r="U1952" s="33"/>
    </row>
    <row r="1953" ht="15.75" customHeight="1">
      <c r="A1953" s="20"/>
      <c r="B1953" s="20"/>
      <c r="C1953" s="20"/>
      <c r="D1953" s="21"/>
      <c r="E1953" s="21"/>
      <c r="F1953" s="67"/>
      <c r="G1953" s="23"/>
      <c r="H1953" s="149"/>
      <c r="I1953" s="25"/>
      <c r="J1953" s="26"/>
      <c r="K1953" s="21"/>
      <c r="L1953" s="29"/>
      <c r="M1953" s="28"/>
      <c r="N1953" s="29"/>
      <c r="O1953" s="29"/>
      <c r="P1953" s="34"/>
      <c r="Q1953" s="34"/>
      <c r="R1953" s="35"/>
      <c r="S1953" s="32" t="s">
        <v>29</v>
      </c>
      <c r="T1953" s="33"/>
      <c r="U1953" s="33"/>
    </row>
    <row r="1954" ht="15.75" customHeight="1">
      <c r="A1954" s="20"/>
      <c r="B1954" s="20"/>
      <c r="C1954" s="20"/>
      <c r="D1954" s="21"/>
      <c r="E1954" s="21"/>
      <c r="F1954" s="22"/>
      <c r="G1954" s="21"/>
      <c r="H1954" s="149"/>
      <c r="I1954" s="25"/>
      <c r="J1954" s="26"/>
      <c r="K1954" s="21"/>
      <c r="L1954" s="27"/>
      <c r="M1954" s="28"/>
      <c r="N1954" s="29"/>
      <c r="O1954" s="29"/>
      <c r="P1954" s="34"/>
      <c r="Q1954" s="34"/>
      <c r="R1954" s="35"/>
      <c r="S1954" s="32" t="s">
        <v>29</v>
      </c>
      <c r="T1954" s="33"/>
      <c r="U1954" s="33"/>
    </row>
    <row r="1955" ht="15.75" customHeight="1">
      <c r="A1955" s="20"/>
      <c r="B1955" s="20"/>
      <c r="C1955" s="20"/>
      <c r="D1955" s="21"/>
      <c r="E1955" s="21"/>
      <c r="F1955" s="22"/>
      <c r="G1955" s="21"/>
      <c r="H1955" s="149"/>
      <c r="I1955" s="25"/>
      <c r="J1955" s="26"/>
      <c r="K1955" s="21"/>
      <c r="L1955" s="27"/>
      <c r="M1955" s="28"/>
      <c r="N1955" s="29"/>
      <c r="O1955" s="29"/>
      <c r="P1955" s="34"/>
      <c r="Q1955" s="34"/>
      <c r="R1955" s="35"/>
      <c r="S1955" s="32" t="s">
        <v>29</v>
      </c>
      <c r="T1955" s="33"/>
      <c r="U1955" s="33"/>
    </row>
    <row r="1956" ht="15.75" customHeight="1">
      <c r="A1956" s="20"/>
      <c r="B1956" s="20"/>
      <c r="C1956" s="20"/>
      <c r="D1956" s="21"/>
      <c r="E1956" s="21"/>
      <c r="F1956" s="22"/>
      <c r="G1956" s="21"/>
      <c r="H1956" s="149"/>
      <c r="I1956" s="25"/>
      <c r="J1956" s="26"/>
      <c r="K1956" s="21"/>
      <c r="L1956" s="27"/>
      <c r="M1956" s="28"/>
      <c r="N1956" s="29"/>
      <c r="O1956" s="29"/>
      <c r="P1956" s="34"/>
      <c r="Q1956" s="34"/>
      <c r="R1956" s="35"/>
      <c r="S1956" s="32" t="s">
        <v>29</v>
      </c>
      <c r="T1956" s="33"/>
      <c r="U1956" s="33"/>
    </row>
    <row r="1957" ht="15.75" customHeight="1">
      <c r="A1957" s="20"/>
      <c r="B1957" s="20"/>
      <c r="C1957" s="20"/>
      <c r="D1957" s="21"/>
      <c r="E1957" s="21"/>
      <c r="F1957" s="22"/>
      <c r="G1957" s="21"/>
      <c r="H1957" s="149"/>
      <c r="I1957" s="25"/>
      <c r="J1957" s="26"/>
      <c r="K1957" s="21"/>
      <c r="L1957" s="27"/>
      <c r="M1957" s="28"/>
      <c r="N1957" s="29"/>
      <c r="O1957" s="29"/>
      <c r="P1957" s="34"/>
      <c r="Q1957" s="34"/>
      <c r="R1957" s="35"/>
      <c r="S1957" s="32" t="s">
        <v>29</v>
      </c>
      <c r="T1957" s="33"/>
      <c r="U1957" s="33"/>
    </row>
    <row r="1958" ht="15.75" customHeight="1">
      <c r="A1958" s="20"/>
      <c r="B1958" s="20"/>
      <c r="C1958" s="20"/>
      <c r="D1958" s="21"/>
      <c r="E1958" s="21"/>
      <c r="F1958" s="22"/>
      <c r="G1958" s="21"/>
      <c r="H1958" s="149"/>
      <c r="I1958" s="25"/>
      <c r="J1958" s="26"/>
      <c r="K1958" s="21"/>
      <c r="L1958" s="27"/>
      <c r="M1958" s="28"/>
      <c r="N1958" s="29"/>
      <c r="O1958" s="29"/>
      <c r="P1958" s="34"/>
      <c r="Q1958" s="34"/>
      <c r="R1958" s="35"/>
      <c r="S1958" s="32" t="s">
        <v>29</v>
      </c>
      <c r="T1958" s="33"/>
      <c r="U1958" s="33"/>
    </row>
    <row r="1959" ht="15.75" customHeight="1">
      <c r="A1959" s="20"/>
      <c r="B1959" s="20"/>
      <c r="C1959" s="20"/>
      <c r="D1959" s="21"/>
      <c r="E1959" s="21"/>
      <c r="F1959" s="22"/>
      <c r="G1959" s="21"/>
      <c r="H1959" s="149"/>
      <c r="I1959" s="25"/>
      <c r="J1959" s="26"/>
      <c r="K1959" s="21"/>
      <c r="L1959" s="27"/>
      <c r="M1959" s="28"/>
      <c r="N1959" s="29"/>
      <c r="O1959" s="29"/>
      <c r="P1959" s="34"/>
      <c r="Q1959" s="34"/>
      <c r="R1959" s="35"/>
      <c r="S1959" s="32" t="s">
        <v>29</v>
      </c>
      <c r="T1959" s="33"/>
      <c r="U1959" s="33"/>
    </row>
    <row r="1960" ht="15.75" customHeight="1">
      <c r="A1960" s="20"/>
      <c r="B1960" s="20"/>
      <c r="C1960" s="20"/>
      <c r="D1960" s="21"/>
      <c r="E1960" s="21"/>
      <c r="F1960" s="22"/>
      <c r="G1960" s="21"/>
      <c r="H1960" s="149"/>
      <c r="I1960" s="25"/>
      <c r="J1960" s="26"/>
      <c r="K1960" s="21"/>
      <c r="L1960" s="29"/>
      <c r="M1960" s="28"/>
      <c r="N1960" s="29"/>
      <c r="O1960" s="29"/>
      <c r="P1960" s="34"/>
      <c r="Q1960" s="34"/>
      <c r="R1960" s="35"/>
      <c r="S1960" s="32" t="s">
        <v>29</v>
      </c>
      <c r="T1960" s="33"/>
      <c r="U1960" s="33"/>
    </row>
    <row r="1961" ht="15.75" customHeight="1">
      <c r="A1961" s="20"/>
      <c r="B1961" s="20"/>
      <c r="C1961" s="20"/>
      <c r="D1961" s="21"/>
      <c r="E1961" s="21"/>
      <c r="F1961" s="22"/>
      <c r="G1961" s="21"/>
      <c r="H1961" s="149"/>
      <c r="I1961" s="25"/>
      <c r="J1961" s="26"/>
      <c r="K1961" s="21"/>
      <c r="L1961" s="29"/>
      <c r="M1961" s="28"/>
      <c r="N1961" s="29"/>
      <c r="O1961" s="29"/>
      <c r="P1961" s="34"/>
      <c r="Q1961" s="34"/>
      <c r="R1961" s="35"/>
      <c r="S1961" s="32" t="s">
        <v>29</v>
      </c>
      <c r="T1961" s="33"/>
      <c r="U1961" s="33"/>
    </row>
    <row r="1962" ht="15.75" customHeight="1">
      <c r="A1962" s="20"/>
      <c r="B1962" s="20"/>
      <c r="C1962" s="20"/>
      <c r="D1962" s="21"/>
      <c r="E1962" s="21"/>
      <c r="F1962" s="22"/>
      <c r="G1962" s="21"/>
      <c r="H1962" s="149"/>
      <c r="I1962" s="25"/>
      <c r="J1962" s="26"/>
      <c r="K1962" s="21"/>
      <c r="L1962" s="27"/>
      <c r="M1962" s="28"/>
      <c r="N1962" s="29"/>
      <c r="O1962" s="29"/>
      <c r="P1962" s="34"/>
      <c r="Q1962" s="34"/>
      <c r="R1962" s="35"/>
      <c r="S1962" s="32" t="s">
        <v>29</v>
      </c>
      <c r="T1962" s="33"/>
      <c r="U1962" s="33"/>
    </row>
    <row r="1963" ht="15.75" customHeight="1">
      <c r="A1963" s="20"/>
      <c r="B1963" s="20"/>
      <c r="C1963" s="20"/>
      <c r="D1963" s="21"/>
      <c r="E1963" s="21"/>
      <c r="F1963" s="22"/>
      <c r="G1963" s="21"/>
      <c r="H1963" s="205"/>
      <c r="I1963" s="25"/>
      <c r="J1963" s="26"/>
      <c r="K1963" s="21"/>
      <c r="L1963" s="27"/>
      <c r="M1963" s="28"/>
      <c r="N1963" s="29"/>
      <c r="O1963" s="29"/>
      <c r="P1963" s="34"/>
      <c r="Q1963" s="34"/>
      <c r="R1963" s="35"/>
      <c r="S1963" s="32" t="s">
        <v>29</v>
      </c>
      <c r="T1963" s="33"/>
      <c r="U1963" s="33"/>
    </row>
    <row r="1964" ht="15.75" customHeight="1">
      <c r="A1964" s="20"/>
      <c r="B1964" s="20"/>
      <c r="C1964" s="20"/>
      <c r="D1964" s="21"/>
      <c r="E1964" s="21"/>
      <c r="F1964" s="22"/>
      <c r="G1964" s="21"/>
      <c r="H1964" s="149"/>
      <c r="I1964" s="25"/>
      <c r="J1964" s="26"/>
      <c r="K1964" s="21"/>
      <c r="L1964" s="27"/>
      <c r="M1964" s="28"/>
      <c r="N1964" s="29"/>
      <c r="O1964" s="29"/>
      <c r="P1964" s="34"/>
      <c r="Q1964" s="34"/>
      <c r="R1964" s="35"/>
      <c r="S1964" s="32" t="s">
        <v>29</v>
      </c>
      <c r="T1964" s="33"/>
      <c r="U1964" s="33"/>
    </row>
    <row r="1965" ht="15.75" customHeight="1">
      <c r="A1965" s="20"/>
      <c r="B1965" s="20"/>
      <c r="C1965" s="20"/>
      <c r="D1965" s="21"/>
      <c r="E1965" s="21"/>
      <c r="F1965" s="22"/>
      <c r="G1965" s="21"/>
      <c r="H1965" s="149"/>
      <c r="I1965" s="25"/>
      <c r="J1965" s="26"/>
      <c r="K1965" s="21"/>
      <c r="L1965" s="27"/>
      <c r="M1965" s="28"/>
      <c r="N1965" s="29"/>
      <c r="O1965" s="29"/>
      <c r="P1965" s="34"/>
      <c r="Q1965" s="34"/>
      <c r="R1965" s="79"/>
      <c r="S1965" s="32" t="s">
        <v>29</v>
      </c>
      <c r="T1965" s="33"/>
      <c r="U1965" s="33"/>
    </row>
    <row r="1966" ht="15.75" customHeight="1">
      <c r="A1966" s="20"/>
      <c r="B1966" s="20"/>
      <c r="C1966" s="20"/>
      <c r="D1966" s="21"/>
      <c r="E1966" s="21"/>
      <c r="F1966" s="22"/>
      <c r="G1966" s="21"/>
      <c r="H1966" s="149"/>
      <c r="I1966" s="25"/>
      <c r="J1966" s="26"/>
      <c r="K1966" s="21"/>
      <c r="L1966" s="27"/>
      <c r="M1966" s="28"/>
      <c r="N1966" s="29"/>
      <c r="O1966" s="29"/>
      <c r="P1966" s="34"/>
      <c r="Q1966" s="34"/>
      <c r="R1966" s="35"/>
      <c r="S1966" s="32" t="s">
        <v>29</v>
      </c>
      <c r="T1966" s="33"/>
      <c r="U1966" s="33"/>
    </row>
    <row r="1967" ht="15.75" customHeight="1">
      <c r="A1967" s="20"/>
      <c r="B1967" s="20"/>
      <c r="C1967" s="20"/>
      <c r="D1967" s="21"/>
      <c r="E1967" s="21"/>
      <c r="F1967" s="22"/>
      <c r="G1967" s="21"/>
      <c r="H1967" s="149"/>
      <c r="I1967" s="25"/>
      <c r="J1967" s="26"/>
      <c r="K1967" s="21"/>
      <c r="L1967" s="27"/>
      <c r="M1967" s="28"/>
      <c r="N1967" s="29"/>
      <c r="O1967" s="29"/>
      <c r="P1967" s="34"/>
      <c r="Q1967" s="34"/>
      <c r="R1967" s="35"/>
      <c r="S1967" s="32" t="s">
        <v>29</v>
      </c>
      <c r="T1967" s="33"/>
      <c r="U1967" s="33"/>
    </row>
    <row r="1968" ht="15.75" customHeight="1">
      <c r="A1968" s="20"/>
      <c r="B1968" s="20"/>
      <c r="C1968" s="20"/>
      <c r="D1968" s="21"/>
      <c r="E1968" s="21"/>
      <c r="F1968" s="22"/>
      <c r="G1968" s="21"/>
      <c r="H1968" s="149"/>
      <c r="I1968" s="25"/>
      <c r="J1968" s="26"/>
      <c r="K1968" s="21"/>
      <c r="L1968" s="27"/>
      <c r="M1968" s="28"/>
      <c r="N1968" s="29"/>
      <c r="O1968" s="29"/>
      <c r="P1968" s="34"/>
      <c r="Q1968" s="34"/>
      <c r="R1968" s="35"/>
      <c r="S1968" s="32" t="s">
        <v>29</v>
      </c>
      <c r="T1968" s="33"/>
      <c r="U1968" s="33"/>
    </row>
    <row r="1969" ht="15.75" customHeight="1">
      <c r="A1969" s="20"/>
      <c r="B1969" s="20"/>
      <c r="C1969" s="20"/>
      <c r="D1969" s="21"/>
      <c r="E1969" s="21"/>
      <c r="F1969" s="22"/>
      <c r="G1969" s="21"/>
      <c r="H1969" s="149"/>
      <c r="I1969" s="25"/>
      <c r="J1969" s="26"/>
      <c r="K1969" s="21"/>
      <c r="L1969" s="27"/>
      <c r="M1969" s="28"/>
      <c r="N1969" s="29"/>
      <c r="O1969" s="29"/>
      <c r="P1969" s="34"/>
      <c r="Q1969" s="34"/>
      <c r="R1969" s="35"/>
      <c r="S1969" s="32" t="s">
        <v>29</v>
      </c>
      <c r="T1969" s="33"/>
      <c r="U1969" s="33"/>
    </row>
    <row r="1970" ht="15.75" customHeight="1">
      <c r="A1970" s="20"/>
      <c r="B1970" s="20"/>
      <c r="C1970" s="20"/>
      <c r="D1970" s="21"/>
      <c r="E1970" s="21"/>
      <c r="F1970" s="22"/>
      <c r="G1970" s="21"/>
      <c r="H1970" s="149"/>
      <c r="I1970" s="25"/>
      <c r="J1970" s="26"/>
      <c r="K1970" s="21"/>
      <c r="L1970" s="27"/>
      <c r="M1970" s="28"/>
      <c r="N1970" s="29"/>
      <c r="O1970" s="29"/>
      <c r="P1970" s="34"/>
      <c r="Q1970" s="34"/>
      <c r="R1970" s="35"/>
      <c r="S1970" s="32" t="s">
        <v>29</v>
      </c>
      <c r="T1970" s="33"/>
      <c r="U1970" s="33"/>
    </row>
    <row r="1971" ht="15.75" customHeight="1">
      <c r="A1971" s="20"/>
      <c r="B1971" s="20"/>
      <c r="C1971" s="20"/>
      <c r="D1971" s="21"/>
      <c r="E1971" s="21"/>
      <c r="F1971" s="22"/>
      <c r="G1971" s="21"/>
      <c r="H1971" s="149"/>
      <c r="I1971" s="25"/>
      <c r="J1971" s="26"/>
      <c r="K1971" s="21"/>
      <c r="L1971" s="27"/>
      <c r="M1971" s="28"/>
      <c r="N1971" s="29"/>
      <c r="O1971" s="29"/>
      <c r="P1971" s="34"/>
      <c r="Q1971" s="34"/>
      <c r="R1971" s="35"/>
      <c r="S1971" s="32" t="s">
        <v>29</v>
      </c>
      <c r="T1971" s="33"/>
      <c r="U1971" s="33"/>
    </row>
    <row r="1972" ht="15.75" customHeight="1">
      <c r="A1972" s="20"/>
      <c r="B1972" s="20"/>
      <c r="C1972" s="20"/>
      <c r="D1972" s="21"/>
      <c r="E1972" s="21"/>
      <c r="F1972" s="22"/>
      <c r="G1972" s="21"/>
      <c r="H1972" s="149"/>
      <c r="I1972" s="25"/>
      <c r="J1972" s="26"/>
      <c r="K1972" s="21"/>
      <c r="L1972" s="27"/>
      <c r="M1972" s="28"/>
      <c r="N1972" s="29"/>
      <c r="O1972" s="29"/>
      <c r="P1972" s="34"/>
      <c r="Q1972" s="34"/>
      <c r="R1972" s="35"/>
      <c r="S1972" s="32" t="s">
        <v>29</v>
      </c>
      <c r="T1972" s="33"/>
      <c r="U1972" s="33"/>
    </row>
    <row r="1973" ht="15.75" customHeight="1">
      <c r="A1973" s="20"/>
      <c r="B1973" s="20"/>
      <c r="C1973" s="20"/>
      <c r="D1973" s="21"/>
      <c r="E1973" s="21"/>
      <c r="F1973" s="22"/>
      <c r="G1973" s="21"/>
      <c r="H1973" s="149"/>
      <c r="I1973" s="25"/>
      <c r="J1973" s="26"/>
      <c r="K1973" s="21"/>
      <c r="L1973" s="27"/>
      <c r="M1973" s="28"/>
      <c r="N1973" s="29"/>
      <c r="O1973" s="29"/>
      <c r="P1973" s="34"/>
      <c r="Q1973" s="34"/>
      <c r="R1973" s="35"/>
      <c r="S1973" s="32" t="s">
        <v>29</v>
      </c>
      <c r="T1973" s="33"/>
      <c r="U1973" s="33"/>
    </row>
    <row r="1974" ht="15.75" customHeight="1">
      <c r="A1974" s="20"/>
      <c r="B1974" s="20"/>
      <c r="C1974" s="20"/>
      <c r="D1974" s="21"/>
      <c r="E1974" s="21"/>
      <c r="F1974" s="22"/>
      <c r="G1974" s="21"/>
      <c r="H1974" s="149"/>
      <c r="I1974" s="25"/>
      <c r="J1974" s="26"/>
      <c r="K1974" s="21"/>
      <c r="L1974" s="27"/>
      <c r="M1974" s="28"/>
      <c r="N1974" s="29"/>
      <c r="O1974" s="29"/>
      <c r="P1974" s="34"/>
      <c r="Q1974" s="34"/>
      <c r="R1974" s="35"/>
      <c r="S1974" s="32" t="s">
        <v>29</v>
      </c>
      <c r="T1974" s="33"/>
      <c r="U1974" s="33"/>
    </row>
    <row r="1975" ht="15.75" customHeight="1">
      <c r="A1975" s="20"/>
      <c r="B1975" s="20"/>
      <c r="C1975" s="20"/>
      <c r="D1975" s="21"/>
      <c r="E1975" s="21"/>
      <c r="F1975" s="22"/>
      <c r="G1975" s="21"/>
      <c r="H1975" s="149"/>
      <c r="I1975" s="25"/>
      <c r="J1975" s="26"/>
      <c r="K1975" s="21"/>
      <c r="L1975" s="27"/>
      <c r="M1975" s="28"/>
      <c r="N1975" s="29"/>
      <c r="O1975" s="29"/>
      <c r="P1975" s="34"/>
      <c r="Q1975" s="34"/>
      <c r="R1975" s="35"/>
      <c r="S1975" s="32" t="s">
        <v>29</v>
      </c>
      <c r="T1975" s="33"/>
      <c r="U1975" s="33"/>
    </row>
    <row r="1976" ht="15.75" customHeight="1">
      <c r="A1976" s="20"/>
      <c r="B1976" s="20"/>
      <c r="C1976" s="20"/>
      <c r="D1976" s="21"/>
      <c r="E1976" s="21"/>
      <c r="F1976" s="67"/>
      <c r="G1976" s="21"/>
      <c r="H1976" s="149"/>
      <c r="I1976" s="25"/>
      <c r="J1976" s="26"/>
      <c r="K1976" s="21"/>
      <c r="L1976" s="27"/>
      <c r="M1976" s="28"/>
      <c r="N1976" s="29"/>
      <c r="O1976" s="29"/>
      <c r="P1976" s="34"/>
      <c r="Q1976" s="34"/>
      <c r="R1976" s="35"/>
      <c r="S1976" s="32" t="s">
        <v>29</v>
      </c>
      <c r="T1976" s="33"/>
      <c r="U1976" s="33"/>
    </row>
    <row r="1977" ht="15.75" customHeight="1">
      <c r="A1977" s="20"/>
      <c r="B1977" s="20"/>
      <c r="C1977" s="20"/>
      <c r="D1977" s="21"/>
      <c r="E1977" s="21"/>
      <c r="F1977" s="22"/>
      <c r="G1977" s="21"/>
      <c r="H1977" s="149"/>
      <c r="I1977" s="25"/>
      <c r="J1977" s="26"/>
      <c r="K1977" s="21"/>
      <c r="L1977" s="27"/>
      <c r="M1977" s="28"/>
      <c r="N1977" s="29"/>
      <c r="O1977" s="29"/>
      <c r="P1977" s="34"/>
      <c r="Q1977" s="34"/>
      <c r="R1977" s="35"/>
      <c r="S1977" s="32" t="s">
        <v>29</v>
      </c>
      <c r="T1977" s="33"/>
      <c r="U1977" s="33"/>
    </row>
    <row r="1978" ht="15.75" customHeight="1">
      <c r="A1978" s="20"/>
      <c r="B1978" s="20"/>
      <c r="C1978" s="20"/>
      <c r="D1978" s="21"/>
      <c r="E1978" s="21"/>
      <c r="F1978" s="22"/>
      <c r="G1978" s="21"/>
      <c r="H1978" s="149"/>
      <c r="I1978" s="25"/>
      <c r="J1978" s="26"/>
      <c r="K1978" s="21"/>
      <c r="L1978" s="27"/>
      <c r="M1978" s="28"/>
      <c r="N1978" s="29"/>
      <c r="O1978" s="29"/>
      <c r="P1978" s="34"/>
      <c r="Q1978" s="34"/>
      <c r="R1978" s="35"/>
      <c r="S1978" s="32" t="s">
        <v>29</v>
      </c>
      <c r="T1978" s="33"/>
      <c r="U1978" s="33"/>
    </row>
    <row r="1979" ht="15.75" customHeight="1">
      <c r="A1979" s="20"/>
      <c r="B1979" s="20"/>
      <c r="C1979" s="20"/>
      <c r="D1979" s="21"/>
      <c r="E1979" s="21"/>
      <c r="F1979" s="22"/>
      <c r="G1979" s="21"/>
      <c r="H1979" s="149"/>
      <c r="I1979" s="25"/>
      <c r="J1979" s="26"/>
      <c r="K1979" s="21"/>
      <c r="L1979" s="27"/>
      <c r="M1979" s="28"/>
      <c r="N1979" s="29"/>
      <c r="O1979" s="29"/>
      <c r="P1979" s="34"/>
      <c r="Q1979" s="34"/>
      <c r="R1979" s="35"/>
      <c r="S1979" s="32" t="s">
        <v>29</v>
      </c>
      <c r="T1979" s="33"/>
      <c r="U1979" s="33"/>
    </row>
    <row r="1980" ht="15.75" customHeight="1">
      <c r="A1980" s="20"/>
      <c r="B1980" s="20"/>
      <c r="C1980" s="20"/>
      <c r="D1980" s="21"/>
      <c r="E1980" s="21"/>
      <c r="F1980" s="22"/>
      <c r="G1980" s="21"/>
      <c r="H1980" s="149"/>
      <c r="I1980" s="25"/>
      <c r="J1980" s="26"/>
      <c r="K1980" s="21"/>
      <c r="L1980" s="27"/>
      <c r="M1980" s="28"/>
      <c r="N1980" s="29"/>
      <c r="O1980" s="29"/>
      <c r="P1980" s="34"/>
      <c r="Q1980" s="34"/>
      <c r="R1980" s="35"/>
      <c r="S1980" s="32" t="s">
        <v>29</v>
      </c>
      <c r="T1980" s="33"/>
      <c r="U1980" s="33"/>
    </row>
    <row r="1981" ht="15.75" customHeight="1">
      <c r="A1981" s="20"/>
      <c r="B1981" s="20"/>
      <c r="C1981" s="20"/>
      <c r="D1981" s="21"/>
      <c r="E1981" s="21"/>
      <c r="F1981" s="22"/>
      <c r="G1981" s="21"/>
      <c r="H1981" s="149"/>
      <c r="I1981" s="25"/>
      <c r="J1981" s="26"/>
      <c r="K1981" s="21"/>
      <c r="L1981" s="27"/>
      <c r="M1981" s="28"/>
      <c r="N1981" s="29"/>
      <c r="O1981" s="29"/>
      <c r="P1981" s="34"/>
      <c r="Q1981" s="34"/>
      <c r="R1981" s="35"/>
      <c r="S1981" s="32" t="s">
        <v>29</v>
      </c>
      <c r="T1981" s="33"/>
      <c r="U1981" s="33"/>
    </row>
    <row r="1982" ht="15.75" customHeight="1">
      <c r="A1982" s="20"/>
      <c r="B1982" s="20"/>
      <c r="C1982" s="20"/>
      <c r="D1982" s="21"/>
      <c r="E1982" s="21"/>
      <c r="F1982" s="22"/>
      <c r="G1982" s="21"/>
      <c r="H1982" s="149"/>
      <c r="I1982" s="25"/>
      <c r="J1982" s="26"/>
      <c r="K1982" s="21"/>
      <c r="L1982" s="29"/>
      <c r="M1982" s="28"/>
      <c r="N1982" s="29"/>
      <c r="O1982" s="29"/>
      <c r="P1982" s="34"/>
      <c r="Q1982" s="34"/>
      <c r="R1982" s="35"/>
      <c r="S1982" s="32" t="s">
        <v>29</v>
      </c>
      <c r="T1982" s="33"/>
      <c r="U1982" s="33"/>
    </row>
    <row r="1983" ht="15.75" customHeight="1">
      <c r="A1983" s="20"/>
      <c r="B1983" s="20"/>
      <c r="C1983" s="20"/>
      <c r="D1983" s="21"/>
      <c r="E1983" s="21"/>
      <c r="F1983" s="22"/>
      <c r="G1983" s="21"/>
      <c r="H1983" s="149"/>
      <c r="I1983" s="25"/>
      <c r="J1983" s="26"/>
      <c r="K1983" s="21"/>
      <c r="L1983" s="27"/>
      <c r="M1983" s="28"/>
      <c r="N1983" s="29"/>
      <c r="O1983" s="29"/>
      <c r="P1983" s="34"/>
      <c r="Q1983" s="34"/>
      <c r="R1983" s="35"/>
      <c r="S1983" s="32" t="s">
        <v>29</v>
      </c>
      <c r="T1983" s="33"/>
      <c r="U1983" s="33"/>
    </row>
    <row r="1984" ht="15.75" customHeight="1">
      <c r="A1984" s="20"/>
      <c r="B1984" s="20"/>
      <c r="C1984" s="20"/>
      <c r="D1984" s="21"/>
      <c r="E1984" s="21"/>
      <c r="F1984" s="22"/>
      <c r="G1984" s="21"/>
      <c r="H1984" s="149"/>
      <c r="I1984" s="25"/>
      <c r="J1984" s="26"/>
      <c r="K1984" s="21"/>
      <c r="L1984" s="27"/>
      <c r="M1984" s="28"/>
      <c r="N1984" s="29"/>
      <c r="O1984" s="29"/>
      <c r="P1984" s="34"/>
      <c r="Q1984" s="34"/>
      <c r="R1984" s="35"/>
      <c r="S1984" s="32" t="s">
        <v>29</v>
      </c>
      <c r="T1984" s="33"/>
      <c r="U1984" s="33"/>
    </row>
    <row r="1985" ht="15.75" customHeight="1">
      <c r="A1985" s="20"/>
      <c r="B1985" s="20"/>
      <c r="C1985" s="20"/>
      <c r="D1985" s="21"/>
      <c r="E1985" s="21"/>
      <c r="F1985" s="22"/>
      <c r="G1985" s="21"/>
      <c r="H1985" s="149"/>
      <c r="I1985" s="25"/>
      <c r="J1985" s="26"/>
      <c r="K1985" s="21"/>
      <c r="L1985" s="27"/>
      <c r="M1985" s="28"/>
      <c r="N1985" s="29"/>
      <c r="O1985" s="29"/>
      <c r="P1985" s="34"/>
      <c r="Q1985" s="34"/>
      <c r="R1985" s="35"/>
      <c r="S1985" s="32" t="s">
        <v>29</v>
      </c>
      <c r="T1985" s="33"/>
      <c r="U1985" s="33"/>
    </row>
    <row r="1986" ht="15.75" customHeight="1">
      <c r="A1986" s="20"/>
      <c r="B1986" s="20"/>
      <c r="C1986" s="20"/>
      <c r="D1986" s="21"/>
      <c r="E1986" s="21"/>
      <c r="F1986" s="22"/>
      <c r="G1986" s="21"/>
      <c r="H1986" s="149"/>
      <c r="I1986" s="25"/>
      <c r="J1986" s="26"/>
      <c r="K1986" s="21"/>
      <c r="L1986" s="27"/>
      <c r="M1986" s="28"/>
      <c r="N1986" s="29"/>
      <c r="O1986" s="29"/>
      <c r="P1986" s="34"/>
      <c r="Q1986" s="34"/>
      <c r="R1986" s="35"/>
      <c r="S1986" s="32" t="s">
        <v>29</v>
      </c>
      <c r="T1986" s="33"/>
      <c r="U1986" s="33"/>
    </row>
    <row r="1987" ht="15.75" customHeight="1">
      <c r="A1987" s="20"/>
      <c r="B1987" s="20"/>
      <c r="C1987" s="20"/>
      <c r="D1987" s="21"/>
      <c r="E1987" s="21"/>
      <c r="F1987" s="22"/>
      <c r="G1987" s="21"/>
      <c r="H1987" s="149"/>
      <c r="I1987" s="25"/>
      <c r="J1987" s="26"/>
      <c r="K1987" s="21"/>
      <c r="L1987" s="27"/>
      <c r="M1987" s="28"/>
      <c r="N1987" s="29"/>
      <c r="O1987" s="29"/>
      <c r="P1987" s="34"/>
      <c r="Q1987" s="34"/>
      <c r="R1987" s="79"/>
      <c r="S1987" s="32" t="s">
        <v>29</v>
      </c>
      <c r="T1987" s="33"/>
      <c r="U1987" s="33"/>
    </row>
    <row r="1988" ht="15.75" customHeight="1">
      <c r="A1988" s="20"/>
      <c r="B1988" s="20"/>
      <c r="C1988" s="20"/>
      <c r="D1988" s="21"/>
      <c r="E1988" s="21"/>
      <c r="F1988" s="22"/>
      <c r="G1988" s="21"/>
      <c r="H1988" s="149"/>
      <c r="I1988" s="25"/>
      <c r="J1988" s="26"/>
      <c r="K1988" s="21"/>
      <c r="L1988" s="27"/>
      <c r="M1988" s="28"/>
      <c r="N1988" s="29"/>
      <c r="O1988" s="29"/>
      <c r="P1988" s="34"/>
      <c r="Q1988" s="34"/>
      <c r="R1988" s="79"/>
      <c r="S1988" s="32" t="s">
        <v>29</v>
      </c>
      <c r="T1988" s="33"/>
      <c r="U1988" s="33"/>
    </row>
    <row r="1989" ht="15.75" customHeight="1">
      <c r="A1989" s="20"/>
      <c r="B1989" s="20"/>
      <c r="C1989" s="20"/>
      <c r="D1989" s="21"/>
      <c r="E1989" s="21"/>
      <c r="F1989" s="67"/>
      <c r="G1989" s="21"/>
      <c r="H1989" s="149"/>
      <c r="I1989" s="25"/>
      <c r="J1989" s="26"/>
      <c r="K1989" s="21"/>
      <c r="L1989" s="29"/>
      <c r="M1989" s="28"/>
      <c r="N1989" s="29"/>
      <c r="O1989" s="29"/>
      <c r="P1989" s="34"/>
      <c r="Q1989" s="34"/>
      <c r="R1989" s="35"/>
      <c r="S1989" s="32" t="s">
        <v>29</v>
      </c>
      <c r="T1989" s="33"/>
      <c r="U1989" s="33"/>
    </row>
    <row r="1990" ht="15.75" customHeight="1">
      <c r="A1990" s="20"/>
      <c r="B1990" s="20"/>
      <c r="C1990" s="20"/>
      <c r="D1990" s="21"/>
      <c r="E1990" s="21"/>
      <c r="F1990" s="22"/>
      <c r="G1990" s="21"/>
      <c r="H1990" s="149"/>
      <c r="I1990" s="25"/>
      <c r="J1990" s="26"/>
      <c r="K1990" s="21"/>
      <c r="L1990" s="27"/>
      <c r="M1990" s="28"/>
      <c r="N1990" s="29"/>
      <c r="O1990" s="29"/>
      <c r="P1990" s="34"/>
      <c r="Q1990" s="34"/>
      <c r="R1990" s="35"/>
      <c r="S1990" s="32" t="s">
        <v>29</v>
      </c>
      <c r="T1990" s="33"/>
      <c r="U1990" s="33"/>
    </row>
    <row r="1991" ht="15.75" customHeight="1">
      <c r="A1991" s="20"/>
      <c r="B1991" s="20"/>
      <c r="C1991" s="20"/>
      <c r="D1991" s="21"/>
      <c r="E1991" s="21"/>
      <c r="F1991" s="22"/>
      <c r="G1991" s="21"/>
      <c r="H1991" s="149"/>
      <c r="I1991" s="25"/>
      <c r="J1991" s="26"/>
      <c r="K1991" s="21"/>
      <c r="L1991" s="27"/>
      <c r="M1991" s="28"/>
      <c r="N1991" s="29"/>
      <c r="O1991" s="29"/>
      <c r="P1991" s="34"/>
      <c r="Q1991" s="34"/>
      <c r="R1991" s="35"/>
      <c r="S1991" s="32" t="s">
        <v>29</v>
      </c>
      <c r="T1991" s="33"/>
      <c r="U1991" s="33"/>
    </row>
    <row r="1992" ht="15.75" customHeight="1">
      <c r="A1992" s="20"/>
      <c r="B1992" s="20"/>
      <c r="C1992" s="20"/>
      <c r="D1992" s="21"/>
      <c r="E1992" s="21"/>
      <c r="F1992" s="22"/>
      <c r="G1992" s="21"/>
      <c r="H1992" s="149"/>
      <c r="I1992" s="25"/>
      <c r="J1992" s="26"/>
      <c r="K1992" s="21"/>
      <c r="L1992" s="27"/>
      <c r="M1992" s="28"/>
      <c r="N1992" s="29"/>
      <c r="O1992" s="29"/>
      <c r="P1992" s="34"/>
      <c r="Q1992" s="34"/>
      <c r="R1992" s="35"/>
      <c r="S1992" s="32" t="s">
        <v>29</v>
      </c>
      <c r="T1992" s="33"/>
      <c r="U1992" s="33"/>
    </row>
    <row r="1993" ht="15.75" customHeight="1">
      <c r="A1993" s="20"/>
      <c r="B1993" s="20"/>
      <c r="C1993" s="20"/>
      <c r="D1993" s="21"/>
      <c r="E1993" s="21"/>
      <c r="F1993" s="22"/>
      <c r="G1993" s="21"/>
      <c r="H1993" s="149"/>
      <c r="I1993" s="25"/>
      <c r="J1993" s="26"/>
      <c r="K1993" s="21"/>
      <c r="L1993" s="27"/>
      <c r="M1993" s="28"/>
      <c r="N1993" s="29"/>
      <c r="O1993" s="29"/>
      <c r="P1993" s="34"/>
      <c r="Q1993" s="34"/>
      <c r="R1993" s="35"/>
      <c r="S1993" s="32" t="s">
        <v>29</v>
      </c>
      <c r="T1993" s="33"/>
      <c r="U1993" s="33"/>
    </row>
    <row r="1994" ht="15.75" customHeight="1">
      <c r="A1994" s="20"/>
      <c r="B1994" s="20"/>
      <c r="C1994" s="20"/>
      <c r="D1994" s="21"/>
      <c r="E1994" s="21"/>
      <c r="F1994" s="22"/>
      <c r="G1994" s="21"/>
      <c r="H1994" s="149"/>
      <c r="I1994" s="25"/>
      <c r="J1994" s="26"/>
      <c r="K1994" s="21"/>
      <c r="L1994" s="27"/>
      <c r="M1994" s="28"/>
      <c r="N1994" s="29"/>
      <c r="O1994" s="29"/>
      <c r="P1994" s="34"/>
      <c r="Q1994" s="34"/>
      <c r="R1994" s="35"/>
      <c r="S1994" s="32" t="s">
        <v>29</v>
      </c>
      <c r="T1994" s="33"/>
      <c r="U1994" s="33"/>
    </row>
    <row r="1995" ht="15.75" customHeight="1">
      <c r="A1995" s="20"/>
      <c r="B1995" s="20"/>
      <c r="C1995" s="20"/>
      <c r="D1995" s="21"/>
      <c r="E1995" s="21"/>
      <c r="F1995" s="22"/>
      <c r="G1995" s="21"/>
      <c r="H1995" s="149"/>
      <c r="I1995" s="25"/>
      <c r="J1995" s="26"/>
      <c r="K1995" s="21"/>
      <c r="L1995" s="29"/>
      <c r="M1995" s="28"/>
      <c r="N1995" s="29"/>
      <c r="O1995" s="29"/>
      <c r="P1995" s="34"/>
      <c r="Q1995" s="34"/>
      <c r="R1995" s="35"/>
      <c r="S1995" s="32" t="s">
        <v>29</v>
      </c>
      <c r="T1995" s="33"/>
      <c r="U1995" s="33"/>
    </row>
    <row r="1996" ht="15.75" customHeight="1">
      <c r="A1996" s="20"/>
      <c r="B1996" s="20"/>
      <c r="C1996" s="20"/>
      <c r="D1996" s="21"/>
      <c r="E1996" s="21"/>
      <c r="F1996" s="22"/>
      <c r="G1996" s="21"/>
      <c r="H1996" s="149"/>
      <c r="I1996" s="25"/>
      <c r="J1996" s="26"/>
      <c r="K1996" s="21"/>
      <c r="L1996" s="29"/>
      <c r="M1996" s="28"/>
      <c r="N1996" s="29"/>
      <c r="O1996" s="29"/>
      <c r="P1996" s="34"/>
      <c r="Q1996" s="34"/>
      <c r="R1996" s="35"/>
      <c r="S1996" s="32" t="s">
        <v>29</v>
      </c>
      <c r="T1996" s="33"/>
      <c r="U1996" s="33"/>
    </row>
    <row r="1997" ht="15.75" customHeight="1">
      <c r="A1997" s="20"/>
      <c r="B1997" s="20"/>
      <c r="C1997" s="20"/>
      <c r="D1997" s="21"/>
      <c r="E1997" s="21"/>
      <c r="F1997" s="67"/>
      <c r="G1997" s="21"/>
      <c r="H1997" s="149"/>
      <c r="I1997" s="25"/>
      <c r="J1997" s="26"/>
      <c r="K1997" s="21"/>
      <c r="L1997" s="27"/>
      <c r="M1997" s="28"/>
      <c r="N1997" s="29"/>
      <c r="O1997" s="29"/>
      <c r="P1997" s="34"/>
      <c r="Q1997" s="34"/>
      <c r="R1997" s="35"/>
      <c r="S1997" s="32" t="s">
        <v>29</v>
      </c>
      <c r="T1997" s="33"/>
      <c r="U1997" s="33"/>
    </row>
    <row r="1998" ht="15.75" customHeight="1">
      <c r="A1998" s="20"/>
      <c r="B1998" s="20"/>
      <c r="C1998" s="20"/>
      <c r="D1998" s="21"/>
      <c r="E1998" s="21"/>
      <c r="F1998" s="22"/>
      <c r="G1998" s="21"/>
      <c r="H1998" s="149"/>
      <c r="I1998" s="25"/>
      <c r="J1998" s="26"/>
      <c r="K1998" s="21"/>
      <c r="L1998" s="27"/>
      <c r="M1998" s="28"/>
      <c r="N1998" s="29"/>
      <c r="O1998" s="29"/>
      <c r="P1998" s="34"/>
      <c r="Q1998" s="34"/>
      <c r="R1998" s="35"/>
      <c r="S1998" s="32" t="s">
        <v>29</v>
      </c>
      <c r="T1998" s="33"/>
      <c r="U1998" s="33"/>
    </row>
    <row r="1999" ht="15.75" customHeight="1">
      <c r="A1999" s="20"/>
      <c r="B1999" s="20"/>
      <c r="C1999" s="20"/>
      <c r="D1999" s="21"/>
      <c r="E1999" s="21"/>
      <c r="F1999" s="22"/>
      <c r="G1999" s="21"/>
      <c r="H1999" s="149"/>
      <c r="I1999" s="25"/>
      <c r="J1999" s="26"/>
      <c r="K1999" s="21"/>
      <c r="L1999" s="27"/>
      <c r="M1999" s="28"/>
      <c r="N1999" s="29"/>
      <c r="O1999" s="29"/>
      <c r="P1999" s="34"/>
      <c r="Q1999" s="34"/>
      <c r="R1999" s="35"/>
      <c r="S1999" s="32" t="s">
        <v>29</v>
      </c>
      <c r="T1999" s="33"/>
      <c r="U1999" s="33"/>
    </row>
    <row r="2000" ht="15.75" customHeight="1">
      <c r="A2000" s="20"/>
      <c r="B2000" s="20"/>
      <c r="C2000" s="20"/>
      <c r="D2000" s="21"/>
      <c r="E2000" s="21"/>
      <c r="F2000" s="22"/>
      <c r="G2000" s="21"/>
      <c r="H2000" s="149"/>
      <c r="I2000" s="25"/>
      <c r="J2000" s="26"/>
      <c r="K2000" s="21"/>
      <c r="L2000" s="27"/>
      <c r="M2000" s="28"/>
      <c r="N2000" s="29"/>
      <c r="O2000" s="29"/>
      <c r="P2000" s="34"/>
      <c r="Q2000" s="34"/>
      <c r="R2000" s="35"/>
      <c r="S2000" s="32" t="s">
        <v>29</v>
      </c>
      <c r="T2000" s="33"/>
      <c r="U2000" s="33"/>
    </row>
    <row r="2001" ht="15.75" customHeight="1">
      <c r="A2001" s="20"/>
      <c r="B2001" s="20"/>
      <c r="C2001" s="20"/>
      <c r="D2001" s="21"/>
      <c r="E2001" s="21"/>
      <c r="F2001" s="22"/>
      <c r="G2001" s="21"/>
      <c r="H2001" s="149"/>
      <c r="I2001" s="25"/>
      <c r="J2001" s="26"/>
      <c r="K2001" s="21"/>
      <c r="L2001" s="27"/>
      <c r="M2001" s="28"/>
      <c r="N2001" s="29"/>
      <c r="O2001" s="29"/>
      <c r="P2001" s="34"/>
      <c r="Q2001" s="34"/>
      <c r="R2001" s="35"/>
      <c r="S2001" s="32" t="s">
        <v>29</v>
      </c>
      <c r="T2001" s="33"/>
      <c r="U2001" s="33"/>
    </row>
    <row r="2002" ht="15.75" customHeight="1">
      <c r="A2002" s="20"/>
      <c r="B2002" s="20"/>
      <c r="C2002" s="20"/>
      <c r="D2002" s="21"/>
      <c r="E2002" s="21"/>
      <c r="F2002" s="22"/>
      <c r="G2002" s="21"/>
      <c r="H2002" s="149"/>
      <c r="I2002" s="25"/>
      <c r="J2002" s="26"/>
      <c r="K2002" s="21"/>
      <c r="L2002" s="27"/>
      <c r="M2002" s="28"/>
      <c r="N2002" s="29"/>
      <c r="O2002" s="29"/>
      <c r="P2002" s="34"/>
      <c r="Q2002" s="34"/>
      <c r="R2002" s="35"/>
      <c r="S2002" s="32" t="s">
        <v>29</v>
      </c>
      <c r="T2002" s="33"/>
      <c r="U2002" s="33"/>
    </row>
    <row r="2003" ht="15.75" customHeight="1">
      <c r="A2003" s="20"/>
      <c r="B2003" s="20"/>
      <c r="C2003" s="20"/>
      <c r="D2003" s="21"/>
      <c r="E2003" s="21"/>
      <c r="F2003" s="22"/>
      <c r="G2003" s="21"/>
      <c r="H2003" s="149"/>
      <c r="I2003" s="25"/>
      <c r="J2003" s="26"/>
      <c r="K2003" s="21"/>
      <c r="L2003" s="27"/>
      <c r="M2003" s="28"/>
      <c r="N2003" s="29"/>
      <c r="O2003" s="29"/>
      <c r="P2003" s="34"/>
      <c r="Q2003" s="34"/>
      <c r="R2003" s="35"/>
      <c r="S2003" s="32" t="s">
        <v>29</v>
      </c>
      <c r="T2003" s="33"/>
      <c r="U2003" s="33"/>
    </row>
    <row r="2004" ht="15.75" customHeight="1">
      <c r="A2004" s="20"/>
      <c r="B2004" s="20"/>
      <c r="C2004" s="20"/>
      <c r="D2004" s="21"/>
      <c r="E2004" s="21"/>
      <c r="F2004" s="22"/>
      <c r="G2004" s="21"/>
      <c r="H2004" s="149"/>
      <c r="I2004" s="25"/>
      <c r="J2004" s="26"/>
      <c r="K2004" s="21"/>
      <c r="L2004" s="27"/>
      <c r="M2004" s="28"/>
      <c r="N2004" s="29"/>
      <c r="O2004" s="29"/>
      <c r="P2004" s="34"/>
      <c r="Q2004" s="34"/>
      <c r="R2004" s="35"/>
      <c r="S2004" s="32" t="s">
        <v>29</v>
      </c>
      <c r="T2004" s="33"/>
      <c r="U2004" s="33"/>
    </row>
    <row r="2005" ht="15.75" customHeight="1">
      <c r="A2005" s="20"/>
      <c r="B2005" s="20"/>
      <c r="C2005" s="20"/>
      <c r="D2005" s="21"/>
      <c r="E2005" s="21"/>
      <c r="F2005" s="206"/>
      <c r="G2005" s="21"/>
      <c r="H2005" s="149"/>
      <c r="I2005" s="25"/>
      <c r="J2005" s="26"/>
      <c r="K2005" s="21"/>
      <c r="L2005" s="27"/>
      <c r="M2005" s="28"/>
      <c r="N2005" s="29"/>
      <c r="O2005" s="29"/>
      <c r="P2005" s="34"/>
      <c r="Q2005" s="34"/>
      <c r="R2005" s="35"/>
      <c r="S2005" s="32" t="s">
        <v>29</v>
      </c>
      <c r="T2005" s="33"/>
      <c r="U2005" s="33"/>
    </row>
    <row r="2006" ht="15.75" customHeight="1">
      <c r="A2006" s="20"/>
      <c r="B2006" s="20"/>
      <c r="C2006" s="20"/>
      <c r="D2006" s="21"/>
      <c r="E2006" s="21"/>
      <c r="F2006" s="22"/>
      <c r="G2006" s="21"/>
      <c r="H2006" s="149"/>
      <c r="I2006" s="25"/>
      <c r="J2006" s="26"/>
      <c r="K2006" s="21"/>
      <c r="L2006" s="27"/>
      <c r="M2006" s="28"/>
      <c r="N2006" s="29"/>
      <c r="O2006" s="29"/>
      <c r="P2006" s="34"/>
      <c r="Q2006" s="34"/>
      <c r="R2006" s="35"/>
      <c r="S2006" s="32" t="s">
        <v>29</v>
      </c>
      <c r="T2006" s="33"/>
      <c r="U2006" s="33"/>
    </row>
    <row r="2007" ht="15.75" customHeight="1">
      <c r="A2007" s="20"/>
      <c r="B2007" s="20"/>
      <c r="C2007" s="20"/>
      <c r="D2007" s="21"/>
      <c r="E2007" s="21"/>
      <c r="F2007" s="22"/>
      <c r="G2007" s="21"/>
      <c r="H2007" s="149"/>
      <c r="I2007" s="25"/>
      <c r="J2007" s="26"/>
      <c r="K2007" s="21"/>
      <c r="L2007" s="29"/>
      <c r="M2007" s="28"/>
      <c r="N2007" s="29"/>
      <c r="O2007" s="29"/>
      <c r="P2007" s="34"/>
      <c r="Q2007" s="34"/>
      <c r="R2007" s="35"/>
      <c r="S2007" s="32" t="s">
        <v>29</v>
      </c>
      <c r="T2007" s="33"/>
      <c r="U2007" s="33"/>
    </row>
    <row r="2008" ht="15.75" customHeight="1">
      <c r="A2008" s="20"/>
      <c r="B2008" s="20"/>
      <c r="C2008" s="20"/>
      <c r="D2008" s="21"/>
      <c r="E2008" s="21"/>
      <c r="F2008" s="22"/>
      <c r="G2008" s="21"/>
      <c r="H2008" s="149"/>
      <c r="I2008" s="25"/>
      <c r="J2008" s="26"/>
      <c r="K2008" s="21"/>
      <c r="L2008" s="27"/>
      <c r="M2008" s="28"/>
      <c r="N2008" s="29"/>
      <c r="O2008" s="29"/>
      <c r="P2008" s="34"/>
      <c r="Q2008" s="34"/>
      <c r="R2008" s="35"/>
      <c r="S2008" s="32" t="s">
        <v>29</v>
      </c>
      <c r="T2008" s="33"/>
      <c r="U2008" s="33"/>
    </row>
    <row r="2009" ht="15.75" customHeight="1">
      <c r="A2009" s="20"/>
      <c r="B2009" s="20"/>
      <c r="C2009" s="20"/>
      <c r="D2009" s="21"/>
      <c r="E2009" s="21"/>
      <c r="F2009" s="22"/>
      <c r="G2009" s="21"/>
      <c r="H2009" s="149"/>
      <c r="I2009" s="25"/>
      <c r="J2009" s="26"/>
      <c r="K2009" s="21"/>
      <c r="L2009" s="27"/>
      <c r="M2009" s="28"/>
      <c r="N2009" s="29"/>
      <c r="O2009" s="29"/>
      <c r="P2009" s="34"/>
      <c r="Q2009" s="34"/>
      <c r="R2009" s="35"/>
      <c r="S2009" s="32" t="s">
        <v>29</v>
      </c>
      <c r="T2009" s="33"/>
      <c r="U2009" s="33"/>
    </row>
    <row r="2010" ht="15.75" customHeight="1">
      <c r="A2010" s="20"/>
      <c r="B2010" s="20"/>
      <c r="C2010" s="20"/>
      <c r="D2010" s="21"/>
      <c r="E2010" s="21"/>
      <c r="F2010" s="22"/>
      <c r="G2010" s="21"/>
      <c r="H2010" s="149"/>
      <c r="I2010" s="25"/>
      <c r="J2010" s="26"/>
      <c r="K2010" s="21"/>
      <c r="L2010" s="27"/>
      <c r="M2010" s="28"/>
      <c r="N2010" s="29"/>
      <c r="O2010" s="29"/>
      <c r="P2010" s="34"/>
      <c r="Q2010" s="34"/>
      <c r="R2010" s="35"/>
      <c r="S2010" s="32" t="s">
        <v>29</v>
      </c>
      <c r="T2010" s="33"/>
      <c r="U2010" s="33"/>
    </row>
    <row r="2011" ht="15.75" customHeight="1">
      <c r="A2011" s="20"/>
      <c r="B2011" s="20"/>
      <c r="C2011" s="20"/>
      <c r="D2011" s="21"/>
      <c r="E2011" s="21"/>
      <c r="F2011" s="22"/>
      <c r="G2011" s="21"/>
      <c r="H2011" s="149"/>
      <c r="I2011" s="25"/>
      <c r="J2011" s="26"/>
      <c r="K2011" s="21"/>
      <c r="L2011" s="27"/>
      <c r="M2011" s="28"/>
      <c r="N2011" s="29"/>
      <c r="O2011" s="29"/>
      <c r="P2011" s="34"/>
      <c r="Q2011" s="34"/>
      <c r="R2011" s="35"/>
      <c r="S2011" s="32" t="s">
        <v>29</v>
      </c>
      <c r="T2011" s="33"/>
      <c r="U2011" s="33"/>
    </row>
    <row r="2012" ht="15.75" customHeight="1">
      <c r="A2012" s="20"/>
      <c r="B2012" s="20"/>
      <c r="C2012" s="20"/>
      <c r="D2012" s="21"/>
      <c r="E2012" s="21"/>
      <c r="F2012" s="22"/>
      <c r="G2012" s="21"/>
      <c r="H2012" s="149"/>
      <c r="I2012" s="25"/>
      <c r="J2012" s="26"/>
      <c r="K2012" s="21"/>
      <c r="L2012" s="27"/>
      <c r="M2012" s="28"/>
      <c r="N2012" s="29"/>
      <c r="O2012" s="29"/>
      <c r="P2012" s="34"/>
      <c r="Q2012" s="34"/>
      <c r="R2012" s="35"/>
      <c r="S2012" s="32" t="s">
        <v>29</v>
      </c>
      <c r="T2012" s="33"/>
      <c r="U2012" s="33"/>
    </row>
    <row r="2013" ht="15.75" customHeight="1">
      <c r="A2013" s="20"/>
      <c r="B2013" s="20"/>
      <c r="C2013" s="20"/>
      <c r="D2013" s="21"/>
      <c r="E2013" s="21"/>
      <c r="F2013" s="22"/>
      <c r="G2013" s="21"/>
      <c r="H2013" s="149"/>
      <c r="I2013" s="25"/>
      <c r="J2013" s="26"/>
      <c r="K2013" s="21"/>
      <c r="L2013" s="27"/>
      <c r="M2013" s="28"/>
      <c r="N2013" s="29"/>
      <c r="O2013" s="29"/>
      <c r="P2013" s="34"/>
      <c r="Q2013" s="34"/>
      <c r="R2013" s="35"/>
      <c r="S2013" s="32" t="s">
        <v>29</v>
      </c>
      <c r="T2013" s="33"/>
      <c r="U2013" s="33"/>
    </row>
    <row r="2014" ht="15.75" customHeight="1">
      <c r="A2014" s="20"/>
      <c r="B2014" s="20"/>
      <c r="C2014" s="20"/>
      <c r="D2014" s="21"/>
      <c r="E2014" s="21"/>
      <c r="F2014" s="22"/>
      <c r="G2014" s="21"/>
      <c r="H2014" s="149"/>
      <c r="I2014" s="25"/>
      <c r="J2014" s="26"/>
      <c r="K2014" s="21"/>
      <c r="L2014" s="27"/>
      <c r="M2014" s="28"/>
      <c r="N2014" s="29"/>
      <c r="O2014" s="29"/>
      <c r="P2014" s="34"/>
      <c r="Q2014" s="34"/>
      <c r="R2014" s="35"/>
      <c r="S2014" s="32" t="s">
        <v>29</v>
      </c>
      <c r="T2014" s="33"/>
      <c r="U2014" s="33"/>
    </row>
    <row r="2015" ht="15.75" customHeight="1">
      <c r="A2015" s="20"/>
      <c r="B2015" s="20"/>
      <c r="C2015" s="20"/>
      <c r="D2015" s="21"/>
      <c r="E2015" s="21"/>
      <c r="F2015" s="22"/>
      <c r="G2015" s="21"/>
      <c r="H2015" s="149"/>
      <c r="I2015" s="25"/>
      <c r="J2015" s="26"/>
      <c r="K2015" s="21"/>
      <c r="L2015" s="27"/>
      <c r="M2015" s="28"/>
      <c r="N2015" s="29"/>
      <c r="O2015" s="29"/>
      <c r="P2015" s="34"/>
      <c r="Q2015" s="34"/>
      <c r="R2015" s="35"/>
      <c r="S2015" s="32" t="s">
        <v>29</v>
      </c>
      <c r="T2015" s="33"/>
      <c r="U2015" s="33"/>
    </row>
    <row r="2016" ht="15.75" customHeight="1">
      <c r="A2016" s="20"/>
      <c r="B2016" s="20"/>
      <c r="C2016" s="20"/>
      <c r="D2016" s="21"/>
      <c r="E2016" s="21"/>
      <c r="F2016" s="22"/>
      <c r="G2016" s="21"/>
      <c r="H2016" s="149"/>
      <c r="I2016" s="25"/>
      <c r="J2016" s="26"/>
      <c r="K2016" s="21"/>
      <c r="L2016" s="27"/>
      <c r="M2016" s="28"/>
      <c r="N2016" s="29"/>
      <c r="O2016" s="29"/>
      <c r="P2016" s="34"/>
      <c r="Q2016" s="34"/>
      <c r="R2016" s="35"/>
      <c r="S2016" s="32" t="s">
        <v>29</v>
      </c>
      <c r="T2016" s="33"/>
      <c r="U2016" s="33"/>
    </row>
    <row r="2017" ht="15.75" customHeight="1">
      <c r="A2017" s="20"/>
      <c r="B2017" s="20"/>
      <c r="C2017" s="20"/>
      <c r="D2017" s="21"/>
      <c r="E2017" s="21"/>
      <c r="F2017" s="22"/>
      <c r="G2017" s="21"/>
      <c r="H2017" s="149"/>
      <c r="I2017" s="25"/>
      <c r="J2017" s="26"/>
      <c r="K2017" s="21"/>
      <c r="L2017" s="27"/>
      <c r="M2017" s="28"/>
      <c r="N2017" s="29"/>
      <c r="O2017" s="29"/>
      <c r="P2017" s="34"/>
      <c r="Q2017" s="34"/>
      <c r="R2017" s="46"/>
      <c r="S2017" s="32" t="s">
        <v>29</v>
      </c>
      <c r="T2017" s="33"/>
      <c r="U2017" s="33"/>
    </row>
    <row r="2018" ht="15.75" customHeight="1">
      <c r="A2018" s="20"/>
      <c r="B2018" s="20"/>
      <c r="C2018" s="20"/>
      <c r="D2018" s="21"/>
      <c r="E2018" s="21"/>
      <c r="F2018" s="22"/>
      <c r="G2018" s="21"/>
      <c r="H2018" s="149"/>
      <c r="I2018" s="25"/>
      <c r="J2018" s="26"/>
      <c r="K2018" s="21"/>
      <c r="L2018" s="27"/>
      <c r="M2018" s="28"/>
      <c r="N2018" s="29"/>
      <c r="O2018" s="29"/>
      <c r="P2018" s="34"/>
      <c r="Q2018" s="34"/>
      <c r="R2018" s="35"/>
      <c r="S2018" s="32" t="s">
        <v>29</v>
      </c>
      <c r="T2018" s="33"/>
      <c r="U2018" s="33"/>
    </row>
    <row r="2019" ht="15.75" customHeight="1">
      <c r="A2019" s="20"/>
      <c r="B2019" s="20"/>
      <c r="C2019" s="20"/>
      <c r="D2019" s="21"/>
      <c r="E2019" s="21"/>
      <c r="F2019" s="22"/>
      <c r="G2019" s="21"/>
      <c r="H2019" s="149"/>
      <c r="I2019" s="25"/>
      <c r="J2019" s="26"/>
      <c r="K2019" s="21"/>
      <c r="L2019" s="29"/>
      <c r="M2019" s="28"/>
      <c r="N2019" s="29"/>
      <c r="O2019" s="29"/>
      <c r="P2019" s="34"/>
      <c r="Q2019" s="34"/>
      <c r="R2019" s="35"/>
      <c r="S2019" s="32" t="s">
        <v>29</v>
      </c>
      <c r="T2019" s="33"/>
      <c r="U2019" s="33"/>
    </row>
    <row r="2020" ht="15.75" customHeight="1">
      <c r="A2020" s="20"/>
      <c r="B2020" s="20"/>
      <c r="C2020" s="20"/>
      <c r="D2020" s="21"/>
      <c r="E2020" s="21"/>
      <c r="F2020" s="22"/>
      <c r="G2020" s="21"/>
      <c r="H2020" s="149"/>
      <c r="I2020" s="25"/>
      <c r="J2020" s="26"/>
      <c r="K2020" s="21"/>
      <c r="L2020" s="29"/>
      <c r="M2020" s="28"/>
      <c r="N2020" s="29"/>
      <c r="O2020" s="29"/>
      <c r="P2020" s="34"/>
      <c r="Q2020" s="34"/>
      <c r="R2020" s="35"/>
      <c r="S2020" s="32" t="s">
        <v>29</v>
      </c>
      <c r="T2020" s="33"/>
      <c r="U2020" s="33"/>
    </row>
    <row r="2021" ht="15.75" customHeight="1">
      <c r="A2021" s="20"/>
      <c r="B2021" s="20"/>
      <c r="C2021" s="20"/>
      <c r="D2021" s="21"/>
      <c r="E2021" s="21"/>
      <c r="F2021" s="22"/>
      <c r="G2021" s="21"/>
      <c r="H2021" s="149"/>
      <c r="I2021" s="25"/>
      <c r="J2021" s="26"/>
      <c r="K2021" s="21"/>
      <c r="L2021" s="29"/>
      <c r="M2021" s="28"/>
      <c r="N2021" s="29"/>
      <c r="O2021" s="29"/>
      <c r="P2021" s="34"/>
      <c r="Q2021" s="34"/>
      <c r="R2021" s="35"/>
      <c r="S2021" s="32" t="s">
        <v>29</v>
      </c>
      <c r="T2021" s="33"/>
      <c r="U2021" s="33"/>
    </row>
    <row r="2022" ht="15.75" customHeight="1">
      <c r="A2022" s="20"/>
      <c r="B2022" s="20"/>
      <c r="C2022" s="20"/>
      <c r="D2022" s="21"/>
      <c r="E2022" s="21"/>
      <c r="F2022" s="22"/>
      <c r="G2022" s="21"/>
      <c r="H2022" s="149"/>
      <c r="I2022" s="25"/>
      <c r="J2022" s="26"/>
      <c r="K2022" s="21"/>
      <c r="L2022" s="27"/>
      <c r="M2022" s="28"/>
      <c r="N2022" s="29"/>
      <c r="O2022" s="29"/>
      <c r="P2022" s="34"/>
      <c r="Q2022" s="34"/>
      <c r="R2022" s="35"/>
      <c r="S2022" s="32" t="s">
        <v>29</v>
      </c>
      <c r="T2022" s="33"/>
      <c r="U2022" s="33"/>
    </row>
    <row r="2023" ht="15.75" customHeight="1">
      <c r="A2023" s="20"/>
      <c r="B2023" s="20"/>
      <c r="C2023" s="20"/>
      <c r="D2023" s="21"/>
      <c r="E2023" s="21"/>
      <c r="F2023" s="22"/>
      <c r="G2023" s="21"/>
      <c r="H2023" s="149"/>
      <c r="I2023" s="25"/>
      <c r="J2023" s="26"/>
      <c r="K2023" s="21"/>
      <c r="L2023" s="27"/>
      <c r="M2023" s="28"/>
      <c r="N2023" s="29"/>
      <c r="O2023" s="29"/>
      <c r="P2023" s="34"/>
      <c r="Q2023" s="34"/>
      <c r="R2023" s="35"/>
      <c r="S2023" s="32" t="s">
        <v>29</v>
      </c>
      <c r="T2023" s="33"/>
      <c r="U2023" s="33"/>
    </row>
    <row r="2024" ht="15.75" customHeight="1">
      <c r="A2024" s="20"/>
      <c r="B2024" s="20"/>
      <c r="C2024" s="20"/>
      <c r="D2024" s="21"/>
      <c r="E2024" s="21"/>
      <c r="F2024" s="22"/>
      <c r="G2024" s="21"/>
      <c r="H2024" s="149"/>
      <c r="I2024" s="25"/>
      <c r="J2024" s="26"/>
      <c r="K2024" s="21"/>
      <c r="L2024" s="27"/>
      <c r="M2024" s="28"/>
      <c r="N2024" s="29"/>
      <c r="O2024" s="29"/>
      <c r="P2024" s="34"/>
      <c r="Q2024" s="34"/>
      <c r="R2024" s="35"/>
      <c r="S2024" s="32" t="s">
        <v>29</v>
      </c>
      <c r="T2024" s="33"/>
      <c r="U2024" s="33"/>
    </row>
    <row r="2025" ht="15.75" customHeight="1">
      <c r="A2025" s="20"/>
      <c r="B2025" s="20"/>
      <c r="C2025" s="20"/>
      <c r="D2025" s="21"/>
      <c r="E2025" s="21"/>
      <c r="F2025" s="22"/>
      <c r="G2025" s="21"/>
      <c r="H2025" s="149"/>
      <c r="I2025" s="25"/>
      <c r="J2025" s="26"/>
      <c r="K2025" s="21"/>
      <c r="L2025" s="27"/>
      <c r="M2025" s="28"/>
      <c r="N2025" s="29"/>
      <c r="O2025" s="29"/>
      <c r="P2025" s="34"/>
      <c r="Q2025" s="34"/>
      <c r="R2025" s="35"/>
      <c r="S2025" s="32" t="s">
        <v>29</v>
      </c>
      <c r="T2025" s="33"/>
      <c r="U2025" s="33"/>
    </row>
    <row r="2026" ht="15.75" customHeight="1">
      <c r="A2026" s="20"/>
      <c r="B2026" s="20"/>
      <c r="C2026" s="20"/>
      <c r="D2026" s="21"/>
      <c r="E2026" s="21"/>
      <c r="F2026" s="67"/>
      <c r="G2026" s="23"/>
      <c r="H2026" s="149"/>
      <c r="I2026" s="25"/>
      <c r="J2026" s="26"/>
      <c r="K2026" s="21"/>
      <c r="L2026" s="29"/>
      <c r="M2026" s="28"/>
      <c r="N2026" s="29"/>
      <c r="O2026" s="29"/>
      <c r="P2026" s="34"/>
      <c r="Q2026" s="34"/>
      <c r="R2026" s="35"/>
      <c r="S2026" s="32" t="s">
        <v>29</v>
      </c>
      <c r="T2026" s="33"/>
      <c r="U2026" s="33"/>
    </row>
    <row r="2027" ht="15.75" customHeight="1">
      <c r="A2027" s="20"/>
      <c r="B2027" s="20"/>
      <c r="C2027" s="20"/>
      <c r="D2027" s="21"/>
      <c r="E2027" s="21"/>
      <c r="F2027" s="67"/>
      <c r="G2027" s="23"/>
      <c r="H2027" s="149"/>
      <c r="I2027" s="25"/>
      <c r="J2027" s="26"/>
      <c r="K2027" s="21"/>
      <c r="L2027" s="29"/>
      <c r="M2027" s="28"/>
      <c r="N2027" s="29"/>
      <c r="O2027" s="29"/>
      <c r="P2027" s="34"/>
      <c r="Q2027" s="34"/>
      <c r="R2027" s="35"/>
      <c r="S2027" s="32" t="s">
        <v>29</v>
      </c>
      <c r="T2027" s="33"/>
      <c r="U2027" s="33"/>
    </row>
    <row r="2028" ht="15.75" customHeight="1">
      <c r="A2028" s="20"/>
      <c r="B2028" s="20"/>
      <c r="C2028" s="20"/>
      <c r="D2028" s="21"/>
      <c r="E2028" s="21"/>
      <c r="F2028" s="22"/>
      <c r="G2028" s="21"/>
      <c r="H2028" s="149"/>
      <c r="I2028" s="25"/>
      <c r="J2028" s="26"/>
      <c r="K2028" s="21"/>
      <c r="L2028" s="29"/>
      <c r="M2028" s="28"/>
      <c r="N2028" s="29"/>
      <c r="O2028" s="29"/>
      <c r="P2028" s="34"/>
      <c r="Q2028" s="34"/>
      <c r="R2028" s="35"/>
      <c r="S2028" s="32" t="s">
        <v>29</v>
      </c>
      <c r="T2028" s="33"/>
      <c r="U2028" s="33"/>
    </row>
    <row r="2029" ht="15.75" customHeight="1">
      <c r="A2029" s="20"/>
      <c r="B2029" s="20"/>
      <c r="C2029" s="20"/>
      <c r="D2029" s="21"/>
      <c r="E2029" s="21"/>
      <c r="F2029" s="67"/>
      <c r="G2029" s="23"/>
      <c r="H2029" s="149"/>
      <c r="I2029" s="25"/>
      <c r="J2029" s="26"/>
      <c r="K2029" s="21"/>
      <c r="L2029" s="29"/>
      <c r="M2029" s="28"/>
      <c r="N2029" s="29"/>
      <c r="O2029" s="29"/>
      <c r="P2029" s="34"/>
      <c r="Q2029" s="34"/>
      <c r="R2029" s="35"/>
      <c r="S2029" s="32" t="s">
        <v>29</v>
      </c>
      <c r="T2029" s="33"/>
      <c r="U2029" s="33"/>
    </row>
    <row r="2030" ht="15.75" customHeight="1">
      <c r="A2030" s="20"/>
      <c r="B2030" s="20"/>
      <c r="C2030" s="20"/>
      <c r="D2030" s="21"/>
      <c r="E2030" s="21"/>
      <c r="F2030" s="22"/>
      <c r="G2030" s="21"/>
      <c r="H2030" s="149"/>
      <c r="I2030" s="25"/>
      <c r="J2030" s="26"/>
      <c r="K2030" s="21"/>
      <c r="L2030" s="29"/>
      <c r="M2030" s="28"/>
      <c r="N2030" s="29"/>
      <c r="O2030" s="29"/>
      <c r="P2030" s="34"/>
      <c r="Q2030" s="34"/>
      <c r="R2030" s="35"/>
      <c r="S2030" s="32" t="s">
        <v>29</v>
      </c>
      <c r="T2030" s="33"/>
      <c r="U2030" s="33"/>
    </row>
    <row r="2031" ht="15.75" customHeight="1">
      <c r="A2031" s="20"/>
      <c r="B2031" s="20"/>
      <c r="C2031" s="20"/>
      <c r="D2031" s="21"/>
      <c r="E2031" s="21"/>
      <c r="F2031" s="67"/>
      <c r="G2031" s="21"/>
      <c r="H2031" s="149"/>
      <c r="I2031" s="25"/>
      <c r="J2031" s="26"/>
      <c r="K2031" s="21"/>
      <c r="L2031" s="29"/>
      <c r="M2031" s="28"/>
      <c r="N2031" s="29"/>
      <c r="O2031" s="29"/>
      <c r="P2031" s="34"/>
      <c r="Q2031" s="34"/>
      <c r="R2031" s="35"/>
      <c r="S2031" s="32" t="s">
        <v>29</v>
      </c>
      <c r="T2031" s="33"/>
      <c r="U2031" s="33"/>
    </row>
    <row r="2032" ht="15.75" customHeight="1">
      <c r="A2032" s="20"/>
      <c r="B2032" s="20"/>
      <c r="C2032" s="20"/>
      <c r="D2032" s="21"/>
      <c r="E2032" s="21"/>
      <c r="F2032" s="22"/>
      <c r="G2032" s="21"/>
      <c r="H2032" s="149"/>
      <c r="I2032" s="25"/>
      <c r="J2032" s="26"/>
      <c r="K2032" s="21"/>
      <c r="L2032" s="27"/>
      <c r="M2032" s="28"/>
      <c r="N2032" s="29"/>
      <c r="O2032" s="29"/>
      <c r="P2032" s="34"/>
      <c r="Q2032" s="34"/>
      <c r="R2032" s="35"/>
      <c r="S2032" s="32" t="s">
        <v>29</v>
      </c>
      <c r="T2032" s="33"/>
      <c r="U2032" s="33"/>
    </row>
    <row r="2033" ht="15.75" customHeight="1">
      <c r="A2033" s="20"/>
      <c r="B2033" s="20"/>
      <c r="C2033" s="20"/>
      <c r="D2033" s="21"/>
      <c r="E2033" s="21"/>
      <c r="F2033" s="22"/>
      <c r="G2033" s="21"/>
      <c r="H2033" s="149"/>
      <c r="I2033" s="25"/>
      <c r="J2033" s="26"/>
      <c r="K2033" s="21"/>
      <c r="L2033" s="27"/>
      <c r="M2033" s="28"/>
      <c r="N2033" s="29"/>
      <c r="O2033" s="29"/>
      <c r="P2033" s="34"/>
      <c r="Q2033" s="34"/>
      <c r="R2033" s="35"/>
      <c r="S2033" s="32" t="s">
        <v>29</v>
      </c>
      <c r="T2033" s="33"/>
      <c r="U2033" s="33"/>
    </row>
    <row r="2034" ht="15.75" customHeight="1">
      <c r="A2034" s="20"/>
      <c r="B2034" s="20"/>
      <c r="C2034" s="20"/>
      <c r="D2034" s="21"/>
      <c r="E2034" s="21"/>
      <c r="F2034" s="22"/>
      <c r="G2034" s="21"/>
      <c r="H2034" s="149"/>
      <c r="I2034" s="25"/>
      <c r="J2034" s="26"/>
      <c r="K2034" s="21"/>
      <c r="L2034" s="27"/>
      <c r="M2034" s="28"/>
      <c r="N2034" s="29"/>
      <c r="O2034" s="29"/>
      <c r="P2034" s="34"/>
      <c r="Q2034" s="34"/>
      <c r="R2034" s="35"/>
      <c r="S2034" s="32" t="s">
        <v>29</v>
      </c>
      <c r="T2034" s="33"/>
      <c r="U2034" s="33"/>
    </row>
    <row r="2035" ht="15.75" customHeight="1">
      <c r="A2035" s="20"/>
      <c r="B2035" s="20"/>
      <c r="C2035" s="20"/>
      <c r="D2035" s="21"/>
      <c r="E2035" s="21"/>
      <c r="F2035" s="22"/>
      <c r="G2035" s="21"/>
      <c r="H2035" s="149"/>
      <c r="I2035" s="25"/>
      <c r="J2035" s="26"/>
      <c r="K2035" s="21"/>
      <c r="L2035" s="27"/>
      <c r="M2035" s="28"/>
      <c r="N2035" s="29"/>
      <c r="O2035" s="29"/>
      <c r="P2035" s="34"/>
      <c r="Q2035" s="34"/>
      <c r="R2035" s="35"/>
      <c r="S2035" s="32" t="s">
        <v>29</v>
      </c>
      <c r="T2035" s="33"/>
      <c r="U2035" s="33"/>
    </row>
    <row r="2036" ht="15.75" customHeight="1">
      <c r="A2036" s="20"/>
      <c r="B2036" s="20"/>
      <c r="C2036" s="20"/>
      <c r="D2036" s="21"/>
      <c r="E2036" s="21"/>
      <c r="F2036" s="22"/>
      <c r="G2036" s="21"/>
      <c r="H2036" s="149"/>
      <c r="I2036" s="25"/>
      <c r="J2036" s="26"/>
      <c r="K2036" s="21"/>
      <c r="L2036" s="27"/>
      <c r="M2036" s="28"/>
      <c r="N2036" s="29"/>
      <c r="O2036" s="29"/>
      <c r="P2036" s="34"/>
      <c r="Q2036" s="34"/>
      <c r="R2036" s="35"/>
      <c r="S2036" s="32" t="s">
        <v>29</v>
      </c>
      <c r="T2036" s="33"/>
      <c r="U2036" s="33"/>
    </row>
    <row r="2037" ht="15.75" customHeight="1">
      <c r="A2037" s="20"/>
      <c r="B2037" s="20"/>
      <c r="C2037" s="20"/>
      <c r="D2037" s="21"/>
      <c r="E2037" s="21"/>
      <c r="F2037" s="22"/>
      <c r="G2037" s="21"/>
      <c r="H2037" s="149"/>
      <c r="I2037" s="25"/>
      <c r="J2037" s="26"/>
      <c r="K2037" s="21"/>
      <c r="L2037" s="27"/>
      <c r="M2037" s="28"/>
      <c r="N2037" s="29"/>
      <c r="O2037" s="29"/>
      <c r="P2037" s="34"/>
      <c r="Q2037" s="34"/>
      <c r="R2037" s="35"/>
      <c r="S2037" s="32" t="s">
        <v>29</v>
      </c>
      <c r="T2037" s="33"/>
      <c r="U2037" s="33"/>
    </row>
    <row r="2038" ht="15.75" customHeight="1">
      <c r="A2038" s="20"/>
      <c r="B2038" s="20"/>
      <c r="C2038" s="20"/>
      <c r="D2038" s="21"/>
      <c r="E2038" s="21"/>
      <c r="F2038" s="22"/>
      <c r="G2038" s="21"/>
      <c r="H2038" s="149"/>
      <c r="I2038" s="25"/>
      <c r="J2038" s="26"/>
      <c r="K2038" s="21"/>
      <c r="L2038" s="27"/>
      <c r="M2038" s="28"/>
      <c r="N2038" s="29"/>
      <c r="O2038" s="29"/>
      <c r="P2038" s="34"/>
      <c r="Q2038" s="34"/>
      <c r="R2038" s="35"/>
      <c r="S2038" s="32" t="s">
        <v>29</v>
      </c>
      <c r="T2038" s="33"/>
      <c r="U2038" s="33"/>
    </row>
    <row r="2039" ht="15.75" customHeight="1">
      <c r="A2039" s="20"/>
      <c r="B2039" s="20"/>
      <c r="C2039" s="20"/>
      <c r="D2039" s="21"/>
      <c r="E2039" s="21"/>
      <c r="F2039" s="22"/>
      <c r="G2039" s="21"/>
      <c r="H2039" s="149"/>
      <c r="I2039" s="25"/>
      <c r="J2039" s="26"/>
      <c r="K2039" s="21"/>
      <c r="L2039" s="27"/>
      <c r="M2039" s="28"/>
      <c r="N2039" s="29"/>
      <c r="O2039" s="29"/>
      <c r="P2039" s="34"/>
      <c r="Q2039" s="34"/>
      <c r="R2039" s="35"/>
      <c r="S2039" s="32" t="s">
        <v>29</v>
      </c>
      <c r="T2039" s="33"/>
      <c r="U2039" s="33"/>
    </row>
    <row r="2040" ht="15.75" customHeight="1">
      <c r="A2040" s="20"/>
      <c r="B2040" s="20"/>
      <c r="C2040" s="20"/>
      <c r="D2040" s="21"/>
      <c r="E2040" s="21"/>
      <c r="F2040" s="22"/>
      <c r="G2040" s="21"/>
      <c r="H2040" s="149"/>
      <c r="I2040" s="25"/>
      <c r="J2040" s="26"/>
      <c r="K2040" s="21"/>
      <c r="L2040" s="27"/>
      <c r="M2040" s="28"/>
      <c r="N2040" s="29"/>
      <c r="O2040" s="29"/>
      <c r="P2040" s="34"/>
      <c r="Q2040" s="34"/>
      <c r="R2040" s="35"/>
      <c r="S2040" s="32" t="s">
        <v>29</v>
      </c>
      <c r="T2040" s="33"/>
      <c r="U2040" s="33"/>
    </row>
    <row r="2041" ht="15.75" customHeight="1">
      <c r="A2041" s="20"/>
      <c r="B2041" s="20"/>
      <c r="C2041" s="20"/>
      <c r="D2041" s="21"/>
      <c r="E2041" s="21"/>
      <c r="F2041" s="22"/>
      <c r="G2041" s="21"/>
      <c r="H2041" s="149"/>
      <c r="I2041" s="25"/>
      <c r="J2041" s="26"/>
      <c r="K2041" s="21"/>
      <c r="L2041" s="27"/>
      <c r="M2041" s="28"/>
      <c r="N2041" s="29"/>
      <c r="O2041" s="29"/>
      <c r="P2041" s="34"/>
      <c r="Q2041" s="34"/>
      <c r="R2041" s="35"/>
      <c r="S2041" s="32" t="s">
        <v>29</v>
      </c>
      <c r="T2041" s="33"/>
      <c r="U2041" s="33"/>
    </row>
    <row r="2042" ht="15.75" customHeight="1">
      <c r="A2042" s="20"/>
      <c r="B2042" s="20"/>
      <c r="C2042" s="20"/>
      <c r="D2042" s="21"/>
      <c r="E2042" s="21"/>
      <c r="F2042" s="22"/>
      <c r="G2042" s="21"/>
      <c r="H2042" s="149"/>
      <c r="I2042" s="25"/>
      <c r="J2042" s="26"/>
      <c r="K2042" s="21"/>
      <c r="L2042" s="27"/>
      <c r="M2042" s="28"/>
      <c r="N2042" s="29"/>
      <c r="O2042" s="29"/>
      <c r="P2042" s="34"/>
      <c r="Q2042" s="34"/>
      <c r="R2042" s="35"/>
      <c r="S2042" s="32" t="s">
        <v>29</v>
      </c>
      <c r="T2042" s="33"/>
      <c r="U2042" s="33"/>
    </row>
    <row r="2043" ht="15.75" customHeight="1">
      <c r="A2043" s="20"/>
      <c r="B2043" s="20"/>
      <c r="C2043" s="20"/>
      <c r="D2043" s="21"/>
      <c r="E2043" s="21"/>
      <c r="F2043" s="22"/>
      <c r="G2043" s="21"/>
      <c r="H2043" s="149"/>
      <c r="I2043" s="25"/>
      <c r="J2043" s="26"/>
      <c r="K2043" s="21"/>
      <c r="L2043" s="27"/>
      <c r="M2043" s="28"/>
      <c r="N2043" s="29"/>
      <c r="O2043" s="29"/>
      <c r="P2043" s="34"/>
      <c r="Q2043" s="34"/>
      <c r="R2043" s="35"/>
      <c r="S2043" s="32" t="s">
        <v>29</v>
      </c>
      <c r="T2043" s="33"/>
      <c r="U2043" s="33"/>
    </row>
    <row r="2044" ht="15.75" customHeight="1">
      <c r="A2044" s="20"/>
      <c r="B2044" s="20"/>
      <c r="C2044" s="20"/>
      <c r="D2044" s="21"/>
      <c r="E2044" s="21"/>
      <c r="F2044" s="22"/>
      <c r="G2044" s="21"/>
      <c r="H2044" s="149"/>
      <c r="I2044" s="25"/>
      <c r="J2044" s="26"/>
      <c r="K2044" s="21"/>
      <c r="L2044" s="27"/>
      <c r="M2044" s="28"/>
      <c r="N2044" s="29"/>
      <c r="O2044" s="29"/>
      <c r="P2044" s="34"/>
      <c r="Q2044" s="34"/>
      <c r="R2044" s="35"/>
      <c r="S2044" s="32" t="s">
        <v>29</v>
      </c>
      <c r="T2044" s="33"/>
      <c r="U2044" s="33"/>
    </row>
    <row r="2045" ht="15.75" customHeight="1">
      <c r="A2045" s="20"/>
      <c r="B2045" s="20"/>
      <c r="C2045" s="20"/>
      <c r="D2045" s="21"/>
      <c r="E2045" s="21"/>
      <c r="F2045" s="22"/>
      <c r="G2045" s="21"/>
      <c r="H2045" s="149"/>
      <c r="I2045" s="25"/>
      <c r="J2045" s="26"/>
      <c r="K2045" s="21"/>
      <c r="L2045" s="27"/>
      <c r="M2045" s="28"/>
      <c r="N2045" s="29"/>
      <c r="O2045" s="29"/>
      <c r="P2045" s="34"/>
      <c r="Q2045" s="34"/>
      <c r="R2045" s="35"/>
      <c r="S2045" s="32" t="s">
        <v>29</v>
      </c>
      <c r="T2045" s="33"/>
      <c r="U2045" s="33"/>
    </row>
    <row r="2046" ht="15.75" customHeight="1">
      <c r="A2046" s="20"/>
      <c r="B2046" s="20"/>
      <c r="C2046" s="20"/>
      <c r="D2046" s="21"/>
      <c r="E2046" s="21"/>
      <c r="F2046" s="22"/>
      <c r="G2046" s="21"/>
      <c r="H2046" s="149"/>
      <c r="I2046" s="25"/>
      <c r="J2046" s="26"/>
      <c r="K2046" s="21"/>
      <c r="L2046" s="27"/>
      <c r="M2046" s="28"/>
      <c r="N2046" s="29"/>
      <c r="O2046" s="29"/>
      <c r="P2046" s="34"/>
      <c r="Q2046" s="34"/>
      <c r="R2046" s="35"/>
      <c r="S2046" s="32" t="s">
        <v>29</v>
      </c>
      <c r="T2046" s="33"/>
      <c r="U2046" s="33"/>
    </row>
    <row r="2047" ht="15.75" customHeight="1">
      <c r="A2047" s="20"/>
      <c r="B2047" s="20"/>
      <c r="C2047" s="20"/>
      <c r="D2047" s="21"/>
      <c r="E2047" s="21"/>
      <c r="F2047" s="22"/>
      <c r="G2047" s="21"/>
      <c r="H2047" s="149"/>
      <c r="I2047" s="25"/>
      <c r="J2047" s="26"/>
      <c r="K2047" s="21"/>
      <c r="L2047" s="27"/>
      <c r="M2047" s="28"/>
      <c r="N2047" s="29"/>
      <c r="O2047" s="29"/>
      <c r="P2047" s="34"/>
      <c r="Q2047" s="34"/>
      <c r="R2047" s="35"/>
      <c r="S2047" s="32" t="s">
        <v>29</v>
      </c>
      <c r="T2047" s="33"/>
      <c r="U2047" s="33"/>
    </row>
    <row r="2048" ht="15.75" customHeight="1">
      <c r="A2048" s="20"/>
      <c r="B2048" s="20"/>
      <c r="C2048" s="20"/>
      <c r="D2048" s="21"/>
      <c r="E2048" s="21"/>
      <c r="F2048" s="22"/>
      <c r="G2048" s="21"/>
      <c r="H2048" s="149"/>
      <c r="I2048" s="25"/>
      <c r="J2048" s="26"/>
      <c r="K2048" s="21"/>
      <c r="L2048" s="27"/>
      <c r="M2048" s="28"/>
      <c r="N2048" s="29"/>
      <c r="O2048" s="29"/>
      <c r="P2048" s="34"/>
      <c r="Q2048" s="34"/>
      <c r="R2048" s="35"/>
      <c r="S2048" s="32" t="s">
        <v>29</v>
      </c>
      <c r="T2048" s="33"/>
      <c r="U2048" s="33"/>
    </row>
    <row r="2049" ht="15.75" customHeight="1">
      <c r="A2049" s="20"/>
      <c r="B2049" s="20"/>
      <c r="C2049" s="20"/>
      <c r="D2049" s="21"/>
      <c r="E2049" s="21"/>
      <c r="F2049" s="22"/>
      <c r="G2049" s="21"/>
      <c r="H2049" s="149"/>
      <c r="I2049" s="25"/>
      <c r="J2049" s="26"/>
      <c r="K2049" s="21"/>
      <c r="L2049" s="27"/>
      <c r="M2049" s="28"/>
      <c r="N2049" s="29"/>
      <c r="O2049" s="29"/>
      <c r="P2049" s="34"/>
      <c r="Q2049" s="34"/>
      <c r="R2049" s="35"/>
      <c r="S2049" s="32" t="s">
        <v>29</v>
      </c>
      <c r="T2049" s="33"/>
      <c r="U2049" s="33"/>
    </row>
    <row r="2050" ht="15.75" customHeight="1">
      <c r="A2050" s="20"/>
      <c r="B2050" s="20"/>
      <c r="C2050" s="20"/>
      <c r="D2050" s="21"/>
      <c r="E2050" s="21"/>
      <c r="F2050" s="22"/>
      <c r="G2050" s="21"/>
      <c r="H2050" s="149"/>
      <c r="I2050" s="25"/>
      <c r="J2050" s="26"/>
      <c r="K2050" s="21"/>
      <c r="L2050" s="27"/>
      <c r="M2050" s="28"/>
      <c r="N2050" s="29"/>
      <c r="O2050" s="29"/>
      <c r="P2050" s="34"/>
      <c r="Q2050" s="34"/>
      <c r="R2050" s="35"/>
      <c r="S2050" s="32" t="s">
        <v>29</v>
      </c>
      <c r="T2050" s="33"/>
      <c r="U2050" s="33"/>
    </row>
    <row r="2051" ht="15.75" customHeight="1">
      <c r="A2051" s="20"/>
      <c r="B2051" s="20"/>
      <c r="C2051" s="20"/>
      <c r="D2051" s="21"/>
      <c r="E2051" s="21"/>
      <c r="F2051" s="22"/>
      <c r="G2051" s="21"/>
      <c r="H2051" s="149"/>
      <c r="I2051" s="25"/>
      <c r="J2051" s="26"/>
      <c r="K2051" s="21"/>
      <c r="L2051" s="27"/>
      <c r="M2051" s="28"/>
      <c r="N2051" s="29"/>
      <c r="O2051" s="29"/>
      <c r="P2051" s="34"/>
      <c r="Q2051" s="34"/>
      <c r="R2051" s="35"/>
      <c r="S2051" s="32" t="s">
        <v>29</v>
      </c>
      <c r="T2051" s="33"/>
      <c r="U2051" s="33"/>
    </row>
    <row r="2052" ht="15.75" customHeight="1">
      <c r="A2052" s="20"/>
      <c r="B2052" s="20"/>
      <c r="C2052" s="20"/>
      <c r="D2052" s="21"/>
      <c r="E2052" s="21"/>
      <c r="F2052" s="22"/>
      <c r="G2052" s="21"/>
      <c r="H2052" s="149"/>
      <c r="I2052" s="25"/>
      <c r="J2052" s="26"/>
      <c r="K2052" s="21"/>
      <c r="L2052" s="27"/>
      <c r="M2052" s="28"/>
      <c r="N2052" s="29"/>
      <c r="O2052" s="29"/>
      <c r="P2052" s="34"/>
      <c r="Q2052" s="34"/>
      <c r="R2052" s="35"/>
      <c r="S2052" s="32" t="s">
        <v>29</v>
      </c>
      <c r="T2052" s="33"/>
      <c r="U2052" s="33"/>
    </row>
    <row r="2053" ht="15.75" customHeight="1">
      <c r="A2053" s="20"/>
      <c r="B2053" s="20"/>
      <c r="C2053" s="20"/>
      <c r="D2053" s="21"/>
      <c r="E2053" s="21"/>
      <c r="F2053" s="22"/>
      <c r="G2053" s="21"/>
      <c r="H2053" s="149"/>
      <c r="I2053" s="25"/>
      <c r="J2053" s="26"/>
      <c r="K2053" s="21"/>
      <c r="L2053" s="27"/>
      <c r="M2053" s="28"/>
      <c r="N2053" s="29"/>
      <c r="O2053" s="29"/>
      <c r="P2053" s="34"/>
      <c r="Q2053" s="34"/>
      <c r="R2053" s="35"/>
      <c r="S2053" s="32" t="s">
        <v>29</v>
      </c>
      <c r="T2053" s="33"/>
      <c r="U2053" s="33"/>
    </row>
    <row r="2054" ht="15.75" customHeight="1">
      <c r="A2054" s="20"/>
      <c r="B2054" s="20"/>
      <c r="C2054" s="20"/>
      <c r="D2054" s="21"/>
      <c r="E2054" s="21"/>
      <c r="F2054" s="22"/>
      <c r="G2054" s="21"/>
      <c r="H2054" s="149"/>
      <c r="I2054" s="25"/>
      <c r="J2054" s="26"/>
      <c r="K2054" s="21"/>
      <c r="L2054" s="27"/>
      <c r="M2054" s="28"/>
      <c r="N2054" s="29"/>
      <c r="O2054" s="29"/>
      <c r="P2054" s="34"/>
      <c r="Q2054" s="34"/>
      <c r="R2054" s="35"/>
      <c r="S2054" s="32" t="s">
        <v>29</v>
      </c>
      <c r="T2054" s="33"/>
      <c r="U2054" s="33"/>
    </row>
    <row r="2055" ht="15.75" customHeight="1">
      <c r="A2055" s="20"/>
      <c r="B2055" s="20"/>
      <c r="C2055" s="20"/>
      <c r="D2055" s="21"/>
      <c r="E2055" s="21"/>
      <c r="F2055" s="22"/>
      <c r="G2055" s="21"/>
      <c r="H2055" s="149"/>
      <c r="I2055" s="25"/>
      <c r="J2055" s="26"/>
      <c r="K2055" s="21"/>
      <c r="L2055" s="27"/>
      <c r="M2055" s="28"/>
      <c r="N2055" s="29"/>
      <c r="O2055" s="29"/>
      <c r="P2055" s="34"/>
      <c r="Q2055" s="34"/>
      <c r="R2055" s="35"/>
      <c r="S2055" s="32" t="s">
        <v>29</v>
      </c>
      <c r="T2055" s="33"/>
      <c r="U2055" s="33"/>
    </row>
    <row r="2056" ht="15.75" customHeight="1">
      <c r="A2056" s="20"/>
      <c r="B2056" s="20"/>
      <c r="C2056" s="20"/>
      <c r="D2056" s="21"/>
      <c r="E2056" s="21"/>
      <c r="F2056" s="22"/>
      <c r="G2056" s="21"/>
      <c r="H2056" s="149"/>
      <c r="I2056" s="25"/>
      <c r="J2056" s="26"/>
      <c r="K2056" s="21"/>
      <c r="L2056" s="27"/>
      <c r="M2056" s="28"/>
      <c r="N2056" s="29"/>
      <c r="O2056" s="29"/>
      <c r="P2056" s="34"/>
      <c r="Q2056" s="34"/>
      <c r="R2056" s="35"/>
      <c r="S2056" s="32" t="s">
        <v>29</v>
      </c>
      <c r="T2056" s="33"/>
      <c r="U2056" s="33"/>
    </row>
    <row r="2057" ht="15.75" customHeight="1">
      <c r="A2057" s="20"/>
      <c r="B2057" s="20"/>
      <c r="C2057" s="20"/>
      <c r="D2057" s="21"/>
      <c r="E2057" s="21"/>
      <c r="F2057" s="22"/>
      <c r="G2057" s="21"/>
      <c r="H2057" s="149"/>
      <c r="I2057" s="25"/>
      <c r="J2057" s="26"/>
      <c r="K2057" s="21"/>
      <c r="L2057" s="29"/>
      <c r="M2057" s="28"/>
      <c r="N2057" s="29"/>
      <c r="O2057" s="29"/>
      <c r="P2057" s="34"/>
      <c r="Q2057" s="34"/>
      <c r="R2057" s="35"/>
      <c r="S2057" s="32" t="s">
        <v>29</v>
      </c>
      <c r="T2057" s="33"/>
      <c r="U2057" s="33"/>
    </row>
    <row r="2058" ht="15.75" customHeight="1">
      <c r="A2058" s="20"/>
      <c r="B2058" s="20"/>
      <c r="C2058" s="20"/>
      <c r="D2058" s="21"/>
      <c r="E2058" s="21"/>
      <c r="F2058" s="22"/>
      <c r="G2058" s="21"/>
      <c r="H2058" s="149"/>
      <c r="I2058" s="25"/>
      <c r="J2058" s="26"/>
      <c r="K2058" s="21"/>
      <c r="L2058" s="27"/>
      <c r="M2058" s="28"/>
      <c r="N2058" s="29"/>
      <c r="O2058" s="29"/>
      <c r="P2058" s="34"/>
      <c r="Q2058" s="34"/>
      <c r="R2058" s="35"/>
      <c r="S2058" s="32" t="s">
        <v>29</v>
      </c>
      <c r="T2058" s="33"/>
      <c r="U2058" s="33"/>
    </row>
    <row r="2059" ht="15.75" customHeight="1">
      <c r="A2059" s="20"/>
      <c r="B2059" s="20"/>
      <c r="C2059" s="20"/>
      <c r="D2059" s="21"/>
      <c r="E2059" s="21"/>
      <c r="F2059" s="22"/>
      <c r="G2059" s="21"/>
      <c r="H2059" s="149"/>
      <c r="I2059" s="25"/>
      <c r="J2059" s="26"/>
      <c r="K2059" s="21"/>
      <c r="L2059" s="27"/>
      <c r="M2059" s="28"/>
      <c r="N2059" s="29"/>
      <c r="O2059" s="29"/>
      <c r="P2059" s="34"/>
      <c r="Q2059" s="34"/>
      <c r="R2059" s="35"/>
      <c r="S2059" s="32" t="s">
        <v>29</v>
      </c>
      <c r="T2059" s="33"/>
      <c r="U2059" s="33"/>
    </row>
    <row r="2060" ht="15.75" customHeight="1">
      <c r="A2060" s="20"/>
      <c r="B2060" s="20"/>
      <c r="C2060" s="20"/>
      <c r="D2060" s="21"/>
      <c r="E2060" s="21"/>
      <c r="F2060" s="22"/>
      <c r="G2060" s="21"/>
      <c r="H2060" s="149"/>
      <c r="I2060" s="25"/>
      <c r="J2060" s="26"/>
      <c r="K2060" s="21"/>
      <c r="L2060" s="27"/>
      <c r="M2060" s="28"/>
      <c r="N2060" s="29"/>
      <c r="O2060" s="29"/>
      <c r="P2060" s="34"/>
      <c r="Q2060" s="34"/>
      <c r="R2060" s="35"/>
      <c r="S2060" s="32" t="s">
        <v>29</v>
      </c>
      <c r="T2060" s="33"/>
      <c r="U2060" s="33"/>
    </row>
    <row r="2061" ht="15.75" customHeight="1">
      <c r="A2061" s="20"/>
      <c r="B2061" s="20"/>
      <c r="C2061" s="20"/>
      <c r="D2061" s="21"/>
      <c r="E2061" s="21"/>
      <c r="F2061" s="22"/>
      <c r="G2061" s="21"/>
      <c r="H2061" s="149"/>
      <c r="I2061" s="25"/>
      <c r="J2061" s="26"/>
      <c r="K2061" s="21"/>
      <c r="L2061" s="27"/>
      <c r="M2061" s="28"/>
      <c r="N2061" s="29"/>
      <c r="O2061" s="29"/>
      <c r="P2061" s="34"/>
      <c r="Q2061" s="34"/>
      <c r="R2061" s="79"/>
      <c r="S2061" s="32" t="s">
        <v>29</v>
      </c>
      <c r="T2061" s="33"/>
      <c r="U2061" s="33"/>
    </row>
    <row r="2062" ht="15.75" customHeight="1">
      <c r="A2062" s="20"/>
      <c r="B2062" s="20"/>
      <c r="C2062" s="20"/>
      <c r="D2062" s="21"/>
      <c r="E2062" s="21"/>
      <c r="F2062" s="22"/>
      <c r="G2062" s="21"/>
      <c r="H2062" s="149"/>
      <c r="I2062" s="25"/>
      <c r="J2062" s="26"/>
      <c r="K2062" s="21"/>
      <c r="L2062" s="27"/>
      <c r="M2062" s="28"/>
      <c r="N2062" s="29"/>
      <c r="O2062" s="29"/>
      <c r="P2062" s="34"/>
      <c r="Q2062" s="34"/>
      <c r="R2062" s="35"/>
      <c r="S2062" s="32" t="s">
        <v>29</v>
      </c>
      <c r="T2062" s="33"/>
      <c r="U2062" s="33"/>
    </row>
    <row r="2063" ht="15.75" customHeight="1">
      <c r="A2063" s="20"/>
      <c r="B2063" s="20"/>
      <c r="C2063" s="20"/>
      <c r="D2063" s="21"/>
      <c r="E2063" s="21"/>
      <c r="F2063" s="22"/>
      <c r="G2063" s="21"/>
      <c r="H2063" s="149"/>
      <c r="I2063" s="25"/>
      <c r="J2063" s="26"/>
      <c r="K2063" s="21"/>
      <c r="L2063" s="27"/>
      <c r="M2063" s="28"/>
      <c r="N2063" s="29"/>
      <c r="O2063" s="29"/>
      <c r="P2063" s="34"/>
      <c r="Q2063" s="34"/>
      <c r="R2063" s="35"/>
      <c r="S2063" s="32" t="s">
        <v>29</v>
      </c>
      <c r="T2063" s="33"/>
      <c r="U2063" s="33"/>
    </row>
    <row r="2064" ht="15.75" customHeight="1">
      <c r="A2064" s="20"/>
      <c r="B2064" s="20"/>
      <c r="C2064" s="20"/>
      <c r="D2064" s="21"/>
      <c r="E2064" s="21"/>
      <c r="F2064" s="67"/>
      <c r="G2064" s="23"/>
      <c r="H2064" s="149"/>
      <c r="I2064" s="25"/>
      <c r="J2064" s="26"/>
      <c r="K2064" s="21"/>
      <c r="L2064" s="29"/>
      <c r="M2064" s="28"/>
      <c r="N2064" s="29"/>
      <c r="O2064" s="29"/>
      <c r="P2064" s="34"/>
      <c r="Q2064" s="34"/>
      <c r="R2064" s="35"/>
      <c r="S2064" s="32" t="s">
        <v>29</v>
      </c>
      <c r="T2064" s="33"/>
      <c r="U2064" s="33"/>
    </row>
    <row r="2065" ht="15.75" customHeight="1">
      <c r="A2065" s="20"/>
      <c r="B2065" s="20"/>
      <c r="C2065" s="20"/>
      <c r="D2065" s="21"/>
      <c r="E2065" s="21"/>
      <c r="F2065" s="22"/>
      <c r="G2065" s="21"/>
      <c r="H2065" s="149"/>
      <c r="I2065" s="25"/>
      <c r="J2065" s="26"/>
      <c r="K2065" s="21"/>
      <c r="L2065" s="27"/>
      <c r="M2065" s="28"/>
      <c r="N2065" s="29"/>
      <c r="O2065" s="29"/>
      <c r="P2065" s="34"/>
      <c r="Q2065" s="34"/>
      <c r="R2065" s="79"/>
      <c r="S2065" s="32" t="s">
        <v>29</v>
      </c>
      <c r="T2065" s="33"/>
      <c r="U2065" s="33"/>
    </row>
    <row r="2066" ht="15.75" customHeight="1">
      <c r="A2066" s="20"/>
      <c r="B2066" s="20"/>
      <c r="C2066" s="20"/>
      <c r="D2066" s="21"/>
      <c r="E2066" s="21"/>
      <c r="F2066" s="22"/>
      <c r="G2066" s="21"/>
      <c r="H2066" s="149"/>
      <c r="I2066" s="25"/>
      <c r="J2066" s="26"/>
      <c r="K2066" s="21"/>
      <c r="L2066" s="27"/>
      <c r="M2066" s="28"/>
      <c r="N2066" s="29"/>
      <c r="O2066" s="29"/>
      <c r="P2066" s="34"/>
      <c r="Q2066" s="34"/>
      <c r="R2066" s="35"/>
      <c r="S2066" s="32" t="s">
        <v>29</v>
      </c>
      <c r="T2066" s="33"/>
      <c r="U2066" s="33"/>
    </row>
    <row r="2067" ht="15.75" customHeight="1">
      <c r="A2067" s="20"/>
      <c r="B2067" s="20"/>
      <c r="C2067" s="20"/>
      <c r="D2067" s="21"/>
      <c r="E2067" s="21"/>
      <c r="F2067" s="22"/>
      <c r="G2067" s="21"/>
      <c r="H2067" s="149"/>
      <c r="I2067" s="25"/>
      <c r="J2067" s="26"/>
      <c r="L2067" s="27"/>
      <c r="M2067" s="28"/>
      <c r="N2067" s="29"/>
      <c r="O2067" s="29"/>
      <c r="P2067" s="34"/>
      <c r="Q2067" s="34"/>
      <c r="R2067" s="35"/>
      <c r="S2067" s="32" t="s">
        <v>29</v>
      </c>
      <c r="T2067" s="33"/>
      <c r="U2067" s="33"/>
    </row>
    <row r="2068" ht="15.75" customHeight="1">
      <c r="A2068" s="20"/>
      <c r="B2068" s="20"/>
      <c r="C2068" s="20"/>
      <c r="D2068" s="21"/>
      <c r="E2068" s="21"/>
      <c r="F2068" s="22"/>
      <c r="G2068" s="21"/>
      <c r="H2068" s="149"/>
      <c r="I2068" s="25"/>
      <c r="J2068" s="26"/>
      <c r="K2068" s="21"/>
      <c r="L2068" s="27"/>
      <c r="M2068" s="28"/>
      <c r="N2068" s="29"/>
      <c r="O2068" s="29"/>
      <c r="P2068" s="34"/>
      <c r="Q2068" s="34"/>
      <c r="R2068" s="35"/>
      <c r="S2068" s="32" t="s">
        <v>29</v>
      </c>
      <c r="T2068" s="33"/>
      <c r="U2068" s="33"/>
    </row>
    <row r="2069" ht="15.75" customHeight="1">
      <c r="A2069" s="20"/>
      <c r="B2069" s="20"/>
      <c r="C2069" s="20"/>
      <c r="D2069" s="21"/>
      <c r="E2069" s="21"/>
      <c r="F2069" s="22"/>
      <c r="G2069" s="21"/>
      <c r="H2069" s="149"/>
      <c r="I2069" s="25"/>
      <c r="J2069" s="26"/>
      <c r="K2069" s="21"/>
      <c r="L2069" s="27"/>
      <c r="M2069" s="28"/>
      <c r="N2069" s="29"/>
      <c r="O2069" s="29"/>
      <c r="P2069" s="34"/>
      <c r="Q2069" s="34"/>
      <c r="R2069" s="35"/>
      <c r="S2069" s="32" t="s">
        <v>29</v>
      </c>
      <c r="T2069" s="33"/>
      <c r="U2069" s="33"/>
    </row>
    <row r="2070" ht="15.75" customHeight="1">
      <c r="A2070" s="20"/>
      <c r="B2070" s="20"/>
      <c r="C2070" s="20"/>
      <c r="D2070" s="21"/>
      <c r="E2070" s="21"/>
      <c r="F2070" s="22"/>
      <c r="G2070" s="21"/>
      <c r="H2070" s="149"/>
      <c r="I2070" s="25"/>
      <c r="J2070" s="26"/>
      <c r="K2070" s="21"/>
      <c r="L2070" s="29"/>
      <c r="M2070" s="28"/>
      <c r="N2070" s="29"/>
      <c r="O2070" s="29"/>
      <c r="P2070" s="34"/>
      <c r="Q2070" s="34"/>
      <c r="R2070" s="35"/>
      <c r="S2070" s="32" t="s">
        <v>29</v>
      </c>
      <c r="T2070" s="33"/>
      <c r="U2070" s="33"/>
    </row>
    <row r="2071" ht="15.75" customHeight="1">
      <c r="A2071" s="20"/>
      <c r="B2071" s="20"/>
      <c r="C2071" s="20"/>
      <c r="D2071" s="21"/>
      <c r="E2071" s="21"/>
      <c r="F2071" s="22"/>
      <c r="G2071" s="21"/>
      <c r="H2071" s="149"/>
      <c r="I2071" s="25"/>
      <c r="J2071" s="26"/>
      <c r="K2071" s="21"/>
      <c r="L2071" s="27"/>
      <c r="M2071" s="28"/>
      <c r="N2071" s="29"/>
      <c r="O2071" s="29"/>
      <c r="P2071" s="34"/>
      <c r="Q2071" s="34"/>
      <c r="R2071" s="35"/>
      <c r="S2071" s="32" t="s">
        <v>29</v>
      </c>
      <c r="T2071" s="33"/>
      <c r="U2071" s="33"/>
    </row>
    <row r="2072" ht="15.75" customHeight="1">
      <c r="A2072" s="20"/>
      <c r="B2072" s="20"/>
      <c r="C2072" s="20"/>
      <c r="D2072" s="21"/>
      <c r="E2072" s="21"/>
      <c r="F2072" s="22"/>
      <c r="G2072" s="21"/>
      <c r="H2072" s="149"/>
      <c r="I2072" s="25"/>
      <c r="J2072" s="26"/>
      <c r="K2072" s="21"/>
      <c r="L2072" s="27"/>
      <c r="M2072" s="28"/>
      <c r="N2072" s="29"/>
      <c r="O2072" s="29"/>
      <c r="P2072" s="34"/>
      <c r="Q2072" s="34"/>
      <c r="R2072" s="35"/>
      <c r="S2072" s="32" t="s">
        <v>29</v>
      </c>
      <c r="T2072" s="33"/>
      <c r="U2072" s="33"/>
    </row>
    <row r="2073" ht="15.75" customHeight="1">
      <c r="A2073" s="20"/>
      <c r="B2073" s="20"/>
      <c r="C2073" s="20"/>
      <c r="D2073" s="21"/>
      <c r="E2073" s="21"/>
      <c r="F2073" s="22"/>
      <c r="G2073" s="21"/>
      <c r="H2073" s="149"/>
      <c r="I2073" s="25"/>
      <c r="J2073" s="26"/>
      <c r="K2073" s="21"/>
      <c r="L2073" s="27"/>
      <c r="M2073" s="28"/>
      <c r="N2073" s="29"/>
      <c r="O2073" s="29"/>
      <c r="P2073" s="34"/>
      <c r="Q2073" s="34"/>
      <c r="R2073" s="35"/>
      <c r="S2073" s="32" t="s">
        <v>29</v>
      </c>
      <c r="T2073" s="33"/>
      <c r="U2073" s="33"/>
    </row>
    <row r="2074" ht="15.75" customHeight="1">
      <c r="A2074" s="20"/>
      <c r="B2074" s="20"/>
      <c r="C2074" s="20"/>
      <c r="D2074" s="21"/>
      <c r="E2074" s="21"/>
      <c r="F2074" s="22"/>
      <c r="G2074" s="21"/>
      <c r="H2074" s="149"/>
      <c r="I2074" s="25"/>
      <c r="J2074" s="26"/>
      <c r="K2074" s="21"/>
      <c r="L2074" s="27"/>
      <c r="M2074" s="28"/>
      <c r="N2074" s="29"/>
      <c r="O2074" s="29"/>
      <c r="P2074" s="34"/>
      <c r="Q2074" s="34"/>
      <c r="R2074" s="35"/>
      <c r="S2074" s="32" t="s">
        <v>29</v>
      </c>
      <c r="T2074" s="33"/>
      <c r="U2074" s="33"/>
    </row>
    <row r="2075" ht="15.75" customHeight="1">
      <c r="A2075" s="20"/>
      <c r="B2075" s="20"/>
      <c r="C2075" s="20"/>
      <c r="D2075" s="21"/>
      <c r="E2075" s="21"/>
      <c r="F2075" s="22"/>
      <c r="G2075" s="21"/>
      <c r="H2075" s="149"/>
      <c r="I2075" s="25"/>
      <c r="J2075" s="26"/>
      <c r="K2075" s="21"/>
      <c r="L2075" s="27"/>
      <c r="M2075" s="28"/>
      <c r="N2075" s="29"/>
      <c r="O2075" s="29"/>
      <c r="P2075" s="34"/>
      <c r="Q2075" s="34"/>
      <c r="R2075" s="35"/>
      <c r="S2075" s="32" t="s">
        <v>29</v>
      </c>
      <c r="T2075" s="33"/>
      <c r="U2075" s="33"/>
    </row>
    <row r="2076" ht="15.75" customHeight="1">
      <c r="A2076" s="20"/>
      <c r="B2076" s="20"/>
      <c r="C2076" s="20"/>
      <c r="D2076" s="21"/>
      <c r="E2076" s="21"/>
      <c r="F2076" s="22"/>
      <c r="G2076" s="21"/>
      <c r="H2076" s="149"/>
      <c r="I2076" s="25"/>
      <c r="J2076" s="26"/>
      <c r="K2076" s="21"/>
      <c r="L2076" s="29"/>
      <c r="M2076" s="28"/>
      <c r="N2076" s="29"/>
      <c r="O2076" s="29"/>
      <c r="P2076" s="34"/>
      <c r="Q2076" s="34"/>
      <c r="R2076" s="35"/>
      <c r="S2076" s="32" t="s">
        <v>29</v>
      </c>
      <c r="T2076" s="33"/>
      <c r="U2076" s="33"/>
    </row>
    <row r="2077" ht="15.75" customHeight="1">
      <c r="A2077" s="20"/>
      <c r="B2077" s="20"/>
      <c r="C2077" s="20"/>
      <c r="D2077" s="21"/>
      <c r="E2077" s="21"/>
      <c r="F2077" s="22"/>
      <c r="G2077" s="21"/>
      <c r="H2077" s="149"/>
      <c r="I2077" s="25"/>
      <c r="J2077" s="26"/>
      <c r="K2077" s="21"/>
      <c r="L2077" s="27"/>
      <c r="M2077" s="28"/>
      <c r="N2077" s="29"/>
      <c r="O2077" s="29"/>
      <c r="P2077" s="34"/>
      <c r="Q2077" s="34"/>
      <c r="R2077" s="35"/>
      <c r="S2077" s="32" t="s">
        <v>29</v>
      </c>
      <c r="T2077" s="33"/>
      <c r="U2077" s="33"/>
    </row>
    <row r="2078" ht="15.75" customHeight="1">
      <c r="A2078" s="20"/>
      <c r="B2078" s="20"/>
      <c r="C2078" s="20"/>
      <c r="D2078" s="21"/>
      <c r="E2078" s="21"/>
      <c r="F2078" s="22"/>
      <c r="G2078" s="21"/>
      <c r="H2078" s="149"/>
      <c r="I2078" s="25"/>
      <c r="J2078" s="26"/>
      <c r="K2078" s="21"/>
      <c r="L2078" s="27"/>
      <c r="M2078" s="28"/>
      <c r="N2078" s="29"/>
      <c r="O2078" s="29"/>
      <c r="P2078" s="34"/>
      <c r="Q2078" s="34"/>
      <c r="R2078" s="35"/>
      <c r="S2078" s="32" t="s">
        <v>29</v>
      </c>
      <c r="T2078" s="33"/>
      <c r="U2078" s="33"/>
    </row>
    <row r="2079" ht="15.75" customHeight="1">
      <c r="A2079" s="20"/>
      <c r="B2079" s="20"/>
      <c r="C2079" s="20"/>
      <c r="D2079" s="21"/>
      <c r="E2079" s="21"/>
      <c r="F2079" s="22"/>
      <c r="G2079" s="21"/>
      <c r="H2079" s="149"/>
      <c r="I2079" s="25"/>
      <c r="J2079" s="26"/>
      <c r="K2079" s="21"/>
      <c r="L2079" s="29"/>
      <c r="M2079" s="28"/>
      <c r="N2079" s="29"/>
      <c r="O2079" s="29"/>
      <c r="P2079" s="34"/>
      <c r="Q2079" s="207"/>
      <c r="R2079" s="35"/>
      <c r="S2079" s="32" t="s">
        <v>29</v>
      </c>
      <c r="T2079" s="33"/>
      <c r="U2079" s="33"/>
    </row>
    <row r="2080" ht="15.75" customHeight="1">
      <c r="A2080" s="20"/>
      <c r="B2080" s="20"/>
      <c r="C2080" s="20"/>
      <c r="D2080" s="21"/>
      <c r="E2080" s="21"/>
      <c r="F2080" s="22"/>
      <c r="G2080" s="21"/>
      <c r="H2080" s="149"/>
      <c r="I2080" s="25"/>
      <c r="J2080" s="26"/>
      <c r="K2080" s="21"/>
      <c r="L2080" s="27"/>
      <c r="M2080" s="28"/>
      <c r="N2080" s="29"/>
      <c r="O2080" s="208"/>
      <c r="P2080" s="209"/>
      <c r="Q2080" s="207"/>
      <c r="R2080" s="210"/>
      <c r="S2080" s="32" t="s">
        <v>29</v>
      </c>
      <c r="T2080" s="33"/>
      <c r="U2080" s="33"/>
    </row>
    <row r="2081" ht="15.75" customHeight="1">
      <c r="A2081" s="20"/>
      <c r="B2081" s="20"/>
      <c r="C2081" s="20"/>
      <c r="D2081" s="21"/>
      <c r="E2081" s="21"/>
      <c r="F2081" s="22"/>
      <c r="G2081" s="21"/>
      <c r="H2081" s="149"/>
      <c r="I2081" s="25"/>
      <c r="J2081" s="26"/>
      <c r="K2081" s="21"/>
      <c r="L2081" s="27"/>
      <c r="M2081" s="28"/>
      <c r="N2081" s="29"/>
      <c r="O2081" s="29"/>
      <c r="P2081" s="34"/>
      <c r="Q2081" s="207"/>
      <c r="R2081" s="35"/>
      <c r="S2081" s="32" t="s">
        <v>29</v>
      </c>
      <c r="T2081" s="33"/>
      <c r="U2081" s="33"/>
    </row>
    <row r="2082" ht="15.75" customHeight="1">
      <c r="A2082" s="20"/>
      <c r="B2082" s="20"/>
      <c r="C2082" s="20"/>
      <c r="D2082" s="21"/>
      <c r="E2082" s="21"/>
      <c r="F2082" s="22"/>
      <c r="G2082" s="21"/>
      <c r="H2082" s="149"/>
      <c r="I2082" s="25"/>
      <c r="J2082" s="26"/>
      <c r="K2082" s="21"/>
      <c r="L2082" s="27"/>
      <c r="M2082" s="28"/>
      <c r="N2082" s="29"/>
      <c r="O2082" s="29"/>
      <c r="P2082" s="34"/>
      <c r="Q2082" s="34"/>
      <c r="R2082" s="35"/>
      <c r="S2082" s="32" t="s">
        <v>29</v>
      </c>
      <c r="T2082" s="33"/>
      <c r="U2082" s="33"/>
    </row>
    <row r="2083" ht="15.75" customHeight="1">
      <c r="A2083" s="20"/>
      <c r="B2083" s="20"/>
      <c r="C2083" s="20"/>
      <c r="D2083" s="21"/>
      <c r="E2083" s="21"/>
      <c r="F2083" s="22"/>
      <c r="G2083" s="21"/>
      <c r="H2083" s="149"/>
      <c r="I2083" s="25"/>
      <c r="J2083" s="26"/>
      <c r="K2083" s="21"/>
      <c r="L2083" s="27"/>
      <c r="M2083" s="28"/>
      <c r="N2083" s="29"/>
      <c r="O2083" s="29"/>
      <c r="P2083" s="34"/>
      <c r="Q2083" s="34"/>
      <c r="R2083" s="35"/>
      <c r="S2083" s="32" t="s">
        <v>29</v>
      </c>
      <c r="T2083" s="33"/>
      <c r="U2083" s="33"/>
    </row>
    <row r="2084" ht="15.75" customHeight="1">
      <c r="A2084" s="20"/>
      <c r="B2084" s="20"/>
      <c r="C2084" s="20"/>
      <c r="D2084" s="21"/>
      <c r="E2084" s="21"/>
      <c r="F2084" s="22"/>
      <c r="G2084" s="21"/>
      <c r="H2084" s="149"/>
      <c r="I2084" s="25"/>
      <c r="J2084" s="26"/>
      <c r="K2084" s="21"/>
      <c r="L2084" s="27"/>
      <c r="M2084" s="28"/>
      <c r="N2084" s="29"/>
      <c r="O2084" s="29"/>
      <c r="P2084" s="34"/>
      <c r="Q2084" s="34"/>
      <c r="R2084" s="35"/>
      <c r="S2084" s="32" t="s">
        <v>29</v>
      </c>
      <c r="T2084" s="33"/>
      <c r="U2084" s="33"/>
    </row>
    <row r="2085" ht="15.75" customHeight="1">
      <c r="A2085" s="20"/>
      <c r="B2085" s="20"/>
      <c r="C2085" s="20"/>
      <c r="D2085" s="21"/>
      <c r="E2085" s="21"/>
      <c r="F2085" s="22"/>
      <c r="G2085" s="21"/>
      <c r="H2085" s="149"/>
      <c r="I2085" s="25"/>
      <c r="J2085" s="26"/>
      <c r="K2085" s="21"/>
      <c r="L2085" s="27"/>
      <c r="M2085" s="28"/>
      <c r="N2085" s="29"/>
      <c r="O2085" s="29"/>
      <c r="P2085" s="34"/>
      <c r="Q2085" s="34"/>
      <c r="R2085" s="35"/>
      <c r="S2085" s="32" t="s">
        <v>29</v>
      </c>
      <c r="T2085" s="33"/>
      <c r="U2085" s="33"/>
    </row>
    <row r="2086" ht="15.75" customHeight="1">
      <c r="A2086" s="20"/>
      <c r="B2086" s="20"/>
      <c r="C2086" s="20"/>
      <c r="D2086" s="21"/>
      <c r="E2086" s="21"/>
      <c r="F2086" s="22"/>
      <c r="G2086" s="21"/>
      <c r="H2086" s="149"/>
      <c r="I2086" s="25"/>
      <c r="J2086" s="26"/>
      <c r="K2086" s="21"/>
      <c r="L2086" s="27"/>
      <c r="M2086" s="28"/>
      <c r="N2086" s="29"/>
      <c r="O2086" s="29"/>
      <c r="P2086" s="34"/>
      <c r="Q2086" s="34"/>
      <c r="R2086" s="35"/>
      <c r="S2086" s="32" t="s">
        <v>29</v>
      </c>
      <c r="T2086" s="33"/>
      <c r="U2086" s="33"/>
    </row>
    <row r="2087" ht="15.75" customHeight="1">
      <c r="A2087" s="20"/>
      <c r="B2087" s="20"/>
      <c r="C2087" s="20"/>
      <c r="D2087" s="21"/>
      <c r="E2087" s="21"/>
      <c r="F2087" s="22"/>
      <c r="G2087" s="21"/>
      <c r="H2087" s="149"/>
      <c r="I2087" s="25"/>
      <c r="J2087" s="26"/>
      <c r="K2087" s="21"/>
      <c r="L2087" s="29"/>
      <c r="M2087" s="28"/>
      <c r="N2087" s="29"/>
      <c r="O2087" s="29"/>
      <c r="P2087" s="34"/>
      <c r="Q2087" s="34"/>
      <c r="R2087" s="35"/>
      <c r="S2087" s="32" t="s">
        <v>29</v>
      </c>
      <c r="T2087" s="33"/>
      <c r="U2087" s="33"/>
    </row>
    <row r="2088" ht="15.75" customHeight="1">
      <c r="A2088" s="20"/>
      <c r="B2088" s="20"/>
      <c r="C2088" s="20"/>
      <c r="D2088" s="21"/>
      <c r="E2088" s="21"/>
      <c r="F2088" s="22"/>
      <c r="G2088" s="21"/>
      <c r="H2088" s="149"/>
      <c r="I2088" s="25"/>
      <c r="J2088" s="26"/>
      <c r="K2088" s="21"/>
      <c r="L2088" s="27"/>
      <c r="M2088" s="28"/>
      <c r="N2088" s="29"/>
      <c r="O2088" s="29"/>
      <c r="P2088" s="34"/>
      <c r="Q2088" s="34"/>
      <c r="R2088" s="35"/>
      <c r="S2088" s="32" t="s">
        <v>29</v>
      </c>
      <c r="T2088" s="33"/>
      <c r="U2088" s="33"/>
    </row>
    <row r="2089" ht="15.75" customHeight="1">
      <c r="A2089" s="20"/>
      <c r="B2089" s="20"/>
      <c r="C2089" s="20"/>
      <c r="D2089" s="21"/>
      <c r="E2089" s="21"/>
      <c r="F2089" s="22"/>
      <c r="G2089" s="21"/>
      <c r="H2089" s="149"/>
      <c r="I2089" s="25"/>
      <c r="J2089" s="26"/>
      <c r="K2089" s="21"/>
      <c r="L2089" s="29"/>
      <c r="M2089" s="28"/>
      <c r="N2089" s="29"/>
      <c r="O2089" s="29"/>
      <c r="P2089" s="34"/>
      <c r="Q2089" s="34"/>
      <c r="R2089" s="35"/>
      <c r="S2089" s="32" t="s">
        <v>29</v>
      </c>
      <c r="T2089" s="33"/>
      <c r="U2089" s="33"/>
    </row>
    <row r="2090" ht="15.75" customHeight="1">
      <c r="A2090" s="20"/>
      <c r="B2090" s="20"/>
      <c r="C2090" s="20"/>
      <c r="D2090" s="21"/>
      <c r="E2090" s="21"/>
      <c r="F2090" s="67"/>
      <c r="G2090" s="21"/>
      <c r="H2090" s="149"/>
      <c r="I2090" s="25"/>
      <c r="J2090" s="26"/>
      <c r="K2090" s="21"/>
      <c r="L2090" s="29"/>
      <c r="M2090" s="28"/>
      <c r="N2090" s="29"/>
      <c r="O2090" s="29"/>
      <c r="P2090" s="34"/>
      <c r="Q2090" s="34"/>
      <c r="R2090" s="35"/>
      <c r="S2090" s="32" t="s">
        <v>29</v>
      </c>
      <c r="T2090" s="33"/>
      <c r="U2090" s="33"/>
    </row>
    <row r="2091" ht="15.75" customHeight="1">
      <c r="A2091" s="20"/>
      <c r="B2091" s="20"/>
      <c r="C2091" s="20"/>
      <c r="D2091" s="21"/>
      <c r="E2091" s="21"/>
      <c r="F2091" s="67"/>
      <c r="G2091" s="21"/>
      <c r="H2091" s="149"/>
      <c r="I2091" s="25"/>
      <c r="J2091" s="26"/>
      <c r="K2091" s="21"/>
      <c r="L2091" s="29"/>
      <c r="M2091" s="28"/>
      <c r="N2091" s="29"/>
      <c r="O2091" s="29"/>
      <c r="P2091" s="34"/>
      <c r="Q2091" s="34"/>
      <c r="R2091" s="35"/>
      <c r="S2091" s="32" t="s">
        <v>29</v>
      </c>
      <c r="T2091" s="33"/>
      <c r="U2091" s="33"/>
    </row>
    <row r="2092" ht="15.75" customHeight="1">
      <c r="A2092" s="20"/>
      <c r="B2092" s="20"/>
      <c r="C2092" s="20"/>
      <c r="D2092" s="21"/>
      <c r="E2092" s="21"/>
      <c r="F2092" s="67"/>
      <c r="G2092" s="21"/>
      <c r="H2092" s="149"/>
      <c r="I2092" s="25"/>
      <c r="J2092" s="26"/>
      <c r="K2092" s="21"/>
      <c r="L2092" s="29"/>
      <c r="M2092" s="28"/>
      <c r="N2092" s="29"/>
      <c r="O2092" s="29"/>
      <c r="P2092" s="34"/>
      <c r="Q2092" s="34"/>
      <c r="R2092" s="35"/>
      <c r="S2092" s="32" t="s">
        <v>29</v>
      </c>
      <c r="T2092" s="33"/>
      <c r="U2092" s="33"/>
    </row>
    <row r="2093" ht="15.75" customHeight="1">
      <c r="A2093" s="20"/>
      <c r="B2093" s="20"/>
      <c r="C2093" s="20"/>
      <c r="D2093" s="21"/>
      <c r="E2093" s="21"/>
      <c r="F2093" s="67"/>
      <c r="G2093" s="21"/>
      <c r="H2093" s="149"/>
      <c r="I2093" s="25"/>
      <c r="J2093" s="26"/>
      <c r="K2093" s="21"/>
      <c r="L2093" s="29"/>
      <c r="M2093" s="28"/>
      <c r="N2093" s="29"/>
      <c r="O2093" s="29"/>
      <c r="P2093" s="34"/>
      <c r="Q2093" s="34"/>
      <c r="R2093" s="35"/>
      <c r="S2093" s="32" t="s">
        <v>29</v>
      </c>
      <c r="T2093" s="33"/>
      <c r="U2093" s="33"/>
    </row>
    <row r="2094" ht="15.75" customHeight="1">
      <c r="A2094" s="20"/>
      <c r="B2094" s="20"/>
      <c r="C2094" s="20"/>
      <c r="D2094" s="21"/>
      <c r="E2094" s="21"/>
      <c r="F2094" s="67"/>
      <c r="G2094" s="21"/>
      <c r="H2094" s="149"/>
      <c r="I2094" s="25"/>
      <c r="J2094" s="26"/>
      <c r="K2094" s="21"/>
      <c r="L2094" s="29"/>
      <c r="M2094" s="28"/>
      <c r="N2094" s="29"/>
      <c r="O2094" s="29"/>
      <c r="P2094" s="34"/>
      <c r="Q2094" s="34"/>
      <c r="R2094" s="35"/>
      <c r="S2094" s="32" t="s">
        <v>29</v>
      </c>
      <c r="T2094" s="33"/>
      <c r="U2094" s="33"/>
    </row>
    <row r="2095" ht="15.75" customHeight="1">
      <c r="A2095" s="20"/>
      <c r="B2095" s="20"/>
      <c r="C2095" s="20"/>
      <c r="D2095" s="21"/>
      <c r="E2095" s="21"/>
      <c r="F2095" s="67"/>
      <c r="G2095" s="21"/>
      <c r="H2095" s="149"/>
      <c r="I2095" s="25"/>
      <c r="J2095" s="26"/>
      <c r="K2095" s="21"/>
      <c r="L2095" s="29"/>
      <c r="M2095" s="28"/>
      <c r="N2095" s="29"/>
      <c r="O2095" s="29"/>
      <c r="P2095" s="34"/>
      <c r="Q2095" s="34"/>
      <c r="R2095" s="35"/>
      <c r="S2095" s="32" t="s">
        <v>29</v>
      </c>
      <c r="T2095" s="33"/>
      <c r="U2095" s="33"/>
    </row>
    <row r="2096" ht="15.75" customHeight="1">
      <c r="A2096" s="20"/>
      <c r="B2096" s="20"/>
      <c r="C2096" s="20"/>
      <c r="D2096" s="21"/>
      <c r="E2096" s="21"/>
      <c r="F2096" s="67"/>
      <c r="G2096" s="21"/>
      <c r="H2096" s="149"/>
      <c r="I2096" s="25"/>
      <c r="J2096" s="26"/>
      <c r="K2096" s="21"/>
      <c r="L2096" s="29"/>
      <c r="M2096" s="28"/>
      <c r="N2096" s="29"/>
      <c r="O2096" s="29"/>
      <c r="P2096" s="34"/>
      <c r="Q2096" s="34"/>
      <c r="R2096" s="35"/>
      <c r="S2096" s="32" t="s">
        <v>29</v>
      </c>
      <c r="T2096" s="33"/>
      <c r="U2096" s="33"/>
    </row>
    <row r="2097" ht="15.75" customHeight="1">
      <c r="A2097" s="20"/>
      <c r="B2097" s="20"/>
      <c r="C2097" s="20"/>
      <c r="D2097" s="21"/>
      <c r="E2097" s="21"/>
      <c r="F2097" s="67"/>
      <c r="G2097" s="21"/>
      <c r="H2097" s="149"/>
      <c r="I2097" s="25"/>
      <c r="J2097" s="26"/>
      <c r="K2097" s="21"/>
      <c r="L2097" s="29"/>
      <c r="M2097" s="28"/>
      <c r="N2097" s="29"/>
      <c r="O2097" s="29"/>
      <c r="P2097" s="34"/>
      <c r="Q2097" s="34"/>
      <c r="R2097" s="35"/>
      <c r="S2097" s="32" t="s">
        <v>29</v>
      </c>
      <c r="T2097" s="33"/>
      <c r="U2097" s="33"/>
    </row>
    <row r="2098" ht="15.75" customHeight="1">
      <c r="A2098" s="20"/>
      <c r="B2098" s="20"/>
      <c r="C2098" s="20"/>
      <c r="D2098" s="21"/>
      <c r="E2098" s="21"/>
      <c r="F2098" s="67"/>
      <c r="G2098" s="21"/>
      <c r="H2098" s="149"/>
      <c r="I2098" s="25"/>
      <c r="J2098" s="26"/>
      <c r="K2098" s="21"/>
      <c r="L2098" s="29"/>
      <c r="M2098" s="28"/>
      <c r="N2098" s="29"/>
      <c r="O2098" s="29"/>
      <c r="P2098" s="34"/>
      <c r="Q2098" s="34"/>
      <c r="R2098" s="35"/>
      <c r="S2098" s="32" t="s">
        <v>29</v>
      </c>
      <c r="T2098" s="33"/>
      <c r="U2098" s="33"/>
    </row>
    <row r="2099" ht="15.75" customHeight="1">
      <c r="A2099" s="20"/>
      <c r="B2099" s="20"/>
      <c r="C2099" s="20"/>
      <c r="D2099" s="21"/>
      <c r="E2099" s="21"/>
      <c r="F2099" s="67"/>
      <c r="G2099" s="21"/>
      <c r="H2099" s="149"/>
      <c r="I2099" s="25"/>
      <c r="J2099" s="26"/>
      <c r="K2099" s="21"/>
      <c r="L2099" s="29"/>
      <c r="M2099" s="28"/>
      <c r="N2099" s="29"/>
      <c r="O2099" s="29"/>
      <c r="P2099" s="34"/>
      <c r="Q2099" s="34"/>
      <c r="R2099" s="35"/>
      <c r="S2099" s="32" t="s">
        <v>29</v>
      </c>
      <c r="T2099" s="33"/>
      <c r="U2099" s="33"/>
    </row>
    <row r="2100" ht="15.75" customHeight="1">
      <c r="A2100" s="20"/>
      <c r="B2100" s="20"/>
      <c r="C2100" s="20"/>
      <c r="D2100" s="21"/>
      <c r="E2100" s="21"/>
      <c r="F2100" s="67"/>
      <c r="G2100" s="21"/>
      <c r="H2100" s="149"/>
      <c r="I2100" s="25"/>
      <c r="J2100" s="26"/>
      <c r="K2100" s="21"/>
      <c r="L2100" s="29"/>
      <c r="M2100" s="28"/>
      <c r="N2100" s="29"/>
      <c r="O2100" s="29"/>
      <c r="P2100" s="34"/>
      <c r="Q2100" s="34"/>
      <c r="R2100" s="35"/>
      <c r="S2100" s="32" t="s">
        <v>29</v>
      </c>
      <c r="T2100" s="33"/>
      <c r="U2100" s="33"/>
    </row>
    <row r="2101" ht="15.75" customHeight="1">
      <c r="A2101" s="20"/>
      <c r="B2101" s="20"/>
      <c r="C2101" s="20"/>
      <c r="D2101" s="21"/>
      <c r="E2101" s="21"/>
      <c r="F2101" s="67"/>
      <c r="G2101" s="21"/>
      <c r="H2101" s="149"/>
      <c r="I2101" s="25"/>
      <c r="J2101" s="26"/>
      <c r="K2101" s="21"/>
      <c r="L2101" s="29"/>
      <c r="M2101" s="28"/>
      <c r="N2101" s="29"/>
      <c r="O2101" s="29"/>
      <c r="P2101" s="34"/>
      <c r="Q2101" s="34"/>
      <c r="R2101" s="35"/>
      <c r="S2101" s="32" t="s">
        <v>29</v>
      </c>
      <c r="T2101" s="33"/>
      <c r="U2101" s="33"/>
    </row>
    <row r="2102" ht="15.75" customHeight="1">
      <c r="A2102" s="20"/>
      <c r="B2102" s="20"/>
      <c r="C2102" s="20"/>
      <c r="D2102" s="21"/>
      <c r="E2102" s="21"/>
      <c r="F2102" s="67"/>
      <c r="G2102" s="21"/>
      <c r="H2102" s="149"/>
      <c r="I2102" s="25"/>
      <c r="J2102" s="26"/>
      <c r="K2102" s="21"/>
      <c r="L2102" s="29"/>
      <c r="M2102" s="28"/>
      <c r="N2102" s="29"/>
      <c r="O2102" s="29"/>
      <c r="P2102" s="34"/>
      <c r="Q2102" s="34"/>
      <c r="R2102" s="35"/>
      <c r="S2102" s="32" t="s">
        <v>29</v>
      </c>
      <c r="T2102" s="33"/>
      <c r="U2102" s="33"/>
    </row>
    <row r="2103" ht="15.75" customHeight="1">
      <c r="A2103" s="20"/>
      <c r="B2103" s="20"/>
      <c r="C2103" s="20"/>
      <c r="D2103" s="21"/>
      <c r="E2103" s="21"/>
      <c r="F2103" s="67"/>
      <c r="G2103" s="21"/>
      <c r="H2103" s="149"/>
      <c r="I2103" s="25"/>
      <c r="J2103" s="26"/>
      <c r="K2103" s="21"/>
      <c r="L2103" s="29"/>
      <c r="M2103" s="28"/>
      <c r="N2103" s="29"/>
      <c r="O2103" s="29"/>
      <c r="P2103" s="34"/>
      <c r="Q2103" s="34"/>
      <c r="R2103" s="35"/>
      <c r="S2103" s="32" t="s">
        <v>29</v>
      </c>
      <c r="T2103" s="33"/>
      <c r="U2103" s="33"/>
    </row>
    <row r="2104" ht="15.75" customHeight="1">
      <c r="A2104" s="20"/>
      <c r="B2104" s="20"/>
      <c r="C2104" s="20"/>
      <c r="D2104" s="21"/>
      <c r="E2104" s="21"/>
      <c r="F2104" s="67"/>
      <c r="G2104" s="21"/>
      <c r="H2104" s="149"/>
      <c r="I2104" s="25"/>
      <c r="J2104" s="26"/>
      <c r="K2104" s="21"/>
      <c r="L2104" s="29"/>
      <c r="M2104" s="28"/>
      <c r="N2104" s="29"/>
      <c r="O2104" s="29"/>
      <c r="P2104" s="34"/>
      <c r="Q2104" s="34"/>
      <c r="R2104" s="35"/>
      <c r="S2104" s="32" t="s">
        <v>29</v>
      </c>
      <c r="T2104" s="33"/>
      <c r="U2104" s="33"/>
    </row>
    <row r="2105" ht="15.75" customHeight="1">
      <c r="A2105" s="20"/>
      <c r="B2105" s="20"/>
      <c r="C2105" s="20"/>
      <c r="D2105" s="21"/>
      <c r="E2105" s="21"/>
      <c r="F2105" s="67"/>
      <c r="G2105" s="21"/>
      <c r="H2105" s="149"/>
      <c r="I2105" s="25"/>
      <c r="J2105" s="26"/>
      <c r="K2105" s="21"/>
      <c r="L2105" s="29"/>
      <c r="M2105" s="28"/>
      <c r="N2105" s="29"/>
      <c r="O2105" s="29"/>
      <c r="P2105" s="34"/>
      <c r="Q2105" s="34"/>
      <c r="R2105" s="35"/>
      <c r="S2105" s="32" t="s">
        <v>29</v>
      </c>
      <c r="T2105" s="33"/>
      <c r="U2105" s="33"/>
    </row>
    <row r="2106" ht="15.75" customHeight="1">
      <c r="A2106" s="20"/>
      <c r="B2106" s="20"/>
      <c r="C2106" s="20"/>
      <c r="D2106" s="21"/>
      <c r="E2106" s="21"/>
      <c r="F2106" s="67"/>
      <c r="G2106" s="21"/>
      <c r="H2106" s="149"/>
      <c r="I2106" s="25"/>
      <c r="J2106" s="26"/>
      <c r="K2106" s="21"/>
      <c r="L2106" s="29"/>
      <c r="M2106" s="28"/>
      <c r="N2106" s="29"/>
      <c r="O2106" s="29"/>
      <c r="P2106" s="34"/>
      <c r="Q2106" s="34"/>
      <c r="R2106" s="35"/>
      <c r="S2106" s="32" t="s">
        <v>29</v>
      </c>
      <c r="T2106" s="33"/>
      <c r="U2106" s="33"/>
    </row>
    <row r="2107" ht="15.75" customHeight="1">
      <c r="A2107" s="20"/>
      <c r="B2107" s="20"/>
      <c r="C2107" s="20"/>
      <c r="D2107" s="21"/>
      <c r="E2107" s="21"/>
      <c r="F2107" s="67"/>
      <c r="G2107" s="21"/>
      <c r="H2107" s="149"/>
      <c r="I2107" s="25"/>
      <c r="J2107" s="26"/>
      <c r="K2107" s="21"/>
      <c r="L2107" s="29"/>
      <c r="M2107" s="28"/>
      <c r="N2107" s="29"/>
      <c r="O2107" s="29"/>
      <c r="P2107" s="34"/>
      <c r="Q2107" s="34"/>
      <c r="R2107" s="35"/>
      <c r="S2107" s="32" t="s">
        <v>29</v>
      </c>
      <c r="T2107" s="33"/>
      <c r="U2107" s="33"/>
    </row>
    <row r="2108" ht="15.75" customHeight="1">
      <c r="A2108" s="20"/>
      <c r="B2108" s="20"/>
      <c r="C2108" s="20"/>
      <c r="D2108" s="21"/>
      <c r="E2108" s="21"/>
      <c r="F2108" s="67"/>
      <c r="G2108" s="21"/>
      <c r="H2108" s="149"/>
      <c r="I2108" s="25"/>
      <c r="J2108" s="26"/>
      <c r="K2108" s="21"/>
      <c r="L2108" s="29"/>
      <c r="M2108" s="28"/>
      <c r="N2108" s="29"/>
      <c r="O2108" s="29"/>
      <c r="P2108" s="34"/>
      <c r="Q2108" s="34"/>
      <c r="R2108" s="35"/>
      <c r="S2108" s="32" t="s">
        <v>29</v>
      </c>
      <c r="T2108" s="33"/>
      <c r="U2108" s="33"/>
    </row>
    <row r="2109" ht="15.75" customHeight="1">
      <c r="A2109" s="20"/>
      <c r="B2109" s="20"/>
      <c r="C2109" s="20"/>
      <c r="D2109" s="21"/>
      <c r="E2109" s="21"/>
      <c r="F2109" s="67"/>
      <c r="G2109" s="21"/>
      <c r="H2109" s="149"/>
      <c r="I2109" s="25"/>
      <c r="J2109" s="26"/>
      <c r="K2109" s="21"/>
      <c r="L2109" s="29"/>
      <c r="M2109" s="28"/>
      <c r="N2109" s="29"/>
      <c r="O2109" s="29"/>
      <c r="P2109" s="34"/>
      <c r="Q2109" s="34"/>
      <c r="R2109" s="35"/>
      <c r="S2109" s="32" t="s">
        <v>29</v>
      </c>
      <c r="T2109" s="33"/>
      <c r="U2109" s="33"/>
    </row>
    <row r="2110" ht="15.75" customHeight="1">
      <c r="A2110" s="20"/>
      <c r="B2110" s="20"/>
      <c r="C2110" s="20"/>
      <c r="D2110" s="21"/>
      <c r="E2110" s="21"/>
      <c r="F2110" s="67"/>
      <c r="G2110" s="21"/>
      <c r="H2110" s="149"/>
      <c r="I2110" s="25"/>
      <c r="J2110" s="26"/>
      <c r="K2110" s="21"/>
      <c r="L2110" s="29"/>
      <c r="M2110" s="28"/>
      <c r="N2110" s="29"/>
      <c r="O2110" s="29"/>
      <c r="P2110" s="34"/>
      <c r="Q2110" s="34"/>
      <c r="R2110" s="35"/>
      <c r="S2110" s="32" t="s">
        <v>29</v>
      </c>
      <c r="T2110" s="33"/>
      <c r="U2110" s="33"/>
    </row>
    <row r="2111" ht="15.75" customHeight="1">
      <c r="A2111" s="20"/>
      <c r="B2111" s="20"/>
      <c r="C2111" s="20"/>
      <c r="D2111" s="21"/>
      <c r="E2111" s="21"/>
      <c r="F2111" s="67"/>
      <c r="G2111" s="21"/>
      <c r="H2111" s="149"/>
      <c r="I2111" s="25"/>
      <c r="J2111" s="26"/>
      <c r="K2111" s="21"/>
      <c r="L2111" s="29"/>
      <c r="M2111" s="28"/>
      <c r="N2111" s="29"/>
      <c r="O2111" s="29"/>
      <c r="P2111" s="34"/>
      <c r="Q2111" s="34"/>
      <c r="R2111" s="35"/>
      <c r="S2111" s="32" t="s">
        <v>29</v>
      </c>
      <c r="T2111" s="33"/>
      <c r="U2111" s="33"/>
    </row>
    <row r="2112" ht="15.75" customHeight="1">
      <c r="A2112" s="20"/>
      <c r="B2112" s="20"/>
      <c r="C2112" s="20"/>
      <c r="D2112" s="21"/>
      <c r="E2112" s="21"/>
      <c r="F2112" s="67"/>
      <c r="G2112" s="21"/>
      <c r="H2112" s="149"/>
      <c r="I2112" s="25"/>
      <c r="J2112" s="26"/>
      <c r="K2112" s="21"/>
      <c r="L2112" s="29"/>
      <c r="M2112" s="28"/>
      <c r="N2112" s="29"/>
      <c r="O2112" s="29"/>
      <c r="P2112" s="34"/>
      <c r="Q2112" s="34"/>
      <c r="R2112" s="35"/>
      <c r="S2112" s="32" t="s">
        <v>29</v>
      </c>
      <c r="T2112" s="33"/>
      <c r="U2112" s="33"/>
    </row>
    <row r="2113" ht="15.75" customHeight="1">
      <c r="A2113" s="20"/>
      <c r="B2113" s="20"/>
      <c r="C2113" s="20"/>
      <c r="D2113" s="21"/>
      <c r="E2113" s="21"/>
      <c r="F2113" s="67"/>
      <c r="G2113" s="21"/>
      <c r="H2113" s="149"/>
      <c r="I2113" s="25"/>
      <c r="J2113" s="26"/>
      <c r="K2113" s="21"/>
      <c r="L2113" s="29"/>
      <c r="M2113" s="28"/>
      <c r="N2113" s="29"/>
      <c r="O2113" s="29"/>
      <c r="P2113" s="34"/>
      <c r="Q2113" s="34"/>
      <c r="R2113" s="35"/>
      <c r="S2113" s="32" t="s">
        <v>29</v>
      </c>
      <c r="T2113" s="33"/>
      <c r="U2113" s="33"/>
    </row>
    <row r="2114" ht="15.75" customHeight="1">
      <c r="A2114" s="20"/>
      <c r="B2114" s="20"/>
      <c r="C2114" s="20"/>
      <c r="D2114" s="21"/>
      <c r="E2114" s="21"/>
      <c r="F2114" s="67"/>
      <c r="G2114" s="21"/>
      <c r="H2114" s="149"/>
      <c r="I2114" s="25"/>
      <c r="J2114" s="26"/>
      <c r="K2114" s="21"/>
      <c r="L2114" s="29"/>
      <c r="M2114" s="28"/>
      <c r="N2114" s="29"/>
      <c r="O2114" s="29"/>
      <c r="P2114" s="34"/>
      <c r="Q2114" s="34"/>
      <c r="R2114" s="35"/>
      <c r="S2114" s="32" t="s">
        <v>29</v>
      </c>
      <c r="T2114" s="33"/>
      <c r="U2114" s="33"/>
    </row>
    <row r="2115" ht="15.75" customHeight="1">
      <c r="A2115" s="20"/>
      <c r="B2115" s="20"/>
      <c r="C2115" s="20"/>
      <c r="D2115" s="21"/>
      <c r="E2115" s="21"/>
      <c r="F2115" s="67"/>
      <c r="G2115" s="21"/>
      <c r="H2115" s="149"/>
      <c r="I2115" s="25"/>
      <c r="J2115" s="26"/>
      <c r="K2115" s="21"/>
      <c r="L2115" s="29"/>
      <c r="M2115" s="28"/>
      <c r="N2115" s="29"/>
      <c r="O2115" s="29"/>
      <c r="P2115" s="34"/>
      <c r="Q2115" s="34"/>
      <c r="R2115" s="35"/>
      <c r="S2115" s="32" t="s">
        <v>29</v>
      </c>
      <c r="T2115" s="33"/>
      <c r="U2115" s="33"/>
    </row>
    <row r="2116" ht="15.75" customHeight="1">
      <c r="A2116" s="20"/>
      <c r="B2116" s="20"/>
      <c r="C2116" s="20"/>
      <c r="D2116" s="21"/>
      <c r="E2116" s="21"/>
      <c r="F2116" s="67"/>
      <c r="G2116" s="21"/>
      <c r="H2116" s="149"/>
      <c r="I2116" s="25"/>
      <c r="J2116" s="26"/>
      <c r="K2116" s="21"/>
      <c r="L2116" s="29"/>
      <c r="M2116" s="28"/>
      <c r="N2116" s="29"/>
      <c r="O2116" s="29"/>
      <c r="P2116" s="34"/>
      <c r="Q2116" s="34"/>
      <c r="R2116" s="35"/>
      <c r="S2116" s="32" t="s">
        <v>29</v>
      </c>
      <c r="T2116" s="33"/>
      <c r="U2116" s="33"/>
    </row>
    <row r="2117" ht="15.75" customHeight="1">
      <c r="A2117" s="20"/>
      <c r="B2117" s="20"/>
      <c r="C2117" s="20"/>
      <c r="D2117" s="21"/>
      <c r="E2117" s="21"/>
      <c r="F2117" s="67"/>
      <c r="G2117" s="21"/>
      <c r="H2117" s="149"/>
      <c r="I2117" s="25"/>
      <c r="J2117" s="26"/>
      <c r="K2117" s="21"/>
      <c r="L2117" s="29"/>
      <c r="M2117" s="28"/>
      <c r="N2117" s="29"/>
      <c r="O2117" s="29"/>
      <c r="P2117" s="34"/>
      <c r="Q2117" s="34"/>
      <c r="R2117" s="35"/>
      <c r="S2117" s="32" t="s">
        <v>29</v>
      </c>
      <c r="T2117" s="33"/>
      <c r="U2117" s="33"/>
    </row>
    <row r="2118" ht="15.75" customHeight="1">
      <c r="A2118" s="20"/>
      <c r="B2118" s="20"/>
      <c r="C2118" s="20"/>
      <c r="D2118" s="21"/>
      <c r="E2118" s="21"/>
      <c r="F2118" s="67"/>
      <c r="G2118" s="21"/>
      <c r="H2118" s="149"/>
      <c r="I2118" s="25"/>
      <c r="J2118" s="26"/>
      <c r="K2118" s="21"/>
      <c r="L2118" s="29"/>
      <c r="M2118" s="28"/>
      <c r="N2118" s="29"/>
      <c r="O2118" s="29"/>
      <c r="P2118" s="34"/>
      <c r="Q2118" s="34"/>
      <c r="R2118" s="35"/>
      <c r="S2118" s="32" t="s">
        <v>29</v>
      </c>
      <c r="T2118" s="33"/>
      <c r="U2118" s="33"/>
    </row>
    <row r="2119" ht="15.75" customHeight="1">
      <c r="A2119" s="20"/>
      <c r="B2119" s="20"/>
      <c r="C2119" s="20"/>
      <c r="D2119" s="21"/>
      <c r="E2119" s="21"/>
      <c r="F2119" s="67"/>
      <c r="G2119" s="21"/>
      <c r="H2119" s="149"/>
      <c r="I2119" s="25"/>
      <c r="J2119" s="26"/>
      <c r="K2119" s="21"/>
      <c r="L2119" s="29"/>
      <c r="M2119" s="28"/>
      <c r="N2119" s="29"/>
      <c r="O2119" s="29"/>
      <c r="P2119" s="34"/>
      <c r="Q2119" s="34"/>
      <c r="R2119" s="35"/>
      <c r="S2119" s="32" t="s">
        <v>29</v>
      </c>
      <c r="T2119" s="33"/>
      <c r="U2119" s="33"/>
    </row>
    <row r="2120" ht="15.75" customHeight="1">
      <c r="A2120" s="20"/>
      <c r="B2120" s="20"/>
      <c r="C2120" s="20"/>
      <c r="D2120" s="21"/>
      <c r="E2120" s="21"/>
      <c r="F2120" s="67"/>
      <c r="G2120" s="21"/>
      <c r="H2120" s="149"/>
      <c r="I2120" s="25"/>
      <c r="J2120" s="26"/>
      <c r="K2120" s="21"/>
      <c r="L2120" s="29"/>
      <c r="M2120" s="28"/>
      <c r="N2120" s="29"/>
      <c r="O2120" s="29"/>
      <c r="P2120" s="34"/>
      <c r="Q2120" s="34"/>
      <c r="R2120" s="35"/>
      <c r="S2120" s="32" t="s">
        <v>29</v>
      </c>
      <c r="T2120" s="33"/>
      <c r="U2120" s="33"/>
    </row>
    <row r="2121" ht="15.75" customHeight="1">
      <c r="A2121" s="20"/>
      <c r="B2121" s="20"/>
      <c r="C2121" s="20"/>
      <c r="D2121" s="21"/>
      <c r="E2121" s="21"/>
      <c r="F2121" s="67"/>
      <c r="G2121" s="21"/>
      <c r="H2121" s="149"/>
      <c r="I2121" s="25"/>
      <c r="J2121" s="26"/>
      <c r="K2121" s="21"/>
      <c r="L2121" s="29"/>
      <c r="M2121" s="28"/>
      <c r="N2121" s="29"/>
      <c r="O2121" s="29"/>
      <c r="P2121" s="34"/>
      <c r="Q2121" s="34"/>
      <c r="R2121" s="35"/>
      <c r="S2121" s="32" t="s">
        <v>29</v>
      </c>
      <c r="T2121" s="33"/>
      <c r="U2121" s="33"/>
    </row>
    <row r="2122" ht="15.75" customHeight="1">
      <c r="A2122" s="20"/>
      <c r="B2122" s="20"/>
      <c r="C2122" s="20"/>
      <c r="D2122" s="21"/>
      <c r="E2122" s="21"/>
      <c r="F2122" s="67"/>
      <c r="G2122" s="21"/>
      <c r="H2122" s="149"/>
      <c r="I2122" s="25"/>
      <c r="J2122" s="26"/>
      <c r="K2122" s="21"/>
      <c r="L2122" s="29"/>
      <c r="M2122" s="28"/>
      <c r="N2122" s="29"/>
      <c r="O2122" s="29"/>
      <c r="P2122" s="34"/>
      <c r="Q2122" s="34"/>
      <c r="R2122" s="35"/>
      <c r="S2122" s="32" t="s">
        <v>29</v>
      </c>
      <c r="T2122" s="33"/>
      <c r="U2122" s="33"/>
    </row>
    <row r="2123" ht="15.75" customHeight="1">
      <c r="A2123" s="20"/>
      <c r="B2123" s="20"/>
      <c r="C2123" s="20"/>
      <c r="D2123" s="21"/>
      <c r="E2123" s="21"/>
      <c r="F2123" s="67"/>
      <c r="G2123" s="21"/>
      <c r="H2123" s="149"/>
      <c r="I2123" s="25"/>
      <c r="J2123" s="26"/>
      <c r="K2123" s="21"/>
      <c r="L2123" s="29"/>
      <c r="M2123" s="28"/>
      <c r="N2123" s="29"/>
      <c r="O2123" s="29"/>
      <c r="P2123" s="34"/>
      <c r="Q2123" s="34"/>
      <c r="R2123" s="35"/>
      <c r="S2123" s="32" t="s">
        <v>29</v>
      </c>
      <c r="T2123" s="33"/>
      <c r="U2123" s="33"/>
    </row>
    <row r="2124" ht="15.75" customHeight="1">
      <c r="A2124" s="20"/>
      <c r="B2124" s="20"/>
      <c r="C2124" s="20"/>
      <c r="D2124" s="21"/>
      <c r="E2124" s="21"/>
      <c r="F2124" s="67"/>
      <c r="G2124" s="21"/>
      <c r="H2124" s="149"/>
      <c r="I2124" s="25"/>
      <c r="J2124" s="26"/>
      <c r="K2124" s="21"/>
      <c r="L2124" s="29"/>
      <c r="M2124" s="28"/>
      <c r="N2124" s="29"/>
      <c r="O2124" s="29"/>
      <c r="P2124" s="34"/>
      <c r="Q2124" s="34"/>
      <c r="R2124" s="35"/>
      <c r="S2124" s="32" t="s">
        <v>29</v>
      </c>
      <c r="T2124" s="33"/>
      <c r="U2124" s="33"/>
    </row>
    <row r="2125" ht="15.75" customHeight="1">
      <c r="A2125" s="20"/>
      <c r="B2125" s="20"/>
      <c r="C2125" s="20"/>
      <c r="D2125" s="21"/>
      <c r="E2125" s="21"/>
      <c r="F2125" s="67"/>
      <c r="G2125" s="21"/>
      <c r="H2125" s="149"/>
      <c r="I2125" s="25"/>
      <c r="J2125" s="26"/>
      <c r="K2125" s="21"/>
      <c r="L2125" s="29"/>
      <c r="M2125" s="28"/>
      <c r="N2125" s="29"/>
      <c r="O2125" s="29"/>
      <c r="P2125" s="34"/>
      <c r="Q2125" s="34"/>
      <c r="R2125" s="35"/>
      <c r="S2125" s="32" t="s">
        <v>29</v>
      </c>
      <c r="T2125" s="33"/>
      <c r="U2125" s="33"/>
    </row>
    <row r="2126" ht="15.75" customHeight="1">
      <c r="A2126" s="20"/>
      <c r="B2126" s="20"/>
      <c r="C2126" s="20"/>
      <c r="D2126" s="21"/>
      <c r="E2126" s="21"/>
      <c r="F2126" s="67"/>
      <c r="G2126" s="21"/>
      <c r="H2126" s="149"/>
      <c r="I2126" s="25"/>
      <c r="J2126" s="26"/>
      <c r="K2126" s="21"/>
      <c r="L2126" s="29"/>
      <c r="M2126" s="28"/>
      <c r="N2126" s="29"/>
      <c r="O2126" s="29"/>
      <c r="P2126" s="34"/>
      <c r="Q2126" s="34"/>
      <c r="R2126" s="35"/>
      <c r="S2126" s="32" t="s">
        <v>29</v>
      </c>
      <c r="T2126" s="33"/>
      <c r="U2126" s="33"/>
    </row>
    <row r="2127" ht="15.75" customHeight="1">
      <c r="A2127" s="20"/>
      <c r="B2127" s="20"/>
      <c r="C2127" s="20"/>
      <c r="D2127" s="21"/>
      <c r="E2127" s="21"/>
      <c r="F2127" s="67"/>
      <c r="G2127" s="21"/>
      <c r="H2127" s="149"/>
      <c r="I2127" s="25"/>
      <c r="J2127" s="26"/>
      <c r="K2127" s="21"/>
      <c r="L2127" s="29"/>
      <c r="M2127" s="28"/>
      <c r="N2127" s="29"/>
      <c r="O2127" s="29"/>
      <c r="P2127" s="34"/>
      <c r="Q2127" s="34"/>
      <c r="R2127" s="35"/>
      <c r="S2127" s="32" t="s">
        <v>29</v>
      </c>
      <c r="T2127" s="33"/>
      <c r="U2127" s="33"/>
    </row>
    <row r="2128" ht="15.75" customHeight="1">
      <c r="A2128" s="20"/>
      <c r="B2128" s="20"/>
      <c r="C2128" s="20"/>
      <c r="D2128" s="21"/>
      <c r="E2128" s="21"/>
      <c r="F2128" s="67"/>
      <c r="G2128" s="21"/>
      <c r="H2128" s="149"/>
      <c r="I2128" s="25"/>
      <c r="J2128" s="26"/>
      <c r="K2128" s="21"/>
      <c r="L2128" s="29"/>
      <c r="M2128" s="28"/>
      <c r="N2128" s="29"/>
      <c r="O2128" s="29"/>
      <c r="P2128" s="34"/>
      <c r="Q2128" s="34"/>
      <c r="R2128" s="35"/>
      <c r="S2128" s="32" t="s">
        <v>29</v>
      </c>
      <c r="T2128" s="33"/>
      <c r="U2128" s="33"/>
    </row>
    <row r="2129" ht="15.75" customHeight="1">
      <c r="A2129" s="20"/>
      <c r="B2129" s="20"/>
      <c r="C2129" s="20"/>
      <c r="D2129" s="21"/>
      <c r="E2129" s="21"/>
      <c r="F2129" s="67"/>
      <c r="G2129" s="21"/>
      <c r="H2129" s="149"/>
      <c r="I2129" s="25"/>
      <c r="J2129" s="26"/>
      <c r="K2129" s="21"/>
      <c r="L2129" s="29"/>
      <c r="M2129" s="28"/>
      <c r="N2129" s="29"/>
      <c r="O2129" s="29"/>
      <c r="P2129" s="34"/>
      <c r="Q2129" s="34"/>
      <c r="R2129" s="35"/>
      <c r="S2129" s="32" t="s">
        <v>29</v>
      </c>
      <c r="T2129" s="33"/>
      <c r="U2129" s="33"/>
    </row>
    <row r="2130" ht="15.75" customHeight="1">
      <c r="A2130" s="20"/>
      <c r="B2130" s="20"/>
      <c r="C2130" s="20"/>
      <c r="D2130" s="21"/>
      <c r="E2130" s="21"/>
      <c r="F2130" s="67"/>
      <c r="G2130" s="21"/>
      <c r="H2130" s="149"/>
      <c r="I2130" s="25"/>
      <c r="J2130" s="26"/>
      <c r="K2130" s="21"/>
      <c r="L2130" s="29"/>
      <c r="M2130" s="28"/>
      <c r="N2130" s="29"/>
      <c r="O2130" s="29"/>
      <c r="P2130" s="34"/>
      <c r="Q2130" s="34"/>
      <c r="R2130" s="35"/>
      <c r="S2130" s="32" t="s">
        <v>29</v>
      </c>
      <c r="T2130" s="33"/>
      <c r="U2130" s="33"/>
    </row>
    <row r="2131" ht="15.75" customHeight="1">
      <c r="A2131" s="20"/>
      <c r="B2131" s="20"/>
      <c r="C2131" s="20"/>
      <c r="D2131" s="21"/>
      <c r="E2131" s="21"/>
      <c r="F2131" s="67"/>
      <c r="G2131" s="21"/>
      <c r="H2131" s="149"/>
      <c r="I2131" s="25"/>
      <c r="J2131" s="26"/>
      <c r="K2131" s="21"/>
      <c r="L2131" s="29"/>
      <c r="M2131" s="28"/>
      <c r="N2131" s="29"/>
      <c r="O2131" s="29"/>
      <c r="P2131" s="34"/>
      <c r="Q2131" s="34"/>
      <c r="R2131" s="35"/>
      <c r="S2131" s="32" t="s">
        <v>29</v>
      </c>
      <c r="T2131" s="33"/>
      <c r="U2131" s="33"/>
    </row>
    <row r="2132" ht="15.75" customHeight="1">
      <c r="A2132" s="20"/>
      <c r="B2132" s="20"/>
      <c r="C2132" s="20"/>
      <c r="D2132" s="21"/>
      <c r="E2132" s="21"/>
      <c r="F2132" s="67"/>
      <c r="G2132" s="21"/>
      <c r="H2132" s="149"/>
      <c r="I2132" s="25"/>
      <c r="J2132" s="26"/>
      <c r="K2132" s="21"/>
      <c r="L2132" s="29"/>
      <c r="M2132" s="28"/>
      <c r="N2132" s="29"/>
      <c r="O2132" s="29"/>
      <c r="P2132" s="34"/>
      <c r="Q2132" s="34"/>
      <c r="R2132" s="35"/>
      <c r="S2132" s="32" t="s">
        <v>29</v>
      </c>
      <c r="T2132" s="33"/>
      <c r="U2132" s="33"/>
    </row>
    <row r="2133" ht="15.75" customHeight="1">
      <c r="A2133" s="20"/>
      <c r="B2133" s="20"/>
      <c r="C2133" s="20"/>
      <c r="D2133" s="21"/>
      <c r="E2133" s="21"/>
      <c r="F2133" s="67"/>
      <c r="G2133" s="21"/>
      <c r="H2133" s="149"/>
      <c r="I2133" s="25"/>
      <c r="J2133" s="26"/>
      <c r="K2133" s="21"/>
      <c r="L2133" s="29"/>
      <c r="M2133" s="28"/>
      <c r="N2133" s="29"/>
      <c r="O2133" s="29"/>
      <c r="P2133" s="34"/>
      <c r="Q2133" s="34"/>
      <c r="R2133" s="35"/>
      <c r="S2133" s="32" t="s">
        <v>29</v>
      </c>
      <c r="T2133" s="33"/>
      <c r="U2133" s="33"/>
    </row>
    <row r="2134" ht="15.75" customHeight="1">
      <c r="A2134" s="20"/>
      <c r="B2134" s="20"/>
      <c r="C2134" s="20"/>
      <c r="D2134" s="21"/>
      <c r="E2134" s="21"/>
      <c r="F2134" s="67"/>
      <c r="G2134" s="21"/>
      <c r="H2134" s="149"/>
      <c r="I2134" s="25"/>
      <c r="J2134" s="26"/>
      <c r="K2134" s="21"/>
      <c r="L2134" s="29"/>
      <c r="M2134" s="28"/>
      <c r="N2134" s="29"/>
      <c r="O2134" s="29"/>
      <c r="P2134" s="34"/>
      <c r="Q2134" s="34"/>
      <c r="R2134" s="35"/>
      <c r="S2134" s="32" t="s">
        <v>29</v>
      </c>
      <c r="T2134" s="33"/>
      <c r="U2134" s="33"/>
    </row>
    <row r="2135" ht="15.75" customHeight="1">
      <c r="A2135" s="20"/>
      <c r="B2135" s="20"/>
      <c r="C2135" s="20"/>
      <c r="D2135" s="21"/>
      <c r="E2135" s="21"/>
      <c r="F2135" s="67"/>
      <c r="G2135" s="21"/>
      <c r="H2135" s="149"/>
      <c r="I2135" s="25"/>
      <c r="J2135" s="26"/>
      <c r="K2135" s="21"/>
      <c r="L2135" s="29"/>
      <c r="M2135" s="28"/>
      <c r="N2135" s="29"/>
      <c r="O2135" s="29"/>
      <c r="P2135" s="34"/>
      <c r="Q2135" s="34"/>
      <c r="R2135" s="35"/>
      <c r="S2135" s="32" t="s">
        <v>29</v>
      </c>
      <c r="T2135" s="33"/>
      <c r="U2135" s="33"/>
    </row>
    <row r="2136" ht="15.75" customHeight="1">
      <c r="A2136" s="20"/>
      <c r="B2136" s="20"/>
      <c r="C2136" s="20"/>
      <c r="D2136" s="21"/>
      <c r="E2136" s="21"/>
      <c r="F2136" s="67"/>
      <c r="G2136" s="21"/>
      <c r="H2136" s="149"/>
      <c r="I2136" s="25"/>
      <c r="J2136" s="26"/>
      <c r="K2136" s="21"/>
      <c r="L2136" s="29"/>
      <c r="M2136" s="28"/>
      <c r="N2136" s="29"/>
      <c r="O2136" s="29"/>
      <c r="P2136" s="34"/>
      <c r="Q2136" s="34"/>
      <c r="R2136" s="35"/>
      <c r="S2136" s="32" t="s">
        <v>29</v>
      </c>
      <c r="T2136" s="33"/>
      <c r="U2136" s="33"/>
    </row>
    <row r="2137" ht="15.75" customHeight="1">
      <c r="A2137" s="20"/>
      <c r="B2137" s="20"/>
      <c r="C2137" s="20"/>
      <c r="D2137" s="21"/>
      <c r="E2137" s="21"/>
      <c r="F2137" s="67"/>
      <c r="G2137" s="21"/>
      <c r="H2137" s="149"/>
      <c r="I2137" s="25"/>
      <c r="J2137" s="26"/>
      <c r="K2137" s="21"/>
      <c r="L2137" s="29"/>
      <c r="M2137" s="28"/>
      <c r="N2137" s="29"/>
      <c r="O2137" s="29"/>
      <c r="P2137" s="34"/>
      <c r="Q2137" s="34"/>
      <c r="R2137" s="35"/>
      <c r="S2137" s="32" t="s">
        <v>29</v>
      </c>
      <c r="T2137" s="33"/>
      <c r="U2137" s="33"/>
    </row>
    <row r="2138" ht="15.75" customHeight="1">
      <c r="A2138" s="20"/>
      <c r="B2138" s="20"/>
      <c r="C2138" s="20"/>
      <c r="D2138" s="21"/>
      <c r="E2138" s="21"/>
      <c r="F2138" s="67"/>
      <c r="G2138" s="21"/>
      <c r="H2138" s="149"/>
      <c r="I2138" s="25"/>
      <c r="J2138" s="26"/>
      <c r="K2138" s="21"/>
      <c r="L2138" s="29"/>
      <c r="M2138" s="28"/>
      <c r="N2138" s="29"/>
      <c r="O2138" s="29"/>
      <c r="P2138" s="34"/>
      <c r="Q2138" s="34"/>
      <c r="R2138" s="35"/>
      <c r="S2138" s="32" t="s">
        <v>29</v>
      </c>
      <c r="T2138" s="33"/>
      <c r="U2138" s="33"/>
    </row>
    <row r="2139" ht="15.75" customHeight="1">
      <c r="A2139" s="20"/>
      <c r="B2139" s="20"/>
      <c r="C2139" s="20"/>
      <c r="D2139" s="21"/>
      <c r="E2139" s="21"/>
      <c r="F2139" s="67"/>
      <c r="G2139" s="21"/>
      <c r="H2139" s="149"/>
      <c r="I2139" s="25"/>
      <c r="J2139" s="26"/>
      <c r="K2139" s="21"/>
      <c r="L2139" s="29"/>
      <c r="M2139" s="28"/>
      <c r="N2139" s="29"/>
      <c r="O2139" s="29"/>
      <c r="P2139" s="34"/>
      <c r="Q2139" s="34"/>
      <c r="R2139" s="35"/>
      <c r="S2139" s="32" t="s">
        <v>29</v>
      </c>
      <c r="T2139" s="33"/>
      <c r="U2139" s="33"/>
    </row>
    <row r="2140" ht="15.75" customHeight="1">
      <c r="A2140" s="20"/>
      <c r="B2140" s="20"/>
      <c r="C2140" s="20"/>
      <c r="D2140" s="21"/>
      <c r="E2140" s="21"/>
      <c r="F2140" s="67"/>
      <c r="G2140" s="21"/>
      <c r="H2140" s="149"/>
      <c r="I2140" s="25"/>
      <c r="J2140" s="26"/>
      <c r="K2140" s="21"/>
      <c r="L2140" s="29"/>
      <c r="M2140" s="28"/>
      <c r="N2140" s="29"/>
      <c r="O2140" s="29"/>
      <c r="P2140" s="34"/>
      <c r="Q2140" s="34"/>
      <c r="R2140" s="35"/>
      <c r="S2140" s="32" t="s">
        <v>29</v>
      </c>
      <c r="T2140" s="33"/>
      <c r="U2140" s="33"/>
    </row>
    <row r="2141" ht="15.75" customHeight="1">
      <c r="A2141" s="20"/>
      <c r="B2141" s="20"/>
      <c r="C2141" s="20"/>
      <c r="D2141" s="21"/>
      <c r="E2141" s="21"/>
      <c r="F2141" s="67"/>
      <c r="G2141" s="21"/>
      <c r="H2141" s="149"/>
      <c r="I2141" s="25"/>
      <c r="J2141" s="26"/>
      <c r="K2141" s="21"/>
      <c r="L2141" s="29"/>
      <c r="M2141" s="28"/>
      <c r="N2141" s="29"/>
      <c r="O2141" s="29"/>
      <c r="P2141" s="34"/>
      <c r="Q2141" s="34"/>
      <c r="R2141" s="35"/>
      <c r="S2141" s="32" t="s">
        <v>29</v>
      </c>
      <c r="T2141" s="33"/>
      <c r="U2141" s="33"/>
    </row>
    <row r="2142" ht="15.75" customHeight="1">
      <c r="A2142" s="20"/>
      <c r="B2142" s="20"/>
      <c r="C2142" s="20"/>
      <c r="D2142" s="21"/>
      <c r="E2142" s="21"/>
      <c r="F2142" s="67"/>
      <c r="G2142" s="21"/>
      <c r="H2142" s="149"/>
      <c r="I2142" s="25"/>
      <c r="J2142" s="26"/>
      <c r="K2142" s="21"/>
      <c r="L2142" s="29"/>
      <c r="M2142" s="28"/>
      <c r="N2142" s="29"/>
      <c r="O2142" s="29"/>
      <c r="P2142" s="34"/>
      <c r="Q2142" s="34"/>
      <c r="R2142" s="35"/>
      <c r="S2142" s="32" t="s">
        <v>29</v>
      </c>
      <c r="T2142" s="33"/>
      <c r="U2142" s="33"/>
    </row>
    <row r="2143" ht="15.75" customHeight="1">
      <c r="A2143" s="20"/>
      <c r="B2143" s="20"/>
      <c r="C2143" s="20"/>
      <c r="D2143" s="21"/>
      <c r="E2143" s="21"/>
      <c r="F2143" s="67"/>
      <c r="G2143" s="21"/>
      <c r="H2143" s="149"/>
      <c r="I2143" s="25"/>
      <c r="J2143" s="26"/>
      <c r="K2143" s="21"/>
      <c r="L2143" s="29"/>
      <c r="M2143" s="28"/>
      <c r="N2143" s="29"/>
      <c r="O2143" s="29"/>
      <c r="P2143" s="34"/>
      <c r="Q2143" s="34"/>
      <c r="R2143" s="35"/>
      <c r="S2143" s="32" t="s">
        <v>29</v>
      </c>
      <c r="T2143" s="33"/>
      <c r="U2143" s="33"/>
    </row>
    <row r="2144" ht="15.75" customHeight="1">
      <c r="A2144" s="20"/>
      <c r="B2144" s="20"/>
      <c r="C2144" s="20"/>
      <c r="D2144" s="21"/>
      <c r="E2144" s="21"/>
      <c r="F2144" s="67"/>
      <c r="G2144" s="21"/>
      <c r="H2144" s="149"/>
      <c r="I2144" s="25"/>
      <c r="J2144" s="26"/>
      <c r="K2144" s="21"/>
      <c r="L2144" s="29"/>
      <c r="M2144" s="28"/>
      <c r="N2144" s="29"/>
      <c r="O2144" s="29"/>
      <c r="P2144" s="34"/>
      <c r="Q2144" s="34"/>
      <c r="R2144" s="35"/>
      <c r="S2144" s="32" t="s">
        <v>29</v>
      </c>
      <c r="T2144" s="33"/>
      <c r="U2144" s="33"/>
    </row>
    <row r="2145" ht="15.75" customHeight="1">
      <c r="A2145" s="20"/>
      <c r="B2145" s="20"/>
      <c r="C2145" s="20"/>
      <c r="D2145" s="21"/>
      <c r="E2145" s="21"/>
      <c r="F2145" s="67"/>
      <c r="G2145" s="21"/>
      <c r="H2145" s="149"/>
      <c r="I2145" s="25"/>
      <c r="J2145" s="26"/>
      <c r="K2145" s="21"/>
      <c r="L2145" s="29"/>
      <c r="M2145" s="28"/>
      <c r="N2145" s="29"/>
      <c r="O2145" s="29"/>
      <c r="P2145" s="34"/>
      <c r="Q2145" s="34"/>
      <c r="R2145" s="35"/>
      <c r="S2145" s="32" t="s">
        <v>29</v>
      </c>
      <c r="T2145" s="33"/>
      <c r="U2145" s="33"/>
    </row>
    <row r="2146" ht="15.75" customHeight="1">
      <c r="A2146" s="20"/>
      <c r="B2146" s="20"/>
      <c r="C2146" s="20"/>
      <c r="D2146" s="21"/>
      <c r="E2146" s="21"/>
      <c r="F2146" s="67"/>
      <c r="G2146" s="21"/>
      <c r="H2146" s="149"/>
      <c r="I2146" s="25"/>
      <c r="J2146" s="26"/>
      <c r="K2146" s="21"/>
      <c r="L2146" s="29"/>
      <c r="M2146" s="28"/>
      <c r="N2146" s="29"/>
      <c r="O2146" s="29"/>
      <c r="P2146" s="34"/>
      <c r="Q2146" s="34"/>
      <c r="R2146" s="35"/>
      <c r="S2146" s="32" t="s">
        <v>29</v>
      </c>
      <c r="T2146" s="33"/>
      <c r="U2146" s="33"/>
    </row>
    <row r="2147" ht="15.75" customHeight="1">
      <c r="A2147" s="20"/>
      <c r="B2147" s="20"/>
      <c r="C2147" s="20"/>
      <c r="D2147" s="21"/>
      <c r="E2147" s="21"/>
      <c r="F2147" s="67"/>
      <c r="G2147" s="21"/>
      <c r="H2147" s="149"/>
      <c r="I2147" s="25"/>
      <c r="J2147" s="26"/>
      <c r="K2147" s="21"/>
      <c r="L2147" s="29"/>
      <c r="M2147" s="28"/>
      <c r="N2147" s="29"/>
      <c r="O2147" s="29"/>
      <c r="P2147" s="34"/>
      <c r="Q2147" s="34"/>
      <c r="R2147" s="35"/>
      <c r="S2147" s="32" t="s">
        <v>29</v>
      </c>
      <c r="T2147" s="33"/>
      <c r="U2147" s="33"/>
    </row>
    <row r="2148" ht="15.75" customHeight="1">
      <c r="A2148" s="20"/>
      <c r="B2148" s="20"/>
      <c r="C2148" s="20"/>
      <c r="D2148" s="21"/>
      <c r="E2148" s="21"/>
      <c r="F2148" s="67"/>
      <c r="G2148" s="21"/>
      <c r="H2148" s="149"/>
      <c r="I2148" s="25"/>
      <c r="J2148" s="26"/>
      <c r="K2148" s="21"/>
      <c r="L2148" s="29"/>
      <c r="M2148" s="28"/>
      <c r="N2148" s="29"/>
      <c r="O2148" s="29"/>
      <c r="P2148" s="34"/>
      <c r="Q2148" s="34"/>
      <c r="R2148" s="35"/>
      <c r="S2148" s="32" t="s">
        <v>29</v>
      </c>
      <c r="T2148" s="33"/>
      <c r="U2148" s="33"/>
    </row>
    <row r="2149" ht="15.75" customHeight="1">
      <c r="A2149" s="20"/>
      <c r="B2149" s="20"/>
      <c r="C2149" s="20"/>
      <c r="D2149" s="21"/>
      <c r="E2149" s="21"/>
      <c r="F2149" s="67"/>
      <c r="G2149" s="21"/>
      <c r="H2149" s="149"/>
      <c r="I2149" s="25"/>
      <c r="J2149" s="26"/>
      <c r="K2149" s="21"/>
      <c r="L2149" s="29"/>
      <c r="M2149" s="28"/>
      <c r="N2149" s="29"/>
      <c r="O2149" s="29"/>
      <c r="P2149" s="34"/>
      <c r="Q2149" s="34"/>
      <c r="R2149" s="35"/>
      <c r="S2149" s="32" t="s">
        <v>29</v>
      </c>
      <c r="T2149" s="33"/>
      <c r="U2149" s="33"/>
    </row>
    <row r="2150" ht="15.75" customHeight="1">
      <c r="A2150" s="20"/>
      <c r="B2150" s="20"/>
      <c r="C2150" s="20"/>
      <c r="D2150" s="21"/>
      <c r="E2150" s="21"/>
      <c r="F2150" s="67"/>
      <c r="G2150" s="21"/>
      <c r="H2150" s="149"/>
      <c r="I2150" s="25"/>
      <c r="J2150" s="26"/>
      <c r="K2150" s="21"/>
      <c r="L2150" s="29"/>
      <c r="M2150" s="28"/>
      <c r="N2150" s="29"/>
      <c r="O2150" s="29"/>
      <c r="P2150" s="34"/>
      <c r="Q2150" s="34"/>
      <c r="R2150" s="35"/>
      <c r="S2150" s="32" t="s">
        <v>29</v>
      </c>
      <c r="T2150" s="33"/>
      <c r="U2150" s="33"/>
    </row>
    <row r="2151" ht="15.75" customHeight="1">
      <c r="A2151" s="20"/>
      <c r="B2151" s="20"/>
      <c r="C2151" s="20"/>
      <c r="D2151" s="21"/>
      <c r="E2151" s="21"/>
      <c r="F2151" s="67"/>
      <c r="G2151" s="21"/>
      <c r="H2151" s="149"/>
      <c r="I2151" s="25"/>
      <c r="J2151" s="26"/>
      <c r="K2151" s="21"/>
      <c r="L2151" s="29"/>
      <c r="M2151" s="28"/>
      <c r="N2151" s="29"/>
      <c r="O2151" s="29"/>
      <c r="P2151" s="34"/>
      <c r="Q2151" s="34"/>
      <c r="R2151" s="35"/>
      <c r="S2151" s="32" t="s">
        <v>29</v>
      </c>
      <c r="T2151" s="33"/>
      <c r="U2151" s="33"/>
    </row>
    <row r="2152" ht="15.75" customHeight="1">
      <c r="A2152" s="20"/>
      <c r="B2152" s="20"/>
      <c r="C2152" s="20"/>
      <c r="D2152" s="21"/>
      <c r="E2152" s="21"/>
      <c r="F2152" s="67"/>
      <c r="G2152" s="21"/>
      <c r="H2152" s="149"/>
      <c r="I2152" s="25"/>
      <c r="J2152" s="26"/>
      <c r="K2152" s="21"/>
      <c r="L2152" s="29"/>
      <c r="M2152" s="28"/>
      <c r="N2152" s="29"/>
      <c r="O2152" s="29"/>
      <c r="P2152" s="34"/>
      <c r="Q2152" s="34"/>
      <c r="R2152" s="35"/>
      <c r="S2152" s="32" t="s">
        <v>29</v>
      </c>
      <c r="T2152" s="33"/>
      <c r="U2152" s="33"/>
    </row>
    <row r="2153" ht="15.75" customHeight="1">
      <c r="A2153" s="20"/>
      <c r="B2153" s="20"/>
      <c r="C2153" s="20"/>
      <c r="D2153" s="21"/>
      <c r="E2153" s="21"/>
      <c r="F2153" s="67"/>
      <c r="G2153" s="21"/>
      <c r="H2153" s="149"/>
      <c r="I2153" s="25"/>
      <c r="J2153" s="26"/>
      <c r="K2153" s="21"/>
      <c r="L2153" s="29"/>
      <c r="M2153" s="28"/>
      <c r="N2153" s="29"/>
      <c r="O2153" s="29"/>
      <c r="P2153" s="34"/>
      <c r="Q2153" s="34"/>
      <c r="R2153" s="35"/>
      <c r="S2153" s="32" t="s">
        <v>29</v>
      </c>
      <c r="T2153" s="33"/>
      <c r="U2153" s="33"/>
    </row>
    <row r="2154" ht="15.75" customHeight="1">
      <c r="A2154" s="20"/>
      <c r="B2154" s="20"/>
      <c r="C2154" s="20"/>
      <c r="D2154" s="21"/>
      <c r="E2154" s="21"/>
      <c r="F2154" s="67"/>
      <c r="G2154" s="21"/>
      <c r="H2154" s="149"/>
      <c r="I2154" s="25"/>
      <c r="J2154" s="26"/>
      <c r="K2154" s="21"/>
      <c r="L2154" s="29"/>
      <c r="M2154" s="28"/>
      <c r="N2154" s="29"/>
      <c r="O2154" s="29"/>
      <c r="P2154" s="34"/>
      <c r="Q2154" s="34"/>
      <c r="R2154" s="35"/>
      <c r="S2154" s="32" t="s">
        <v>29</v>
      </c>
      <c r="T2154" s="33"/>
      <c r="U2154" s="33"/>
    </row>
    <row r="2155" ht="15.75" customHeight="1">
      <c r="A2155" s="20"/>
      <c r="B2155" s="20"/>
      <c r="C2155" s="20"/>
      <c r="D2155" s="21"/>
      <c r="E2155" s="21"/>
      <c r="F2155" s="67"/>
      <c r="G2155" s="21"/>
      <c r="H2155" s="149"/>
      <c r="I2155" s="25"/>
      <c r="J2155" s="26"/>
      <c r="K2155" s="21"/>
      <c r="L2155" s="29"/>
      <c r="M2155" s="28"/>
      <c r="N2155" s="29"/>
      <c r="O2155" s="29"/>
      <c r="P2155" s="34"/>
      <c r="Q2155" s="34"/>
      <c r="R2155" s="35"/>
      <c r="S2155" s="32" t="s">
        <v>29</v>
      </c>
      <c r="T2155" s="33"/>
      <c r="U2155" s="33"/>
    </row>
    <row r="2156" ht="15.75" customHeight="1">
      <c r="A2156" s="20"/>
      <c r="B2156" s="20"/>
      <c r="C2156" s="20"/>
      <c r="D2156" s="21"/>
      <c r="E2156" s="21"/>
      <c r="F2156" s="67"/>
      <c r="G2156" s="21"/>
      <c r="H2156" s="149"/>
      <c r="I2156" s="25"/>
      <c r="J2156" s="26"/>
      <c r="K2156" s="21"/>
      <c r="L2156" s="29"/>
      <c r="M2156" s="28"/>
      <c r="N2156" s="29"/>
      <c r="O2156" s="29"/>
      <c r="P2156" s="34"/>
      <c r="Q2156" s="34"/>
      <c r="R2156" s="35"/>
      <c r="S2156" s="32" t="s">
        <v>29</v>
      </c>
      <c r="T2156" s="33"/>
      <c r="U2156" s="33"/>
    </row>
    <row r="2157" ht="15.75" customHeight="1">
      <c r="A2157" s="20"/>
      <c r="B2157" s="20"/>
      <c r="C2157" s="20"/>
      <c r="D2157" s="21"/>
      <c r="E2157" s="21"/>
      <c r="F2157" s="67"/>
      <c r="G2157" s="21"/>
      <c r="H2157" s="149"/>
      <c r="I2157" s="25"/>
      <c r="J2157" s="26"/>
      <c r="K2157" s="21"/>
      <c r="L2157" s="29"/>
      <c r="M2157" s="28"/>
      <c r="N2157" s="29"/>
      <c r="O2157" s="29"/>
      <c r="P2157" s="34"/>
      <c r="Q2157" s="34"/>
      <c r="R2157" s="35"/>
      <c r="S2157" s="32" t="s">
        <v>29</v>
      </c>
      <c r="T2157" s="33"/>
      <c r="U2157" s="33"/>
    </row>
    <row r="2158" ht="15.75" customHeight="1">
      <c r="A2158" s="20"/>
      <c r="B2158" s="20"/>
      <c r="C2158" s="20"/>
      <c r="D2158" s="21"/>
      <c r="E2158" s="21"/>
      <c r="F2158" s="67"/>
      <c r="G2158" s="21"/>
      <c r="H2158" s="149"/>
      <c r="I2158" s="25"/>
      <c r="J2158" s="26"/>
      <c r="K2158" s="21"/>
      <c r="L2158" s="29"/>
      <c r="M2158" s="28"/>
      <c r="N2158" s="29"/>
      <c r="O2158" s="29"/>
      <c r="P2158" s="34"/>
      <c r="Q2158" s="34"/>
      <c r="R2158" s="35"/>
      <c r="S2158" s="32" t="s">
        <v>29</v>
      </c>
      <c r="T2158" s="33"/>
      <c r="U2158" s="33"/>
    </row>
    <row r="2159" ht="15.75" customHeight="1">
      <c r="A2159" s="20"/>
      <c r="B2159" s="20"/>
      <c r="C2159" s="20"/>
      <c r="D2159" s="21"/>
      <c r="E2159" s="21"/>
      <c r="F2159" s="67"/>
      <c r="G2159" s="21"/>
      <c r="H2159" s="149"/>
      <c r="I2159" s="25"/>
      <c r="J2159" s="26"/>
      <c r="K2159" s="21"/>
      <c r="L2159" s="29"/>
      <c r="M2159" s="28"/>
      <c r="N2159" s="29"/>
      <c r="O2159" s="29"/>
      <c r="P2159" s="34"/>
      <c r="Q2159" s="34"/>
      <c r="R2159" s="35"/>
      <c r="S2159" s="32" t="s">
        <v>29</v>
      </c>
      <c r="T2159" s="33"/>
      <c r="U2159" s="33"/>
    </row>
    <row r="2160" ht="15.75" customHeight="1">
      <c r="A2160" s="20"/>
      <c r="B2160" s="20"/>
      <c r="C2160" s="20"/>
      <c r="D2160" s="21"/>
      <c r="E2160" s="21"/>
      <c r="F2160" s="67"/>
      <c r="G2160" s="21"/>
      <c r="H2160" s="149"/>
      <c r="I2160" s="25"/>
      <c r="J2160" s="26"/>
      <c r="K2160" s="21"/>
      <c r="L2160" s="29"/>
      <c r="M2160" s="28"/>
      <c r="N2160" s="29"/>
      <c r="O2160" s="29"/>
      <c r="P2160" s="34"/>
      <c r="Q2160" s="34"/>
      <c r="R2160" s="35"/>
      <c r="S2160" s="32" t="s">
        <v>29</v>
      </c>
      <c r="T2160" s="33"/>
      <c r="U2160" s="33"/>
    </row>
    <row r="2161" ht="15.75" customHeight="1">
      <c r="A2161" s="20"/>
      <c r="B2161" s="20"/>
      <c r="C2161" s="20"/>
      <c r="D2161" s="21"/>
      <c r="E2161" s="21"/>
      <c r="F2161" s="67"/>
      <c r="G2161" s="21"/>
      <c r="H2161" s="149"/>
      <c r="I2161" s="25"/>
      <c r="J2161" s="26"/>
      <c r="K2161" s="21"/>
      <c r="L2161" s="29"/>
      <c r="M2161" s="28"/>
      <c r="N2161" s="29"/>
      <c r="O2161" s="29"/>
      <c r="P2161" s="34"/>
      <c r="Q2161" s="34"/>
      <c r="R2161" s="35"/>
      <c r="S2161" s="32" t="s">
        <v>29</v>
      </c>
      <c r="T2161" s="33"/>
      <c r="U2161" s="33"/>
    </row>
    <row r="2162" ht="15.75" customHeight="1">
      <c r="A2162" s="20"/>
      <c r="B2162" s="20"/>
      <c r="C2162" s="20"/>
      <c r="D2162" s="21"/>
      <c r="E2162" s="21"/>
      <c r="F2162" s="67"/>
      <c r="G2162" s="21"/>
      <c r="H2162" s="149"/>
      <c r="I2162" s="25"/>
      <c r="J2162" s="26"/>
      <c r="K2162" s="21"/>
      <c r="L2162" s="29"/>
      <c r="M2162" s="28"/>
      <c r="N2162" s="29"/>
      <c r="O2162" s="29"/>
      <c r="P2162" s="34"/>
      <c r="Q2162" s="34"/>
      <c r="R2162" s="35"/>
      <c r="S2162" s="32" t="s">
        <v>29</v>
      </c>
      <c r="T2162" s="33"/>
      <c r="U2162" s="33"/>
    </row>
    <row r="2163" ht="15.75" customHeight="1">
      <c r="A2163" s="20"/>
      <c r="B2163" s="20"/>
      <c r="C2163" s="20"/>
      <c r="D2163" s="21"/>
      <c r="E2163" s="21"/>
      <c r="F2163" s="67"/>
      <c r="G2163" s="21"/>
      <c r="H2163" s="149"/>
      <c r="I2163" s="25"/>
      <c r="J2163" s="26"/>
      <c r="K2163" s="21"/>
      <c r="L2163" s="29"/>
      <c r="M2163" s="28"/>
      <c r="N2163" s="29"/>
      <c r="O2163" s="29"/>
      <c r="P2163" s="34"/>
      <c r="Q2163" s="34"/>
      <c r="R2163" s="35"/>
      <c r="S2163" s="32" t="s">
        <v>29</v>
      </c>
      <c r="T2163" s="33"/>
      <c r="U2163" s="33"/>
    </row>
    <row r="2164" ht="15.75" customHeight="1">
      <c r="A2164" s="20"/>
      <c r="B2164" s="20"/>
      <c r="C2164" s="20"/>
      <c r="D2164" s="21"/>
      <c r="E2164" s="21"/>
      <c r="F2164" s="67"/>
      <c r="G2164" s="21"/>
      <c r="H2164" s="149"/>
      <c r="I2164" s="25"/>
      <c r="J2164" s="26"/>
      <c r="K2164" s="21"/>
      <c r="L2164" s="29"/>
      <c r="M2164" s="28"/>
      <c r="N2164" s="29"/>
      <c r="O2164" s="29"/>
      <c r="P2164" s="34"/>
      <c r="Q2164" s="34"/>
      <c r="R2164" s="35"/>
      <c r="S2164" s="32" t="s">
        <v>29</v>
      </c>
      <c r="T2164" s="33"/>
      <c r="U2164" s="33"/>
    </row>
    <row r="2165" ht="15.75" customHeight="1">
      <c r="A2165" s="20"/>
      <c r="B2165" s="20"/>
      <c r="C2165" s="20"/>
      <c r="D2165" s="21"/>
      <c r="E2165" s="21"/>
      <c r="F2165" s="67"/>
      <c r="G2165" s="21"/>
      <c r="H2165" s="149"/>
      <c r="I2165" s="25"/>
      <c r="J2165" s="26"/>
      <c r="K2165" s="21"/>
      <c r="L2165" s="29"/>
      <c r="M2165" s="28"/>
      <c r="N2165" s="29"/>
      <c r="O2165" s="29"/>
      <c r="P2165" s="34"/>
      <c r="Q2165" s="34"/>
      <c r="R2165" s="35"/>
      <c r="S2165" s="32" t="s">
        <v>29</v>
      </c>
      <c r="T2165" s="33"/>
      <c r="U2165" s="33"/>
    </row>
    <row r="2166" ht="15.75" customHeight="1">
      <c r="A2166" s="20"/>
      <c r="B2166" s="20"/>
      <c r="C2166" s="20"/>
      <c r="D2166" s="21"/>
      <c r="E2166" s="21"/>
      <c r="F2166" s="67"/>
      <c r="G2166" s="21"/>
      <c r="H2166" s="149"/>
      <c r="I2166" s="25"/>
      <c r="J2166" s="26"/>
      <c r="K2166" s="21"/>
      <c r="L2166" s="29"/>
      <c r="M2166" s="28"/>
      <c r="N2166" s="29"/>
      <c r="O2166" s="29"/>
      <c r="P2166" s="34"/>
      <c r="Q2166" s="34"/>
      <c r="R2166" s="35"/>
      <c r="S2166" s="32" t="s">
        <v>29</v>
      </c>
      <c r="T2166" s="33"/>
      <c r="U2166" s="33"/>
    </row>
    <row r="2167" ht="15.75" customHeight="1">
      <c r="A2167" s="20"/>
      <c r="B2167" s="20"/>
      <c r="C2167" s="20"/>
      <c r="D2167" s="21"/>
      <c r="E2167" s="21"/>
      <c r="F2167" s="67"/>
      <c r="G2167" s="21"/>
      <c r="H2167" s="149"/>
      <c r="I2167" s="25"/>
      <c r="J2167" s="26"/>
      <c r="K2167" s="21"/>
      <c r="L2167" s="29"/>
      <c r="M2167" s="28"/>
      <c r="N2167" s="29"/>
      <c r="O2167" s="29"/>
      <c r="P2167" s="34"/>
      <c r="Q2167" s="34"/>
      <c r="R2167" s="35"/>
      <c r="S2167" s="32" t="s">
        <v>29</v>
      </c>
      <c r="T2167" s="33"/>
      <c r="U2167" s="33"/>
    </row>
    <row r="2168" ht="15.75" customHeight="1">
      <c r="A2168" s="20"/>
      <c r="B2168" s="20"/>
      <c r="C2168" s="20"/>
      <c r="D2168" s="21"/>
      <c r="E2168" s="21"/>
      <c r="F2168" s="67"/>
      <c r="G2168" s="21"/>
      <c r="H2168" s="149"/>
      <c r="I2168" s="25"/>
      <c r="J2168" s="26"/>
      <c r="K2168" s="21"/>
      <c r="L2168" s="29"/>
      <c r="M2168" s="28"/>
      <c r="N2168" s="29"/>
      <c r="O2168" s="29"/>
      <c r="P2168" s="34"/>
      <c r="Q2168" s="34"/>
      <c r="R2168" s="35"/>
      <c r="S2168" s="32" t="s">
        <v>29</v>
      </c>
      <c r="T2168" s="33"/>
      <c r="U2168" s="33"/>
    </row>
    <row r="2169" ht="15.75" customHeight="1">
      <c r="A2169" s="20"/>
      <c r="B2169" s="20"/>
      <c r="C2169" s="20"/>
      <c r="D2169" s="21"/>
      <c r="E2169" s="21"/>
      <c r="F2169" s="67"/>
      <c r="G2169" s="21"/>
      <c r="H2169" s="149"/>
      <c r="I2169" s="25"/>
      <c r="J2169" s="26"/>
      <c r="K2169" s="21"/>
      <c r="L2169" s="29"/>
      <c r="M2169" s="28"/>
      <c r="N2169" s="29"/>
      <c r="O2169" s="29"/>
      <c r="P2169" s="34"/>
      <c r="Q2169" s="34"/>
      <c r="R2169" s="35"/>
      <c r="S2169" s="32" t="s">
        <v>29</v>
      </c>
      <c r="T2169" s="33"/>
      <c r="U2169" s="33"/>
    </row>
    <row r="2170" ht="15.75" customHeight="1">
      <c r="A2170" s="20"/>
      <c r="B2170" s="20"/>
      <c r="C2170" s="20"/>
      <c r="D2170" s="21"/>
      <c r="E2170" s="21"/>
      <c r="F2170" s="67"/>
      <c r="G2170" s="21"/>
      <c r="H2170" s="149"/>
      <c r="I2170" s="25"/>
      <c r="J2170" s="26"/>
      <c r="K2170" s="21"/>
      <c r="L2170" s="29"/>
      <c r="M2170" s="28"/>
      <c r="N2170" s="29"/>
      <c r="O2170" s="29"/>
      <c r="P2170" s="34"/>
      <c r="Q2170" s="34"/>
      <c r="R2170" s="35"/>
      <c r="S2170" s="32" t="s">
        <v>29</v>
      </c>
      <c r="T2170" s="33"/>
      <c r="U2170" s="33"/>
    </row>
    <row r="2171" ht="15.75" customHeight="1">
      <c r="A2171" s="20"/>
      <c r="B2171" s="20"/>
      <c r="C2171" s="20"/>
      <c r="D2171" s="21"/>
      <c r="E2171" s="21"/>
      <c r="F2171" s="67"/>
      <c r="G2171" s="21"/>
      <c r="H2171" s="149"/>
      <c r="I2171" s="25"/>
      <c r="J2171" s="26"/>
      <c r="K2171" s="21"/>
      <c r="L2171" s="29"/>
      <c r="M2171" s="28"/>
      <c r="N2171" s="29"/>
      <c r="O2171" s="29"/>
      <c r="P2171" s="34"/>
      <c r="Q2171" s="34"/>
      <c r="R2171" s="35"/>
      <c r="S2171" s="32" t="s">
        <v>29</v>
      </c>
      <c r="T2171" s="33"/>
      <c r="U2171" s="33"/>
    </row>
    <row r="2172" ht="15.75" customHeight="1">
      <c r="A2172" s="20"/>
      <c r="B2172" s="20"/>
      <c r="C2172" s="20"/>
      <c r="D2172" s="21"/>
      <c r="E2172" s="21"/>
      <c r="F2172" s="67"/>
      <c r="G2172" s="21"/>
      <c r="H2172" s="149"/>
      <c r="I2172" s="25"/>
      <c r="J2172" s="26"/>
      <c r="K2172" s="21"/>
      <c r="L2172" s="29"/>
      <c r="M2172" s="28"/>
      <c r="N2172" s="29"/>
      <c r="O2172" s="29"/>
      <c r="P2172" s="34"/>
      <c r="Q2172" s="34"/>
      <c r="R2172" s="35"/>
      <c r="S2172" s="32" t="s">
        <v>29</v>
      </c>
      <c r="T2172" s="33"/>
      <c r="U2172" s="33"/>
    </row>
    <row r="2173" ht="15.75" customHeight="1">
      <c r="A2173" s="20"/>
      <c r="B2173" s="20"/>
      <c r="C2173" s="20"/>
      <c r="D2173" s="21"/>
      <c r="E2173" s="21"/>
      <c r="F2173" s="67"/>
      <c r="G2173" s="21"/>
      <c r="H2173" s="149"/>
      <c r="I2173" s="25"/>
      <c r="J2173" s="26"/>
      <c r="K2173" s="21"/>
      <c r="L2173" s="29"/>
      <c r="M2173" s="28"/>
      <c r="N2173" s="29"/>
      <c r="O2173" s="29"/>
      <c r="P2173" s="34"/>
      <c r="Q2173" s="34"/>
      <c r="R2173" s="35"/>
      <c r="S2173" s="32" t="s">
        <v>29</v>
      </c>
      <c r="T2173" s="33"/>
      <c r="U2173" s="33"/>
    </row>
    <row r="2174" ht="15.75" customHeight="1">
      <c r="A2174" s="20"/>
      <c r="B2174" s="20"/>
      <c r="C2174" s="20"/>
      <c r="D2174" s="21"/>
      <c r="E2174" s="21"/>
      <c r="F2174" s="67"/>
      <c r="G2174" s="21"/>
      <c r="H2174" s="149"/>
      <c r="I2174" s="25"/>
      <c r="J2174" s="26"/>
      <c r="K2174" s="21"/>
      <c r="L2174" s="29"/>
      <c r="M2174" s="28"/>
      <c r="N2174" s="29"/>
      <c r="O2174" s="29"/>
      <c r="P2174" s="34"/>
      <c r="Q2174" s="34"/>
      <c r="R2174" s="35"/>
      <c r="S2174" s="32" t="s">
        <v>29</v>
      </c>
      <c r="T2174" s="33"/>
      <c r="U2174" s="33"/>
    </row>
    <row r="2175" ht="15.75" customHeight="1">
      <c r="A2175" s="20"/>
      <c r="B2175" s="20"/>
      <c r="C2175" s="20"/>
      <c r="D2175" s="21"/>
      <c r="E2175" s="21"/>
      <c r="F2175" s="67"/>
      <c r="G2175" s="21"/>
      <c r="H2175" s="149"/>
      <c r="I2175" s="25"/>
      <c r="J2175" s="26"/>
      <c r="K2175" s="21"/>
      <c r="L2175" s="29"/>
      <c r="M2175" s="28"/>
      <c r="N2175" s="29"/>
      <c r="O2175" s="29"/>
      <c r="P2175" s="34"/>
      <c r="Q2175" s="34"/>
      <c r="R2175" s="35"/>
      <c r="S2175" s="32" t="s">
        <v>29</v>
      </c>
      <c r="T2175" s="33"/>
      <c r="U2175" s="33"/>
    </row>
    <row r="2176" ht="15.75" customHeight="1">
      <c r="A2176" s="20"/>
      <c r="B2176" s="20"/>
      <c r="C2176" s="20"/>
      <c r="D2176" s="21"/>
      <c r="E2176" s="21"/>
      <c r="F2176" s="67"/>
      <c r="G2176" s="21"/>
      <c r="H2176" s="149"/>
      <c r="I2176" s="25"/>
      <c r="J2176" s="26"/>
      <c r="K2176" s="21"/>
      <c r="L2176" s="29"/>
      <c r="M2176" s="28"/>
      <c r="N2176" s="29"/>
      <c r="O2176" s="29"/>
      <c r="P2176" s="34"/>
      <c r="Q2176" s="34"/>
      <c r="R2176" s="35"/>
      <c r="S2176" s="32" t="s">
        <v>29</v>
      </c>
      <c r="T2176" s="33"/>
      <c r="U2176" s="33"/>
    </row>
    <row r="2177" ht="15.75" customHeight="1">
      <c r="A2177" s="20"/>
      <c r="B2177" s="20"/>
      <c r="C2177" s="20"/>
      <c r="D2177" s="21"/>
      <c r="E2177" s="21"/>
      <c r="F2177" s="67"/>
      <c r="G2177" s="21"/>
      <c r="H2177" s="149"/>
      <c r="I2177" s="25"/>
      <c r="J2177" s="26"/>
      <c r="K2177" s="21"/>
      <c r="L2177" s="29"/>
      <c r="M2177" s="28"/>
      <c r="N2177" s="29"/>
      <c r="O2177" s="29"/>
      <c r="P2177" s="34"/>
      <c r="Q2177" s="34"/>
      <c r="R2177" s="35"/>
      <c r="S2177" s="32" t="s">
        <v>29</v>
      </c>
      <c r="T2177" s="33"/>
      <c r="U2177" s="33"/>
    </row>
    <row r="2178" ht="15.75" customHeight="1">
      <c r="A2178" s="20"/>
      <c r="B2178" s="20"/>
      <c r="C2178" s="20"/>
      <c r="D2178" s="21"/>
      <c r="E2178" s="21"/>
      <c r="F2178" s="67"/>
      <c r="G2178" s="21"/>
      <c r="H2178" s="149"/>
      <c r="I2178" s="25"/>
      <c r="J2178" s="26"/>
      <c r="K2178" s="21"/>
      <c r="L2178" s="29"/>
      <c r="M2178" s="28"/>
      <c r="N2178" s="29"/>
      <c r="O2178" s="29"/>
      <c r="P2178" s="34"/>
      <c r="Q2178" s="34"/>
      <c r="R2178" s="35"/>
      <c r="S2178" s="32" t="s">
        <v>29</v>
      </c>
      <c r="T2178" s="33"/>
      <c r="U2178" s="33"/>
    </row>
    <row r="2179" ht="15.75" customHeight="1">
      <c r="A2179" s="20"/>
      <c r="B2179" s="20"/>
      <c r="C2179" s="20"/>
      <c r="D2179" s="21"/>
      <c r="E2179" s="21"/>
      <c r="F2179" s="67"/>
      <c r="G2179" s="21"/>
      <c r="H2179" s="149"/>
      <c r="I2179" s="25"/>
      <c r="J2179" s="26"/>
      <c r="K2179" s="21"/>
      <c r="L2179" s="29"/>
      <c r="M2179" s="28"/>
      <c r="N2179" s="29"/>
      <c r="O2179" s="29"/>
      <c r="P2179" s="34"/>
      <c r="Q2179" s="34"/>
      <c r="R2179" s="35"/>
      <c r="S2179" s="32" t="s">
        <v>29</v>
      </c>
      <c r="T2179" s="33"/>
      <c r="U2179" s="33"/>
    </row>
    <row r="2180" ht="15.75" customHeight="1">
      <c r="A2180" s="20"/>
      <c r="B2180" s="20"/>
      <c r="C2180" s="20"/>
      <c r="D2180" s="21"/>
      <c r="E2180" s="21"/>
      <c r="F2180" s="67"/>
      <c r="G2180" s="21"/>
      <c r="H2180" s="149"/>
      <c r="I2180" s="25"/>
      <c r="J2180" s="26"/>
      <c r="K2180" s="21"/>
      <c r="L2180" s="29"/>
      <c r="M2180" s="28"/>
      <c r="N2180" s="29"/>
      <c r="O2180" s="29"/>
      <c r="P2180" s="34"/>
      <c r="Q2180" s="34"/>
      <c r="R2180" s="35"/>
      <c r="S2180" s="32" t="s">
        <v>29</v>
      </c>
      <c r="T2180" s="33"/>
      <c r="U2180" s="33"/>
    </row>
    <row r="2181" ht="15.75" customHeight="1">
      <c r="A2181" s="20"/>
      <c r="B2181" s="20"/>
      <c r="C2181" s="20"/>
      <c r="D2181" s="21"/>
      <c r="E2181" s="21"/>
      <c r="F2181" s="67"/>
      <c r="G2181" s="21"/>
      <c r="H2181" s="149"/>
      <c r="I2181" s="25"/>
      <c r="J2181" s="26"/>
      <c r="K2181" s="21"/>
      <c r="L2181" s="29"/>
      <c r="M2181" s="28"/>
      <c r="N2181" s="29"/>
      <c r="O2181" s="29"/>
      <c r="P2181" s="34"/>
      <c r="Q2181" s="34"/>
      <c r="R2181" s="35"/>
      <c r="S2181" s="32" t="s">
        <v>29</v>
      </c>
      <c r="T2181" s="33"/>
      <c r="U2181" s="33"/>
    </row>
    <row r="2182" ht="15.75" customHeight="1">
      <c r="A2182" s="20"/>
      <c r="B2182" s="20"/>
      <c r="C2182" s="20"/>
      <c r="D2182" s="21"/>
      <c r="E2182" s="21"/>
      <c r="F2182" s="67"/>
      <c r="G2182" s="21"/>
      <c r="H2182" s="149"/>
      <c r="I2182" s="25"/>
      <c r="J2182" s="26"/>
      <c r="K2182" s="21"/>
      <c r="L2182" s="29"/>
      <c r="M2182" s="28"/>
      <c r="N2182" s="29"/>
      <c r="O2182" s="29"/>
      <c r="P2182" s="34"/>
      <c r="Q2182" s="34"/>
      <c r="R2182" s="35"/>
      <c r="S2182" s="32" t="s">
        <v>29</v>
      </c>
      <c r="T2182" s="33"/>
      <c r="U2182" s="33"/>
    </row>
    <row r="2183" ht="15.75" customHeight="1">
      <c r="A2183" s="20"/>
      <c r="B2183" s="20"/>
      <c r="C2183" s="20"/>
      <c r="D2183" s="21"/>
      <c r="E2183" s="21"/>
      <c r="F2183" s="67"/>
      <c r="G2183" s="21"/>
      <c r="H2183" s="149"/>
      <c r="I2183" s="25"/>
      <c r="J2183" s="26"/>
      <c r="K2183" s="21"/>
      <c r="L2183" s="29"/>
      <c r="M2183" s="28"/>
      <c r="N2183" s="29"/>
      <c r="O2183" s="29"/>
      <c r="P2183" s="34"/>
      <c r="Q2183" s="34"/>
      <c r="R2183" s="35"/>
      <c r="S2183" s="32" t="s">
        <v>29</v>
      </c>
      <c r="T2183" s="33"/>
      <c r="U2183" s="33"/>
    </row>
    <row r="2184" ht="15.75" customHeight="1">
      <c r="A2184" s="20"/>
      <c r="B2184" s="20"/>
      <c r="C2184" s="20"/>
      <c r="D2184" s="21"/>
      <c r="E2184" s="21"/>
      <c r="F2184" s="67"/>
      <c r="G2184" s="21"/>
      <c r="H2184" s="149"/>
      <c r="I2184" s="25"/>
      <c r="J2184" s="26"/>
      <c r="K2184" s="21"/>
      <c r="L2184" s="29"/>
      <c r="M2184" s="28"/>
      <c r="N2184" s="29"/>
      <c r="O2184" s="29"/>
      <c r="P2184" s="34"/>
      <c r="Q2184" s="34"/>
      <c r="R2184" s="35"/>
      <c r="S2184" s="32" t="s">
        <v>29</v>
      </c>
      <c r="T2184" s="33"/>
      <c r="U2184" s="33"/>
    </row>
    <row r="2185" ht="15.75" customHeight="1">
      <c r="A2185" s="20"/>
      <c r="B2185" s="20"/>
      <c r="C2185" s="20"/>
      <c r="D2185" s="21"/>
      <c r="E2185" s="21"/>
      <c r="F2185" s="67"/>
      <c r="G2185" s="21"/>
      <c r="H2185" s="149"/>
      <c r="I2185" s="25"/>
      <c r="J2185" s="26"/>
      <c r="K2185" s="21"/>
      <c r="L2185" s="29"/>
      <c r="M2185" s="28"/>
      <c r="N2185" s="29"/>
      <c r="O2185" s="29"/>
      <c r="P2185" s="34"/>
      <c r="Q2185" s="34"/>
      <c r="R2185" s="35"/>
      <c r="S2185" s="32" t="s">
        <v>29</v>
      </c>
      <c r="T2185" s="33"/>
      <c r="U2185" s="33"/>
    </row>
    <row r="2186" ht="15.75" customHeight="1">
      <c r="A2186" s="20"/>
      <c r="B2186" s="20"/>
      <c r="C2186" s="20"/>
      <c r="D2186" s="21"/>
      <c r="E2186" s="21"/>
      <c r="F2186" s="67"/>
      <c r="G2186" s="21"/>
      <c r="H2186" s="149"/>
      <c r="I2186" s="25"/>
      <c r="J2186" s="26"/>
      <c r="K2186" s="21"/>
      <c r="L2186" s="29"/>
      <c r="M2186" s="28"/>
      <c r="N2186" s="29"/>
      <c r="O2186" s="29"/>
      <c r="P2186" s="34"/>
      <c r="Q2186" s="34"/>
      <c r="R2186" s="35"/>
      <c r="S2186" s="32" t="s">
        <v>29</v>
      </c>
      <c r="T2186" s="33"/>
      <c r="U2186" s="33"/>
    </row>
    <row r="2187" ht="15.75" customHeight="1">
      <c r="A2187" s="20"/>
      <c r="B2187" s="20"/>
      <c r="C2187" s="20"/>
      <c r="D2187" s="21"/>
      <c r="E2187" s="21"/>
      <c r="F2187" s="67"/>
      <c r="G2187" s="21"/>
      <c r="H2187" s="149"/>
      <c r="I2187" s="25"/>
      <c r="J2187" s="26"/>
      <c r="K2187" s="21"/>
      <c r="L2187" s="29"/>
      <c r="M2187" s="28"/>
      <c r="N2187" s="29"/>
      <c r="O2187" s="29"/>
      <c r="P2187" s="34"/>
      <c r="Q2187" s="34"/>
      <c r="R2187" s="35"/>
      <c r="S2187" s="32" t="s">
        <v>29</v>
      </c>
      <c r="T2187" s="33"/>
      <c r="U2187" s="33"/>
    </row>
    <row r="2188" ht="15.75" customHeight="1">
      <c r="A2188" s="20"/>
      <c r="B2188" s="20"/>
      <c r="C2188" s="20"/>
      <c r="D2188" s="21"/>
      <c r="E2188" s="21"/>
      <c r="F2188" s="67"/>
      <c r="G2188" s="21"/>
      <c r="H2188" s="149"/>
      <c r="I2188" s="25"/>
      <c r="J2188" s="26"/>
      <c r="K2188" s="21"/>
      <c r="L2188" s="29"/>
      <c r="M2188" s="28"/>
      <c r="N2188" s="29"/>
      <c r="O2188" s="29"/>
      <c r="P2188" s="34"/>
      <c r="Q2188" s="34"/>
      <c r="R2188" s="35"/>
      <c r="S2188" s="32" t="s">
        <v>29</v>
      </c>
      <c r="T2188" s="33"/>
      <c r="U2188" s="33"/>
    </row>
    <row r="2189" ht="15.75" customHeight="1">
      <c r="A2189" s="20"/>
      <c r="B2189" s="20"/>
      <c r="C2189" s="20"/>
      <c r="D2189" s="21"/>
      <c r="E2189" s="21"/>
      <c r="F2189" s="67"/>
      <c r="G2189" s="21"/>
      <c r="H2189" s="149"/>
      <c r="I2189" s="25"/>
      <c r="J2189" s="26"/>
      <c r="K2189" s="21"/>
      <c r="L2189" s="29"/>
      <c r="M2189" s="28"/>
      <c r="N2189" s="29"/>
      <c r="O2189" s="29"/>
      <c r="P2189" s="34"/>
      <c r="Q2189" s="34"/>
      <c r="R2189" s="35"/>
      <c r="S2189" s="32" t="s">
        <v>29</v>
      </c>
      <c r="T2189" s="33"/>
      <c r="U2189" s="33"/>
    </row>
    <row r="2190" ht="15.75" customHeight="1">
      <c r="A2190" s="20"/>
      <c r="B2190" s="20"/>
      <c r="C2190" s="20"/>
      <c r="D2190" s="21"/>
      <c r="E2190" s="21"/>
      <c r="F2190" s="67"/>
      <c r="G2190" s="21"/>
      <c r="H2190" s="149"/>
      <c r="I2190" s="25"/>
      <c r="J2190" s="26"/>
      <c r="K2190" s="21"/>
      <c r="L2190" s="29"/>
      <c r="M2190" s="28"/>
      <c r="N2190" s="29"/>
      <c r="O2190" s="29"/>
      <c r="P2190" s="34"/>
      <c r="Q2190" s="34"/>
      <c r="R2190" s="35"/>
      <c r="S2190" s="32" t="s">
        <v>29</v>
      </c>
      <c r="T2190" s="33"/>
      <c r="U2190" s="33"/>
    </row>
    <row r="2191" ht="15.75" customHeight="1">
      <c r="A2191" s="20"/>
      <c r="B2191" s="20"/>
      <c r="C2191" s="20"/>
      <c r="D2191" s="21"/>
      <c r="E2191" s="21"/>
      <c r="F2191" s="67"/>
      <c r="G2191" s="21"/>
      <c r="H2191" s="149"/>
      <c r="I2191" s="25"/>
      <c r="J2191" s="26"/>
      <c r="K2191" s="21"/>
      <c r="L2191" s="29"/>
      <c r="M2191" s="28"/>
      <c r="N2191" s="29"/>
      <c r="O2191" s="29"/>
      <c r="P2191" s="34"/>
      <c r="Q2191" s="34"/>
      <c r="R2191" s="35"/>
      <c r="S2191" s="32" t="s">
        <v>29</v>
      </c>
      <c r="T2191" s="33"/>
      <c r="U2191" s="33"/>
    </row>
    <row r="2192" ht="15.75" customHeight="1">
      <c r="A2192" s="20"/>
      <c r="B2192" s="20"/>
      <c r="C2192" s="20"/>
      <c r="D2192" s="21"/>
      <c r="E2192" s="21"/>
      <c r="F2192" s="67"/>
      <c r="G2192" s="21"/>
      <c r="H2192" s="149"/>
      <c r="I2192" s="25"/>
      <c r="J2192" s="26"/>
      <c r="K2192" s="21"/>
      <c r="L2192" s="29"/>
      <c r="M2192" s="28"/>
      <c r="N2192" s="29"/>
      <c r="O2192" s="29"/>
      <c r="P2192" s="34"/>
      <c r="Q2192" s="34"/>
      <c r="R2192" s="35"/>
      <c r="S2192" s="32" t="s">
        <v>29</v>
      </c>
      <c r="T2192" s="33"/>
      <c r="U2192" s="33"/>
    </row>
    <row r="2193" ht="15.75" customHeight="1">
      <c r="A2193" s="20"/>
      <c r="B2193" s="20"/>
      <c r="C2193" s="20"/>
      <c r="D2193" s="21"/>
      <c r="E2193" s="21"/>
      <c r="F2193" s="67"/>
      <c r="G2193" s="21"/>
      <c r="H2193" s="149"/>
      <c r="I2193" s="25"/>
      <c r="J2193" s="26"/>
      <c r="K2193" s="21"/>
      <c r="L2193" s="29"/>
      <c r="M2193" s="28"/>
      <c r="N2193" s="29"/>
      <c r="O2193" s="29"/>
      <c r="P2193" s="34"/>
      <c r="Q2193" s="34"/>
      <c r="R2193" s="35"/>
      <c r="S2193" s="32" t="s">
        <v>29</v>
      </c>
      <c r="T2193" s="33"/>
      <c r="U2193" s="33"/>
    </row>
    <row r="2194" ht="15.75" customHeight="1">
      <c r="A2194" s="20"/>
      <c r="B2194" s="20"/>
      <c r="C2194" s="20"/>
      <c r="D2194" s="21"/>
      <c r="E2194" s="21"/>
      <c r="F2194" s="67"/>
      <c r="G2194" s="21"/>
      <c r="H2194" s="149"/>
      <c r="I2194" s="25"/>
      <c r="J2194" s="26"/>
      <c r="K2194" s="21"/>
      <c r="L2194" s="29"/>
      <c r="M2194" s="28"/>
      <c r="N2194" s="29"/>
      <c r="O2194" s="29"/>
      <c r="P2194" s="34"/>
      <c r="Q2194" s="34"/>
      <c r="R2194" s="35"/>
      <c r="S2194" s="32" t="s">
        <v>29</v>
      </c>
      <c r="T2194" s="33"/>
      <c r="U2194" s="33"/>
    </row>
    <row r="2195" ht="15.75" customHeight="1">
      <c r="A2195" s="20"/>
      <c r="B2195" s="20"/>
      <c r="C2195" s="20"/>
      <c r="D2195" s="21"/>
      <c r="E2195" s="21"/>
      <c r="F2195" s="67"/>
      <c r="G2195" s="21"/>
      <c r="H2195" s="149"/>
      <c r="I2195" s="25"/>
      <c r="J2195" s="26"/>
      <c r="K2195" s="21"/>
      <c r="L2195" s="29"/>
      <c r="M2195" s="28"/>
      <c r="N2195" s="29"/>
      <c r="O2195" s="29"/>
      <c r="P2195" s="34"/>
      <c r="Q2195" s="34"/>
      <c r="R2195" s="35"/>
      <c r="S2195" s="32" t="s">
        <v>29</v>
      </c>
      <c r="T2195" s="33"/>
      <c r="U2195" s="33"/>
    </row>
    <row r="2196" ht="15.75" customHeight="1">
      <c r="A2196" s="20"/>
      <c r="B2196" s="20"/>
      <c r="C2196" s="20"/>
      <c r="D2196" s="21"/>
      <c r="E2196" s="21"/>
      <c r="F2196" s="67"/>
      <c r="G2196" s="21"/>
      <c r="H2196" s="149"/>
      <c r="I2196" s="25"/>
      <c r="J2196" s="26"/>
      <c r="K2196" s="21"/>
      <c r="L2196" s="29"/>
      <c r="M2196" s="28"/>
      <c r="N2196" s="29"/>
      <c r="O2196" s="29"/>
      <c r="P2196" s="34"/>
      <c r="Q2196" s="34"/>
      <c r="R2196" s="35"/>
      <c r="S2196" s="32" t="s">
        <v>29</v>
      </c>
      <c r="T2196" s="33"/>
      <c r="U2196" s="33"/>
    </row>
    <row r="2197" ht="15.75" customHeight="1">
      <c r="A2197" s="20"/>
      <c r="B2197" s="20"/>
      <c r="C2197" s="20"/>
      <c r="D2197" s="21"/>
      <c r="E2197" s="21"/>
      <c r="F2197" s="67"/>
      <c r="G2197" s="21"/>
      <c r="H2197" s="149"/>
      <c r="I2197" s="25"/>
      <c r="J2197" s="26"/>
      <c r="K2197" s="21"/>
      <c r="L2197" s="29"/>
      <c r="M2197" s="28"/>
      <c r="N2197" s="29"/>
      <c r="O2197" s="29"/>
      <c r="P2197" s="34"/>
      <c r="Q2197" s="34"/>
      <c r="R2197" s="35"/>
      <c r="S2197" s="32" t="s">
        <v>29</v>
      </c>
      <c r="T2197" s="33"/>
      <c r="U2197" s="33"/>
    </row>
    <row r="2198" ht="15.75" customHeight="1">
      <c r="A2198" s="20"/>
      <c r="B2198" s="20"/>
      <c r="C2198" s="20"/>
      <c r="D2198" s="21"/>
      <c r="E2198" s="21"/>
      <c r="F2198" s="67"/>
      <c r="G2198" s="21"/>
      <c r="H2198" s="149"/>
      <c r="I2198" s="25"/>
      <c r="J2198" s="26"/>
      <c r="K2198" s="21"/>
      <c r="L2198" s="29"/>
      <c r="M2198" s="28"/>
      <c r="N2198" s="29"/>
      <c r="O2198" s="29"/>
      <c r="P2198" s="34"/>
      <c r="Q2198" s="34"/>
      <c r="R2198" s="35"/>
      <c r="S2198" s="32" t="s">
        <v>29</v>
      </c>
      <c r="T2198" s="33"/>
      <c r="U2198" s="33"/>
    </row>
    <row r="2199" ht="15.75" customHeight="1">
      <c r="A2199" s="20"/>
      <c r="B2199" s="20"/>
      <c r="C2199" s="20"/>
      <c r="D2199" s="21"/>
      <c r="E2199" s="21"/>
      <c r="F2199" s="67"/>
      <c r="G2199" s="21"/>
      <c r="H2199" s="149"/>
      <c r="I2199" s="25"/>
      <c r="J2199" s="26"/>
      <c r="K2199" s="21"/>
      <c r="L2199" s="29"/>
      <c r="M2199" s="28"/>
      <c r="N2199" s="29"/>
      <c r="O2199" s="29"/>
      <c r="P2199" s="34"/>
      <c r="Q2199" s="34"/>
      <c r="R2199" s="35"/>
      <c r="S2199" s="32" t="s">
        <v>29</v>
      </c>
      <c r="T2199" s="33"/>
      <c r="U2199" s="33"/>
    </row>
    <row r="2200" ht="15.75" customHeight="1">
      <c r="A2200" s="20"/>
      <c r="B2200" s="20"/>
      <c r="C2200" s="20"/>
      <c r="D2200" s="21"/>
      <c r="E2200" s="21"/>
      <c r="F2200" s="67"/>
      <c r="G2200" s="21"/>
      <c r="H2200" s="149"/>
      <c r="I2200" s="25"/>
      <c r="J2200" s="26"/>
      <c r="K2200" s="21"/>
      <c r="L2200" s="29"/>
      <c r="M2200" s="28"/>
      <c r="N2200" s="29"/>
      <c r="O2200" s="29"/>
      <c r="P2200" s="34"/>
      <c r="Q2200" s="34"/>
      <c r="R2200" s="35"/>
      <c r="S2200" s="32" t="s">
        <v>29</v>
      </c>
      <c r="T2200" s="33"/>
      <c r="U2200" s="33"/>
    </row>
    <row r="2201" ht="15.75" customHeight="1">
      <c r="A2201" s="20"/>
      <c r="B2201" s="20"/>
      <c r="C2201" s="20"/>
      <c r="D2201" s="21"/>
      <c r="E2201" s="21"/>
      <c r="F2201" s="67"/>
      <c r="G2201" s="21"/>
      <c r="H2201" s="149"/>
      <c r="I2201" s="25"/>
      <c r="J2201" s="26"/>
      <c r="K2201" s="21"/>
      <c r="L2201" s="29"/>
      <c r="M2201" s="28"/>
      <c r="N2201" s="29"/>
      <c r="O2201" s="29"/>
      <c r="P2201" s="34"/>
      <c r="Q2201" s="34"/>
      <c r="R2201" s="35"/>
      <c r="S2201" s="32" t="s">
        <v>29</v>
      </c>
      <c r="T2201" s="33"/>
      <c r="U2201" s="33"/>
    </row>
    <row r="2202" ht="15.75" customHeight="1">
      <c r="A2202" s="20"/>
      <c r="B2202" s="20"/>
      <c r="C2202" s="20"/>
      <c r="D2202" s="21"/>
      <c r="E2202" s="21"/>
      <c r="F2202" s="67"/>
      <c r="G2202" s="21"/>
      <c r="H2202" s="149"/>
      <c r="I2202" s="25"/>
      <c r="J2202" s="26"/>
      <c r="K2202" s="21"/>
      <c r="L2202" s="29"/>
      <c r="M2202" s="28"/>
      <c r="N2202" s="29"/>
      <c r="O2202" s="29"/>
      <c r="P2202" s="34"/>
      <c r="Q2202" s="34"/>
      <c r="R2202" s="35"/>
      <c r="S2202" s="32" t="s">
        <v>29</v>
      </c>
      <c r="T2202" s="33"/>
      <c r="U2202" s="33"/>
    </row>
    <row r="2203" ht="15.75" customHeight="1">
      <c r="A2203" s="20"/>
      <c r="B2203" s="20"/>
      <c r="C2203" s="20"/>
      <c r="D2203" s="21"/>
      <c r="E2203" s="21"/>
      <c r="F2203" s="67"/>
      <c r="G2203" s="21"/>
      <c r="H2203" s="149"/>
      <c r="I2203" s="25"/>
      <c r="J2203" s="26"/>
      <c r="K2203" s="21"/>
      <c r="L2203" s="29"/>
      <c r="M2203" s="28"/>
      <c r="N2203" s="29"/>
      <c r="O2203" s="29"/>
      <c r="P2203" s="34"/>
      <c r="Q2203" s="34"/>
      <c r="R2203" s="35"/>
      <c r="S2203" s="32" t="s">
        <v>29</v>
      </c>
      <c r="T2203" s="33"/>
      <c r="U2203" s="33"/>
    </row>
    <row r="2204" ht="15.75" customHeight="1">
      <c r="A2204" s="20"/>
      <c r="B2204" s="20"/>
      <c r="C2204" s="20"/>
      <c r="D2204" s="21"/>
      <c r="E2204" s="21"/>
      <c r="F2204" s="67"/>
      <c r="G2204" s="21"/>
      <c r="H2204" s="149"/>
      <c r="I2204" s="25"/>
      <c r="J2204" s="26"/>
      <c r="K2204" s="21"/>
      <c r="L2204" s="29"/>
      <c r="M2204" s="28"/>
      <c r="N2204" s="29"/>
      <c r="O2204" s="29"/>
      <c r="P2204" s="34"/>
      <c r="Q2204" s="34"/>
      <c r="R2204" s="35"/>
      <c r="S2204" s="32" t="s">
        <v>29</v>
      </c>
      <c r="T2204" s="33"/>
      <c r="U2204" s="33"/>
    </row>
    <row r="2205" ht="15.75" customHeight="1">
      <c r="A2205" s="20"/>
      <c r="B2205" s="20"/>
      <c r="C2205" s="20"/>
      <c r="D2205" s="21"/>
      <c r="E2205" s="21"/>
      <c r="F2205" s="67"/>
      <c r="G2205" s="21"/>
      <c r="H2205" s="149"/>
      <c r="I2205" s="25"/>
      <c r="J2205" s="26"/>
      <c r="K2205" s="21"/>
      <c r="L2205" s="29"/>
      <c r="M2205" s="28"/>
      <c r="N2205" s="29"/>
      <c r="O2205" s="29"/>
      <c r="P2205" s="34"/>
      <c r="Q2205" s="34"/>
      <c r="R2205" s="35"/>
      <c r="S2205" s="32" t="s">
        <v>29</v>
      </c>
      <c r="T2205" s="33"/>
      <c r="U2205" s="33"/>
    </row>
    <row r="2206" ht="15.75" customHeight="1">
      <c r="A2206" s="20"/>
      <c r="B2206" s="20"/>
      <c r="C2206" s="20"/>
      <c r="D2206" s="21"/>
      <c r="E2206" s="21"/>
      <c r="F2206" s="67"/>
      <c r="G2206" s="21"/>
      <c r="H2206" s="149"/>
      <c r="I2206" s="25"/>
      <c r="J2206" s="26"/>
      <c r="K2206" s="21"/>
      <c r="L2206" s="29"/>
      <c r="M2206" s="28"/>
      <c r="N2206" s="29"/>
      <c r="O2206" s="29"/>
      <c r="P2206" s="34"/>
      <c r="Q2206" s="34"/>
      <c r="R2206" s="35"/>
      <c r="S2206" s="32" t="s">
        <v>29</v>
      </c>
      <c r="T2206" s="33"/>
      <c r="U2206" s="33"/>
    </row>
    <row r="2207" ht="15.75" customHeight="1">
      <c r="A2207" s="20"/>
      <c r="B2207" s="20"/>
      <c r="C2207" s="20"/>
      <c r="D2207" s="21"/>
      <c r="E2207" s="21"/>
      <c r="F2207" s="67"/>
      <c r="G2207" s="21"/>
      <c r="H2207" s="149"/>
      <c r="I2207" s="25"/>
      <c r="J2207" s="26"/>
      <c r="K2207" s="21"/>
      <c r="L2207" s="29"/>
      <c r="M2207" s="28"/>
      <c r="N2207" s="29"/>
      <c r="O2207" s="29"/>
      <c r="P2207" s="34"/>
      <c r="Q2207" s="34"/>
      <c r="R2207" s="35"/>
      <c r="S2207" s="32" t="s">
        <v>29</v>
      </c>
      <c r="T2207" s="33"/>
      <c r="U2207" s="33"/>
    </row>
    <row r="2208" ht="15.75" customHeight="1">
      <c r="A2208" s="20"/>
      <c r="B2208" s="20"/>
      <c r="C2208" s="20"/>
      <c r="D2208" s="21"/>
      <c r="E2208" s="21"/>
      <c r="F2208" s="67"/>
      <c r="G2208" s="21"/>
      <c r="H2208" s="149"/>
      <c r="I2208" s="25"/>
      <c r="J2208" s="26"/>
      <c r="K2208" s="21"/>
      <c r="L2208" s="29"/>
      <c r="M2208" s="28"/>
      <c r="N2208" s="29"/>
      <c r="O2208" s="29"/>
      <c r="P2208" s="34"/>
      <c r="Q2208" s="34"/>
      <c r="R2208" s="35"/>
      <c r="S2208" s="32" t="s">
        <v>29</v>
      </c>
      <c r="T2208" s="33"/>
      <c r="U2208" s="33"/>
    </row>
    <row r="2209" ht="15.75" customHeight="1">
      <c r="A2209" s="20"/>
      <c r="B2209" s="20"/>
      <c r="C2209" s="20"/>
      <c r="D2209" s="21"/>
      <c r="E2209" s="21"/>
      <c r="F2209" s="67"/>
      <c r="G2209" s="21"/>
      <c r="H2209" s="149"/>
      <c r="I2209" s="25"/>
      <c r="J2209" s="26"/>
      <c r="K2209" s="21"/>
      <c r="L2209" s="29"/>
      <c r="M2209" s="28"/>
      <c r="N2209" s="29"/>
      <c r="O2209" s="29"/>
      <c r="P2209" s="34"/>
      <c r="Q2209" s="34"/>
      <c r="R2209" s="35"/>
      <c r="S2209" s="32" t="s">
        <v>29</v>
      </c>
      <c r="T2209" s="33"/>
      <c r="U2209" s="33"/>
    </row>
    <row r="2210" ht="15.75" customHeight="1">
      <c r="A2210" s="20"/>
      <c r="B2210" s="20"/>
      <c r="C2210" s="20"/>
      <c r="D2210" s="21"/>
      <c r="E2210" s="21"/>
      <c r="F2210" s="67"/>
      <c r="G2210" s="21"/>
      <c r="H2210" s="149"/>
      <c r="I2210" s="25"/>
      <c r="J2210" s="26"/>
      <c r="K2210" s="21"/>
      <c r="L2210" s="29"/>
      <c r="M2210" s="28"/>
      <c r="N2210" s="29"/>
      <c r="O2210" s="29"/>
      <c r="P2210" s="34"/>
      <c r="Q2210" s="34"/>
      <c r="R2210" s="35"/>
      <c r="S2210" s="32" t="s">
        <v>29</v>
      </c>
      <c r="T2210" s="33"/>
      <c r="U2210" s="33"/>
    </row>
    <row r="2211" ht="15.75" customHeight="1">
      <c r="A2211" s="20"/>
      <c r="B2211" s="20"/>
      <c r="C2211" s="20"/>
      <c r="D2211" s="21"/>
      <c r="E2211" s="21"/>
      <c r="F2211" s="67"/>
      <c r="G2211" s="21"/>
      <c r="H2211" s="149"/>
      <c r="I2211" s="25"/>
      <c r="J2211" s="26"/>
      <c r="K2211" s="21"/>
      <c r="L2211" s="29"/>
      <c r="M2211" s="28"/>
      <c r="N2211" s="29"/>
      <c r="O2211" s="29"/>
      <c r="P2211" s="34"/>
      <c r="Q2211" s="34"/>
      <c r="R2211" s="35"/>
      <c r="S2211" s="32" t="s">
        <v>29</v>
      </c>
      <c r="T2211" s="33"/>
      <c r="U2211" s="33"/>
    </row>
    <row r="2212" ht="15.75" customHeight="1">
      <c r="A2212" s="20"/>
      <c r="B2212" s="20"/>
      <c r="C2212" s="20"/>
      <c r="D2212" s="21"/>
      <c r="E2212" s="21"/>
      <c r="F2212" s="67"/>
      <c r="G2212" s="21"/>
      <c r="H2212" s="149"/>
      <c r="I2212" s="25"/>
      <c r="J2212" s="26"/>
      <c r="K2212" s="21"/>
      <c r="L2212" s="29"/>
      <c r="M2212" s="28"/>
      <c r="N2212" s="29"/>
      <c r="O2212" s="29"/>
      <c r="P2212" s="34"/>
      <c r="Q2212" s="34"/>
      <c r="R2212" s="35"/>
      <c r="S2212" s="32" t="s">
        <v>29</v>
      </c>
      <c r="T2212" s="33"/>
      <c r="U2212" s="33"/>
    </row>
    <row r="2213" ht="15.75" customHeight="1">
      <c r="A2213" s="20"/>
      <c r="B2213" s="20"/>
      <c r="C2213" s="20"/>
      <c r="D2213" s="21"/>
      <c r="E2213" s="21"/>
      <c r="F2213" s="67"/>
      <c r="G2213" s="21"/>
      <c r="H2213" s="149"/>
      <c r="I2213" s="25"/>
      <c r="J2213" s="26"/>
      <c r="K2213" s="21"/>
      <c r="L2213" s="29"/>
      <c r="M2213" s="28"/>
      <c r="N2213" s="29"/>
      <c r="O2213" s="29"/>
      <c r="P2213" s="34"/>
      <c r="Q2213" s="34"/>
      <c r="R2213" s="35"/>
      <c r="S2213" s="32" t="s">
        <v>29</v>
      </c>
      <c r="T2213" s="33"/>
      <c r="U2213" s="33"/>
    </row>
    <row r="2214" ht="15.75" customHeight="1">
      <c r="A2214" s="20"/>
      <c r="B2214" s="20"/>
      <c r="C2214" s="20"/>
      <c r="D2214" s="21"/>
      <c r="E2214" s="21"/>
      <c r="F2214" s="67"/>
      <c r="G2214" s="21"/>
      <c r="H2214" s="149"/>
      <c r="I2214" s="25"/>
      <c r="J2214" s="26"/>
      <c r="K2214" s="21"/>
      <c r="L2214" s="29"/>
      <c r="M2214" s="28"/>
      <c r="N2214" s="29"/>
      <c r="O2214" s="29"/>
      <c r="P2214" s="34"/>
      <c r="Q2214" s="34"/>
      <c r="R2214" s="35"/>
      <c r="S2214" s="32" t="s">
        <v>29</v>
      </c>
      <c r="T2214" s="33"/>
      <c r="U2214" s="33"/>
    </row>
    <row r="2215" ht="15.75" customHeight="1">
      <c r="A2215" s="20"/>
      <c r="B2215" s="20"/>
      <c r="C2215" s="20"/>
      <c r="D2215" s="21"/>
      <c r="E2215" s="21"/>
      <c r="F2215" s="67"/>
      <c r="G2215" s="21"/>
      <c r="H2215" s="149"/>
      <c r="I2215" s="25"/>
      <c r="J2215" s="26"/>
      <c r="K2215" s="21"/>
      <c r="L2215" s="29"/>
      <c r="M2215" s="28"/>
      <c r="N2215" s="29"/>
      <c r="O2215" s="29"/>
      <c r="P2215" s="34"/>
      <c r="Q2215" s="34"/>
      <c r="R2215" s="35"/>
      <c r="S2215" s="32" t="s">
        <v>29</v>
      </c>
      <c r="T2215" s="33"/>
      <c r="U2215" s="33"/>
    </row>
    <row r="2216" ht="15.75" customHeight="1">
      <c r="A2216" s="20"/>
      <c r="B2216" s="20"/>
      <c r="C2216" s="20"/>
      <c r="D2216" s="21"/>
      <c r="E2216" s="21"/>
      <c r="F2216" s="67"/>
      <c r="G2216" s="21"/>
      <c r="H2216" s="149"/>
      <c r="I2216" s="25"/>
      <c r="J2216" s="26"/>
      <c r="K2216" s="21"/>
      <c r="L2216" s="29"/>
      <c r="M2216" s="28"/>
      <c r="N2216" s="29"/>
      <c r="O2216" s="29"/>
      <c r="P2216" s="34"/>
      <c r="Q2216" s="34"/>
      <c r="R2216" s="35"/>
      <c r="S2216" s="32" t="s">
        <v>29</v>
      </c>
      <c r="T2216" s="33"/>
      <c r="U2216" s="33"/>
    </row>
    <row r="2217" ht="15.75" customHeight="1">
      <c r="A2217" s="20"/>
      <c r="B2217" s="20"/>
      <c r="C2217" s="20"/>
      <c r="D2217" s="21"/>
      <c r="E2217" s="21"/>
      <c r="F2217" s="67"/>
      <c r="G2217" s="21"/>
      <c r="H2217" s="149"/>
      <c r="I2217" s="25"/>
      <c r="J2217" s="26"/>
      <c r="K2217" s="21"/>
      <c r="L2217" s="29"/>
      <c r="M2217" s="28"/>
      <c r="N2217" s="29"/>
      <c r="O2217" s="29"/>
      <c r="P2217" s="34"/>
      <c r="Q2217" s="34"/>
      <c r="R2217" s="35"/>
      <c r="S2217" s="32" t="s">
        <v>29</v>
      </c>
      <c r="T2217" s="33"/>
      <c r="U2217" s="33"/>
    </row>
    <row r="2218" ht="15.75" customHeight="1">
      <c r="A2218" s="20"/>
      <c r="B2218" s="20"/>
      <c r="C2218" s="20"/>
      <c r="D2218" s="21"/>
      <c r="E2218" s="21"/>
      <c r="F2218" s="67"/>
      <c r="G2218" s="21"/>
      <c r="H2218" s="149"/>
      <c r="I2218" s="25"/>
      <c r="J2218" s="26"/>
      <c r="K2218" s="21"/>
      <c r="L2218" s="29"/>
      <c r="M2218" s="28"/>
      <c r="N2218" s="29"/>
      <c r="O2218" s="29"/>
      <c r="P2218" s="34"/>
      <c r="Q2218" s="34"/>
      <c r="R2218" s="35"/>
      <c r="S2218" s="32" t="s">
        <v>29</v>
      </c>
      <c r="T2218" s="33"/>
      <c r="U2218" s="33"/>
    </row>
    <row r="2219" ht="15.75" customHeight="1">
      <c r="A2219" s="20"/>
      <c r="B2219" s="20"/>
      <c r="C2219" s="20"/>
      <c r="D2219" s="21"/>
      <c r="E2219" s="21"/>
      <c r="F2219" s="67"/>
      <c r="G2219" s="21"/>
      <c r="H2219" s="149"/>
      <c r="I2219" s="25"/>
      <c r="J2219" s="26"/>
      <c r="K2219" s="21"/>
      <c r="L2219" s="29"/>
      <c r="M2219" s="28"/>
      <c r="N2219" s="29"/>
      <c r="O2219" s="29"/>
      <c r="P2219" s="34"/>
      <c r="Q2219" s="34"/>
      <c r="R2219" s="35"/>
      <c r="S2219" s="32" t="s">
        <v>29</v>
      </c>
      <c r="T2219" s="33"/>
      <c r="U2219" s="33"/>
    </row>
    <row r="2220" ht="15.75" customHeight="1">
      <c r="A2220" s="20"/>
      <c r="B2220" s="20"/>
      <c r="C2220" s="20"/>
      <c r="D2220" s="21"/>
      <c r="E2220" s="21"/>
      <c r="F2220" s="67"/>
      <c r="G2220" s="21"/>
      <c r="H2220" s="149"/>
      <c r="I2220" s="25"/>
      <c r="J2220" s="26"/>
      <c r="K2220" s="21"/>
      <c r="L2220" s="29"/>
      <c r="M2220" s="28"/>
      <c r="N2220" s="29"/>
      <c r="O2220" s="29"/>
      <c r="P2220" s="34"/>
      <c r="Q2220" s="34"/>
      <c r="R2220" s="35"/>
      <c r="S2220" s="32" t="s">
        <v>29</v>
      </c>
      <c r="T2220" s="33"/>
      <c r="U2220" s="33"/>
    </row>
    <row r="2221" ht="15.75" customHeight="1">
      <c r="A2221" s="20"/>
      <c r="B2221" s="20"/>
      <c r="C2221" s="20"/>
      <c r="D2221" s="21"/>
      <c r="E2221" s="21"/>
      <c r="F2221" s="67"/>
      <c r="G2221" s="21"/>
      <c r="H2221" s="149"/>
      <c r="I2221" s="25"/>
      <c r="J2221" s="26"/>
      <c r="K2221" s="21"/>
      <c r="L2221" s="29"/>
      <c r="M2221" s="28"/>
      <c r="N2221" s="29"/>
      <c r="O2221" s="29"/>
      <c r="P2221" s="34"/>
      <c r="Q2221" s="34"/>
      <c r="R2221" s="35"/>
      <c r="S2221" s="32" t="s">
        <v>29</v>
      </c>
      <c r="T2221" s="33"/>
      <c r="U2221" s="33"/>
    </row>
    <row r="2222" ht="15.75" customHeight="1">
      <c r="A2222" s="20"/>
      <c r="B2222" s="20"/>
      <c r="C2222" s="20"/>
      <c r="D2222" s="21"/>
      <c r="E2222" s="21"/>
      <c r="F2222" s="67"/>
      <c r="G2222" s="21"/>
      <c r="H2222" s="149"/>
      <c r="I2222" s="25"/>
      <c r="J2222" s="26"/>
      <c r="K2222" s="21"/>
      <c r="L2222" s="29"/>
      <c r="M2222" s="28"/>
      <c r="N2222" s="29"/>
      <c r="O2222" s="29"/>
      <c r="P2222" s="34"/>
      <c r="Q2222" s="34"/>
      <c r="R2222" s="35"/>
      <c r="S2222" s="32" t="s">
        <v>29</v>
      </c>
      <c r="T2222" s="33"/>
      <c r="U2222" s="33"/>
    </row>
    <row r="2223" ht="15.75" customHeight="1">
      <c r="A2223" s="20"/>
      <c r="B2223" s="20"/>
      <c r="C2223" s="20"/>
      <c r="D2223" s="21"/>
      <c r="E2223" s="21"/>
      <c r="F2223" s="67"/>
      <c r="G2223" s="21"/>
      <c r="H2223" s="149"/>
      <c r="I2223" s="25"/>
      <c r="J2223" s="26"/>
      <c r="K2223" s="21"/>
      <c r="L2223" s="29"/>
      <c r="M2223" s="28"/>
      <c r="N2223" s="29"/>
      <c r="O2223" s="29"/>
      <c r="P2223" s="34"/>
      <c r="Q2223" s="34"/>
      <c r="R2223" s="35"/>
      <c r="S2223" s="32" t="s">
        <v>29</v>
      </c>
      <c r="T2223" s="33"/>
      <c r="U2223" s="33"/>
    </row>
    <row r="2224" ht="15.75" customHeight="1">
      <c r="A2224" s="20"/>
      <c r="B2224" s="20"/>
      <c r="C2224" s="20"/>
      <c r="D2224" s="21"/>
      <c r="E2224" s="21"/>
      <c r="F2224" s="67"/>
      <c r="G2224" s="21"/>
      <c r="H2224" s="149"/>
      <c r="I2224" s="25"/>
      <c r="J2224" s="26"/>
      <c r="K2224" s="21"/>
      <c r="L2224" s="29"/>
      <c r="M2224" s="28"/>
      <c r="N2224" s="29"/>
      <c r="O2224" s="29"/>
      <c r="P2224" s="34"/>
      <c r="Q2224" s="34"/>
      <c r="R2224" s="35"/>
      <c r="S2224" s="32" t="s">
        <v>29</v>
      </c>
      <c r="T2224" s="33"/>
      <c r="U2224" s="33"/>
    </row>
    <row r="2225" ht="15.75" customHeight="1">
      <c r="A2225" s="20"/>
      <c r="B2225" s="20"/>
      <c r="C2225" s="20"/>
      <c r="D2225" s="21"/>
      <c r="E2225" s="21"/>
      <c r="F2225" s="67"/>
      <c r="G2225" s="21"/>
      <c r="H2225" s="149"/>
      <c r="I2225" s="25"/>
      <c r="J2225" s="26"/>
      <c r="K2225" s="21"/>
      <c r="L2225" s="29"/>
      <c r="M2225" s="28"/>
      <c r="N2225" s="29"/>
      <c r="O2225" s="29"/>
      <c r="P2225" s="34"/>
      <c r="Q2225" s="34"/>
      <c r="R2225" s="35"/>
      <c r="S2225" s="32" t="s">
        <v>29</v>
      </c>
      <c r="T2225" s="33"/>
      <c r="U2225" s="33"/>
    </row>
    <row r="2226" ht="15.75" customHeight="1">
      <c r="A2226" s="20"/>
      <c r="B2226" s="20"/>
      <c r="C2226" s="20"/>
      <c r="D2226" s="21"/>
      <c r="E2226" s="21"/>
      <c r="F2226" s="67"/>
      <c r="G2226" s="21"/>
      <c r="H2226" s="149"/>
      <c r="I2226" s="25"/>
      <c r="J2226" s="26"/>
      <c r="K2226" s="21"/>
      <c r="L2226" s="29"/>
      <c r="M2226" s="28"/>
      <c r="N2226" s="29"/>
      <c r="O2226" s="29"/>
      <c r="P2226" s="34"/>
      <c r="Q2226" s="34"/>
      <c r="R2226" s="35"/>
      <c r="S2226" s="32" t="s">
        <v>29</v>
      </c>
      <c r="T2226" s="33"/>
      <c r="U2226" s="33"/>
    </row>
    <row r="2227" ht="15.75" customHeight="1">
      <c r="A2227" s="20"/>
      <c r="B2227" s="20"/>
      <c r="C2227" s="20"/>
      <c r="D2227" s="21"/>
      <c r="E2227" s="21"/>
      <c r="F2227" s="67"/>
      <c r="G2227" s="21"/>
      <c r="H2227" s="149"/>
      <c r="I2227" s="25"/>
      <c r="J2227" s="26"/>
      <c r="K2227" s="21"/>
      <c r="L2227" s="29"/>
      <c r="M2227" s="28"/>
      <c r="N2227" s="29"/>
      <c r="O2227" s="29"/>
      <c r="P2227" s="34"/>
      <c r="Q2227" s="34"/>
      <c r="R2227" s="35"/>
      <c r="S2227" s="32" t="s">
        <v>29</v>
      </c>
      <c r="T2227" s="33"/>
      <c r="U2227" s="33"/>
    </row>
    <row r="2228" ht="15.75" customHeight="1">
      <c r="A2228" s="20"/>
      <c r="B2228" s="20"/>
      <c r="C2228" s="20"/>
      <c r="D2228" s="21"/>
      <c r="E2228" s="21"/>
      <c r="F2228" s="67"/>
      <c r="G2228" s="21"/>
      <c r="H2228" s="149"/>
      <c r="I2228" s="25"/>
      <c r="J2228" s="26"/>
      <c r="K2228" s="21"/>
      <c r="L2228" s="29"/>
      <c r="M2228" s="28"/>
      <c r="N2228" s="29"/>
      <c r="O2228" s="29"/>
      <c r="P2228" s="34"/>
      <c r="Q2228" s="34"/>
      <c r="R2228" s="35"/>
      <c r="S2228" s="32" t="s">
        <v>29</v>
      </c>
      <c r="T2228" s="33"/>
      <c r="U2228" s="33"/>
    </row>
    <row r="2229" ht="15.75" customHeight="1">
      <c r="A2229" s="20"/>
      <c r="B2229" s="20"/>
      <c r="C2229" s="20"/>
      <c r="D2229" s="21"/>
      <c r="E2229" s="21"/>
      <c r="F2229" s="67"/>
      <c r="G2229" s="21"/>
      <c r="H2229" s="149"/>
      <c r="I2229" s="25"/>
      <c r="J2229" s="26"/>
      <c r="K2229" s="21"/>
      <c r="L2229" s="29"/>
      <c r="M2229" s="28"/>
      <c r="N2229" s="29"/>
      <c r="O2229" s="29"/>
      <c r="P2229" s="34"/>
      <c r="Q2229" s="34"/>
      <c r="R2229" s="35"/>
      <c r="S2229" s="32" t="s">
        <v>29</v>
      </c>
      <c r="T2229" s="33"/>
      <c r="U2229" s="33"/>
    </row>
    <row r="2230" ht="15.75" customHeight="1">
      <c r="A2230" s="20"/>
      <c r="B2230" s="20"/>
      <c r="C2230" s="20"/>
      <c r="D2230" s="21"/>
      <c r="E2230" s="21"/>
      <c r="F2230" s="67"/>
      <c r="G2230" s="21"/>
      <c r="H2230" s="149"/>
      <c r="I2230" s="25"/>
      <c r="J2230" s="26"/>
      <c r="K2230" s="21"/>
      <c r="L2230" s="29"/>
      <c r="M2230" s="28"/>
      <c r="N2230" s="29"/>
      <c r="O2230" s="29"/>
      <c r="P2230" s="34"/>
      <c r="Q2230" s="34"/>
      <c r="R2230" s="35"/>
      <c r="S2230" s="32" t="s">
        <v>29</v>
      </c>
      <c r="T2230" s="33"/>
      <c r="U2230" s="33"/>
    </row>
    <row r="2231" ht="15.75" customHeight="1">
      <c r="A2231" s="20"/>
      <c r="B2231" s="20"/>
      <c r="C2231" s="20"/>
      <c r="D2231" s="21"/>
      <c r="E2231" s="21"/>
      <c r="F2231" s="67"/>
      <c r="G2231" s="21"/>
      <c r="H2231" s="149"/>
      <c r="I2231" s="25"/>
      <c r="J2231" s="26"/>
      <c r="K2231" s="21"/>
      <c r="L2231" s="29"/>
      <c r="M2231" s="28"/>
      <c r="N2231" s="29"/>
      <c r="O2231" s="29"/>
      <c r="P2231" s="34"/>
      <c r="Q2231" s="34"/>
      <c r="R2231" s="35"/>
      <c r="S2231" s="32" t="s">
        <v>29</v>
      </c>
      <c r="T2231" s="33"/>
      <c r="U2231" s="33"/>
    </row>
    <row r="2232" ht="15.75" customHeight="1">
      <c r="A2232" s="20"/>
      <c r="B2232" s="20"/>
      <c r="C2232" s="20"/>
      <c r="D2232" s="21"/>
      <c r="E2232" s="21"/>
      <c r="F2232" s="67"/>
      <c r="G2232" s="21"/>
      <c r="H2232" s="149"/>
      <c r="I2232" s="25"/>
      <c r="J2232" s="26"/>
      <c r="K2232" s="21"/>
      <c r="L2232" s="29"/>
      <c r="M2232" s="28"/>
      <c r="N2232" s="29"/>
      <c r="O2232" s="29"/>
      <c r="P2232" s="34"/>
      <c r="Q2232" s="34"/>
      <c r="R2232" s="35"/>
      <c r="S2232" s="32" t="s">
        <v>29</v>
      </c>
      <c r="T2232" s="33"/>
      <c r="U2232" s="33"/>
    </row>
    <row r="2233" ht="15.75" customHeight="1">
      <c r="A2233" s="20"/>
      <c r="B2233" s="20"/>
      <c r="C2233" s="20"/>
      <c r="D2233" s="21"/>
      <c r="E2233" s="21"/>
      <c r="F2233" s="67"/>
      <c r="G2233" s="21"/>
      <c r="H2233" s="149"/>
      <c r="I2233" s="25"/>
      <c r="J2233" s="26"/>
      <c r="K2233" s="21"/>
      <c r="L2233" s="29"/>
      <c r="M2233" s="28"/>
      <c r="N2233" s="29"/>
      <c r="O2233" s="29"/>
      <c r="P2233" s="34"/>
      <c r="Q2233" s="34"/>
      <c r="R2233" s="35"/>
      <c r="S2233" s="32" t="s">
        <v>29</v>
      </c>
      <c r="T2233" s="33"/>
      <c r="U2233" s="33"/>
    </row>
    <row r="2234" ht="15.75" customHeight="1">
      <c r="A2234" s="20"/>
      <c r="B2234" s="20"/>
      <c r="C2234" s="20"/>
      <c r="D2234" s="21"/>
      <c r="E2234" s="21"/>
      <c r="F2234" s="67"/>
      <c r="G2234" s="21"/>
      <c r="H2234" s="149"/>
      <c r="I2234" s="25"/>
      <c r="J2234" s="26"/>
      <c r="K2234" s="21"/>
      <c r="L2234" s="29"/>
      <c r="M2234" s="28"/>
      <c r="N2234" s="29"/>
      <c r="O2234" s="29"/>
      <c r="P2234" s="34"/>
      <c r="Q2234" s="34"/>
      <c r="R2234" s="35"/>
      <c r="S2234" s="32" t="s">
        <v>29</v>
      </c>
      <c r="T2234" s="33"/>
      <c r="U2234" s="33"/>
    </row>
    <row r="2235" ht="15.75" customHeight="1">
      <c r="A2235" s="20"/>
      <c r="B2235" s="20"/>
      <c r="C2235" s="20"/>
      <c r="D2235" s="21"/>
      <c r="E2235" s="21"/>
      <c r="F2235" s="67"/>
      <c r="G2235" s="21"/>
      <c r="H2235" s="149"/>
      <c r="I2235" s="25"/>
      <c r="J2235" s="26"/>
      <c r="K2235" s="21"/>
      <c r="L2235" s="29"/>
      <c r="M2235" s="28"/>
      <c r="N2235" s="29"/>
      <c r="O2235" s="29"/>
      <c r="P2235" s="34"/>
      <c r="Q2235" s="34"/>
      <c r="R2235" s="35"/>
      <c r="S2235" s="32" t="s">
        <v>29</v>
      </c>
      <c r="T2235" s="33"/>
      <c r="U2235" s="33"/>
    </row>
    <row r="2236" ht="15.75" customHeight="1">
      <c r="A2236" s="20"/>
      <c r="B2236" s="20"/>
      <c r="C2236" s="20"/>
      <c r="D2236" s="21"/>
      <c r="E2236" s="21"/>
      <c r="F2236" s="67"/>
      <c r="G2236" s="21"/>
      <c r="H2236" s="149"/>
      <c r="I2236" s="25"/>
      <c r="J2236" s="26"/>
      <c r="K2236" s="21"/>
      <c r="L2236" s="29"/>
      <c r="M2236" s="28"/>
      <c r="N2236" s="29"/>
      <c r="O2236" s="29"/>
      <c r="P2236" s="34"/>
      <c r="Q2236" s="34"/>
      <c r="R2236" s="35"/>
      <c r="S2236" s="32" t="s">
        <v>29</v>
      </c>
      <c r="T2236" s="33"/>
      <c r="U2236" s="33"/>
    </row>
    <row r="2237" ht="15.75" customHeight="1">
      <c r="A2237" s="20"/>
      <c r="B2237" s="20"/>
      <c r="C2237" s="20"/>
      <c r="D2237" s="21"/>
      <c r="E2237" s="21"/>
      <c r="F2237" s="67"/>
      <c r="G2237" s="21"/>
      <c r="H2237" s="149"/>
      <c r="I2237" s="25"/>
      <c r="J2237" s="26"/>
      <c r="K2237" s="21"/>
      <c r="L2237" s="29"/>
      <c r="M2237" s="28"/>
      <c r="N2237" s="29"/>
      <c r="O2237" s="29"/>
      <c r="P2237" s="34"/>
      <c r="Q2237" s="34"/>
      <c r="R2237" s="35"/>
      <c r="S2237" s="32" t="s">
        <v>29</v>
      </c>
      <c r="T2237" s="33"/>
      <c r="U2237" s="33"/>
    </row>
    <row r="2238" ht="15.75" customHeight="1">
      <c r="A2238" s="20"/>
      <c r="B2238" s="20"/>
      <c r="C2238" s="20"/>
      <c r="D2238" s="21"/>
      <c r="E2238" s="21"/>
      <c r="F2238" s="67"/>
      <c r="G2238" s="21"/>
      <c r="H2238" s="149"/>
      <c r="I2238" s="25"/>
      <c r="J2238" s="26"/>
      <c r="K2238" s="21"/>
      <c r="L2238" s="29"/>
      <c r="M2238" s="28"/>
      <c r="N2238" s="29"/>
      <c r="O2238" s="29"/>
      <c r="P2238" s="34"/>
      <c r="Q2238" s="34"/>
      <c r="R2238" s="35"/>
      <c r="S2238" s="32" t="s">
        <v>29</v>
      </c>
      <c r="T2238" s="33"/>
      <c r="U2238" s="33"/>
    </row>
    <row r="2239" ht="15.75" customHeight="1">
      <c r="A2239" s="20"/>
      <c r="B2239" s="20"/>
      <c r="C2239" s="20"/>
      <c r="D2239" s="21"/>
      <c r="E2239" s="21"/>
      <c r="F2239" s="67"/>
      <c r="G2239" s="21"/>
      <c r="H2239" s="149"/>
      <c r="I2239" s="25"/>
      <c r="J2239" s="26"/>
      <c r="K2239" s="21"/>
      <c r="L2239" s="29"/>
      <c r="M2239" s="28"/>
      <c r="N2239" s="29"/>
      <c r="O2239" s="29"/>
      <c r="P2239" s="34"/>
      <c r="Q2239" s="34"/>
      <c r="R2239" s="35"/>
      <c r="S2239" s="32" t="s">
        <v>29</v>
      </c>
      <c r="T2239" s="33"/>
      <c r="U2239" s="33"/>
    </row>
    <row r="2240" ht="15.75" customHeight="1">
      <c r="A2240" s="20"/>
      <c r="B2240" s="20"/>
      <c r="C2240" s="20"/>
      <c r="D2240" s="21"/>
      <c r="E2240" s="21"/>
      <c r="F2240" s="67"/>
      <c r="G2240" s="21"/>
      <c r="H2240" s="149"/>
      <c r="I2240" s="25"/>
      <c r="J2240" s="26"/>
      <c r="K2240" s="21"/>
      <c r="L2240" s="29"/>
      <c r="M2240" s="28"/>
      <c r="N2240" s="29"/>
      <c r="O2240" s="29"/>
      <c r="P2240" s="34"/>
      <c r="Q2240" s="34"/>
      <c r="R2240" s="35"/>
      <c r="S2240" s="32" t="s">
        <v>29</v>
      </c>
      <c r="T2240" s="33"/>
      <c r="U2240" s="33"/>
    </row>
    <row r="2241" ht="15.75" customHeight="1">
      <c r="A2241" s="20"/>
      <c r="B2241" s="20"/>
      <c r="C2241" s="20"/>
      <c r="D2241" s="21"/>
      <c r="E2241" s="21"/>
      <c r="F2241" s="67"/>
      <c r="G2241" s="21"/>
      <c r="H2241" s="149"/>
      <c r="I2241" s="25"/>
      <c r="J2241" s="26"/>
      <c r="K2241" s="21"/>
      <c r="L2241" s="29"/>
      <c r="M2241" s="28"/>
      <c r="N2241" s="29"/>
      <c r="O2241" s="29"/>
      <c r="P2241" s="34"/>
      <c r="Q2241" s="34"/>
      <c r="R2241" s="35"/>
      <c r="S2241" s="32" t="s">
        <v>29</v>
      </c>
      <c r="T2241" s="33"/>
      <c r="U2241" s="33"/>
    </row>
    <row r="2242" ht="15.75" customHeight="1">
      <c r="A2242" s="20"/>
      <c r="B2242" s="20"/>
      <c r="C2242" s="20"/>
      <c r="D2242" s="21"/>
      <c r="E2242" s="21"/>
      <c r="F2242" s="67"/>
      <c r="G2242" s="21"/>
      <c r="H2242" s="149"/>
      <c r="I2242" s="25"/>
      <c r="J2242" s="26"/>
      <c r="K2242" s="21"/>
      <c r="L2242" s="29"/>
      <c r="M2242" s="28"/>
      <c r="N2242" s="29"/>
      <c r="O2242" s="29"/>
      <c r="P2242" s="34"/>
      <c r="Q2242" s="34"/>
      <c r="R2242" s="35"/>
      <c r="S2242" s="32" t="s">
        <v>29</v>
      </c>
      <c r="T2242" s="33"/>
      <c r="U2242" s="33"/>
    </row>
    <row r="2243" ht="15.75" customHeight="1">
      <c r="A2243" s="20"/>
      <c r="B2243" s="20"/>
      <c r="C2243" s="20"/>
      <c r="D2243" s="21"/>
      <c r="E2243" s="21"/>
      <c r="F2243" s="67"/>
      <c r="G2243" s="21"/>
      <c r="H2243" s="149"/>
      <c r="I2243" s="25"/>
      <c r="J2243" s="26"/>
      <c r="K2243" s="21"/>
      <c r="L2243" s="29"/>
      <c r="M2243" s="28"/>
      <c r="N2243" s="29"/>
      <c r="O2243" s="29"/>
      <c r="P2243" s="34"/>
      <c r="Q2243" s="34"/>
      <c r="R2243" s="35"/>
      <c r="S2243" s="32" t="s">
        <v>29</v>
      </c>
      <c r="T2243" s="33"/>
      <c r="U2243" s="33"/>
    </row>
    <row r="2244" ht="15.75" customHeight="1">
      <c r="A2244" s="20"/>
      <c r="B2244" s="20"/>
      <c r="C2244" s="20"/>
      <c r="D2244" s="21"/>
      <c r="E2244" s="21"/>
      <c r="F2244" s="67"/>
      <c r="G2244" s="21"/>
      <c r="H2244" s="149"/>
      <c r="I2244" s="25"/>
      <c r="J2244" s="26"/>
      <c r="K2244" s="21"/>
      <c r="L2244" s="29"/>
      <c r="M2244" s="28"/>
      <c r="N2244" s="29"/>
      <c r="O2244" s="29"/>
      <c r="P2244" s="34"/>
      <c r="Q2244" s="34"/>
      <c r="R2244" s="35"/>
      <c r="S2244" s="32" t="s">
        <v>29</v>
      </c>
      <c r="T2244" s="33"/>
      <c r="U2244" s="33"/>
    </row>
    <row r="2245" ht="15.75" customHeight="1">
      <c r="A2245" s="20"/>
      <c r="B2245" s="20"/>
      <c r="C2245" s="20"/>
      <c r="D2245" s="21"/>
      <c r="E2245" s="21"/>
      <c r="F2245" s="67"/>
      <c r="G2245" s="21"/>
      <c r="H2245" s="149"/>
      <c r="I2245" s="25"/>
      <c r="J2245" s="26"/>
      <c r="K2245" s="21"/>
      <c r="L2245" s="29"/>
      <c r="M2245" s="28"/>
      <c r="N2245" s="29"/>
      <c r="O2245" s="29"/>
      <c r="P2245" s="34"/>
      <c r="Q2245" s="34"/>
      <c r="R2245" s="35"/>
      <c r="S2245" s="32" t="s">
        <v>29</v>
      </c>
      <c r="T2245" s="33"/>
      <c r="U2245" s="33"/>
    </row>
    <row r="2246" ht="15.75" customHeight="1">
      <c r="A2246" s="20"/>
      <c r="B2246" s="20"/>
      <c r="C2246" s="20"/>
      <c r="D2246" s="21"/>
      <c r="E2246" s="21"/>
      <c r="F2246" s="67"/>
      <c r="G2246" s="21"/>
      <c r="H2246" s="149"/>
      <c r="I2246" s="25"/>
      <c r="J2246" s="26"/>
      <c r="K2246" s="21"/>
      <c r="L2246" s="29"/>
      <c r="M2246" s="28"/>
      <c r="N2246" s="29"/>
      <c r="O2246" s="29"/>
      <c r="P2246" s="34"/>
      <c r="Q2246" s="34"/>
      <c r="R2246" s="35"/>
      <c r="S2246" s="32" t="s">
        <v>29</v>
      </c>
      <c r="T2246" s="33"/>
      <c r="U2246" s="33"/>
    </row>
    <row r="2247" ht="15.75" customHeight="1">
      <c r="A2247" s="20"/>
      <c r="B2247" s="20"/>
      <c r="C2247" s="20"/>
      <c r="D2247" s="21"/>
      <c r="E2247" s="21"/>
      <c r="F2247" s="67"/>
      <c r="G2247" s="21"/>
      <c r="H2247" s="149"/>
      <c r="I2247" s="25"/>
      <c r="J2247" s="26"/>
      <c r="K2247" s="21"/>
      <c r="L2247" s="29"/>
      <c r="M2247" s="28"/>
      <c r="N2247" s="29"/>
      <c r="O2247" s="211"/>
      <c r="P2247" s="212"/>
      <c r="Q2247" s="212"/>
      <c r="R2247" s="35"/>
      <c r="S2247" s="32" t="s">
        <v>29</v>
      </c>
      <c r="T2247" s="33"/>
      <c r="U2247" s="33"/>
    </row>
    <row r="2248" ht="15.75" customHeight="1">
      <c r="A2248" s="20"/>
      <c r="B2248" s="20"/>
      <c r="C2248" s="20"/>
      <c r="D2248" s="21"/>
      <c r="E2248" s="21"/>
      <c r="F2248" s="67"/>
      <c r="G2248" s="21"/>
      <c r="H2248" s="149"/>
      <c r="I2248" s="25"/>
      <c r="J2248" s="26"/>
      <c r="K2248" s="21"/>
      <c r="L2248" s="29"/>
      <c r="M2248" s="28"/>
      <c r="N2248" s="29"/>
      <c r="O2248" s="29"/>
      <c r="P2248" s="102"/>
      <c r="Q2248" s="103"/>
      <c r="R2248" s="35"/>
      <c r="S2248" s="32" t="s">
        <v>29</v>
      </c>
      <c r="T2248" s="33"/>
      <c r="U2248" s="33"/>
    </row>
    <row r="2249" ht="15.75" customHeight="1">
      <c r="A2249" s="20"/>
      <c r="B2249" s="20"/>
      <c r="C2249" s="20"/>
      <c r="D2249" s="21"/>
      <c r="E2249" s="21"/>
      <c r="F2249" s="67"/>
      <c r="G2249" s="21"/>
      <c r="H2249" s="149"/>
      <c r="I2249" s="25"/>
      <c r="J2249" s="26"/>
      <c r="K2249" s="21"/>
      <c r="L2249" s="27"/>
      <c r="M2249" s="28"/>
      <c r="N2249" s="29"/>
      <c r="O2249" s="29"/>
      <c r="P2249" s="102"/>
      <c r="Q2249" s="103"/>
      <c r="R2249" s="35"/>
      <c r="S2249" s="32" t="s">
        <v>29</v>
      </c>
      <c r="T2249" s="33"/>
      <c r="U2249" s="33"/>
    </row>
    <row r="2250" ht="15.75" customHeight="1">
      <c r="A2250" s="20"/>
      <c r="B2250" s="20"/>
      <c r="C2250" s="20"/>
      <c r="D2250" s="21"/>
      <c r="E2250" s="21"/>
      <c r="F2250" s="67"/>
      <c r="G2250" s="21"/>
      <c r="H2250" s="149"/>
      <c r="I2250" s="25"/>
      <c r="J2250" s="26"/>
      <c r="K2250" s="21"/>
      <c r="L2250" s="27"/>
      <c r="M2250" s="28"/>
      <c r="N2250" s="29"/>
      <c r="O2250" s="29"/>
      <c r="P2250" s="102"/>
      <c r="Q2250" s="103"/>
      <c r="R2250" s="35"/>
      <c r="S2250" s="32" t="s">
        <v>29</v>
      </c>
      <c r="T2250" s="33"/>
      <c r="U2250" s="33"/>
    </row>
    <row r="2251" ht="15.75" customHeight="1">
      <c r="A2251" s="20"/>
      <c r="B2251" s="20"/>
      <c r="C2251" s="20"/>
      <c r="D2251" s="21"/>
      <c r="E2251" s="21"/>
      <c r="F2251" s="67"/>
      <c r="G2251" s="21"/>
      <c r="H2251" s="149"/>
      <c r="I2251" s="25"/>
      <c r="J2251" s="26"/>
      <c r="K2251" s="21"/>
      <c r="L2251" s="27"/>
      <c r="M2251" s="28"/>
      <c r="N2251" s="29"/>
      <c r="O2251" s="29"/>
      <c r="P2251" s="102"/>
      <c r="Q2251" s="103"/>
      <c r="R2251" s="35"/>
      <c r="S2251" s="32" t="s">
        <v>29</v>
      </c>
      <c r="T2251" s="33"/>
      <c r="U2251" s="33"/>
    </row>
    <row r="2252" ht="15.75" customHeight="1">
      <c r="A2252" s="20"/>
      <c r="B2252" s="20"/>
      <c r="C2252" s="20"/>
      <c r="D2252" s="21"/>
      <c r="E2252" s="21"/>
      <c r="F2252" s="67"/>
      <c r="G2252" s="21"/>
      <c r="H2252" s="149"/>
      <c r="I2252" s="25"/>
      <c r="J2252" s="26"/>
      <c r="K2252" s="21"/>
      <c r="L2252" s="27"/>
      <c r="M2252" s="28"/>
      <c r="N2252" s="29"/>
      <c r="O2252" s="29"/>
      <c r="P2252" s="102"/>
      <c r="Q2252" s="103"/>
      <c r="R2252" s="35"/>
      <c r="S2252" s="32" t="s">
        <v>29</v>
      </c>
      <c r="T2252" s="33"/>
      <c r="U2252" s="33"/>
    </row>
    <row r="2253" ht="15.75" customHeight="1">
      <c r="A2253" s="20"/>
      <c r="B2253" s="20"/>
      <c r="C2253" s="20"/>
      <c r="D2253" s="21"/>
      <c r="E2253" s="21"/>
      <c r="F2253" s="67"/>
      <c r="G2253" s="21"/>
      <c r="H2253" s="149"/>
      <c r="I2253" s="25"/>
      <c r="J2253" s="26"/>
      <c r="K2253" s="21"/>
      <c r="L2253" s="27"/>
      <c r="M2253" s="28"/>
      <c r="N2253" s="29"/>
      <c r="O2253" s="29"/>
      <c r="P2253" s="102"/>
      <c r="Q2253" s="103"/>
      <c r="R2253" s="35"/>
      <c r="S2253" s="32" t="s">
        <v>29</v>
      </c>
      <c r="T2253" s="33"/>
      <c r="U2253" s="33"/>
    </row>
    <row r="2254" ht="15.75" customHeight="1">
      <c r="A2254" s="20"/>
      <c r="B2254" s="20"/>
      <c r="C2254" s="20"/>
      <c r="D2254" s="21"/>
      <c r="E2254" s="21"/>
      <c r="F2254" s="67"/>
      <c r="G2254" s="21"/>
      <c r="H2254" s="149"/>
      <c r="I2254" s="25"/>
      <c r="J2254" s="26"/>
      <c r="K2254" s="21"/>
      <c r="L2254" s="27"/>
      <c r="M2254" s="28"/>
      <c r="N2254" s="29"/>
      <c r="O2254" s="29"/>
      <c r="P2254" s="102"/>
      <c r="Q2254" s="103"/>
      <c r="R2254" s="35"/>
      <c r="S2254" s="32" t="s">
        <v>29</v>
      </c>
      <c r="T2254" s="33"/>
      <c r="U2254" s="33"/>
    </row>
    <row r="2255" ht="15.75" customHeight="1">
      <c r="A2255" s="20"/>
      <c r="B2255" s="20"/>
      <c r="C2255" s="20"/>
      <c r="D2255" s="21"/>
      <c r="E2255" s="21"/>
      <c r="F2255" s="67"/>
      <c r="G2255" s="21"/>
      <c r="H2255" s="149"/>
      <c r="I2255" s="25"/>
      <c r="J2255" s="26"/>
      <c r="K2255" s="21"/>
      <c r="L2255" s="27"/>
      <c r="M2255" s="28"/>
      <c r="N2255" s="29"/>
      <c r="O2255" s="29"/>
      <c r="P2255" s="102"/>
      <c r="Q2255" s="103"/>
      <c r="R2255" s="35"/>
      <c r="S2255" s="32" t="s">
        <v>29</v>
      </c>
      <c r="T2255" s="33"/>
      <c r="U2255" s="33"/>
    </row>
    <row r="2256" ht="15.75" customHeight="1">
      <c r="A2256" s="20"/>
      <c r="B2256" s="20"/>
      <c r="C2256" s="20"/>
      <c r="D2256" s="21"/>
      <c r="E2256" s="21"/>
      <c r="F2256" s="67"/>
      <c r="G2256" s="21"/>
      <c r="H2256" s="149"/>
      <c r="I2256" s="25"/>
      <c r="J2256" s="26"/>
      <c r="K2256" s="21"/>
      <c r="L2256" s="27"/>
      <c r="M2256" s="28"/>
      <c r="N2256" s="29"/>
      <c r="O2256" s="29"/>
      <c r="P2256" s="102"/>
      <c r="Q2256" s="103"/>
      <c r="R2256" s="35"/>
      <c r="S2256" s="32" t="s">
        <v>29</v>
      </c>
      <c r="T2256" s="33"/>
      <c r="U2256" s="33"/>
    </row>
    <row r="2257" ht="15.75" customHeight="1">
      <c r="A2257" s="20"/>
      <c r="B2257" s="20"/>
      <c r="C2257" s="20"/>
      <c r="D2257" s="21"/>
      <c r="E2257" s="21"/>
      <c r="F2257" s="67"/>
      <c r="G2257" s="21"/>
      <c r="H2257" s="149"/>
      <c r="I2257" s="25"/>
      <c r="J2257" s="26"/>
      <c r="K2257" s="21"/>
      <c r="L2257" s="27"/>
      <c r="M2257" s="28"/>
      <c r="N2257" s="29"/>
      <c r="O2257" s="29"/>
      <c r="P2257" s="102"/>
      <c r="Q2257" s="103"/>
      <c r="R2257" s="35"/>
      <c r="S2257" s="32" t="s">
        <v>29</v>
      </c>
      <c r="T2257" s="33"/>
      <c r="U2257" s="33"/>
    </row>
    <row r="2258" ht="15.75" customHeight="1">
      <c r="A2258" s="20"/>
      <c r="B2258" s="20"/>
      <c r="C2258" s="20"/>
      <c r="D2258" s="21"/>
      <c r="E2258" s="21"/>
      <c r="F2258" s="67"/>
      <c r="G2258" s="21"/>
      <c r="H2258" s="149"/>
      <c r="I2258" s="25"/>
      <c r="J2258" s="26"/>
      <c r="K2258" s="21"/>
      <c r="L2258" s="27"/>
      <c r="M2258" s="28"/>
      <c r="N2258" s="29"/>
      <c r="O2258" s="29"/>
      <c r="P2258" s="102"/>
      <c r="Q2258" s="103"/>
      <c r="R2258" s="35"/>
      <c r="S2258" s="32" t="s">
        <v>29</v>
      </c>
      <c r="T2258" s="33"/>
      <c r="U2258" s="33"/>
    </row>
    <row r="2259" ht="15.75" customHeight="1">
      <c r="A2259" s="20"/>
      <c r="B2259" s="20"/>
      <c r="C2259" s="20"/>
      <c r="D2259" s="21"/>
      <c r="E2259" s="21"/>
      <c r="F2259" s="67"/>
      <c r="G2259" s="21"/>
      <c r="H2259" s="149"/>
      <c r="I2259" s="25"/>
      <c r="J2259" s="26"/>
      <c r="K2259" s="21"/>
      <c r="L2259" s="27"/>
      <c r="M2259" s="28"/>
      <c r="N2259" s="29"/>
      <c r="O2259" s="29"/>
      <c r="P2259" s="102"/>
      <c r="Q2259" s="103"/>
      <c r="R2259" s="35"/>
      <c r="S2259" s="32" t="s">
        <v>29</v>
      </c>
      <c r="T2259" s="33"/>
      <c r="U2259" s="33"/>
    </row>
    <row r="2260" ht="15.75" customHeight="1">
      <c r="A2260" s="20"/>
      <c r="B2260" s="20"/>
      <c r="C2260" s="20"/>
      <c r="D2260" s="21"/>
      <c r="E2260" s="21"/>
      <c r="F2260" s="67"/>
      <c r="G2260" s="21"/>
      <c r="H2260" s="149"/>
      <c r="I2260" s="25"/>
      <c r="J2260" s="26"/>
      <c r="K2260" s="21"/>
      <c r="L2260" s="27"/>
      <c r="M2260" s="28"/>
      <c r="N2260" s="29"/>
      <c r="O2260" s="29"/>
      <c r="P2260" s="102"/>
      <c r="Q2260" s="103"/>
      <c r="R2260" s="35"/>
      <c r="S2260" s="32" t="s">
        <v>29</v>
      </c>
      <c r="T2260" s="33"/>
      <c r="U2260" s="33"/>
    </row>
    <row r="2261" ht="15.75" customHeight="1">
      <c r="A2261" s="20"/>
      <c r="B2261" s="20"/>
      <c r="C2261" s="20"/>
      <c r="D2261" s="21"/>
      <c r="E2261" s="21"/>
      <c r="F2261" s="67"/>
      <c r="G2261" s="21"/>
      <c r="H2261" s="149"/>
      <c r="I2261" s="25"/>
      <c r="J2261" s="26"/>
      <c r="K2261" s="21"/>
      <c r="L2261" s="27"/>
      <c r="M2261" s="28"/>
      <c r="N2261" s="29"/>
      <c r="O2261" s="29"/>
      <c r="P2261" s="102"/>
      <c r="Q2261" s="103"/>
      <c r="R2261" s="35"/>
      <c r="S2261" s="32" t="s">
        <v>29</v>
      </c>
      <c r="T2261" s="33"/>
      <c r="U2261" s="33"/>
    </row>
    <row r="2262" ht="15.75" customHeight="1">
      <c r="A2262" s="20"/>
      <c r="B2262" s="20"/>
      <c r="C2262" s="20"/>
      <c r="D2262" s="21"/>
      <c r="E2262" s="21"/>
      <c r="F2262" s="67"/>
      <c r="G2262" s="21"/>
      <c r="H2262" s="149"/>
      <c r="I2262" s="25"/>
      <c r="J2262" s="26"/>
      <c r="K2262" s="21"/>
      <c r="L2262" s="27"/>
      <c r="M2262" s="28"/>
      <c r="N2262" s="29"/>
      <c r="O2262" s="29"/>
      <c r="P2262" s="102"/>
      <c r="Q2262" s="103"/>
      <c r="R2262" s="35"/>
      <c r="S2262" s="32" t="s">
        <v>29</v>
      </c>
      <c r="T2262" s="33"/>
      <c r="U2262" s="33"/>
    </row>
    <row r="2263" ht="15.75" customHeight="1">
      <c r="A2263" s="20"/>
      <c r="B2263" s="20"/>
      <c r="C2263" s="20"/>
      <c r="D2263" s="21"/>
      <c r="E2263" s="21"/>
      <c r="F2263" s="67"/>
      <c r="G2263" s="21"/>
      <c r="H2263" s="149"/>
      <c r="I2263" s="25"/>
      <c r="J2263" s="26"/>
      <c r="K2263" s="21"/>
      <c r="L2263" s="27"/>
      <c r="M2263" s="28"/>
      <c r="N2263" s="29"/>
      <c r="O2263" s="29"/>
      <c r="P2263" s="102"/>
      <c r="Q2263" s="103"/>
      <c r="R2263" s="35"/>
      <c r="S2263" s="32" t="s">
        <v>29</v>
      </c>
      <c r="T2263" s="33"/>
      <c r="U2263" s="33"/>
    </row>
    <row r="2264" ht="15.75" customHeight="1">
      <c r="A2264" s="20"/>
      <c r="B2264" s="20"/>
      <c r="C2264" s="20"/>
      <c r="D2264" s="21"/>
      <c r="E2264" s="21"/>
      <c r="F2264" s="67"/>
      <c r="G2264" s="21"/>
      <c r="H2264" s="149"/>
      <c r="I2264" s="25"/>
      <c r="J2264" s="26"/>
      <c r="K2264" s="21"/>
      <c r="L2264" s="27"/>
      <c r="M2264" s="28"/>
      <c r="N2264" s="29"/>
      <c r="O2264" s="29"/>
      <c r="P2264" s="102"/>
      <c r="Q2264" s="103"/>
      <c r="R2264" s="35"/>
      <c r="S2264" s="32" t="s">
        <v>29</v>
      </c>
      <c r="T2264" s="33"/>
      <c r="U2264" s="33"/>
    </row>
    <row r="2265" ht="15.75" customHeight="1">
      <c r="A2265" s="20"/>
      <c r="B2265" s="20"/>
      <c r="C2265" s="20"/>
      <c r="D2265" s="21"/>
      <c r="E2265" s="21"/>
      <c r="F2265" s="67"/>
      <c r="G2265" s="21"/>
      <c r="H2265" s="149"/>
      <c r="I2265" s="25"/>
      <c r="J2265" s="26"/>
      <c r="K2265" s="21"/>
      <c r="L2265" s="27"/>
      <c r="M2265" s="28"/>
      <c r="N2265" s="29"/>
      <c r="O2265" s="29"/>
      <c r="P2265" s="102"/>
      <c r="Q2265" s="103"/>
      <c r="R2265" s="35"/>
      <c r="S2265" s="32" t="s">
        <v>29</v>
      </c>
      <c r="T2265" s="33"/>
      <c r="U2265" s="33"/>
    </row>
    <row r="2266" ht="15.75" customHeight="1">
      <c r="A2266" s="20"/>
      <c r="B2266" s="20"/>
      <c r="C2266" s="20"/>
      <c r="D2266" s="21"/>
      <c r="E2266" s="21"/>
      <c r="F2266" s="67"/>
      <c r="G2266" s="21"/>
      <c r="H2266" s="149"/>
      <c r="I2266" s="25"/>
      <c r="J2266" s="26"/>
      <c r="K2266" s="21"/>
      <c r="L2266" s="27"/>
      <c r="M2266" s="28"/>
      <c r="N2266" s="29"/>
      <c r="O2266" s="29"/>
      <c r="P2266" s="102"/>
      <c r="Q2266" s="103"/>
      <c r="R2266" s="35"/>
      <c r="S2266" s="32" t="s">
        <v>29</v>
      </c>
      <c r="T2266" s="33"/>
      <c r="U2266" s="33"/>
    </row>
    <row r="2267" ht="15.75" customHeight="1">
      <c r="A2267" s="20"/>
      <c r="B2267" s="20"/>
      <c r="C2267" s="20"/>
      <c r="D2267" s="21"/>
      <c r="E2267" s="21"/>
      <c r="F2267" s="67"/>
      <c r="G2267" s="21"/>
      <c r="H2267" s="149"/>
      <c r="I2267" s="25"/>
      <c r="J2267" s="26"/>
      <c r="K2267" s="21"/>
      <c r="L2267" s="27"/>
      <c r="M2267" s="28"/>
      <c r="N2267" s="29"/>
      <c r="O2267" s="29"/>
      <c r="P2267" s="102"/>
      <c r="Q2267" s="103"/>
      <c r="R2267" s="35"/>
      <c r="S2267" s="32" t="s">
        <v>29</v>
      </c>
      <c r="T2267" s="33"/>
      <c r="U2267" s="33"/>
    </row>
    <row r="2268" ht="15.75" customHeight="1">
      <c r="A2268" s="20"/>
      <c r="B2268" s="20"/>
      <c r="C2268" s="20"/>
      <c r="D2268" s="21"/>
      <c r="E2268" s="21"/>
      <c r="F2268" s="67"/>
      <c r="G2268" s="21"/>
      <c r="H2268" s="149"/>
      <c r="I2268" s="25"/>
      <c r="J2268" s="26"/>
      <c r="K2268" s="21"/>
      <c r="L2268" s="27"/>
      <c r="M2268" s="28"/>
      <c r="N2268" s="29"/>
      <c r="O2268" s="29"/>
      <c r="P2268" s="102"/>
      <c r="Q2268" s="103"/>
      <c r="R2268" s="35"/>
      <c r="S2268" s="32" t="s">
        <v>29</v>
      </c>
      <c r="T2268" s="33"/>
      <c r="U2268" s="33"/>
    </row>
    <row r="2269" ht="15.75" customHeight="1">
      <c r="A2269" s="20"/>
      <c r="B2269" s="20"/>
      <c r="C2269" s="20"/>
      <c r="D2269" s="21"/>
      <c r="E2269" s="21"/>
      <c r="F2269" s="67"/>
      <c r="G2269" s="21"/>
      <c r="H2269" s="149"/>
      <c r="I2269" s="25"/>
      <c r="J2269" s="26"/>
      <c r="K2269" s="21"/>
      <c r="L2269" s="27"/>
      <c r="M2269" s="28"/>
      <c r="N2269" s="29"/>
      <c r="O2269" s="29"/>
      <c r="P2269" s="102"/>
      <c r="Q2269" s="103"/>
      <c r="R2269" s="35"/>
      <c r="S2269" s="32" t="s">
        <v>29</v>
      </c>
      <c r="T2269" s="33"/>
      <c r="U2269" s="33"/>
    </row>
    <row r="2270" ht="15.75" customHeight="1">
      <c r="A2270" s="20"/>
      <c r="B2270" s="20"/>
      <c r="C2270" s="20"/>
      <c r="D2270" s="21"/>
      <c r="E2270" s="21"/>
      <c r="F2270" s="67"/>
      <c r="G2270" s="21"/>
      <c r="H2270" s="149"/>
      <c r="I2270" s="25"/>
      <c r="J2270" s="26"/>
      <c r="K2270" s="21"/>
      <c r="L2270" s="27"/>
      <c r="M2270" s="28"/>
      <c r="N2270" s="29"/>
      <c r="O2270" s="29"/>
      <c r="P2270" s="102"/>
      <c r="Q2270" s="103"/>
      <c r="R2270" s="35"/>
      <c r="S2270" s="32" t="s">
        <v>29</v>
      </c>
      <c r="T2270" s="33"/>
      <c r="U2270" s="33"/>
    </row>
    <row r="2271" ht="15.75" customHeight="1">
      <c r="A2271" s="20"/>
      <c r="B2271" s="20"/>
      <c r="C2271" s="20"/>
      <c r="D2271" s="21"/>
      <c r="E2271" s="21"/>
      <c r="F2271" s="67"/>
      <c r="G2271" s="21"/>
      <c r="H2271" s="149"/>
      <c r="I2271" s="25"/>
      <c r="J2271" s="26"/>
      <c r="K2271" s="21"/>
      <c r="L2271" s="27"/>
      <c r="M2271" s="28"/>
      <c r="N2271" s="29"/>
      <c r="O2271" s="29"/>
      <c r="P2271" s="102"/>
      <c r="Q2271" s="103"/>
      <c r="R2271" s="35"/>
      <c r="S2271" s="32" t="s">
        <v>29</v>
      </c>
      <c r="T2271" s="33"/>
      <c r="U2271" s="33"/>
    </row>
    <row r="2272" ht="15.75" customHeight="1">
      <c r="A2272" s="20"/>
      <c r="B2272" s="20"/>
      <c r="C2272" s="20"/>
      <c r="D2272" s="21"/>
      <c r="E2272" s="21"/>
      <c r="F2272" s="67"/>
      <c r="G2272" s="21"/>
      <c r="H2272" s="149"/>
      <c r="I2272" s="25"/>
      <c r="J2272" s="26"/>
      <c r="K2272" s="21"/>
      <c r="L2272" s="27"/>
      <c r="M2272" s="28"/>
      <c r="N2272" s="29"/>
      <c r="O2272" s="29"/>
      <c r="P2272" s="102"/>
      <c r="Q2272" s="103"/>
      <c r="R2272" s="35"/>
      <c r="S2272" s="32" t="s">
        <v>29</v>
      </c>
      <c r="T2272" s="33"/>
      <c r="U2272" s="33"/>
    </row>
    <row r="2273" ht="15.75" customHeight="1">
      <c r="A2273" s="20"/>
      <c r="B2273" s="20"/>
      <c r="C2273" s="20"/>
      <c r="D2273" s="21"/>
      <c r="E2273" s="21"/>
      <c r="F2273" s="67"/>
      <c r="G2273" s="21"/>
      <c r="H2273" s="149"/>
      <c r="I2273" s="25"/>
      <c r="J2273" s="26"/>
      <c r="K2273" s="21"/>
      <c r="L2273" s="27"/>
      <c r="M2273" s="28"/>
      <c r="N2273" s="29"/>
      <c r="O2273" s="29"/>
      <c r="P2273" s="102"/>
      <c r="Q2273" s="103"/>
      <c r="R2273" s="35"/>
      <c r="S2273" s="32" t="s">
        <v>29</v>
      </c>
      <c r="T2273" s="33"/>
      <c r="U2273" s="33"/>
    </row>
    <row r="2274" ht="15.75" customHeight="1">
      <c r="A2274" s="20"/>
      <c r="B2274" s="20"/>
      <c r="C2274" s="20"/>
      <c r="D2274" s="21"/>
      <c r="E2274" s="21"/>
      <c r="F2274" s="67"/>
      <c r="G2274" s="21"/>
      <c r="H2274" s="149"/>
      <c r="I2274" s="25"/>
      <c r="J2274" s="26"/>
      <c r="K2274" s="21"/>
      <c r="L2274" s="27"/>
      <c r="M2274" s="28"/>
      <c r="N2274" s="29"/>
      <c r="O2274" s="29"/>
      <c r="P2274" s="102"/>
      <c r="Q2274" s="103"/>
      <c r="R2274" s="35"/>
      <c r="S2274" s="32" t="s">
        <v>29</v>
      </c>
      <c r="T2274" s="33"/>
      <c r="U2274" s="33"/>
    </row>
    <row r="2275" ht="15.75" customHeight="1">
      <c r="A2275" s="20"/>
      <c r="B2275" s="20"/>
      <c r="C2275" s="20"/>
      <c r="D2275" s="21"/>
      <c r="E2275" s="21"/>
      <c r="F2275" s="67"/>
      <c r="G2275" s="21"/>
      <c r="H2275" s="149"/>
      <c r="I2275" s="25"/>
      <c r="J2275" s="26"/>
      <c r="K2275" s="21"/>
      <c r="L2275" s="27"/>
      <c r="M2275" s="28"/>
      <c r="N2275" s="29"/>
      <c r="O2275" s="29"/>
      <c r="P2275" s="102"/>
      <c r="Q2275" s="103"/>
      <c r="R2275" s="35"/>
      <c r="S2275" s="32" t="s">
        <v>29</v>
      </c>
      <c r="T2275" s="33"/>
      <c r="U2275" s="33"/>
    </row>
    <row r="2276" ht="15.75" customHeight="1">
      <c r="A2276" s="20"/>
      <c r="B2276" s="20"/>
      <c r="C2276" s="20"/>
      <c r="D2276" s="21"/>
      <c r="E2276" s="21"/>
      <c r="F2276" s="67"/>
      <c r="G2276" s="21"/>
      <c r="H2276" s="149"/>
      <c r="I2276" s="25"/>
      <c r="J2276" s="26"/>
      <c r="K2276" s="21"/>
      <c r="L2276" s="27"/>
      <c r="M2276" s="28"/>
      <c r="N2276" s="29"/>
      <c r="O2276" s="29"/>
      <c r="P2276" s="102"/>
      <c r="Q2276" s="103"/>
      <c r="R2276" s="35"/>
      <c r="S2276" s="32" t="s">
        <v>29</v>
      </c>
      <c r="T2276" s="33"/>
      <c r="U2276" s="33"/>
    </row>
    <row r="2277" ht="15.75" customHeight="1">
      <c r="A2277" s="20"/>
      <c r="B2277" s="20"/>
      <c r="C2277" s="20"/>
      <c r="D2277" s="21"/>
      <c r="E2277" s="21"/>
      <c r="F2277" s="67"/>
      <c r="G2277" s="21"/>
      <c r="H2277" s="149"/>
      <c r="I2277" s="25"/>
      <c r="J2277" s="26"/>
      <c r="K2277" s="21"/>
      <c r="L2277" s="27"/>
      <c r="M2277" s="28"/>
      <c r="N2277" s="29"/>
      <c r="O2277" s="29"/>
      <c r="P2277" s="102"/>
      <c r="Q2277" s="103"/>
      <c r="R2277" s="35"/>
      <c r="S2277" s="32" t="s">
        <v>29</v>
      </c>
      <c r="T2277" s="33"/>
      <c r="U2277" s="33"/>
    </row>
    <row r="2278" ht="15.75" customHeight="1">
      <c r="A2278" s="20"/>
      <c r="B2278" s="20"/>
      <c r="C2278" s="20"/>
      <c r="D2278" s="21"/>
      <c r="E2278" s="21"/>
      <c r="F2278" s="67"/>
      <c r="G2278" s="21"/>
      <c r="H2278" s="149"/>
      <c r="I2278" s="25"/>
      <c r="J2278" s="26"/>
      <c r="K2278" s="21"/>
      <c r="L2278" s="27"/>
      <c r="M2278" s="28"/>
      <c r="N2278" s="29"/>
      <c r="O2278" s="29"/>
      <c r="P2278" s="102"/>
      <c r="Q2278" s="103"/>
      <c r="R2278" s="35"/>
      <c r="S2278" s="32" t="s">
        <v>29</v>
      </c>
      <c r="T2278" s="33"/>
      <c r="U2278" s="33"/>
    </row>
    <row r="2279" ht="15.75" customHeight="1">
      <c r="A2279" s="20"/>
      <c r="B2279" s="20"/>
      <c r="C2279" s="20"/>
      <c r="D2279" s="21"/>
      <c r="E2279" s="21"/>
      <c r="F2279" s="67"/>
      <c r="G2279" s="21"/>
      <c r="H2279" s="149"/>
      <c r="I2279" s="25"/>
      <c r="J2279" s="26"/>
      <c r="K2279" s="21"/>
      <c r="L2279" s="27"/>
      <c r="M2279" s="28"/>
      <c r="N2279" s="29"/>
      <c r="O2279" s="29"/>
      <c r="P2279" s="102"/>
      <c r="Q2279" s="103"/>
      <c r="R2279" s="35"/>
      <c r="S2279" s="32" t="s">
        <v>29</v>
      </c>
      <c r="T2279" s="33"/>
      <c r="U2279" s="33"/>
    </row>
    <row r="2280" ht="15.75" customHeight="1">
      <c r="A2280" s="20"/>
      <c r="B2280" s="20"/>
      <c r="C2280" s="20"/>
      <c r="D2280" s="21"/>
      <c r="E2280" s="21"/>
      <c r="F2280" s="67"/>
      <c r="G2280" s="21"/>
      <c r="H2280" s="149"/>
      <c r="I2280" s="25"/>
      <c r="J2280" s="26"/>
      <c r="K2280" s="21"/>
      <c r="L2280" s="27"/>
      <c r="M2280" s="28"/>
      <c r="N2280" s="29"/>
      <c r="O2280" s="29"/>
      <c r="P2280" s="102"/>
      <c r="Q2280" s="103"/>
      <c r="R2280" s="35"/>
      <c r="S2280" s="32" t="s">
        <v>29</v>
      </c>
      <c r="T2280" s="33"/>
      <c r="U2280" s="33"/>
    </row>
    <row r="2281" ht="15.75" customHeight="1">
      <c r="A2281" s="20"/>
      <c r="B2281" s="20"/>
      <c r="C2281" s="20"/>
      <c r="D2281" s="21"/>
      <c r="E2281" s="21"/>
      <c r="F2281" s="67"/>
      <c r="G2281" s="21"/>
      <c r="H2281" s="149"/>
      <c r="I2281" s="25"/>
      <c r="J2281" s="26"/>
      <c r="K2281" s="21"/>
      <c r="L2281" s="27"/>
      <c r="M2281" s="28"/>
      <c r="N2281" s="29"/>
      <c r="O2281" s="29"/>
      <c r="P2281" s="102"/>
      <c r="Q2281" s="103"/>
      <c r="R2281" s="35"/>
      <c r="S2281" s="32" t="s">
        <v>29</v>
      </c>
      <c r="T2281" s="33"/>
      <c r="U2281" s="33"/>
    </row>
    <row r="2282" ht="15.75" customHeight="1">
      <c r="A2282" s="20"/>
      <c r="B2282" s="20"/>
      <c r="C2282" s="20"/>
      <c r="D2282" s="21"/>
      <c r="E2282" s="21"/>
      <c r="F2282" s="67"/>
      <c r="G2282" s="21"/>
      <c r="H2282" s="149"/>
      <c r="I2282" s="25"/>
      <c r="J2282" s="26"/>
      <c r="K2282" s="21"/>
      <c r="L2282" s="27"/>
      <c r="M2282" s="28"/>
      <c r="N2282" s="29"/>
      <c r="O2282" s="29"/>
      <c r="P2282" s="102"/>
      <c r="Q2282" s="103"/>
      <c r="R2282" s="35"/>
      <c r="S2282" s="32" t="s">
        <v>29</v>
      </c>
      <c r="T2282" s="33"/>
      <c r="U2282" s="33"/>
    </row>
    <row r="2283" ht="15.75" customHeight="1">
      <c r="A2283" s="20"/>
      <c r="B2283" s="20"/>
      <c r="C2283" s="20"/>
      <c r="D2283" s="21"/>
      <c r="E2283" s="21"/>
      <c r="F2283" s="67"/>
      <c r="G2283" s="21"/>
      <c r="H2283" s="149"/>
      <c r="I2283" s="25"/>
      <c r="J2283" s="26"/>
      <c r="K2283" s="21"/>
      <c r="L2283" s="27"/>
      <c r="M2283" s="28"/>
      <c r="N2283" s="29"/>
      <c r="O2283" s="29"/>
      <c r="P2283" s="102"/>
      <c r="Q2283" s="103"/>
      <c r="R2283" s="35"/>
      <c r="S2283" s="32" t="s">
        <v>29</v>
      </c>
      <c r="T2283" s="33"/>
      <c r="U2283" s="33"/>
    </row>
    <row r="2284" ht="15.75" customHeight="1">
      <c r="A2284" s="20"/>
      <c r="B2284" s="20"/>
      <c r="C2284" s="20"/>
      <c r="D2284" s="21"/>
      <c r="E2284" s="21"/>
      <c r="F2284" s="67"/>
      <c r="G2284" s="21"/>
      <c r="H2284" s="149"/>
      <c r="I2284" s="25"/>
      <c r="J2284" s="26"/>
      <c r="K2284" s="21"/>
      <c r="L2284" s="27"/>
      <c r="M2284" s="28"/>
      <c r="N2284" s="29"/>
      <c r="O2284" s="29"/>
      <c r="P2284" s="102"/>
      <c r="Q2284" s="103"/>
      <c r="R2284" s="35"/>
      <c r="S2284" s="32" t="s">
        <v>29</v>
      </c>
      <c r="T2284" s="33"/>
      <c r="U2284" s="33"/>
    </row>
    <row r="2285" ht="15.75" customHeight="1">
      <c r="A2285" s="20"/>
      <c r="B2285" s="20"/>
      <c r="C2285" s="20"/>
      <c r="D2285" s="21"/>
      <c r="E2285" s="21"/>
      <c r="F2285" s="67"/>
      <c r="G2285" s="21"/>
      <c r="H2285" s="149"/>
      <c r="I2285" s="25"/>
      <c r="J2285" s="26"/>
      <c r="K2285" s="21"/>
      <c r="L2285" s="27"/>
      <c r="M2285" s="28"/>
      <c r="N2285" s="29"/>
      <c r="O2285" s="29"/>
      <c r="P2285" s="102"/>
      <c r="Q2285" s="103"/>
      <c r="R2285" s="35"/>
      <c r="S2285" s="32" t="s">
        <v>29</v>
      </c>
      <c r="T2285" s="33"/>
      <c r="U2285" s="33"/>
    </row>
    <row r="2286" ht="15.75" customHeight="1">
      <c r="A2286" s="20"/>
      <c r="B2286" s="20"/>
      <c r="C2286" s="20"/>
      <c r="D2286" s="21"/>
      <c r="E2286" s="21"/>
      <c r="F2286" s="67"/>
      <c r="G2286" s="21"/>
      <c r="H2286" s="149"/>
      <c r="I2286" s="25"/>
      <c r="J2286" s="26"/>
      <c r="K2286" s="21"/>
      <c r="L2286" s="27"/>
      <c r="M2286" s="28"/>
      <c r="N2286" s="29"/>
      <c r="O2286" s="29"/>
      <c r="P2286" s="102"/>
      <c r="Q2286" s="103"/>
      <c r="R2286" s="35"/>
      <c r="S2286" s="32" t="s">
        <v>29</v>
      </c>
      <c r="T2286" s="33"/>
      <c r="U2286" s="33"/>
    </row>
    <row r="2287" ht="15.75" customHeight="1">
      <c r="A2287" s="20"/>
      <c r="B2287" s="20"/>
      <c r="C2287" s="20"/>
      <c r="D2287" s="21"/>
      <c r="E2287" s="21"/>
      <c r="F2287" s="67"/>
      <c r="G2287" s="21"/>
      <c r="H2287" s="149"/>
      <c r="I2287" s="25"/>
      <c r="J2287" s="26"/>
      <c r="K2287" s="21"/>
      <c r="L2287" s="27"/>
      <c r="M2287" s="28"/>
      <c r="N2287" s="29"/>
      <c r="O2287" s="29"/>
      <c r="P2287" s="102"/>
      <c r="Q2287" s="103"/>
      <c r="R2287" s="35"/>
      <c r="S2287" s="32" t="s">
        <v>29</v>
      </c>
      <c r="T2287" s="33"/>
      <c r="U2287" s="33"/>
    </row>
    <row r="2288" ht="15.75" customHeight="1">
      <c r="A2288" s="20"/>
      <c r="B2288" s="20"/>
      <c r="C2288" s="20"/>
      <c r="D2288" s="21"/>
      <c r="E2288" s="21"/>
      <c r="F2288" s="67"/>
      <c r="G2288" s="21"/>
      <c r="H2288" s="149"/>
      <c r="I2288" s="25"/>
      <c r="J2288" s="26"/>
      <c r="K2288" s="21"/>
      <c r="L2288" s="27"/>
      <c r="M2288" s="28"/>
      <c r="N2288" s="29"/>
      <c r="O2288" s="29"/>
      <c r="P2288" s="102"/>
      <c r="Q2288" s="103"/>
      <c r="R2288" s="35"/>
      <c r="S2288" s="32" t="s">
        <v>29</v>
      </c>
      <c r="T2288" s="33"/>
      <c r="U2288" s="33"/>
    </row>
    <row r="2289" ht="15.75" customHeight="1">
      <c r="A2289" s="20"/>
      <c r="B2289" s="20"/>
      <c r="C2289" s="20"/>
      <c r="D2289" s="21"/>
      <c r="E2289" s="21"/>
      <c r="F2289" s="67"/>
      <c r="G2289" s="21"/>
      <c r="H2289" s="149"/>
      <c r="I2289" s="25"/>
      <c r="J2289" s="26"/>
      <c r="K2289" s="21"/>
      <c r="L2289" s="27"/>
      <c r="M2289" s="28"/>
      <c r="N2289" s="29"/>
      <c r="O2289" s="29"/>
      <c r="P2289" s="102"/>
      <c r="Q2289" s="103"/>
      <c r="R2289" s="35"/>
      <c r="S2289" s="32" t="s">
        <v>29</v>
      </c>
      <c r="T2289" s="33"/>
      <c r="U2289" s="33"/>
    </row>
    <row r="2290" ht="15.75" customHeight="1">
      <c r="A2290" s="20"/>
      <c r="B2290" s="20"/>
      <c r="C2290" s="20"/>
      <c r="D2290" s="21"/>
      <c r="E2290" s="21"/>
      <c r="F2290" s="67"/>
      <c r="G2290" s="21"/>
      <c r="H2290" s="149"/>
      <c r="I2290" s="25"/>
      <c r="J2290" s="26"/>
      <c r="K2290" s="21"/>
      <c r="L2290" s="27"/>
      <c r="M2290" s="28"/>
      <c r="N2290" s="29"/>
      <c r="O2290" s="29"/>
      <c r="P2290" s="102"/>
      <c r="Q2290" s="103"/>
      <c r="R2290" s="35"/>
      <c r="S2290" s="32" t="s">
        <v>29</v>
      </c>
      <c r="T2290" s="33"/>
      <c r="U2290" s="33"/>
    </row>
    <row r="2291" ht="15.75" customHeight="1">
      <c r="A2291" s="20"/>
      <c r="B2291" s="20"/>
      <c r="C2291" s="20"/>
      <c r="D2291" s="21"/>
      <c r="E2291" s="21"/>
      <c r="F2291" s="67"/>
      <c r="G2291" s="21"/>
      <c r="H2291" s="149"/>
      <c r="I2291" s="25"/>
      <c r="J2291" s="26"/>
      <c r="K2291" s="21"/>
      <c r="L2291" s="27"/>
      <c r="M2291" s="28"/>
      <c r="N2291" s="29"/>
      <c r="O2291" s="29"/>
      <c r="P2291" s="102"/>
      <c r="Q2291" s="103"/>
      <c r="R2291" s="35"/>
      <c r="S2291" s="32" t="s">
        <v>29</v>
      </c>
      <c r="T2291" s="33"/>
      <c r="U2291" s="33"/>
    </row>
    <row r="2292" ht="15.75" customHeight="1">
      <c r="A2292" s="20"/>
      <c r="B2292" s="20"/>
      <c r="C2292" s="20"/>
      <c r="D2292" s="21"/>
      <c r="E2292" s="21"/>
      <c r="F2292" s="67"/>
      <c r="G2292" s="21"/>
      <c r="H2292" s="149"/>
      <c r="I2292" s="25"/>
      <c r="J2292" s="26"/>
      <c r="K2292" s="21"/>
      <c r="L2292" s="27"/>
      <c r="M2292" s="28"/>
      <c r="N2292" s="29"/>
      <c r="O2292" s="29"/>
      <c r="P2292" s="102"/>
      <c r="Q2292" s="103"/>
      <c r="R2292" s="35"/>
      <c r="S2292" s="32" t="s">
        <v>29</v>
      </c>
      <c r="T2292" s="33"/>
      <c r="U2292" s="33"/>
    </row>
    <row r="2293" ht="15.75" customHeight="1">
      <c r="A2293" s="20"/>
      <c r="B2293" s="20"/>
      <c r="C2293" s="20"/>
      <c r="D2293" s="21"/>
      <c r="E2293" s="21"/>
      <c r="F2293" s="67"/>
      <c r="G2293" s="21"/>
      <c r="H2293" s="149"/>
      <c r="I2293" s="25"/>
      <c r="J2293" s="26"/>
      <c r="K2293" s="21"/>
      <c r="L2293" s="27"/>
      <c r="M2293" s="28"/>
      <c r="N2293" s="29"/>
      <c r="O2293" s="29"/>
      <c r="P2293" s="102"/>
      <c r="Q2293" s="103"/>
      <c r="R2293" s="35"/>
      <c r="S2293" s="32" t="s">
        <v>29</v>
      </c>
      <c r="T2293" s="33"/>
      <c r="U2293" s="33"/>
    </row>
    <row r="2294" ht="15.75" customHeight="1">
      <c r="A2294" s="20"/>
      <c r="B2294" s="20"/>
      <c r="C2294" s="20"/>
      <c r="D2294" s="21"/>
      <c r="E2294" s="21"/>
      <c r="F2294" s="67"/>
      <c r="G2294" s="21"/>
      <c r="H2294" s="149"/>
      <c r="I2294" s="25"/>
      <c r="J2294" s="26"/>
      <c r="K2294" s="21"/>
      <c r="L2294" s="27"/>
      <c r="M2294" s="28"/>
      <c r="N2294" s="29"/>
      <c r="O2294" s="29"/>
      <c r="P2294" s="102"/>
      <c r="Q2294" s="103"/>
      <c r="R2294" s="35"/>
      <c r="S2294" s="32" t="s">
        <v>29</v>
      </c>
      <c r="T2294" s="33"/>
      <c r="U2294" s="33"/>
    </row>
    <row r="2295" ht="15.75" customHeight="1">
      <c r="A2295" s="20"/>
      <c r="B2295" s="20"/>
      <c r="C2295" s="20"/>
      <c r="D2295" s="21"/>
      <c r="E2295" s="21"/>
      <c r="F2295" s="67"/>
      <c r="G2295" s="21"/>
      <c r="H2295" s="149"/>
      <c r="I2295" s="25"/>
      <c r="J2295" s="26"/>
      <c r="K2295" s="21"/>
      <c r="L2295" s="27"/>
      <c r="M2295" s="28"/>
      <c r="N2295" s="29"/>
      <c r="O2295" s="29"/>
      <c r="P2295" s="102"/>
      <c r="Q2295" s="103"/>
      <c r="R2295" s="35"/>
      <c r="S2295" s="32" t="s">
        <v>29</v>
      </c>
      <c r="T2295" s="33"/>
      <c r="U2295" s="33"/>
    </row>
    <row r="2296" ht="15.75" customHeight="1">
      <c r="A2296" s="20"/>
      <c r="B2296" s="20"/>
      <c r="C2296" s="20"/>
      <c r="D2296" s="21"/>
      <c r="E2296" s="21"/>
      <c r="F2296" s="67"/>
      <c r="G2296" s="21"/>
      <c r="H2296" s="149"/>
      <c r="I2296" s="25"/>
      <c r="J2296" s="26"/>
      <c r="K2296" s="21"/>
      <c r="L2296" s="27"/>
      <c r="M2296" s="28"/>
      <c r="N2296" s="29"/>
      <c r="O2296" s="29"/>
      <c r="P2296" s="102"/>
      <c r="Q2296" s="103"/>
      <c r="R2296" s="35"/>
      <c r="S2296" s="32" t="s">
        <v>29</v>
      </c>
      <c r="T2296" s="33"/>
      <c r="U2296" s="33"/>
    </row>
    <row r="2297" ht="15.75" customHeight="1">
      <c r="A2297" s="20"/>
      <c r="B2297" s="20"/>
      <c r="C2297" s="20"/>
      <c r="D2297" s="21"/>
      <c r="E2297" s="21"/>
      <c r="F2297" s="67"/>
      <c r="G2297" s="21"/>
      <c r="H2297" s="149"/>
      <c r="I2297" s="25"/>
      <c r="J2297" s="26"/>
      <c r="K2297" s="21"/>
      <c r="L2297" s="27"/>
      <c r="M2297" s="28"/>
      <c r="N2297" s="29"/>
      <c r="O2297" s="29"/>
      <c r="P2297" s="102"/>
      <c r="Q2297" s="103"/>
      <c r="R2297" s="35"/>
      <c r="S2297" s="32" t="s">
        <v>29</v>
      </c>
      <c r="T2297" s="33"/>
      <c r="U2297" s="33"/>
    </row>
    <row r="2298" ht="15.75" customHeight="1">
      <c r="A2298" s="20"/>
      <c r="B2298" s="20"/>
      <c r="C2298" s="20"/>
      <c r="D2298" s="21"/>
      <c r="E2298" s="21"/>
      <c r="F2298" s="67"/>
      <c r="G2298" s="21"/>
      <c r="H2298" s="149"/>
      <c r="I2298" s="25"/>
      <c r="J2298" s="26"/>
      <c r="K2298" s="21"/>
      <c r="L2298" s="27"/>
      <c r="M2298" s="28"/>
      <c r="N2298" s="29"/>
      <c r="O2298" s="29"/>
      <c r="P2298" s="102"/>
      <c r="Q2298" s="103"/>
      <c r="R2298" s="35"/>
      <c r="S2298" s="32" t="s">
        <v>29</v>
      </c>
      <c r="T2298" s="33"/>
      <c r="U2298" s="33"/>
    </row>
    <row r="2299" ht="15.75" customHeight="1">
      <c r="A2299" s="20"/>
      <c r="B2299" s="20"/>
      <c r="C2299" s="20"/>
      <c r="D2299" s="21"/>
      <c r="E2299" s="21"/>
      <c r="F2299" s="67"/>
      <c r="G2299" s="21"/>
      <c r="H2299" s="149"/>
      <c r="I2299" s="25"/>
      <c r="J2299" s="26"/>
      <c r="K2299" s="21"/>
      <c r="L2299" s="27"/>
      <c r="M2299" s="28"/>
      <c r="N2299" s="29"/>
      <c r="O2299" s="29"/>
      <c r="P2299" s="102"/>
      <c r="Q2299" s="103"/>
      <c r="R2299" s="35"/>
      <c r="S2299" s="32" t="s">
        <v>29</v>
      </c>
      <c r="T2299" s="33"/>
      <c r="U2299" s="33"/>
    </row>
    <row r="2300" ht="15.75" customHeight="1">
      <c r="A2300" s="20"/>
      <c r="B2300" s="20"/>
      <c r="C2300" s="20"/>
      <c r="D2300" s="21"/>
      <c r="E2300" s="21"/>
      <c r="F2300" s="67"/>
      <c r="G2300" s="21"/>
      <c r="H2300" s="149"/>
      <c r="I2300" s="25"/>
      <c r="J2300" s="26"/>
      <c r="K2300" s="21"/>
      <c r="L2300" s="27"/>
      <c r="M2300" s="28"/>
      <c r="N2300" s="29"/>
      <c r="O2300" s="29"/>
      <c r="P2300" s="102"/>
      <c r="Q2300" s="103"/>
      <c r="R2300" s="35"/>
      <c r="S2300" s="32" t="s">
        <v>29</v>
      </c>
      <c r="T2300" s="33"/>
      <c r="U2300" s="33"/>
    </row>
    <row r="2301" ht="15.75" customHeight="1">
      <c r="A2301" s="20"/>
      <c r="B2301" s="20"/>
      <c r="C2301" s="20"/>
      <c r="D2301" s="21"/>
      <c r="E2301" s="21"/>
      <c r="F2301" s="67"/>
      <c r="G2301" s="21"/>
      <c r="H2301" s="149"/>
      <c r="I2301" s="25"/>
      <c r="J2301" s="26"/>
      <c r="K2301" s="21"/>
      <c r="L2301" s="27"/>
      <c r="M2301" s="28"/>
      <c r="N2301" s="29"/>
      <c r="O2301" s="29"/>
      <c r="P2301" s="102"/>
      <c r="Q2301" s="103"/>
      <c r="R2301" s="35"/>
      <c r="S2301" s="32" t="s">
        <v>29</v>
      </c>
      <c r="T2301" s="33"/>
      <c r="U2301" s="33"/>
    </row>
    <row r="2302" ht="15.75" customHeight="1">
      <c r="A2302" s="20"/>
      <c r="B2302" s="20"/>
      <c r="C2302" s="20"/>
      <c r="D2302" s="21"/>
      <c r="E2302" s="21"/>
      <c r="F2302" s="67"/>
      <c r="G2302" s="21"/>
      <c r="H2302" s="149"/>
      <c r="I2302" s="25"/>
      <c r="J2302" s="26"/>
      <c r="K2302" s="21"/>
      <c r="L2302" s="27"/>
      <c r="M2302" s="28"/>
      <c r="N2302" s="29"/>
      <c r="O2302" s="29"/>
      <c r="P2302" s="102"/>
      <c r="Q2302" s="103"/>
      <c r="R2302" s="35"/>
      <c r="S2302" s="32" t="s">
        <v>29</v>
      </c>
      <c r="T2302" s="33"/>
      <c r="U2302" s="33"/>
    </row>
    <row r="2303" ht="15.75" customHeight="1">
      <c r="A2303" s="20"/>
      <c r="B2303" s="20"/>
      <c r="C2303" s="20"/>
      <c r="D2303" s="21"/>
      <c r="E2303" s="21"/>
      <c r="F2303" s="67"/>
      <c r="G2303" s="21"/>
      <c r="H2303" s="149"/>
      <c r="I2303" s="25"/>
      <c r="J2303" s="26"/>
      <c r="K2303" s="21"/>
      <c r="L2303" s="27"/>
      <c r="M2303" s="28"/>
      <c r="N2303" s="29"/>
      <c r="O2303" s="29"/>
      <c r="P2303" s="102"/>
      <c r="Q2303" s="103"/>
      <c r="R2303" s="35"/>
      <c r="S2303" s="32" t="s">
        <v>29</v>
      </c>
      <c r="T2303" s="33"/>
      <c r="U2303" s="33"/>
    </row>
    <row r="2304" ht="15.75" customHeight="1">
      <c r="A2304" s="20"/>
      <c r="B2304" s="20"/>
      <c r="C2304" s="20"/>
      <c r="D2304" s="21"/>
      <c r="E2304" s="21"/>
      <c r="F2304" s="67"/>
      <c r="G2304" s="21"/>
      <c r="H2304" s="149"/>
      <c r="I2304" s="25"/>
      <c r="J2304" s="26"/>
      <c r="K2304" s="21"/>
      <c r="L2304" s="27"/>
      <c r="M2304" s="28"/>
      <c r="N2304" s="29"/>
      <c r="O2304" s="29"/>
      <c r="P2304" s="102"/>
      <c r="Q2304" s="103"/>
      <c r="R2304" s="35"/>
      <c r="S2304" s="32" t="s">
        <v>29</v>
      </c>
      <c r="T2304" s="33"/>
      <c r="U2304" s="33"/>
    </row>
    <row r="2305" ht="15.75" customHeight="1">
      <c r="A2305" s="20"/>
      <c r="B2305" s="20"/>
      <c r="C2305" s="20"/>
      <c r="D2305" s="21"/>
      <c r="E2305" s="21"/>
      <c r="F2305" s="67"/>
      <c r="G2305" s="21"/>
      <c r="H2305" s="149"/>
      <c r="I2305" s="25"/>
      <c r="J2305" s="26"/>
      <c r="K2305" s="21"/>
      <c r="L2305" s="27"/>
      <c r="M2305" s="28"/>
      <c r="N2305" s="29"/>
      <c r="O2305" s="29"/>
      <c r="P2305" s="102"/>
      <c r="Q2305" s="103"/>
      <c r="R2305" s="35"/>
      <c r="S2305" s="32" t="s">
        <v>29</v>
      </c>
      <c r="T2305" s="33"/>
      <c r="U2305" s="33"/>
    </row>
    <row r="2306" ht="15.75" customHeight="1">
      <c r="A2306" s="20"/>
      <c r="B2306" s="20"/>
      <c r="C2306" s="20"/>
      <c r="D2306" s="21"/>
      <c r="E2306" s="21"/>
      <c r="F2306" s="67"/>
      <c r="G2306" s="21"/>
      <c r="H2306" s="149"/>
      <c r="I2306" s="25"/>
      <c r="J2306" s="26"/>
      <c r="K2306" s="21"/>
      <c r="L2306" s="27"/>
      <c r="M2306" s="28"/>
      <c r="N2306" s="29"/>
      <c r="O2306" s="29"/>
      <c r="P2306" s="102"/>
      <c r="Q2306" s="103"/>
      <c r="R2306" s="35"/>
      <c r="S2306" s="32" t="s">
        <v>29</v>
      </c>
      <c r="T2306" s="33"/>
      <c r="U2306" s="33"/>
    </row>
    <row r="2307" ht="15.75" customHeight="1">
      <c r="A2307" s="20"/>
      <c r="B2307" s="20"/>
      <c r="C2307" s="20"/>
      <c r="D2307" s="21"/>
      <c r="E2307" s="21"/>
      <c r="F2307" s="67"/>
      <c r="G2307" s="21"/>
      <c r="H2307" s="149"/>
      <c r="I2307" s="25"/>
      <c r="J2307" s="26"/>
      <c r="K2307" s="21"/>
      <c r="L2307" s="27"/>
      <c r="M2307" s="28"/>
      <c r="N2307" s="29"/>
      <c r="O2307" s="29"/>
      <c r="P2307" s="102"/>
      <c r="Q2307" s="103"/>
      <c r="R2307" s="35"/>
      <c r="S2307" s="32" t="s">
        <v>29</v>
      </c>
      <c r="T2307" s="33"/>
      <c r="U2307" s="33"/>
    </row>
    <row r="2308" ht="15.75" customHeight="1">
      <c r="A2308" s="20"/>
      <c r="B2308" s="20"/>
      <c r="C2308" s="20"/>
      <c r="D2308" s="21"/>
      <c r="E2308" s="21"/>
      <c r="F2308" s="67"/>
      <c r="G2308" s="21"/>
      <c r="H2308" s="149"/>
      <c r="I2308" s="25"/>
      <c r="J2308" s="26"/>
      <c r="K2308" s="21"/>
      <c r="L2308" s="27"/>
      <c r="M2308" s="28"/>
      <c r="N2308" s="29"/>
      <c r="O2308" s="29"/>
      <c r="P2308" s="102"/>
      <c r="Q2308" s="103"/>
      <c r="R2308" s="35"/>
      <c r="S2308" s="32" t="s">
        <v>29</v>
      </c>
      <c r="T2308" s="33"/>
      <c r="U2308" s="33"/>
    </row>
    <row r="2309" ht="15.75" customHeight="1">
      <c r="A2309" s="20"/>
      <c r="B2309" s="20"/>
      <c r="C2309" s="20"/>
      <c r="D2309" s="21"/>
      <c r="E2309" s="21"/>
      <c r="F2309" s="67"/>
      <c r="G2309" s="21"/>
      <c r="H2309" s="149"/>
      <c r="I2309" s="25"/>
      <c r="J2309" s="26"/>
      <c r="K2309" s="21"/>
      <c r="L2309" s="27"/>
      <c r="M2309" s="28"/>
      <c r="N2309" s="29"/>
      <c r="O2309" s="29"/>
      <c r="P2309" s="102"/>
      <c r="Q2309" s="103"/>
      <c r="R2309" s="35"/>
      <c r="S2309" s="32" t="s">
        <v>29</v>
      </c>
      <c r="T2309" s="33"/>
      <c r="U2309" s="33"/>
    </row>
    <row r="2310" ht="15.75" customHeight="1">
      <c r="A2310" s="20"/>
      <c r="B2310" s="20"/>
      <c r="C2310" s="20"/>
      <c r="D2310" s="21"/>
      <c r="E2310" s="21"/>
      <c r="F2310" s="67"/>
      <c r="G2310" s="21"/>
      <c r="H2310" s="149"/>
      <c r="I2310" s="25"/>
      <c r="J2310" s="26"/>
      <c r="K2310" s="21"/>
      <c r="L2310" s="27"/>
      <c r="M2310" s="28"/>
      <c r="N2310" s="29"/>
      <c r="O2310" s="29"/>
      <c r="P2310" s="102"/>
      <c r="Q2310" s="103"/>
      <c r="R2310" s="35"/>
      <c r="S2310" s="32" t="s">
        <v>29</v>
      </c>
      <c r="T2310" s="33"/>
      <c r="U2310" s="33"/>
    </row>
    <row r="2311" ht="15.75" customHeight="1">
      <c r="A2311" s="20"/>
      <c r="B2311" s="20"/>
      <c r="C2311" s="20"/>
      <c r="D2311" s="21"/>
      <c r="E2311" s="21"/>
      <c r="F2311" s="67"/>
      <c r="G2311" s="21"/>
      <c r="H2311" s="149"/>
      <c r="I2311" s="25"/>
      <c r="J2311" s="26"/>
      <c r="K2311" s="21"/>
      <c r="L2311" s="27"/>
      <c r="M2311" s="28"/>
      <c r="N2311" s="29"/>
      <c r="O2311" s="29"/>
      <c r="P2311" s="102"/>
      <c r="Q2311" s="103"/>
      <c r="R2311" s="35"/>
      <c r="S2311" s="32" t="s">
        <v>29</v>
      </c>
      <c r="T2311" s="33"/>
      <c r="U2311" s="33"/>
    </row>
    <row r="2312" ht="15.75" customHeight="1">
      <c r="A2312" s="20"/>
      <c r="B2312" s="20"/>
      <c r="C2312" s="20"/>
      <c r="D2312" s="21"/>
      <c r="E2312" s="21"/>
      <c r="F2312" s="67"/>
      <c r="G2312" s="21"/>
      <c r="H2312" s="149"/>
      <c r="I2312" s="25"/>
      <c r="J2312" s="26"/>
      <c r="K2312" s="21"/>
      <c r="L2312" s="27"/>
      <c r="M2312" s="28"/>
      <c r="N2312" s="29"/>
      <c r="O2312" s="29"/>
      <c r="P2312" s="102"/>
      <c r="Q2312" s="103"/>
      <c r="R2312" s="35"/>
      <c r="S2312" s="32" t="s">
        <v>29</v>
      </c>
      <c r="T2312" s="33"/>
      <c r="U2312" s="33"/>
    </row>
    <row r="2313" ht="15.0" customHeight="1">
      <c r="A2313" s="20"/>
      <c r="B2313" s="20"/>
      <c r="C2313" s="20"/>
      <c r="D2313" s="21"/>
      <c r="E2313" s="21"/>
      <c r="F2313" s="67"/>
      <c r="G2313" s="21"/>
      <c r="H2313" s="149"/>
      <c r="I2313" s="25"/>
      <c r="J2313" s="26"/>
      <c r="K2313" s="21"/>
      <c r="L2313" s="27"/>
      <c r="M2313" s="28"/>
      <c r="N2313" s="29"/>
      <c r="O2313" s="29"/>
      <c r="P2313" s="102"/>
      <c r="Q2313" s="103"/>
      <c r="R2313" s="35"/>
      <c r="S2313" s="32" t="s">
        <v>29</v>
      </c>
      <c r="T2313" s="33"/>
      <c r="U2313" s="33"/>
    </row>
    <row r="2314" ht="15.0" customHeight="1">
      <c r="A2314" s="20"/>
      <c r="B2314" s="20"/>
      <c r="C2314" s="20"/>
      <c r="D2314" s="21"/>
      <c r="E2314" s="21"/>
      <c r="F2314" s="67"/>
      <c r="G2314" s="21"/>
      <c r="H2314" s="149"/>
      <c r="I2314" s="25"/>
      <c r="J2314" s="26"/>
      <c r="K2314" s="21"/>
      <c r="L2314" s="27"/>
      <c r="M2314" s="28"/>
      <c r="N2314" s="29"/>
      <c r="O2314" s="29"/>
      <c r="P2314" s="102"/>
      <c r="Q2314" s="103"/>
      <c r="R2314" s="35"/>
      <c r="S2314" s="32" t="s">
        <v>29</v>
      </c>
      <c r="T2314" s="33"/>
      <c r="U2314" s="33"/>
    </row>
    <row r="2315" ht="15.0" customHeight="1">
      <c r="A2315" s="20"/>
      <c r="B2315" s="20"/>
      <c r="C2315" s="20"/>
      <c r="D2315" s="21"/>
      <c r="E2315" s="21"/>
      <c r="F2315" s="67"/>
      <c r="G2315" s="21"/>
      <c r="H2315" s="149"/>
      <c r="I2315" s="25"/>
      <c r="J2315" s="26"/>
      <c r="K2315" s="21"/>
      <c r="L2315" s="27"/>
      <c r="M2315" s="28"/>
      <c r="N2315" s="29"/>
      <c r="O2315" s="29"/>
      <c r="P2315" s="102"/>
      <c r="Q2315" s="103"/>
      <c r="R2315" s="35"/>
      <c r="S2315" s="32" t="s">
        <v>29</v>
      </c>
      <c r="T2315" s="33"/>
      <c r="U2315" s="33"/>
    </row>
    <row r="2316" ht="15.0" customHeight="1">
      <c r="A2316" s="20"/>
      <c r="B2316" s="20"/>
      <c r="C2316" s="20"/>
      <c r="D2316" s="21"/>
      <c r="E2316" s="21"/>
      <c r="F2316" s="67"/>
      <c r="G2316" s="21"/>
      <c r="H2316" s="149"/>
      <c r="I2316" s="25"/>
      <c r="J2316" s="26"/>
      <c r="K2316" s="21"/>
      <c r="L2316" s="27"/>
      <c r="M2316" s="28"/>
      <c r="N2316" s="29"/>
      <c r="O2316" s="29"/>
      <c r="P2316" s="102"/>
      <c r="Q2316" s="103"/>
      <c r="R2316" s="35"/>
      <c r="S2316" s="32" t="s">
        <v>29</v>
      </c>
      <c r="T2316" s="33"/>
      <c r="U2316" s="33"/>
    </row>
    <row r="2317" ht="15.0" customHeight="1">
      <c r="A2317" s="20"/>
      <c r="B2317" s="20"/>
      <c r="C2317" s="20"/>
      <c r="D2317" s="21"/>
      <c r="E2317" s="21"/>
      <c r="F2317" s="67"/>
      <c r="G2317" s="21"/>
      <c r="H2317" s="149"/>
      <c r="I2317" s="25"/>
      <c r="J2317" s="26"/>
      <c r="K2317" s="21"/>
      <c r="L2317" s="27"/>
      <c r="M2317" s="28"/>
      <c r="N2317" s="29"/>
      <c r="O2317" s="29"/>
      <c r="P2317" s="102"/>
      <c r="Q2317" s="103"/>
      <c r="R2317" s="35"/>
      <c r="S2317" s="32" t="s">
        <v>29</v>
      </c>
      <c r="T2317" s="33"/>
      <c r="U2317" s="33"/>
    </row>
    <row r="2318" ht="15.0" customHeight="1">
      <c r="A2318" s="20"/>
      <c r="B2318" s="20"/>
      <c r="C2318" s="20"/>
      <c r="D2318" s="21"/>
      <c r="E2318" s="21"/>
      <c r="F2318" s="67"/>
      <c r="G2318" s="21"/>
      <c r="H2318" s="205"/>
      <c r="I2318" s="53"/>
      <c r="J2318" s="53"/>
      <c r="K2318" s="213"/>
      <c r="M2318" s="214"/>
      <c r="Q2318" s="140"/>
      <c r="R2318" s="215"/>
      <c r="S2318" s="32" t="s">
        <v>29</v>
      </c>
    </row>
    <row r="2319" ht="15.0" customHeight="1">
      <c r="A2319" s="20"/>
      <c r="B2319" s="20"/>
      <c r="C2319" s="20"/>
      <c r="D2319" s="21"/>
      <c r="E2319" s="21"/>
      <c r="F2319" s="67"/>
      <c r="G2319" s="21"/>
      <c r="H2319" s="205"/>
      <c r="I2319" s="53"/>
      <c r="J2319" s="53"/>
      <c r="K2319" s="213"/>
      <c r="M2319" s="214"/>
      <c r="Q2319" s="140"/>
      <c r="R2319" s="215"/>
      <c r="S2319" s="32" t="s">
        <v>29</v>
      </c>
    </row>
    <row r="2320" ht="15.0" customHeight="1">
      <c r="A2320" s="20"/>
      <c r="B2320" s="20"/>
      <c r="C2320" s="20"/>
      <c r="D2320" s="21"/>
      <c r="E2320" s="21"/>
      <c r="F2320" s="67"/>
      <c r="G2320" s="21"/>
      <c r="H2320" s="205"/>
      <c r="I2320" s="53"/>
      <c r="J2320" s="53"/>
      <c r="K2320" s="213"/>
      <c r="M2320" s="214"/>
      <c r="Q2320" s="140"/>
      <c r="R2320" s="215"/>
      <c r="S2320" s="32" t="s">
        <v>29</v>
      </c>
    </row>
    <row r="2321" ht="15.0" customHeight="1">
      <c r="A2321" s="20"/>
      <c r="B2321" s="20"/>
      <c r="C2321" s="20"/>
      <c r="D2321" s="21"/>
      <c r="E2321" s="21"/>
      <c r="F2321" s="67"/>
      <c r="G2321" s="21"/>
      <c r="H2321" s="205"/>
      <c r="I2321" s="53"/>
      <c r="J2321" s="53"/>
      <c r="K2321" s="213"/>
      <c r="M2321" s="214"/>
      <c r="Q2321" s="140"/>
      <c r="R2321" s="215"/>
      <c r="S2321" s="32" t="s">
        <v>29</v>
      </c>
    </row>
    <row r="2322" ht="15.0" customHeight="1">
      <c r="A2322" s="20"/>
      <c r="B2322" s="20"/>
      <c r="C2322" s="20"/>
      <c r="D2322" s="21"/>
      <c r="E2322" s="21"/>
      <c r="F2322" s="67"/>
      <c r="G2322" s="21"/>
      <c r="H2322" s="205"/>
      <c r="I2322" s="53"/>
      <c r="J2322" s="53"/>
      <c r="K2322" s="213"/>
      <c r="M2322" s="214"/>
      <c r="Q2322" s="140"/>
      <c r="R2322" s="215"/>
      <c r="S2322" s="32" t="s">
        <v>29</v>
      </c>
    </row>
    <row r="2323" ht="15.0" customHeight="1">
      <c r="A2323" s="20"/>
      <c r="B2323" s="20"/>
      <c r="C2323" s="20"/>
      <c r="D2323" s="21"/>
      <c r="E2323" s="21"/>
      <c r="F2323" s="67"/>
      <c r="G2323" s="21"/>
      <c r="H2323" s="205"/>
      <c r="I2323" s="53"/>
      <c r="J2323" s="53"/>
      <c r="K2323" s="213"/>
      <c r="M2323" s="214"/>
      <c r="Q2323" s="140"/>
      <c r="R2323" s="215"/>
      <c r="S2323" s="32" t="s">
        <v>29</v>
      </c>
    </row>
    <row r="2324" ht="15.0" customHeight="1">
      <c r="A2324" s="20"/>
      <c r="B2324" s="20"/>
      <c r="C2324" s="20"/>
      <c r="D2324" s="21"/>
      <c r="E2324" s="21"/>
      <c r="F2324" s="67"/>
      <c r="G2324" s="21"/>
      <c r="H2324" s="205"/>
      <c r="I2324" s="53"/>
      <c r="J2324" s="53"/>
      <c r="K2324" s="213"/>
      <c r="M2324" s="214"/>
      <c r="Q2324" s="140"/>
      <c r="R2324" s="215"/>
      <c r="S2324" s="32" t="s">
        <v>29</v>
      </c>
    </row>
    <row r="2325" ht="15.0" customHeight="1">
      <c r="A2325" s="20"/>
      <c r="B2325" s="20"/>
      <c r="C2325" s="20"/>
      <c r="D2325" s="21"/>
      <c r="E2325" s="21"/>
      <c r="F2325" s="67"/>
      <c r="G2325" s="21"/>
      <c r="H2325" s="205"/>
      <c r="I2325" s="53"/>
      <c r="J2325" s="53"/>
      <c r="K2325" s="213"/>
      <c r="M2325" s="214"/>
      <c r="Q2325" s="140"/>
      <c r="R2325" s="215"/>
      <c r="S2325" s="32" t="s">
        <v>29</v>
      </c>
    </row>
    <row r="2326" ht="15.0" customHeight="1">
      <c r="A2326" s="20"/>
      <c r="B2326" s="20"/>
      <c r="C2326" s="20"/>
      <c r="D2326" s="21"/>
      <c r="E2326" s="21"/>
      <c r="F2326" s="67"/>
      <c r="G2326" s="21"/>
      <c r="H2326" s="205"/>
      <c r="I2326" s="53"/>
      <c r="J2326" s="53"/>
      <c r="K2326" s="213"/>
      <c r="M2326" s="214"/>
      <c r="Q2326" s="140"/>
      <c r="R2326" s="215"/>
      <c r="S2326" s="32" t="s">
        <v>29</v>
      </c>
    </row>
    <row r="2327" ht="15.0" customHeight="1">
      <c r="A2327" s="20"/>
      <c r="B2327" s="20"/>
      <c r="C2327" s="20"/>
      <c r="D2327" s="21"/>
      <c r="E2327" s="21"/>
      <c r="F2327" s="67"/>
      <c r="G2327" s="21"/>
      <c r="H2327" s="205"/>
      <c r="I2327" s="53"/>
      <c r="J2327" s="53"/>
      <c r="K2327" s="213"/>
      <c r="M2327" s="214"/>
      <c r="Q2327" s="140"/>
      <c r="R2327" s="215"/>
      <c r="S2327" s="32" t="s">
        <v>29</v>
      </c>
    </row>
    <row r="2328" ht="15.0" customHeight="1">
      <c r="A2328" s="20"/>
      <c r="B2328" s="20"/>
      <c r="C2328" s="20"/>
      <c r="D2328" s="21"/>
      <c r="E2328" s="21"/>
      <c r="F2328" s="67"/>
      <c r="G2328" s="21"/>
      <c r="H2328" s="205"/>
      <c r="I2328" s="53"/>
      <c r="J2328" s="53"/>
      <c r="K2328" s="213"/>
      <c r="M2328" s="214"/>
      <c r="Q2328" s="140"/>
      <c r="R2328" s="215"/>
      <c r="S2328" s="32" t="s">
        <v>29</v>
      </c>
    </row>
    <row r="2329" ht="15.0" customHeight="1">
      <c r="A2329" s="20"/>
      <c r="B2329" s="20"/>
      <c r="C2329" s="20"/>
      <c r="D2329" s="21"/>
      <c r="E2329" s="21"/>
      <c r="F2329" s="67"/>
      <c r="G2329" s="21"/>
      <c r="H2329" s="205"/>
      <c r="I2329" s="53"/>
      <c r="J2329" s="53"/>
      <c r="K2329" s="213"/>
      <c r="M2329" s="214"/>
      <c r="Q2329" s="140"/>
      <c r="R2329" s="215"/>
      <c r="S2329" s="32" t="s">
        <v>29</v>
      </c>
    </row>
    <row r="2330" ht="15.0" customHeight="1">
      <c r="A2330" s="20"/>
      <c r="B2330" s="20"/>
      <c r="C2330" s="20"/>
      <c r="D2330" s="21"/>
      <c r="E2330" s="21"/>
      <c r="F2330" s="67"/>
      <c r="G2330" s="21"/>
      <c r="H2330" s="205"/>
      <c r="I2330" s="53"/>
      <c r="J2330" s="53"/>
      <c r="K2330" s="213"/>
      <c r="M2330" s="214"/>
      <c r="Q2330" s="140"/>
      <c r="R2330" s="215"/>
      <c r="S2330" s="32" t="s">
        <v>29</v>
      </c>
    </row>
    <row r="2331" ht="15.0" customHeight="1">
      <c r="A2331" s="20"/>
      <c r="B2331" s="20"/>
      <c r="C2331" s="20"/>
      <c r="D2331" s="21"/>
      <c r="E2331" s="21"/>
      <c r="F2331" s="67"/>
      <c r="G2331" s="21"/>
      <c r="H2331" s="205"/>
      <c r="I2331" s="53"/>
      <c r="J2331" s="53"/>
      <c r="K2331" s="213"/>
      <c r="M2331" s="214"/>
      <c r="Q2331" s="140"/>
      <c r="R2331" s="215"/>
      <c r="S2331" s="32" t="s">
        <v>29</v>
      </c>
    </row>
    <row r="2332" ht="15.0" customHeight="1">
      <c r="A2332" s="20"/>
      <c r="B2332" s="20"/>
      <c r="C2332" s="20"/>
      <c r="D2332" s="21"/>
      <c r="E2332" s="21"/>
      <c r="F2332" s="67"/>
      <c r="G2332" s="21"/>
      <c r="H2332" s="205"/>
      <c r="I2332" s="53"/>
      <c r="J2332" s="53"/>
      <c r="K2332" s="213"/>
      <c r="M2332" s="214"/>
      <c r="Q2332" s="140"/>
      <c r="R2332" s="215"/>
      <c r="S2332" s="32" t="s">
        <v>29</v>
      </c>
    </row>
    <row r="2333" ht="15.0" customHeight="1">
      <c r="A2333" s="20"/>
      <c r="B2333" s="20"/>
      <c r="C2333" s="20"/>
      <c r="D2333" s="21"/>
      <c r="E2333" s="21"/>
      <c r="F2333" s="67"/>
      <c r="G2333" s="21"/>
      <c r="H2333" s="205"/>
      <c r="I2333" s="53"/>
      <c r="J2333" s="53"/>
      <c r="K2333" s="213"/>
      <c r="M2333" s="214"/>
      <c r="Q2333" s="140"/>
      <c r="R2333" s="215"/>
      <c r="S2333" s="32" t="s">
        <v>29</v>
      </c>
    </row>
    <row r="2334" ht="15.0" customHeight="1">
      <c r="A2334" s="20"/>
      <c r="B2334" s="20"/>
      <c r="C2334" s="20"/>
      <c r="D2334" s="21"/>
      <c r="E2334" s="21"/>
      <c r="F2334" s="67"/>
      <c r="G2334" s="21"/>
      <c r="H2334" s="205"/>
      <c r="I2334" s="53"/>
      <c r="J2334" s="53"/>
      <c r="K2334" s="213"/>
      <c r="M2334" s="214"/>
      <c r="Q2334" s="140"/>
      <c r="R2334" s="215"/>
      <c r="S2334" s="32" t="s">
        <v>29</v>
      </c>
    </row>
    <row r="2335" ht="15.0" customHeight="1">
      <c r="A2335" s="20"/>
      <c r="B2335" s="20"/>
      <c r="C2335" s="20"/>
      <c r="D2335" s="21"/>
      <c r="E2335" s="21"/>
      <c r="F2335" s="67"/>
      <c r="G2335" s="21"/>
      <c r="H2335" s="205"/>
      <c r="I2335" s="53"/>
      <c r="J2335" s="53"/>
      <c r="K2335" s="213"/>
      <c r="M2335" s="214"/>
      <c r="Q2335" s="140"/>
      <c r="R2335" s="215"/>
      <c r="S2335" s="32" t="s">
        <v>29</v>
      </c>
    </row>
    <row r="2336" ht="15.0" customHeight="1">
      <c r="A2336" s="20"/>
      <c r="B2336" s="20"/>
      <c r="C2336" s="20"/>
      <c r="D2336" s="21"/>
      <c r="E2336" s="21"/>
      <c r="F2336" s="67"/>
      <c r="G2336" s="21"/>
      <c r="H2336" s="205"/>
      <c r="I2336" s="53"/>
      <c r="J2336" s="53"/>
      <c r="K2336" s="213"/>
      <c r="M2336" s="214"/>
      <c r="Q2336" s="140"/>
      <c r="R2336" s="215"/>
      <c r="S2336" s="32" t="s">
        <v>29</v>
      </c>
    </row>
    <row r="2337" ht="15.0" customHeight="1">
      <c r="A2337" s="20"/>
      <c r="B2337" s="20"/>
      <c r="C2337" s="20"/>
      <c r="D2337" s="21"/>
      <c r="E2337" s="21"/>
      <c r="F2337" s="67"/>
      <c r="G2337" s="21"/>
      <c r="H2337" s="205"/>
      <c r="I2337" s="53"/>
      <c r="J2337" s="53"/>
      <c r="K2337" s="213"/>
      <c r="M2337" s="214"/>
      <c r="Q2337" s="140"/>
      <c r="R2337" s="215"/>
      <c r="S2337" s="32" t="s">
        <v>29</v>
      </c>
    </row>
    <row r="2338" ht="15.0" customHeight="1">
      <c r="A2338" s="20"/>
      <c r="B2338" s="20"/>
      <c r="C2338" s="20"/>
      <c r="D2338" s="21"/>
      <c r="E2338" s="21"/>
      <c r="F2338" s="67"/>
      <c r="G2338" s="21"/>
      <c r="H2338" s="205"/>
      <c r="I2338" s="53"/>
      <c r="J2338" s="53"/>
      <c r="K2338" s="213"/>
      <c r="M2338" s="214"/>
      <c r="Q2338" s="140"/>
      <c r="R2338" s="215"/>
      <c r="S2338" s="32" t="s">
        <v>29</v>
      </c>
    </row>
    <row r="2339" ht="15.0" customHeight="1">
      <c r="A2339" s="20"/>
      <c r="B2339" s="20"/>
      <c r="C2339" s="20"/>
      <c r="D2339" s="21"/>
      <c r="E2339" s="21"/>
      <c r="F2339" s="21"/>
      <c r="G2339" s="21"/>
      <c r="H2339" s="216" t="s">
        <v>1399</v>
      </c>
      <c r="I2339" s="217" t="s">
        <v>1399</v>
      </c>
      <c r="J2339" s="217" t="s">
        <v>1399</v>
      </c>
      <c r="K2339" s="218" t="s">
        <v>1399</v>
      </c>
      <c r="L2339" s="217" t="s">
        <v>1399</v>
      </c>
      <c r="M2339" s="214" t="s">
        <v>1400</v>
      </c>
      <c r="N2339" s="214" t="s">
        <v>1400</v>
      </c>
      <c r="O2339" s="214"/>
      <c r="P2339" t="s">
        <v>1400</v>
      </c>
      <c r="Q2339" s="140" t="s">
        <v>1400</v>
      </c>
      <c r="R2339" s="215" t="s">
        <v>1400</v>
      </c>
      <c r="S2339" s="32" t="s">
        <v>1400</v>
      </c>
      <c r="T2339" t="s">
        <v>1400</v>
      </c>
      <c r="U2339" t="s">
        <v>1400</v>
      </c>
    </row>
    <row r="2340" ht="15.0" customHeight="1">
      <c r="A2340" s="20"/>
      <c r="B2340" s="20"/>
      <c r="C2340" s="20"/>
      <c r="D2340" s="21"/>
      <c r="E2340" s="21"/>
      <c r="F2340" s="67"/>
      <c r="G2340" s="21"/>
      <c r="H2340" s="216"/>
      <c r="I2340" s="217"/>
      <c r="J2340" s="217"/>
      <c r="K2340" s="218"/>
      <c r="M2340" s="214"/>
      <c r="Q2340" s="140"/>
      <c r="R2340" s="215"/>
    </row>
    <row r="2341" ht="15.0" customHeight="1">
      <c r="A2341" s="20"/>
      <c r="B2341" s="20"/>
      <c r="C2341" s="20"/>
      <c r="D2341" s="21"/>
      <c r="E2341" s="21"/>
      <c r="F2341" s="67"/>
      <c r="G2341" s="21"/>
      <c r="H2341" s="216"/>
      <c r="I2341" s="217"/>
      <c r="J2341" s="217"/>
      <c r="K2341" s="218"/>
      <c r="M2341" s="214"/>
      <c r="Q2341" s="140"/>
      <c r="R2341" s="215"/>
    </row>
    <row r="2342" ht="15.0" customHeight="1">
      <c r="A2342" s="20"/>
      <c r="B2342" s="20"/>
      <c r="C2342" s="20"/>
      <c r="D2342" s="21"/>
      <c r="E2342" s="21"/>
      <c r="F2342" s="67"/>
      <c r="G2342" s="21"/>
      <c r="H2342" s="216"/>
      <c r="I2342" s="217"/>
      <c r="J2342" s="217"/>
      <c r="K2342" s="218"/>
      <c r="M2342" s="214"/>
      <c r="Q2342" s="140"/>
      <c r="R2342" s="215"/>
    </row>
    <row r="2343" ht="15.0" customHeight="1">
      <c r="A2343" s="20"/>
      <c r="B2343" s="20"/>
      <c r="C2343" s="20"/>
      <c r="D2343" s="21"/>
      <c r="E2343" s="21"/>
      <c r="F2343" s="67"/>
      <c r="G2343" s="21"/>
      <c r="H2343" s="216"/>
      <c r="I2343" s="217"/>
      <c r="J2343" s="217"/>
      <c r="K2343" s="218"/>
      <c r="M2343" s="214"/>
      <c r="Q2343" s="140"/>
      <c r="R2343" s="215"/>
    </row>
    <row r="2344" ht="15.0" customHeight="1">
      <c r="A2344" s="20"/>
      <c r="B2344" s="20"/>
      <c r="C2344" s="20"/>
      <c r="D2344" s="21"/>
      <c r="E2344" s="21"/>
      <c r="F2344" s="67"/>
      <c r="G2344" s="21"/>
      <c r="H2344" s="216"/>
      <c r="I2344" s="217"/>
      <c r="J2344" s="217"/>
      <c r="K2344" s="218"/>
      <c r="M2344" s="214"/>
      <c r="Q2344" s="140"/>
      <c r="R2344" s="215"/>
    </row>
    <row r="2345" ht="15.0" customHeight="1">
      <c r="A2345" s="20"/>
      <c r="B2345" s="20"/>
      <c r="C2345" s="20"/>
      <c r="D2345" s="21"/>
      <c r="E2345" s="21"/>
      <c r="F2345" s="67"/>
      <c r="G2345" s="21"/>
      <c r="H2345" s="216"/>
      <c r="I2345" s="217"/>
      <c r="J2345" s="217"/>
      <c r="K2345" s="218"/>
      <c r="M2345" s="214"/>
      <c r="Q2345" s="140"/>
      <c r="R2345" s="215"/>
    </row>
    <row r="2346" ht="15.0" customHeight="1">
      <c r="A2346" s="20"/>
      <c r="B2346" s="20"/>
      <c r="C2346" s="20"/>
      <c r="D2346" s="21"/>
      <c r="E2346" s="21"/>
      <c r="F2346" s="67"/>
      <c r="G2346" s="21"/>
      <c r="H2346" s="216"/>
      <c r="I2346" s="217"/>
      <c r="J2346" s="217"/>
      <c r="K2346" s="218"/>
      <c r="M2346" s="214"/>
      <c r="Q2346" s="140"/>
      <c r="R2346" s="215"/>
    </row>
    <row r="2347" ht="15.0" customHeight="1">
      <c r="A2347" s="20"/>
      <c r="B2347" s="20"/>
      <c r="C2347" s="20"/>
      <c r="D2347" s="21"/>
      <c r="E2347" s="21"/>
      <c r="F2347" s="67"/>
      <c r="G2347" s="21"/>
      <c r="H2347" s="216"/>
      <c r="I2347" s="217"/>
      <c r="J2347" s="217"/>
      <c r="K2347" s="218"/>
      <c r="M2347" s="214"/>
      <c r="Q2347" s="140"/>
      <c r="R2347" s="215"/>
    </row>
    <row r="2348" ht="15.0" customHeight="1">
      <c r="A2348" s="20"/>
      <c r="B2348" s="20"/>
      <c r="C2348" s="20"/>
      <c r="D2348" s="21"/>
      <c r="E2348" s="21"/>
      <c r="F2348" s="67"/>
      <c r="G2348" s="21"/>
      <c r="H2348" s="216"/>
      <c r="I2348" s="217"/>
      <c r="J2348" s="217"/>
      <c r="K2348" s="218"/>
      <c r="M2348" s="214"/>
      <c r="Q2348" s="140"/>
      <c r="R2348" s="215"/>
    </row>
    <row r="2349" ht="15.0" customHeight="1">
      <c r="A2349" s="20"/>
      <c r="B2349" s="20"/>
      <c r="C2349" s="20"/>
      <c r="D2349" s="21"/>
      <c r="E2349" s="21"/>
      <c r="F2349" s="67"/>
      <c r="G2349" s="21"/>
      <c r="H2349" s="216"/>
      <c r="I2349" s="217"/>
      <c r="J2349" s="217"/>
      <c r="K2349" s="218"/>
      <c r="M2349" s="214"/>
      <c r="Q2349" s="140"/>
      <c r="R2349" s="215"/>
    </row>
    <row r="2350" ht="15.0" customHeight="1">
      <c r="A2350" s="20"/>
      <c r="B2350" s="20"/>
      <c r="C2350" s="20"/>
      <c r="D2350" s="21"/>
      <c r="E2350" s="21"/>
      <c r="F2350" s="67"/>
      <c r="G2350" s="21"/>
      <c r="H2350" s="216"/>
      <c r="I2350" s="217"/>
      <c r="J2350" s="217"/>
      <c r="K2350" s="218"/>
      <c r="M2350" s="214"/>
      <c r="Q2350" s="140"/>
      <c r="R2350" s="215"/>
    </row>
    <row r="2351" ht="15.0" customHeight="1">
      <c r="A2351" s="20"/>
      <c r="B2351" s="20"/>
      <c r="C2351" s="20"/>
      <c r="D2351" s="21"/>
      <c r="E2351" s="21"/>
      <c r="F2351" s="67"/>
      <c r="G2351" s="21"/>
      <c r="H2351" s="216"/>
      <c r="I2351" s="217"/>
      <c r="J2351" s="217"/>
      <c r="K2351" s="218"/>
      <c r="M2351" s="214"/>
      <c r="Q2351" s="140"/>
      <c r="R2351" s="215"/>
    </row>
    <row r="2352" ht="15.0" customHeight="1">
      <c r="A2352" s="20"/>
      <c r="B2352" s="20"/>
      <c r="C2352" s="20"/>
      <c r="D2352" s="21"/>
      <c r="E2352" s="21"/>
      <c r="F2352" s="67"/>
      <c r="G2352" s="21"/>
      <c r="H2352" s="216"/>
      <c r="I2352" s="217"/>
      <c r="J2352" s="217"/>
      <c r="K2352" s="218"/>
      <c r="M2352" s="214"/>
      <c r="Q2352" s="140"/>
      <c r="R2352" s="215"/>
    </row>
    <row r="2353" ht="15.0" customHeight="1">
      <c r="A2353" s="20"/>
      <c r="B2353" s="20"/>
      <c r="C2353" s="20"/>
      <c r="D2353" s="21"/>
      <c r="E2353" s="21"/>
      <c r="F2353" s="67"/>
      <c r="G2353" s="21"/>
      <c r="H2353" s="216"/>
      <c r="I2353" s="217"/>
      <c r="J2353" s="217"/>
      <c r="K2353" s="218"/>
      <c r="M2353" s="214"/>
      <c r="Q2353" s="140"/>
      <c r="R2353" s="215"/>
    </row>
    <row r="2354" ht="15.0" customHeight="1">
      <c r="A2354" s="20"/>
      <c r="B2354" s="20"/>
      <c r="C2354" s="20"/>
      <c r="D2354" s="21"/>
      <c r="E2354" s="21"/>
      <c r="F2354" s="67"/>
      <c r="G2354" s="21"/>
      <c r="H2354" s="216"/>
      <c r="I2354" s="217"/>
      <c r="J2354" s="217"/>
      <c r="K2354" s="218"/>
      <c r="M2354" s="214"/>
      <c r="Q2354" s="140"/>
      <c r="R2354" s="215"/>
    </row>
    <row r="2355" ht="15.0" customHeight="1">
      <c r="A2355" s="170"/>
      <c r="B2355" s="219"/>
      <c r="C2355" s="219"/>
      <c r="F2355" s="220"/>
      <c r="H2355" s="216"/>
      <c r="I2355" s="217"/>
      <c r="J2355" s="217"/>
      <c r="K2355" s="218"/>
      <c r="M2355" s="214"/>
      <c r="Q2355" s="140"/>
      <c r="R2355" s="215"/>
    </row>
    <row r="2356" ht="15.0" customHeight="1">
      <c r="A2356" s="170"/>
      <c r="B2356" s="219"/>
      <c r="C2356" s="219"/>
      <c r="F2356" s="220"/>
      <c r="H2356" s="216"/>
      <c r="I2356" s="217"/>
      <c r="J2356" s="217"/>
      <c r="K2356" s="218"/>
      <c r="M2356" s="214"/>
      <c r="Q2356" s="140"/>
      <c r="R2356" s="215"/>
    </row>
    <row r="2357" ht="15.0" customHeight="1">
      <c r="A2357" s="170"/>
      <c r="B2357" s="219"/>
      <c r="C2357" s="219"/>
      <c r="F2357" s="220"/>
      <c r="H2357" s="216"/>
      <c r="I2357" s="217"/>
      <c r="J2357" s="217"/>
      <c r="K2357" s="218"/>
      <c r="M2357" s="214"/>
      <c r="Q2357" s="140"/>
      <c r="R2357" s="215"/>
    </row>
    <row r="2358" ht="15.0" customHeight="1">
      <c r="A2358" s="170"/>
      <c r="B2358" s="219"/>
      <c r="C2358" s="219"/>
      <c r="F2358" s="220"/>
      <c r="H2358" s="216"/>
      <c r="I2358" s="217"/>
      <c r="J2358" s="217"/>
      <c r="K2358" s="218"/>
      <c r="M2358" s="214"/>
      <c r="Q2358" s="140"/>
      <c r="R2358" s="215"/>
    </row>
    <row r="2359" ht="15.0" customHeight="1">
      <c r="A2359" s="170"/>
      <c r="B2359" s="219"/>
      <c r="C2359" s="219"/>
      <c r="F2359" s="220"/>
      <c r="H2359" s="216"/>
      <c r="I2359" s="217"/>
      <c r="J2359" s="217"/>
      <c r="K2359" s="218"/>
      <c r="M2359" s="214"/>
      <c r="Q2359" s="140"/>
      <c r="R2359" s="215"/>
    </row>
    <row r="2360" ht="15.0" customHeight="1">
      <c r="A2360" s="170"/>
      <c r="B2360" s="219"/>
      <c r="C2360" s="219"/>
      <c r="F2360" s="220"/>
      <c r="H2360" s="216"/>
      <c r="I2360" s="217"/>
      <c r="J2360" s="217"/>
      <c r="K2360" s="218"/>
      <c r="M2360" s="214"/>
      <c r="Q2360" s="140"/>
      <c r="R2360" s="215"/>
    </row>
    <row r="2361" ht="15.0" customHeight="1">
      <c r="A2361" s="170"/>
      <c r="B2361" s="219"/>
      <c r="C2361" s="219"/>
      <c r="F2361" s="220"/>
      <c r="H2361" s="216"/>
      <c r="I2361" s="217"/>
      <c r="J2361" s="217"/>
      <c r="K2361" s="218"/>
      <c r="M2361" s="214"/>
      <c r="Q2361" s="140"/>
      <c r="R2361" s="215"/>
    </row>
    <row r="2362" ht="15.0" customHeight="1">
      <c r="A2362" s="170"/>
      <c r="B2362" s="219"/>
      <c r="C2362" s="219"/>
      <c r="F2362" s="220"/>
      <c r="H2362" s="216"/>
      <c r="I2362" s="217"/>
      <c r="J2362" s="217"/>
      <c r="K2362" s="218"/>
      <c r="M2362" s="214"/>
      <c r="Q2362" s="140"/>
      <c r="R2362" s="215"/>
    </row>
    <row r="2363" ht="15.0" customHeight="1">
      <c r="A2363" s="170"/>
      <c r="B2363" s="219"/>
      <c r="C2363" s="219"/>
      <c r="F2363" s="220"/>
      <c r="H2363" s="216"/>
      <c r="I2363" s="217"/>
      <c r="J2363" s="217"/>
      <c r="K2363" s="218"/>
      <c r="M2363" s="214"/>
      <c r="Q2363" s="140"/>
      <c r="R2363" s="215"/>
    </row>
    <row r="2364" ht="15.0" customHeight="1">
      <c r="A2364" s="170"/>
      <c r="B2364" s="219"/>
      <c r="C2364" s="219"/>
      <c r="F2364" s="220"/>
      <c r="H2364" s="216"/>
      <c r="I2364" s="217"/>
      <c r="J2364" s="217"/>
      <c r="K2364" s="218"/>
      <c r="M2364" s="214"/>
      <c r="Q2364" s="140"/>
      <c r="R2364" s="215"/>
    </row>
    <row r="2365" ht="15.0" customHeight="1">
      <c r="A2365" s="170"/>
      <c r="B2365" s="219"/>
      <c r="C2365" s="219"/>
      <c r="F2365" s="220"/>
      <c r="H2365" s="216"/>
      <c r="I2365" s="217"/>
      <c r="J2365" s="217"/>
      <c r="K2365" s="218"/>
      <c r="M2365" s="214"/>
      <c r="Q2365" s="140"/>
      <c r="R2365" s="215"/>
    </row>
  </sheetData>
  <autoFilter ref="$A$2:$U$2339"/>
  <mergeCells count="5">
    <mergeCell ref="A1:G1"/>
    <mergeCell ref="H1:K1"/>
    <mergeCell ref="P1:R1"/>
    <mergeCell ref="T1:U1"/>
    <mergeCell ref="L1:N1"/>
  </mergeCells>
  <dataValidations>
    <dataValidation type="list" allowBlank="1" showErrorMessage="1" sqref="L1 O1 L2:N2">
      <formula1>Listas!H1046979:H1047011</formula1>
    </dataValidation>
    <dataValidation type="list" allowBlank="1" showErrorMessage="1" sqref="O3:O2365">
      <formula1>Listas!$G$2:$G$5</formula1>
    </dataValidation>
    <dataValidation type="list" allowBlank="1" showErrorMessage="1" sqref="E4:E8 E10:E52 E54:E60 E62:E102 E104:E145 E147:E187 E189:E222 E224:E226 E228:E271 E274:E335 E337:E398 E401:E441 E444:E481 E483:E527 E529:E568 E570:E614 E616:E653 E655:E695 E697:E734 E736:E773 E775:E819 E821:E862 E864:E983 E985:E1023 E1025:E1064 E1066:E1102 E1104:E1144 E1146:E1182 E1184:E1226 E1228:E1267 E1269:E1306 E1308:E1344 E1346:E2338">
      <formula1>Listas!$E$2:$E$57</formula1>
    </dataValidation>
    <dataValidation type="list" allowBlank="1" showErrorMessage="1" sqref="E442">
      <formula1>Listas!$E$2:$E$62</formula1>
    </dataValidation>
    <dataValidation type="list" allowBlank="1" showErrorMessage="1" sqref="G3:G2338">
      <formula1>Listas!$A$2:$A$6</formula1>
    </dataValidation>
    <dataValidation type="list" allowBlank="1" showErrorMessage="1" sqref="C23:C513 C515:C520 C562 C877:C1122 C1124:C1140 C1142:C1150 C1152:C1157 C1160:C1164 C1167:C1172 C1174:C1182 C1184 C1187:C1192 C1195:C1196 C1199:C1219 C1228 C1362">
      <formula1>Listas!$I$2:$I$6</formula1>
    </dataValidation>
    <dataValidation type="list" allowBlank="1" showErrorMessage="1" sqref="E3 E399">
      <formula1>Listas!$E$2:$E$61</formula1>
    </dataValidation>
    <dataValidation type="list" allowBlank="1" showErrorMessage="1" sqref="D3:D2338 N3:N2338">
      <formula1>Listas!$C$2:$C$8</formula1>
    </dataValidation>
    <dataValidation type="list" allowBlank="1" showErrorMessage="1" sqref="E9">
      <formula1>Listas!$E$2:$E$69</formula1>
    </dataValidation>
    <dataValidation type="list" allowBlank="1" showErrorMessage="1" sqref="G2353:G2365">
      <formula1>"Editado,Bruto,VT,Não exibido,Não enviado"</formula1>
    </dataValidation>
    <dataValidation type="list" allowBlank="1" showErrorMessage="1" sqref="E53 E61 E103 E146 E188 E223 E227 E272:E273 E336 E400 E443 E482 E528 E569 E615 E654 E696 E735 E774 E820 E863 E984 E1024 E1065 E1103 E1145 E1183 E1227 E1268 E1307 E1345">
      <formula1>Listas!$E$2:$E$60</formula1>
    </dataValidation>
    <dataValidation type="list" allowBlank="1" showErrorMessage="1" sqref="E2353:E2365">
      <formula1>"MGTV 1,BDBR-MG,JN,JH,FANT,JG,GE MG,EE MG,NÃO EXIBIDO,CARNAVAL,PROGRAMAÇÃO,TÔ INDO,TERRA DE MINAS,ROLÊ,REAGE PAMPULHA,É O BICHO,COMIDA DE VÓ,COISAS DAQUI"</formula1>
    </dataValidation>
  </dataValidations>
  <printOptions/>
  <pageMargins bottom="0.787401575" footer="0.0" header="0.0" left="0.511811024" right="0.511811024" top="0.7874015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5.86"/>
    <col customWidth="1" min="3" max="3" width="15.0"/>
    <col customWidth="1" min="4" max="4" width="6.29"/>
    <col customWidth="1" min="5" max="5" width="26.14"/>
    <col customWidth="1" min="6" max="6" width="5.14"/>
    <col customWidth="1" min="7" max="7" width="16.29"/>
    <col customWidth="1" min="8" max="8" width="6.43"/>
    <col customWidth="1" min="9" max="9" width="15.71"/>
    <col customWidth="1" min="10" max="11" width="8.71"/>
  </cols>
  <sheetData>
    <row r="1" ht="14.25" customHeight="1">
      <c r="A1" s="221" t="s">
        <v>10</v>
      </c>
      <c r="C1" s="221" t="s">
        <v>17</v>
      </c>
      <c r="E1" s="221" t="s">
        <v>1401</v>
      </c>
      <c r="G1" s="222" t="s">
        <v>1402</v>
      </c>
      <c r="I1" s="222" t="s">
        <v>1403</v>
      </c>
    </row>
    <row r="2" ht="14.25" customHeight="1">
      <c r="A2" s="223" t="s">
        <v>33</v>
      </c>
      <c r="C2" s="223" t="s">
        <v>57</v>
      </c>
      <c r="E2" s="223" t="s">
        <v>1404</v>
      </c>
      <c r="G2" s="224" t="s">
        <v>355</v>
      </c>
      <c r="I2" s="224" t="s">
        <v>25</v>
      </c>
    </row>
    <row r="3" ht="14.25" customHeight="1">
      <c r="A3" s="223" t="s">
        <v>88</v>
      </c>
      <c r="C3" s="223" t="s">
        <v>39</v>
      </c>
      <c r="E3" s="225" t="s">
        <v>1275</v>
      </c>
      <c r="G3" s="224" t="s">
        <v>1405</v>
      </c>
      <c r="I3" s="224" t="s">
        <v>65</v>
      </c>
    </row>
    <row r="4" ht="14.25" customHeight="1">
      <c r="A4" s="223" t="s">
        <v>357</v>
      </c>
      <c r="C4" s="223" t="s">
        <v>59</v>
      </c>
      <c r="E4" s="225" t="s">
        <v>438</v>
      </c>
      <c r="G4" s="224" t="s">
        <v>35</v>
      </c>
      <c r="I4" s="224" t="s">
        <v>42</v>
      </c>
    </row>
    <row r="5" ht="14.25" customHeight="1">
      <c r="A5" s="223" t="s">
        <v>27</v>
      </c>
      <c r="C5" s="223" t="s">
        <v>34</v>
      </c>
      <c r="E5" s="225" t="s">
        <v>274</v>
      </c>
      <c r="G5" s="224" t="s">
        <v>1406</v>
      </c>
      <c r="I5" s="224" t="s">
        <v>1407</v>
      </c>
    </row>
    <row r="6" ht="14.25" customHeight="1">
      <c r="A6" s="223" t="s">
        <v>102</v>
      </c>
      <c r="C6" s="223" t="s">
        <v>31</v>
      </c>
      <c r="E6" s="223" t="s">
        <v>1408</v>
      </c>
      <c r="I6" s="224" t="s">
        <v>1409</v>
      </c>
    </row>
    <row r="7" ht="14.25" customHeight="1">
      <c r="A7" s="223" t="s">
        <v>1410</v>
      </c>
      <c r="C7" s="223" t="s">
        <v>69</v>
      </c>
      <c r="E7" s="223" t="s">
        <v>1411</v>
      </c>
    </row>
    <row r="8" ht="14.25" customHeight="1">
      <c r="A8" s="223"/>
      <c r="C8" s="223" t="s">
        <v>49</v>
      </c>
      <c r="E8" s="223" t="s">
        <v>1412</v>
      </c>
    </row>
    <row r="9" ht="14.25" customHeight="1">
      <c r="A9" s="223"/>
      <c r="E9" s="223" t="s">
        <v>1413</v>
      </c>
    </row>
    <row r="10" ht="14.25" customHeight="1">
      <c r="A10" s="223"/>
      <c r="E10" s="223" t="s">
        <v>38</v>
      </c>
    </row>
    <row r="11" ht="14.25" customHeight="1">
      <c r="E11" s="223" t="s">
        <v>1414</v>
      </c>
    </row>
    <row r="12" ht="14.25" customHeight="1">
      <c r="E12" s="223" t="s">
        <v>1397</v>
      </c>
    </row>
    <row r="13" ht="14.25" customHeight="1">
      <c r="E13" s="223" t="s">
        <v>568</v>
      </c>
    </row>
    <row r="14" ht="14.25" customHeight="1">
      <c r="E14" s="223" t="s">
        <v>1120</v>
      </c>
    </row>
    <row r="15" ht="14.25" customHeight="1">
      <c r="E15" s="223" t="s">
        <v>772</v>
      </c>
    </row>
    <row r="16" ht="14.25" customHeight="1">
      <c r="E16" s="226" t="s">
        <v>1415</v>
      </c>
    </row>
    <row r="17" ht="14.25" customHeight="1">
      <c r="E17" s="226" t="s">
        <v>1416</v>
      </c>
    </row>
    <row r="18" ht="14.25" customHeight="1">
      <c r="E18" s="226" t="s">
        <v>1218</v>
      </c>
    </row>
    <row r="19" ht="14.25" customHeight="1">
      <c r="E19" s="226" t="s">
        <v>1417</v>
      </c>
    </row>
    <row r="20" ht="14.25" customHeight="1">
      <c r="E20" s="225" t="s">
        <v>1418</v>
      </c>
    </row>
    <row r="21" ht="14.25" customHeight="1">
      <c r="E21" s="225" t="s">
        <v>1419</v>
      </c>
    </row>
    <row r="22" ht="14.25" customHeight="1">
      <c r="E22" s="225" t="s">
        <v>1420</v>
      </c>
    </row>
    <row r="23" ht="14.25" customHeight="1">
      <c r="E23" s="223" t="s">
        <v>1421</v>
      </c>
    </row>
    <row r="24" ht="14.25" customHeight="1">
      <c r="E24" s="223" t="s">
        <v>1374</v>
      </c>
    </row>
    <row r="25" ht="14.25" customHeight="1">
      <c r="E25" s="225" t="s">
        <v>1422</v>
      </c>
    </row>
    <row r="26" ht="14.25" customHeight="1">
      <c r="E26" s="225" t="s">
        <v>1423</v>
      </c>
    </row>
    <row r="27" ht="14.25" customHeight="1">
      <c r="E27" s="225" t="s">
        <v>1424</v>
      </c>
    </row>
    <row r="28" ht="14.25" customHeight="1">
      <c r="E28" s="225" t="s">
        <v>1398</v>
      </c>
    </row>
    <row r="29" ht="14.25" customHeight="1">
      <c r="E29" s="225" t="s">
        <v>1425</v>
      </c>
    </row>
    <row r="30" ht="14.25" customHeight="1">
      <c r="E30" s="225" t="s">
        <v>1008</v>
      </c>
    </row>
    <row r="31" ht="14.25" customHeight="1">
      <c r="E31" s="225" t="s">
        <v>1049</v>
      </c>
    </row>
    <row r="32" ht="14.25" customHeight="1">
      <c r="E32" s="225" t="s">
        <v>1426</v>
      </c>
    </row>
    <row r="33" ht="14.25" customHeight="1">
      <c r="E33" s="225" t="s">
        <v>1427</v>
      </c>
    </row>
    <row r="34" ht="14.25" customHeight="1">
      <c r="E34" s="225" t="s">
        <v>1428</v>
      </c>
    </row>
    <row r="35" ht="14.25" customHeight="1">
      <c r="E35" s="225" t="s">
        <v>1429</v>
      </c>
    </row>
    <row r="36" ht="14.25" customHeight="1">
      <c r="E36" s="225" t="s">
        <v>1430</v>
      </c>
    </row>
    <row r="37" ht="14.25" customHeight="1">
      <c r="E37" s="223" t="s">
        <v>87</v>
      </c>
    </row>
    <row r="38" ht="14.25" customHeight="1">
      <c r="E38" s="223" t="s">
        <v>1431</v>
      </c>
    </row>
    <row r="39" ht="14.25" customHeight="1">
      <c r="E39" s="225" t="s">
        <v>1432</v>
      </c>
    </row>
    <row r="40" ht="14.25" customHeight="1">
      <c r="E40" s="223" t="s">
        <v>1433</v>
      </c>
    </row>
    <row r="41" ht="14.25" customHeight="1">
      <c r="E41" s="225" t="s">
        <v>240</v>
      </c>
    </row>
    <row r="42" ht="14.25" customHeight="1">
      <c r="E42" s="225" t="s">
        <v>1434</v>
      </c>
    </row>
    <row r="43" ht="14.25" customHeight="1">
      <c r="E43" s="225" t="s">
        <v>62</v>
      </c>
    </row>
    <row r="44" ht="14.25" customHeight="1">
      <c r="E44" s="225" t="s">
        <v>1435</v>
      </c>
    </row>
    <row r="45" ht="14.25" customHeight="1">
      <c r="E45" s="225" t="s">
        <v>1436</v>
      </c>
    </row>
    <row r="46" ht="14.25" customHeight="1">
      <c r="E46" s="225" t="s">
        <v>1437</v>
      </c>
    </row>
    <row r="47" ht="14.25" customHeight="1">
      <c r="E47" s="223" t="s">
        <v>1438</v>
      </c>
    </row>
    <row r="48" ht="14.25" customHeight="1">
      <c r="E48" s="225" t="s">
        <v>1439</v>
      </c>
    </row>
    <row r="49" ht="14.25" customHeight="1">
      <c r="E49" s="225" t="s">
        <v>61</v>
      </c>
    </row>
    <row r="50" ht="14.25" customHeight="1">
      <c r="E50" s="225" t="s">
        <v>66</v>
      </c>
    </row>
    <row r="51" ht="14.25" customHeight="1">
      <c r="E51" s="225" t="s">
        <v>1440</v>
      </c>
    </row>
    <row r="52" ht="14.25" customHeight="1">
      <c r="E52" s="223" t="s">
        <v>1441</v>
      </c>
    </row>
    <row r="53" ht="14.25" customHeight="1">
      <c r="E53" s="223" t="s">
        <v>1442</v>
      </c>
    </row>
    <row r="54" ht="14.25" customHeight="1">
      <c r="E54" s="223" t="s">
        <v>1443</v>
      </c>
    </row>
    <row r="55" ht="14.25" customHeight="1">
      <c r="E55" s="223" t="s">
        <v>1444</v>
      </c>
    </row>
    <row r="56" ht="14.25" customHeight="1">
      <c r="E56" s="223" t="s">
        <v>1445</v>
      </c>
    </row>
    <row r="57" ht="14.25" customHeight="1">
      <c r="E57" s="223" t="s">
        <v>1446</v>
      </c>
    </row>
    <row r="58" ht="14.25" customHeight="1">
      <c r="E58" s="223" t="s">
        <v>44</v>
      </c>
    </row>
    <row r="59" ht="14.25" customHeight="1">
      <c r="E59" s="223" t="s">
        <v>64</v>
      </c>
    </row>
    <row r="60" ht="14.25" customHeight="1">
      <c r="E60" s="223" t="s">
        <v>234</v>
      </c>
    </row>
    <row r="61" ht="14.25" customHeight="1">
      <c r="E61" s="223" t="s">
        <v>467</v>
      </c>
    </row>
    <row r="62" ht="14.25" customHeight="1">
      <c r="E62" s="223" t="s">
        <v>520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5.14"/>
    <col customWidth="1" min="3" max="3" width="61.57"/>
    <col customWidth="1" min="4" max="4" width="13.29"/>
    <col customWidth="1" min="5" max="5" width="12.0"/>
    <col customWidth="1" min="6" max="6" width="7.0"/>
    <col customWidth="1" min="7" max="7" width="10.0"/>
    <col customWidth="1" min="8" max="8" width="6.0"/>
    <col customWidth="1" min="9" max="12" width="8.71"/>
  </cols>
  <sheetData>
    <row r="1" ht="14.25" customHeight="1">
      <c r="A1" s="227" t="s">
        <v>1447</v>
      </c>
      <c r="B1" s="228"/>
      <c r="C1" s="228"/>
      <c r="D1" s="228"/>
      <c r="E1" s="228"/>
      <c r="F1" s="228"/>
      <c r="G1" s="228"/>
      <c r="H1" s="229"/>
    </row>
    <row r="2" ht="14.25" customHeight="1"/>
    <row r="3" ht="14.25" customHeight="1"/>
    <row r="4" ht="14.25" customHeight="1">
      <c r="A4" s="230" t="s">
        <v>1448</v>
      </c>
      <c r="B4" s="231" t="s">
        <v>1449</v>
      </c>
    </row>
    <row r="5" ht="14.25" customHeight="1">
      <c r="A5" s="232" t="s">
        <v>1450</v>
      </c>
      <c r="B5" s="233" t="s">
        <v>1451</v>
      </c>
    </row>
    <row r="6" ht="14.25" customHeight="1">
      <c r="A6" s="232" t="s">
        <v>1452</v>
      </c>
      <c r="B6" s="233" t="s">
        <v>1451</v>
      </c>
    </row>
    <row r="7" ht="14.25" customHeight="1">
      <c r="A7" s="232" t="s">
        <v>1453</v>
      </c>
      <c r="B7" s="233" t="s">
        <v>1454</v>
      </c>
    </row>
    <row r="8" ht="14.25" customHeight="1">
      <c r="A8" s="232" t="s">
        <v>1455</v>
      </c>
      <c r="B8" s="233" t="s">
        <v>1456</v>
      </c>
    </row>
    <row r="9" ht="14.25" customHeight="1">
      <c r="A9" s="234" t="s">
        <v>1457</v>
      </c>
      <c r="B9" s="235" t="s">
        <v>1458</v>
      </c>
    </row>
    <row r="10" ht="14.25" customHeight="1"/>
    <row r="11" ht="14.25" customHeight="1">
      <c r="A11" s="236" t="s">
        <v>1459</v>
      </c>
    </row>
    <row r="12" ht="18.0" customHeight="1">
      <c r="A12" s="237" t="s">
        <v>1460</v>
      </c>
    </row>
    <row r="13" ht="14.25" customHeight="1"/>
    <row r="14" ht="14.25" customHeight="1"/>
    <row r="15" ht="14.25" customHeight="1">
      <c r="A15" s="238" t="s">
        <v>1461</v>
      </c>
    </row>
    <row r="16" ht="14.25" customHeight="1">
      <c r="A16" s="237" t="s">
        <v>1460</v>
      </c>
    </row>
    <row r="17" ht="14.25" customHeight="1">
      <c r="D17" t="s">
        <v>1462</v>
      </c>
      <c r="J17" s="239" t="s">
        <v>1463</v>
      </c>
    </row>
    <row r="18" ht="14.25" customHeight="1"/>
    <row r="19" ht="14.25" customHeight="1">
      <c r="A19" s="240" t="s">
        <v>1464</v>
      </c>
    </row>
    <row r="20" ht="14.25" customHeight="1"/>
    <row r="21" ht="14.25" customHeight="1">
      <c r="A21" s="240" t="s">
        <v>1465</v>
      </c>
    </row>
    <row r="22" ht="14.25" customHeight="1"/>
    <row r="23" ht="14.25" customHeight="1">
      <c r="A23" t="s">
        <v>1466</v>
      </c>
    </row>
    <row r="24" ht="14.25" customHeight="1"/>
    <row r="25" ht="14.25" customHeight="1">
      <c r="A25" s="241" t="s">
        <v>1467</v>
      </c>
      <c r="B25" s="241"/>
      <c r="C25" s="242"/>
      <c r="D25" s="242"/>
      <c r="E25" s="242" t="s">
        <v>1468</v>
      </c>
      <c r="F25" s="243"/>
      <c r="G25" s="243"/>
      <c r="H25" s="243"/>
      <c r="I25" s="243"/>
      <c r="J25" s="243"/>
      <c r="K25" s="243"/>
      <c r="L25" s="242" t="s">
        <v>1469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A1:H1"/>
    <mergeCell ref="A11:B11"/>
    <mergeCell ref="A15:B1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 outlineLevelCol="1"/>
  <cols>
    <col customWidth="1" min="1" max="1" width="20.0"/>
    <col customWidth="1" min="2" max="2" width="15.29"/>
    <col customWidth="1" min="3" max="3" width="37.57"/>
    <col customWidth="1" min="4" max="4" width="11.57"/>
    <col customWidth="1" hidden="1" min="5" max="5" width="23.86"/>
    <col customWidth="1" min="6" max="6" width="96.71"/>
    <col customWidth="1" min="7" max="7" width="27.71"/>
    <col customWidth="1" min="8" max="8" width="22.14"/>
    <col customWidth="1" min="9" max="9" width="33.57"/>
    <col customWidth="1" hidden="1" min="10" max="10" width="36.57"/>
    <col customWidth="1" min="11" max="11" width="36.57"/>
    <col customWidth="1" hidden="1" min="12" max="12" width="36.14"/>
    <col customWidth="1" min="13" max="13" width="41.14"/>
    <col customWidth="1" min="14" max="14" width="32.86" outlineLevel="1"/>
    <col customWidth="1" min="15" max="15" width="55.43" outlineLevel="1"/>
    <col customWidth="1" min="16" max="16" width="49.86" outlineLevel="1"/>
    <col customWidth="1" min="17" max="17" width="32.86" outlineLevel="1"/>
    <col customWidth="1" min="18" max="18" width="33.14" outlineLevel="1"/>
    <col customWidth="1" min="19" max="19" width="29.71" outlineLevel="1"/>
    <col customWidth="1" min="20" max="20" width="39.57"/>
    <col customWidth="1" min="21" max="21" width="15.43"/>
    <col customWidth="1" min="22" max="22" width="16.29"/>
    <col customWidth="1" min="23" max="23" width="21.14"/>
    <col customWidth="1" min="24" max="24" width="16.0"/>
    <col customWidth="1" min="25" max="25" width="15.71"/>
    <col customWidth="1" min="26" max="26" width="16.57"/>
    <col customWidth="1" min="27" max="27" width="27.29"/>
    <col customWidth="1" min="28" max="28" width="29.43"/>
    <col customWidth="1" hidden="1" min="29" max="29" width="13.86"/>
    <col customWidth="1" min="30" max="30" width="29.71"/>
    <col customWidth="1" min="31" max="92" width="9.14"/>
  </cols>
  <sheetData>
    <row r="1" ht="21.75" customHeight="1">
      <c r="A1" s="244"/>
      <c r="B1" s="245"/>
      <c r="C1" s="245"/>
      <c r="D1" s="246"/>
      <c r="E1" s="247" t="s">
        <v>1470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9"/>
      <c r="U1" s="250" t="s">
        <v>28</v>
      </c>
      <c r="V1" s="251"/>
      <c r="W1" s="251"/>
      <c r="X1" s="252"/>
      <c r="Y1" s="253"/>
      <c r="Z1" s="254" t="s">
        <v>1471</v>
      </c>
      <c r="AA1" s="248"/>
      <c r="AB1" s="249"/>
      <c r="AC1" s="255" t="s">
        <v>1472</v>
      </c>
      <c r="AD1" s="249"/>
    </row>
    <row r="2" ht="24.75" customHeight="1">
      <c r="A2" s="256" t="s">
        <v>1473</v>
      </c>
      <c r="B2" s="256" t="s">
        <v>1474</v>
      </c>
      <c r="C2" s="256" t="s">
        <v>1475</v>
      </c>
      <c r="D2" s="256" t="s">
        <v>1448</v>
      </c>
      <c r="E2" s="257" t="s">
        <v>1476</v>
      </c>
      <c r="F2" s="258" t="s">
        <v>1477</v>
      </c>
      <c r="G2" s="258" t="s">
        <v>1478</v>
      </c>
      <c r="H2" s="258" t="s">
        <v>1479</v>
      </c>
      <c r="I2" s="258" t="s">
        <v>1480</v>
      </c>
      <c r="J2" s="258" t="s">
        <v>1481</v>
      </c>
      <c r="K2" s="258" t="s">
        <v>1482</v>
      </c>
      <c r="L2" s="258" t="s">
        <v>1483</v>
      </c>
      <c r="M2" s="259" t="s">
        <v>1484</v>
      </c>
      <c r="N2" s="260" t="s">
        <v>1485</v>
      </c>
      <c r="O2" s="261" t="s">
        <v>1486</v>
      </c>
      <c r="P2" s="261" t="s">
        <v>1487</v>
      </c>
      <c r="Q2" s="261" t="s">
        <v>1488</v>
      </c>
      <c r="R2" s="262" t="s">
        <v>1489</v>
      </c>
      <c r="S2" s="262" t="s">
        <v>1490</v>
      </c>
      <c r="T2" s="262" t="s">
        <v>1491</v>
      </c>
      <c r="U2" s="15" t="s">
        <v>1492</v>
      </c>
      <c r="V2" s="15" t="s">
        <v>1493</v>
      </c>
      <c r="W2" s="15" t="s">
        <v>1494</v>
      </c>
      <c r="X2" s="15" t="s">
        <v>1495</v>
      </c>
      <c r="Y2" s="15" t="s">
        <v>1496</v>
      </c>
      <c r="Z2" s="263" t="s">
        <v>1497</v>
      </c>
      <c r="AA2" s="263" t="s">
        <v>1498</v>
      </c>
      <c r="AB2" s="263" t="s">
        <v>1499</v>
      </c>
      <c r="AC2" s="264" t="s">
        <v>1493</v>
      </c>
      <c r="AD2" s="264" t="s">
        <v>1494</v>
      </c>
    </row>
    <row r="3" ht="14.25" customHeight="1">
      <c r="A3" s="265">
        <v>44300.0</v>
      </c>
      <c r="B3" s="266" t="s">
        <v>1500</v>
      </c>
      <c r="C3" s="266" t="s">
        <v>1501</v>
      </c>
      <c r="D3" s="267" t="s">
        <v>1502</v>
      </c>
      <c r="E3" s="268"/>
      <c r="F3" s="269" t="s">
        <v>1503</v>
      </c>
      <c r="G3" s="268" t="s">
        <v>1463</v>
      </c>
      <c r="H3" s="270">
        <v>0.03386574074074074</v>
      </c>
      <c r="I3" s="271">
        <v>44300.80287037037</v>
      </c>
      <c r="J3" s="268"/>
      <c r="K3" s="271">
        <v>44308.69478009259</v>
      </c>
      <c r="L3" s="271"/>
      <c r="M3" s="272" t="s">
        <v>1504</v>
      </c>
      <c r="N3" s="273"/>
      <c r="O3" s="274"/>
      <c r="P3" s="275"/>
      <c r="Q3" s="276"/>
      <c r="R3" s="277"/>
      <c r="S3" s="278"/>
      <c r="T3" s="278"/>
      <c r="U3" s="279"/>
      <c r="V3" s="279"/>
      <c r="W3" s="280"/>
      <c r="X3" s="281"/>
      <c r="Y3" s="279"/>
      <c r="Z3" s="282" t="s">
        <v>1505</v>
      </c>
      <c r="AA3" s="282">
        <v>6355850.0</v>
      </c>
      <c r="AB3" s="283">
        <v>44308.0</v>
      </c>
      <c r="AC3" s="284"/>
      <c r="AD3" s="284"/>
    </row>
    <row r="4" ht="14.25" customHeight="1">
      <c r="A4" s="265">
        <v>44300.0</v>
      </c>
      <c r="B4" s="266" t="s">
        <v>1500</v>
      </c>
      <c r="C4" s="266" t="s">
        <v>1501</v>
      </c>
      <c r="D4" s="267" t="s">
        <v>1502</v>
      </c>
      <c r="E4" s="268"/>
      <c r="F4" s="269" t="s">
        <v>1506</v>
      </c>
      <c r="G4" s="268" t="s">
        <v>1463</v>
      </c>
      <c r="H4" s="270">
        <v>0.04090277777777778</v>
      </c>
      <c r="I4" s="271">
        <v>44300.80287037037</v>
      </c>
      <c r="J4" s="268"/>
      <c r="K4" s="271">
        <v>44308.69478009259</v>
      </c>
      <c r="L4" s="271"/>
      <c r="M4" s="272" t="s">
        <v>1507</v>
      </c>
      <c r="N4" s="273"/>
      <c r="O4" s="274"/>
      <c r="P4" s="275"/>
      <c r="Q4" s="276"/>
      <c r="R4" s="277"/>
      <c r="S4" s="278"/>
      <c r="T4" s="278"/>
      <c r="U4" s="279"/>
      <c r="V4" s="279"/>
      <c r="W4" s="280"/>
      <c r="X4" s="281"/>
      <c r="Y4" s="279"/>
      <c r="Z4" s="282" t="s">
        <v>1505</v>
      </c>
      <c r="AA4" s="282">
        <v>6355851.0</v>
      </c>
      <c r="AB4" s="283">
        <v>44308.0</v>
      </c>
      <c r="AC4" s="284"/>
      <c r="AD4" s="284"/>
    </row>
    <row r="5" ht="14.25" customHeight="1">
      <c r="A5" s="265">
        <v>44300.0</v>
      </c>
      <c r="B5" s="266" t="s">
        <v>1500</v>
      </c>
      <c r="C5" s="266" t="s">
        <v>1501</v>
      </c>
      <c r="D5" s="267" t="s">
        <v>1502</v>
      </c>
      <c r="E5" s="268"/>
      <c r="F5" s="269" t="s">
        <v>1508</v>
      </c>
      <c r="G5" s="268" t="s">
        <v>1463</v>
      </c>
      <c r="H5" s="270">
        <v>0.040358796296296295</v>
      </c>
      <c r="I5" s="271">
        <v>44300.80287037037</v>
      </c>
      <c r="J5" s="268"/>
      <c r="K5" s="271">
        <v>44308.69478009259</v>
      </c>
      <c r="L5" s="271"/>
      <c r="M5" s="272" t="s">
        <v>1509</v>
      </c>
      <c r="N5" s="273"/>
      <c r="O5" s="274"/>
      <c r="P5" s="275"/>
      <c r="Q5" s="276"/>
      <c r="R5" s="277"/>
      <c r="S5" s="278"/>
      <c r="T5" s="278"/>
      <c r="U5" s="279"/>
      <c r="V5" s="279"/>
      <c r="W5" s="280"/>
      <c r="X5" s="281"/>
      <c r="Y5" s="279"/>
      <c r="Z5" s="282" t="s">
        <v>1505</v>
      </c>
      <c r="AA5" s="282">
        <v>6355852.0</v>
      </c>
      <c r="AB5" s="283">
        <v>44308.0</v>
      </c>
      <c r="AC5" s="284"/>
      <c r="AD5" s="284"/>
    </row>
    <row r="6" ht="14.25" customHeight="1">
      <c r="A6" s="265">
        <v>44300.0</v>
      </c>
      <c r="B6" s="266" t="s">
        <v>1500</v>
      </c>
      <c r="C6" s="266" t="s">
        <v>1501</v>
      </c>
      <c r="D6" s="267" t="s">
        <v>1502</v>
      </c>
      <c r="E6" s="268"/>
      <c r="F6" s="269" t="s">
        <v>1510</v>
      </c>
      <c r="G6" s="268" t="s">
        <v>1463</v>
      </c>
      <c r="H6" s="270">
        <v>0.03972222222222222</v>
      </c>
      <c r="I6" s="271">
        <v>44300.80287037037</v>
      </c>
      <c r="J6" s="268"/>
      <c r="K6" s="271">
        <v>44308.69478009259</v>
      </c>
      <c r="L6" s="271"/>
      <c r="M6" s="272" t="s">
        <v>1511</v>
      </c>
      <c r="N6" s="273"/>
      <c r="O6" s="274"/>
      <c r="P6" s="275"/>
      <c r="Q6" s="276"/>
      <c r="R6" s="277"/>
      <c r="S6" s="278"/>
      <c r="T6" s="278"/>
      <c r="U6" s="279"/>
      <c r="V6" s="279"/>
      <c r="W6" s="280"/>
      <c r="X6" s="281"/>
      <c r="Y6" s="279"/>
      <c r="Z6" s="282" t="s">
        <v>1505</v>
      </c>
      <c r="AA6" s="282">
        <v>6355853.0</v>
      </c>
      <c r="AB6" s="283">
        <v>44308.0</v>
      </c>
      <c r="AC6" s="284"/>
      <c r="AD6" s="284"/>
    </row>
    <row r="7" ht="14.25" customHeight="1">
      <c r="A7" s="265">
        <v>44300.0</v>
      </c>
      <c r="B7" s="266" t="s">
        <v>1500</v>
      </c>
      <c r="C7" s="266" t="s">
        <v>1501</v>
      </c>
      <c r="D7" s="267" t="s">
        <v>1502</v>
      </c>
      <c r="E7" s="268"/>
      <c r="F7" s="269" t="s">
        <v>1512</v>
      </c>
      <c r="G7" s="268" t="s">
        <v>1463</v>
      </c>
      <c r="H7" s="270">
        <v>0.034305555555555554</v>
      </c>
      <c r="I7" s="271">
        <v>44300.80287037037</v>
      </c>
      <c r="J7" s="268"/>
      <c r="K7" s="271">
        <v>44308.69478009259</v>
      </c>
      <c r="L7" s="271"/>
      <c r="M7" s="272" t="s">
        <v>1513</v>
      </c>
      <c r="N7" s="273"/>
      <c r="O7" s="274"/>
      <c r="P7" s="275"/>
      <c r="Q7" s="276"/>
      <c r="R7" s="277"/>
      <c r="S7" s="278"/>
      <c r="T7" s="278"/>
      <c r="U7" s="279"/>
      <c r="V7" s="279"/>
      <c r="W7" s="280"/>
      <c r="X7" s="281"/>
      <c r="Y7" s="279"/>
      <c r="Z7" s="282" t="s">
        <v>1505</v>
      </c>
      <c r="AA7" s="282">
        <v>6355854.0</v>
      </c>
      <c r="AB7" s="283">
        <v>44308.0</v>
      </c>
      <c r="AC7" s="284"/>
      <c r="AD7" s="284"/>
    </row>
    <row r="8" ht="14.25" customHeight="1">
      <c r="A8" s="265">
        <v>44300.0</v>
      </c>
      <c r="B8" s="266" t="s">
        <v>1500</v>
      </c>
      <c r="C8" s="266" t="s">
        <v>1501</v>
      </c>
      <c r="D8" s="267" t="s">
        <v>1502</v>
      </c>
      <c r="E8" s="268"/>
      <c r="F8" s="269" t="s">
        <v>1514</v>
      </c>
      <c r="G8" s="268" t="s">
        <v>1463</v>
      </c>
      <c r="H8" s="270">
        <v>0.040185185185185185</v>
      </c>
      <c r="I8" s="271">
        <v>44300.80287037037</v>
      </c>
      <c r="J8" s="268"/>
      <c r="K8" s="271">
        <v>44308.69478009259</v>
      </c>
      <c r="L8" s="271"/>
      <c r="M8" s="272" t="s">
        <v>1515</v>
      </c>
      <c r="N8" s="273"/>
      <c r="O8" s="274"/>
      <c r="P8" s="275"/>
      <c r="Q8" s="276"/>
      <c r="R8" s="277"/>
      <c r="S8" s="278"/>
      <c r="T8" s="278"/>
      <c r="U8" s="279"/>
      <c r="V8" s="279"/>
      <c r="W8" s="280"/>
      <c r="X8" s="281"/>
      <c r="Y8" s="279"/>
      <c r="Z8" s="282" t="s">
        <v>1505</v>
      </c>
      <c r="AA8" s="282">
        <v>6355855.0</v>
      </c>
      <c r="AB8" s="283">
        <v>44308.0</v>
      </c>
      <c r="AC8" s="284"/>
      <c r="AD8" s="284"/>
    </row>
    <row r="9" ht="14.25" customHeight="1">
      <c r="A9" s="265">
        <v>44303.0</v>
      </c>
      <c r="B9" s="266" t="s">
        <v>1500</v>
      </c>
      <c r="C9" s="266" t="s">
        <v>1516</v>
      </c>
      <c r="D9" s="285" t="s">
        <v>1502</v>
      </c>
      <c r="E9" s="268"/>
      <c r="F9" s="269" t="s">
        <v>1517</v>
      </c>
      <c r="G9" s="268" t="s">
        <v>1463</v>
      </c>
      <c r="H9" s="270">
        <v>0.04679398148148148</v>
      </c>
      <c r="I9" s="271">
        <v>44303.6671412037</v>
      </c>
      <c r="J9" s="268"/>
      <c r="K9" s="271">
        <v>44304.04751157408</v>
      </c>
      <c r="L9" s="271"/>
      <c r="M9" s="272" t="s">
        <v>1518</v>
      </c>
      <c r="N9" s="271"/>
      <c r="O9" s="286"/>
      <c r="P9" s="275"/>
      <c r="Q9" s="276"/>
      <c r="R9" s="277"/>
      <c r="S9" s="278"/>
      <c r="T9" s="278"/>
      <c r="U9" s="279"/>
      <c r="V9" s="279"/>
      <c r="W9" s="280"/>
      <c r="X9" s="279"/>
      <c r="Y9" s="279"/>
      <c r="Z9" s="282" t="s">
        <v>1505</v>
      </c>
      <c r="AA9" s="282">
        <v>6354696.0</v>
      </c>
      <c r="AB9" s="283">
        <v>44305.0</v>
      </c>
      <c r="AC9" s="284"/>
      <c r="AD9" s="284"/>
    </row>
    <row r="10" ht="14.25" customHeight="1">
      <c r="A10" s="265">
        <v>44303.0</v>
      </c>
      <c r="B10" s="266" t="s">
        <v>1500</v>
      </c>
      <c r="C10" s="266" t="s">
        <v>1516</v>
      </c>
      <c r="D10" s="285" t="s">
        <v>1502</v>
      </c>
      <c r="E10" s="268"/>
      <c r="F10" s="269" t="s">
        <v>1519</v>
      </c>
      <c r="G10" s="268" t="s">
        <v>1463</v>
      </c>
      <c r="H10" s="270">
        <v>0.03131944444444445</v>
      </c>
      <c r="I10" s="271">
        <v>44303.6671412037</v>
      </c>
      <c r="J10" s="268"/>
      <c r="K10" s="271">
        <v>44305.866111111114</v>
      </c>
      <c r="L10" s="271"/>
      <c r="M10" s="272" t="s">
        <v>1520</v>
      </c>
      <c r="N10" s="271"/>
      <c r="O10" s="286"/>
      <c r="P10" s="275"/>
      <c r="Q10" s="276"/>
      <c r="R10" s="277"/>
      <c r="S10" s="278"/>
      <c r="T10" s="278"/>
      <c r="U10" s="279"/>
      <c r="V10" s="279"/>
      <c r="W10" s="280"/>
      <c r="X10" s="279"/>
      <c r="Y10" s="279"/>
      <c r="Z10" s="282" t="s">
        <v>1505</v>
      </c>
      <c r="AA10" s="282">
        <v>6354697.0</v>
      </c>
      <c r="AB10" s="283">
        <v>44305.0</v>
      </c>
      <c r="AC10" s="284"/>
      <c r="AD10" s="284"/>
    </row>
    <row r="11" ht="14.25" customHeight="1">
      <c r="A11" s="265">
        <v>44303.0</v>
      </c>
      <c r="B11" s="266" t="s">
        <v>1500</v>
      </c>
      <c r="C11" s="266" t="s">
        <v>1516</v>
      </c>
      <c r="D11" s="285" t="s">
        <v>1502</v>
      </c>
      <c r="E11" s="268"/>
      <c r="F11" s="269" t="s">
        <v>1521</v>
      </c>
      <c r="G11" s="268" t="s">
        <v>1463</v>
      </c>
      <c r="H11" s="270">
        <v>0.03487268518518519</v>
      </c>
      <c r="I11" s="271">
        <v>44303.6671412037</v>
      </c>
      <c r="J11" s="268"/>
      <c r="K11" s="271">
        <v>44305.87055555556</v>
      </c>
      <c r="L11" s="271"/>
      <c r="M11" s="272" t="s">
        <v>1522</v>
      </c>
      <c r="N11" s="271"/>
      <c r="O11" s="286"/>
      <c r="P11" s="275"/>
      <c r="Q11" s="276"/>
      <c r="R11" s="277"/>
      <c r="S11" s="278"/>
      <c r="T11" s="278"/>
      <c r="U11" s="279"/>
      <c r="V11" s="279"/>
      <c r="W11" s="280"/>
      <c r="X11" s="279"/>
      <c r="Y11" s="279"/>
      <c r="Z11" s="282" t="s">
        <v>1505</v>
      </c>
      <c r="AA11" s="282">
        <v>6354698.0</v>
      </c>
      <c r="AB11" s="283">
        <v>44305.0</v>
      </c>
      <c r="AC11" s="284"/>
      <c r="AD11" s="284"/>
    </row>
    <row r="12" ht="14.25" customHeight="1">
      <c r="A12" s="265">
        <v>44303.0</v>
      </c>
      <c r="B12" s="266" t="s">
        <v>1500</v>
      </c>
      <c r="C12" s="266" t="s">
        <v>1516</v>
      </c>
      <c r="D12" s="285" t="s">
        <v>1502</v>
      </c>
      <c r="E12" s="268"/>
      <c r="F12" s="269" t="s">
        <v>1523</v>
      </c>
      <c r="G12" s="268" t="s">
        <v>1463</v>
      </c>
      <c r="H12" s="270">
        <v>0.03280092592592593</v>
      </c>
      <c r="I12" s="271">
        <v>44303.6671412037</v>
      </c>
      <c r="J12" s="268"/>
      <c r="K12" s="271">
        <v>44305.87599537037</v>
      </c>
      <c r="L12" s="271"/>
      <c r="M12" s="272" t="s">
        <v>1524</v>
      </c>
      <c r="N12" s="271"/>
      <c r="O12" s="286"/>
      <c r="P12" s="275"/>
      <c r="Q12" s="276"/>
      <c r="R12" s="277"/>
      <c r="S12" s="278"/>
      <c r="T12" s="278"/>
      <c r="U12" s="279"/>
      <c r="V12" s="279"/>
      <c r="W12" s="280"/>
      <c r="X12" s="279"/>
      <c r="Y12" s="279"/>
      <c r="Z12" s="282" t="s">
        <v>1505</v>
      </c>
      <c r="AA12" s="282">
        <v>6354699.0</v>
      </c>
      <c r="AB12" s="283">
        <v>44305.0</v>
      </c>
      <c r="AC12" s="284"/>
      <c r="AD12" s="284"/>
    </row>
    <row r="13" ht="14.25" customHeight="1">
      <c r="A13" s="265">
        <v>44303.0</v>
      </c>
      <c r="B13" s="266" t="s">
        <v>1500</v>
      </c>
      <c r="C13" s="266" t="s">
        <v>1516</v>
      </c>
      <c r="D13" s="285" t="s">
        <v>1502</v>
      </c>
      <c r="E13" s="268"/>
      <c r="F13" s="269" t="s">
        <v>1525</v>
      </c>
      <c r="G13" s="268" t="s">
        <v>1463</v>
      </c>
      <c r="H13" s="270">
        <v>0.041539351851851855</v>
      </c>
      <c r="I13" s="271">
        <v>44303.6671412037</v>
      </c>
      <c r="J13" s="268"/>
      <c r="K13" s="271">
        <v>44305.89027777778</v>
      </c>
      <c r="L13" s="271"/>
      <c r="M13" s="272" t="s">
        <v>1526</v>
      </c>
      <c r="N13" s="271"/>
      <c r="O13" s="286"/>
      <c r="P13" s="275"/>
      <c r="Q13" s="276"/>
      <c r="R13" s="277"/>
      <c r="S13" s="278"/>
      <c r="T13" s="278"/>
      <c r="U13" s="279"/>
      <c r="V13" s="279"/>
      <c r="W13" s="280"/>
      <c r="X13" s="279"/>
      <c r="Y13" s="279"/>
      <c r="Z13" s="282" t="s">
        <v>1505</v>
      </c>
      <c r="AA13" s="282">
        <v>6354700.0</v>
      </c>
      <c r="AB13" s="283">
        <v>44305.0</v>
      </c>
      <c r="AC13" s="284"/>
      <c r="AD13" s="284"/>
    </row>
    <row r="14" ht="14.25" customHeight="1">
      <c r="A14" s="265">
        <v>44303.0</v>
      </c>
      <c r="B14" s="266" t="s">
        <v>1500</v>
      </c>
      <c r="C14" s="266" t="s">
        <v>1516</v>
      </c>
      <c r="D14" s="285" t="s">
        <v>1502</v>
      </c>
      <c r="E14" s="268"/>
      <c r="F14" s="269" t="s">
        <v>1527</v>
      </c>
      <c r="G14" s="268" t="s">
        <v>1463</v>
      </c>
      <c r="H14" s="270">
        <v>0.05333333333333334</v>
      </c>
      <c r="I14" s="271">
        <v>44303.6671412037</v>
      </c>
      <c r="J14" s="268"/>
      <c r="K14" s="271">
        <v>44305.8905787037</v>
      </c>
      <c r="L14" s="271"/>
      <c r="M14" s="272" t="s">
        <v>1528</v>
      </c>
      <c r="N14" s="271"/>
      <c r="O14" s="286"/>
      <c r="P14" s="275"/>
      <c r="Q14" s="276"/>
      <c r="R14" s="277"/>
      <c r="S14" s="278"/>
      <c r="T14" s="278"/>
      <c r="U14" s="279"/>
      <c r="V14" s="279"/>
      <c r="W14" s="280"/>
      <c r="X14" s="279"/>
      <c r="Y14" s="279"/>
      <c r="Z14" s="282" t="s">
        <v>1505</v>
      </c>
      <c r="AA14" s="282">
        <v>6354701.0</v>
      </c>
      <c r="AB14" s="283">
        <v>44305.0</v>
      </c>
      <c r="AC14" s="284"/>
      <c r="AD14" s="284"/>
    </row>
    <row r="15" ht="14.25" customHeight="1">
      <c r="A15" s="265">
        <v>44303.0</v>
      </c>
      <c r="B15" s="266" t="s">
        <v>1500</v>
      </c>
      <c r="C15" s="266" t="s">
        <v>1529</v>
      </c>
      <c r="D15" s="285" t="s">
        <v>1502</v>
      </c>
      <c r="E15" s="268"/>
      <c r="F15" s="269" t="s">
        <v>1530</v>
      </c>
      <c r="G15" s="268" t="s">
        <v>1463</v>
      </c>
      <c r="H15" s="270">
        <v>0.08108796296296296</v>
      </c>
      <c r="I15" s="271">
        <v>44303.7746875</v>
      </c>
      <c r="J15" s="268"/>
      <c r="K15" s="271">
        <v>44304.1352662037</v>
      </c>
      <c r="L15" s="268"/>
      <c r="M15" s="287" t="s">
        <v>1531</v>
      </c>
      <c r="N15" s="271"/>
      <c r="O15" s="286"/>
      <c r="P15" s="275"/>
      <c r="Q15" s="276"/>
      <c r="R15" s="277"/>
      <c r="S15" s="278"/>
      <c r="T15" s="278"/>
      <c r="U15" s="279"/>
      <c r="V15" s="279"/>
      <c r="W15" s="280"/>
      <c r="X15" s="279"/>
      <c r="Y15" s="279"/>
      <c r="Z15" s="282" t="s">
        <v>1505</v>
      </c>
      <c r="AA15" s="282">
        <v>6354694.0</v>
      </c>
      <c r="AB15" s="283">
        <v>44305.0</v>
      </c>
      <c r="AC15" s="284"/>
      <c r="AD15" s="284"/>
    </row>
    <row r="16" ht="14.25" customHeight="1">
      <c r="A16" s="265">
        <v>44303.0</v>
      </c>
      <c r="B16" s="266" t="s">
        <v>1500</v>
      </c>
      <c r="C16" s="266" t="s">
        <v>1529</v>
      </c>
      <c r="D16" s="285" t="s">
        <v>1502</v>
      </c>
      <c r="E16" s="268"/>
      <c r="F16" s="269" t="s">
        <v>1532</v>
      </c>
      <c r="G16" s="268" t="s">
        <v>1463</v>
      </c>
      <c r="H16" s="270">
        <v>0.08108796296296296</v>
      </c>
      <c r="I16" s="271">
        <v>44303.7746875</v>
      </c>
      <c r="J16" s="268"/>
      <c r="K16" s="271">
        <v>44304.1631712963</v>
      </c>
      <c r="L16" s="268"/>
      <c r="M16" s="287" t="s">
        <v>1533</v>
      </c>
      <c r="N16" s="271"/>
      <c r="O16" s="286"/>
      <c r="P16" s="275"/>
      <c r="Q16" s="276"/>
      <c r="R16" s="277"/>
      <c r="S16" s="278"/>
      <c r="T16" s="278"/>
      <c r="U16" s="279"/>
      <c r="V16" s="279"/>
      <c r="W16" s="280"/>
      <c r="X16" s="279"/>
      <c r="Y16" s="279"/>
      <c r="Z16" s="282" t="s">
        <v>1505</v>
      </c>
      <c r="AA16" s="282">
        <v>6354695.0</v>
      </c>
      <c r="AB16" s="283">
        <v>44305.0</v>
      </c>
      <c r="AC16" s="284"/>
      <c r="AD16" s="284"/>
    </row>
    <row r="17" ht="14.25" customHeight="1">
      <c r="A17" s="265">
        <v>44315.0</v>
      </c>
      <c r="B17" s="266" t="s">
        <v>1500</v>
      </c>
      <c r="C17" s="266" t="s">
        <v>1534</v>
      </c>
      <c r="D17" s="267" t="s">
        <v>1502</v>
      </c>
      <c r="E17" s="268"/>
      <c r="F17" s="269" t="s">
        <v>1535</v>
      </c>
      <c r="G17" s="268" t="s">
        <v>1463</v>
      </c>
      <c r="H17" s="270">
        <v>0.03386574074074074</v>
      </c>
      <c r="I17" s="271">
        <v>44314.729166666664</v>
      </c>
      <c r="J17" s="268"/>
      <c r="K17" s="271">
        <v>44316.88125</v>
      </c>
      <c r="L17" s="288" t="str">
        <f t="shared" ref="L17:L22" si="1">IFERROR(IF(OR(I17="",K17=""),"",K17-I17),"")</f>
        <v>3:39:00 AM</v>
      </c>
      <c r="M17" s="272" t="s">
        <v>1536</v>
      </c>
      <c r="N17" s="273"/>
      <c r="O17" s="274"/>
      <c r="P17" s="275"/>
      <c r="Q17" s="276"/>
      <c r="R17" s="277"/>
      <c r="S17" s="278"/>
      <c r="T17" s="278"/>
      <c r="U17" s="279"/>
      <c r="V17" s="279"/>
      <c r="W17" s="280"/>
      <c r="X17" s="281"/>
      <c r="Y17" s="279"/>
      <c r="Z17" s="282" t="s">
        <v>1505</v>
      </c>
      <c r="AA17" s="282">
        <v>6358195.0</v>
      </c>
      <c r="AB17" s="283">
        <v>44316.0</v>
      </c>
      <c r="AD17" s="284"/>
    </row>
    <row r="18" ht="14.25" customHeight="1">
      <c r="A18" s="265">
        <v>44315.0</v>
      </c>
      <c r="B18" s="266" t="s">
        <v>1500</v>
      </c>
      <c r="C18" s="266" t="s">
        <v>1534</v>
      </c>
      <c r="D18" s="267" t="s">
        <v>1502</v>
      </c>
      <c r="E18" s="268"/>
      <c r="F18" s="269" t="s">
        <v>1506</v>
      </c>
      <c r="G18" s="268" t="s">
        <v>1463</v>
      </c>
      <c r="H18" s="270">
        <v>0.04090277777777778</v>
      </c>
      <c r="I18" s="271">
        <v>44314.729166666664</v>
      </c>
      <c r="J18" s="268"/>
      <c r="K18" s="271">
        <v>44316.88125</v>
      </c>
      <c r="L18" s="288" t="str">
        <f t="shared" si="1"/>
        <v>3:39:00 AM</v>
      </c>
      <c r="M18" s="272" t="s">
        <v>1537</v>
      </c>
      <c r="N18" s="273"/>
      <c r="O18" s="274"/>
      <c r="P18" s="275"/>
      <c r="Q18" s="276"/>
      <c r="R18" s="277"/>
      <c r="S18" s="278"/>
      <c r="T18" s="278"/>
      <c r="U18" s="279"/>
      <c r="V18" s="279"/>
      <c r="W18" s="280"/>
      <c r="X18" s="281"/>
      <c r="Y18" s="279"/>
      <c r="Z18" s="282" t="s">
        <v>1505</v>
      </c>
      <c r="AA18" s="282">
        <v>6358196.0</v>
      </c>
      <c r="AB18" s="283">
        <v>44316.0</v>
      </c>
      <c r="AD18" s="284"/>
    </row>
    <row r="19" ht="14.25" customHeight="1">
      <c r="A19" s="265">
        <v>44315.0</v>
      </c>
      <c r="B19" s="266" t="s">
        <v>1500</v>
      </c>
      <c r="C19" s="266" t="s">
        <v>1534</v>
      </c>
      <c r="D19" s="267" t="s">
        <v>1502</v>
      </c>
      <c r="E19" s="268"/>
      <c r="F19" s="269" t="s">
        <v>1508</v>
      </c>
      <c r="G19" s="268" t="s">
        <v>1463</v>
      </c>
      <c r="H19" s="270">
        <v>0.040358796296296295</v>
      </c>
      <c r="I19" s="271">
        <v>44314.729166666664</v>
      </c>
      <c r="J19" s="268"/>
      <c r="K19" s="271">
        <v>44316.88125</v>
      </c>
      <c r="L19" s="288" t="str">
        <f t="shared" si="1"/>
        <v>3:39:00 AM</v>
      </c>
      <c r="M19" s="272" t="s">
        <v>1538</v>
      </c>
      <c r="N19" s="273"/>
      <c r="O19" s="274"/>
      <c r="P19" s="275"/>
      <c r="Q19" s="276"/>
      <c r="R19" s="277"/>
      <c r="S19" s="278"/>
      <c r="T19" s="278"/>
      <c r="U19" s="279"/>
      <c r="V19" s="279"/>
      <c r="W19" s="280"/>
      <c r="X19" s="281"/>
      <c r="Y19" s="279"/>
      <c r="Z19" s="282" t="s">
        <v>1505</v>
      </c>
      <c r="AA19" s="282">
        <v>6358197.0</v>
      </c>
      <c r="AB19" s="283">
        <v>44316.0</v>
      </c>
      <c r="AD19" s="284"/>
    </row>
    <row r="20" ht="14.25" customHeight="1">
      <c r="A20" s="265">
        <v>44315.0</v>
      </c>
      <c r="B20" s="266" t="s">
        <v>1500</v>
      </c>
      <c r="C20" s="266" t="s">
        <v>1534</v>
      </c>
      <c r="D20" s="267" t="s">
        <v>1502</v>
      </c>
      <c r="E20" s="268"/>
      <c r="F20" s="269" t="s">
        <v>1510</v>
      </c>
      <c r="G20" s="268" t="s">
        <v>1463</v>
      </c>
      <c r="H20" s="270">
        <v>0.03972222222222222</v>
      </c>
      <c r="I20" s="271">
        <v>44314.729166666664</v>
      </c>
      <c r="J20" s="268"/>
      <c r="K20" s="271">
        <v>44316.88125</v>
      </c>
      <c r="L20" s="288" t="str">
        <f t="shared" si="1"/>
        <v>3:39:00 AM</v>
      </c>
      <c r="M20" s="272" t="s">
        <v>1539</v>
      </c>
      <c r="N20" s="273"/>
      <c r="O20" s="274"/>
      <c r="P20" s="275"/>
      <c r="Q20" s="276"/>
      <c r="R20" s="277"/>
      <c r="S20" s="278"/>
      <c r="T20" s="278"/>
      <c r="U20" s="279"/>
      <c r="V20" s="279"/>
      <c r="W20" s="280"/>
      <c r="X20" s="281"/>
      <c r="Y20" s="279"/>
      <c r="Z20" s="282" t="s">
        <v>1505</v>
      </c>
      <c r="AA20" s="282">
        <v>6358198.0</v>
      </c>
      <c r="AB20" s="283">
        <v>44316.0</v>
      </c>
      <c r="AD20" s="284"/>
    </row>
    <row r="21" ht="14.25" customHeight="1">
      <c r="A21" s="265">
        <v>44315.0</v>
      </c>
      <c r="B21" s="266" t="s">
        <v>1500</v>
      </c>
      <c r="C21" s="266" t="s">
        <v>1534</v>
      </c>
      <c r="D21" s="267" t="s">
        <v>1502</v>
      </c>
      <c r="E21" s="268"/>
      <c r="F21" s="269" t="s">
        <v>1512</v>
      </c>
      <c r="G21" s="268" t="s">
        <v>1463</v>
      </c>
      <c r="H21" s="270">
        <v>0.034305555555555554</v>
      </c>
      <c r="I21" s="271">
        <v>44314.729166666664</v>
      </c>
      <c r="J21" s="268"/>
      <c r="K21" s="271">
        <v>44316.88125</v>
      </c>
      <c r="L21" s="288" t="str">
        <f t="shared" si="1"/>
        <v>3:39:00 AM</v>
      </c>
      <c r="M21" s="272" t="s">
        <v>1540</v>
      </c>
      <c r="N21" s="273"/>
      <c r="O21" s="274"/>
      <c r="P21" s="275"/>
      <c r="Q21" s="276"/>
      <c r="R21" s="277"/>
      <c r="S21" s="278"/>
      <c r="T21" s="278"/>
      <c r="U21" s="279"/>
      <c r="V21" s="279"/>
      <c r="W21" s="280"/>
      <c r="X21" s="281"/>
      <c r="Y21" s="279"/>
      <c r="Z21" s="282" t="s">
        <v>1505</v>
      </c>
      <c r="AA21" s="282">
        <v>6358199.0</v>
      </c>
      <c r="AB21" s="283">
        <v>44316.0</v>
      </c>
      <c r="AD21" s="284"/>
    </row>
    <row r="22" ht="14.25" customHeight="1">
      <c r="A22" s="265">
        <v>44315.0</v>
      </c>
      <c r="B22" s="266" t="s">
        <v>1500</v>
      </c>
      <c r="C22" s="266" t="s">
        <v>1534</v>
      </c>
      <c r="D22" s="267" t="s">
        <v>1502</v>
      </c>
      <c r="E22" s="268"/>
      <c r="F22" s="269" t="s">
        <v>1514</v>
      </c>
      <c r="G22" s="268" t="s">
        <v>1463</v>
      </c>
      <c r="H22" s="270">
        <v>0.040185185185185185</v>
      </c>
      <c r="I22" s="271">
        <v>44314.729166666664</v>
      </c>
      <c r="J22" s="268"/>
      <c r="K22" s="271">
        <v>44316.88125</v>
      </c>
      <c r="L22" s="288" t="str">
        <f t="shared" si="1"/>
        <v>3:39:00 AM</v>
      </c>
      <c r="M22" s="272" t="s">
        <v>1541</v>
      </c>
      <c r="N22" s="273"/>
      <c r="O22" s="274"/>
      <c r="P22" s="275"/>
      <c r="Q22" s="276"/>
      <c r="R22" s="277"/>
      <c r="S22" s="278"/>
      <c r="T22" s="278"/>
      <c r="U22" s="279"/>
      <c r="V22" s="279"/>
      <c r="W22" s="280"/>
      <c r="X22" s="281"/>
      <c r="Y22" s="279"/>
      <c r="Z22" s="282" t="s">
        <v>1505</v>
      </c>
      <c r="AA22" s="282">
        <v>6358200.0</v>
      </c>
      <c r="AB22" s="283">
        <v>44316.0</v>
      </c>
      <c r="AD22" s="284"/>
    </row>
    <row r="23" ht="14.25" customHeight="1">
      <c r="A23" s="265">
        <v>44361.0</v>
      </c>
      <c r="B23" s="266" t="s">
        <v>1500</v>
      </c>
      <c r="C23" s="289" t="s">
        <v>1542</v>
      </c>
      <c r="D23" s="266" t="s">
        <v>1543</v>
      </c>
      <c r="E23" s="268"/>
      <c r="F23" s="269" t="s">
        <v>1544</v>
      </c>
      <c r="G23" s="268" t="s">
        <v>1463</v>
      </c>
      <c r="H23" s="270">
        <v>9.606481481481481E-4</v>
      </c>
      <c r="I23" s="271">
        <v>44363.82638888889</v>
      </c>
      <c r="J23" s="268"/>
      <c r="K23" s="271">
        <v>44364.21251157407</v>
      </c>
      <c r="L23" s="288"/>
      <c r="M23" s="272" t="s">
        <v>1545</v>
      </c>
      <c r="N23" s="273"/>
      <c r="O23" s="276"/>
      <c r="P23" s="275"/>
      <c r="Q23" s="276"/>
      <c r="R23" s="277"/>
      <c r="S23" s="278"/>
      <c r="T23" s="278"/>
      <c r="U23" s="279"/>
      <c r="V23" s="279" t="s">
        <v>1500</v>
      </c>
      <c r="W23" s="280">
        <v>44368.0</v>
      </c>
      <c r="X23" s="281">
        <v>0.013888888888888888</v>
      </c>
      <c r="Y23" s="279"/>
      <c r="Z23" s="282" t="s">
        <v>53</v>
      </c>
      <c r="AA23" s="282">
        <v>6379656.0</v>
      </c>
      <c r="AB23" s="283">
        <v>44369.0</v>
      </c>
      <c r="AC23" s="284"/>
      <c r="AD23" s="284"/>
    </row>
    <row r="24" ht="14.25" customHeight="1">
      <c r="A24" s="265">
        <v>44361.0</v>
      </c>
      <c r="B24" s="266" t="s">
        <v>1500</v>
      </c>
      <c r="C24" s="289" t="s">
        <v>1542</v>
      </c>
      <c r="D24" s="266" t="s">
        <v>1543</v>
      </c>
      <c r="E24" s="268"/>
      <c r="F24" s="269" t="s">
        <v>1546</v>
      </c>
      <c r="G24" s="268" t="s">
        <v>1463</v>
      </c>
      <c r="H24" s="270">
        <v>6.944444444444445E-4</v>
      </c>
      <c r="I24" s="271">
        <v>44363.82638888889</v>
      </c>
      <c r="J24" s="268"/>
      <c r="K24" s="271">
        <v>44364.21246527778</v>
      </c>
      <c r="L24" s="288"/>
      <c r="M24" s="272" t="s">
        <v>1547</v>
      </c>
      <c r="N24" s="273"/>
      <c r="O24" s="276"/>
      <c r="P24" s="275"/>
      <c r="Q24" s="276"/>
      <c r="R24" s="277"/>
      <c r="S24" s="278"/>
      <c r="T24" s="278"/>
      <c r="U24" s="279"/>
      <c r="V24" s="279" t="s">
        <v>1500</v>
      </c>
      <c r="W24" s="280">
        <v>44369.0</v>
      </c>
      <c r="X24" s="281">
        <v>0.006944444444444444</v>
      </c>
      <c r="Y24" s="279"/>
      <c r="Z24" s="282" t="s">
        <v>53</v>
      </c>
      <c r="AA24" s="282">
        <v>6379657.0</v>
      </c>
      <c r="AB24" s="283">
        <v>44369.0</v>
      </c>
      <c r="AC24" s="284"/>
      <c r="AD24" s="284"/>
    </row>
    <row r="25" ht="14.25" customHeight="1">
      <c r="A25" s="265">
        <v>44361.0</v>
      </c>
      <c r="B25" s="266" t="s">
        <v>1500</v>
      </c>
      <c r="C25" s="289" t="s">
        <v>1542</v>
      </c>
      <c r="D25" s="266" t="s">
        <v>1543</v>
      </c>
      <c r="E25" s="268"/>
      <c r="F25" s="269" t="s">
        <v>1548</v>
      </c>
      <c r="G25" s="268" t="s">
        <v>1463</v>
      </c>
      <c r="H25" s="270">
        <v>0.0012384259259259258</v>
      </c>
      <c r="I25" s="271">
        <v>44363.82638888889</v>
      </c>
      <c r="J25" s="268"/>
      <c r="K25" s="271">
        <v>44364.212013888886</v>
      </c>
      <c r="L25" s="288"/>
      <c r="M25" s="272" t="s">
        <v>1549</v>
      </c>
      <c r="N25" s="273"/>
      <c r="O25" s="276"/>
      <c r="P25" s="275"/>
      <c r="Q25" s="276"/>
      <c r="R25" s="277"/>
      <c r="S25" s="278"/>
      <c r="T25" s="278"/>
      <c r="U25" s="279"/>
      <c r="V25" s="279" t="s">
        <v>1500</v>
      </c>
      <c r="W25" s="280">
        <v>44369.0</v>
      </c>
      <c r="X25" s="281">
        <v>0.006944444444444444</v>
      </c>
      <c r="Y25" s="279"/>
      <c r="Z25" s="282" t="s">
        <v>53</v>
      </c>
      <c r="AA25" s="282">
        <v>6379658.0</v>
      </c>
      <c r="AB25" s="283">
        <v>44369.0</v>
      </c>
      <c r="AC25" s="284"/>
      <c r="AD25" s="284"/>
    </row>
    <row r="26" ht="14.25" customHeight="1">
      <c r="A26" s="265">
        <v>44361.0</v>
      </c>
      <c r="B26" s="266" t="s">
        <v>1500</v>
      </c>
      <c r="C26" s="289" t="s">
        <v>1542</v>
      </c>
      <c r="D26" s="266" t="s">
        <v>1543</v>
      </c>
      <c r="E26" s="268"/>
      <c r="F26" s="269" t="s">
        <v>1550</v>
      </c>
      <c r="G26" s="268" t="s">
        <v>1463</v>
      </c>
      <c r="H26" s="270">
        <v>0.005937500000000001</v>
      </c>
      <c r="I26" s="271">
        <v>44363.82638888889</v>
      </c>
      <c r="J26" s="268"/>
      <c r="K26" s="271">
        <v>44364.213171296295</v>
      </c>
      <c r="L26" s="288"/>
      <c r="M26" s="272" t="s">
        <v>1551</v>
      </c>
      <c r="N26" s="273"/>
      <c r="O26" s="276"/>
      <c r="P26" s="275"/>
      <c r="Q26" s="276"/>
      <c r="R26" s="277"/>
      <c r="S26" s="278"/>
      <c r="T26" s="278"/>
      <c r="U26" s="279"/>
      <c r="V26" s="279" t="s">
        <v>1500</v>
      </c>
      <c r="W26" s="280">
        <v>44370.0</v>
      </c>
      <c r="X26" s="281">
        <v>0.027777777777777776</v>
      </c>
      <c r="Y26" s="279"/>
      <c r="Z26" s="282" t="s">
        <v>53</v>
      </c>
      <c r="AA26" s="282">
        <v>6379659.0</v>
      </c>
      <c r="AB26" s="283">
        <v>44369.0</v>
      </c>
      <c r="AC26" s="284"/>
      <c r="AD26" s="284"/>
    </row>
    <row r="27" ht="14.25" customHeight="1">
      <c r="A27" s="265">
        <v>44365.0</v>
      </c>
      <c r="B27" s="266" t="s">
        <v>1500</v>
      </c>
      <c r="C27" s="289" t="s">
        <v>1542</v>
      </c>
      <c r="D27" s="266" t="s">
        <v>1543</v>
      </c>
      <c r="E27" s="268"/>
      <c r="F27" s="269" t="s">
        <v>1552</v>
      </c>
      <c r="G27" s="268" t="s">
        <v>1463</v>
      </c>
      <c r="H27" s="270">
        <v>0.005381944444444445</v>
      </c>
      <c r="I27" s="271">
        <v>44365.69375</v>
      </c>
      <c r="J27" s="268"/>
      <c r="K27" s="271">
        <v>44366.06351851852</v>
      </c>
      <c r="L27" s="288"/>
      <c r="M27" s="278" t="s">
        <v>1553</v>
      </c>
      <c r="N27" s="290"/>
      <c r="O27" s="276"/>
      <c r="P27" s="276"/>
      <c r="Q27" s="276"/>
      <c r="R27" s="278"/>
      <c r="S27" s="278"/>
      <c r="T27" s="278"/>
      <c r="U27" s="279"/>
      <c r="V27" s="279" t="s">
        <v>1500</v>
      </c>
      <c r="W27" s="280">
        <v>44372.0</v>
      </c>
      <c r="X27" s="281">
        <v>0.020833333333333332</v>
      </c>
      <c r="Y27" s="279"/>
      <c r="Z27" s="282" t="s">
        <v>53</v>
      </c>
      <c r="AA27" s="282">
        <v>6379660.0</v>
      </c>
      <c r="AB27" s="283">
        <v>44369.0</v>
      </c>
      <c r="AC27" s="284"/>
      <c r="AD27" s="284"/>
    </row>
    <row r="28" ht="14.25" customHeight="1">
      <c r="A28" s="265">
        <v>44365.0</v>
      </c>
      <c r="B28" s="266" t="s">
        <v>1500</v>
      </c>
      <c r="C28" s="289" t="s">
        <v>1542</v>
      </c>
      <c r="D28" s="266" t="s">
        <v>1543</v>
      </c>
      <c r="E28" s="268"/>
      <c r="F28" s="269" t="s">
        <v>1554</v>
      </c>
      <c r="G28" s="268" t="s">
        <v>1463</v>
      </c>
      <c r="H28" s="270">
        <v>0.0022337962962962967</v>
      </c>
      <c r="I28" s="271">
        <v>44365.69375</v>
      </c>
      <c r="J28" s="268"/>
      <c r="K28" s="271">
        <v>44366.44920138889</v>
      </c>
      <c r="L28" s="288"/>
      <c r="M28" s="278" t="s">
        <v>1555</v>
      </c>
      <c r="N28" s="290"/>
      <c r="O28" s="276"/>
      <c r="P28" s="276"/>
      <c r="Q28" s="276"/>
      <c r="R28" s="278"/>
      <c r="S28" s="278"/>
      <c r="T28" s="278"/>
      <c r="U28" s="279"/>
      <c r="V28" s="279" t="s">
        <v>1500</v>
      </c>
      <c r="W28" s="280">
        <v>44372.0</v>
      </c>
      <c r="X28" s="281">
        <v>0.017361111111111112</v>
      </c>
      <c r="Y28" s="279"/>
      <c r="Z28" s="282" t="s">
        <v>53</v>
      </c>
      <c r="AA28" s="282">
        <v>6379661.0</v>
      </c>
      <c r="AB28" s="283">
        <v>44369.0</v>
      </c>
      <c r="AC28" s="284"/>
      <c r="AD28" s="284"/>
    </row>
    <row r="29" ht="14.25" customHeight="1">
      <c r="A29" s="265">
        <v>44365.0</v>
      </c>
      <c r="B29" s="266" t="s">
        <v>1500</v>
      </c>
      <c r="C29" s="289" t="s">
        <v>1542</v>
      </c>
      <c r="D29" s="266" t="s">
        <v>1543</v>
      </c>
      <c r="E29" s="268"/>
      <c r="F29" s="269" t="s">
        <v>1556</v>
      </c>
      <c r="G29" s="268" t="s">
        <v>1463</v>
      </c>
      <c r="H29" s="270">
        <v>0.0035069444444444445</v>
      </c>
      <c r="I29" s="271">
        <v>44365.69375</v>
      </c>
      <c r="J29" s="268"/>
      <c r="K29" s="271">
        <v>44366.06348379629</v>
      </c>
      <c r="L29" s="288"/>
      <c r="M29" s="278" t="s">
        <v>1557</v>
      </c>
      <c r="N29" s="290"/>
      <c r="O29" s="276"/>
      <c r="P29" s="276"/>
      <c r="Q29" s="276"/>
      <c r="R29" s="278"/>
      <c r="S29" s="278"/>
      <c r="T29" s="278"/>
      <c r="U29" s="279"/>
      <c r="V29" s="279" t="s">
        <v>1500</v>
      </c>
      <c r="W29" s="280">
        <v>44372.0</v>
      </c>
      <c r="X29" s="281">
        <v>0.010416666666666666</v>
      </c>
      <c r="Y29" s="279"/>
      <c r="Z29" s="282" t="s">
        <v>53</v>
      </c>
      <c r="AA29" s="282">
        <v>6379662.0</v>
      </c>
      <c r="AB29" s="283">
        <v>44369.0</v>
      </c>
      <c r="AC29" s="284"/>
      <c r="AD29" s="284"/>
    </row>
    <row r="30" ht="14.25" customHeight="1">
      <c r="A30" s="265">
        <v>44365.0</v>
      </c>
      <c r="B30" s="266" t="s">
        <v>1500</v>
      </c>
      <c r="C30" s="289" t="s">
        <v>1542</v>
      </c>
      <c r="D30" s="266" t="s">
        <v>1543</v>
      </c>
      <c r="E30" s="268"/>
      <c r="F30" s="269" t="s">
        <v>1558</v>
      </c>
      <c r="G30" s="268" t="s">
        <v>1463</v>
      </c>
      <c r="H30" s="270">
        <v>0.0010185185185185186</v>
      </c>
      <c r="I30" s="271">
        <v>44365.69375</v>
      </c>
      <c r="J30" s="268"/>
      <c r="K30" s="271">
        <v>44366.06251157408</v>
      </c>
      <c r="L30" s="288"/>
      <c r="M30" s="278" t="s">
        <v>1559</v>
      </c>
      <c r="N30" s="290"/>
      <c r="O30" s="276"/>
      <c r="P30" s="276"/>
      <c r="Q30" s="276"/>
      <c r="R30" s="278"/>
      <c r="S30" s="278"/>
      <c r="T30" s="278"/>
      <c r="U30" s="279"/>
      <c r="V30" s="279" t="s">
        <v>1500</v>
      </c>
      <c r="W30" s="280">
        <v>44372.0</v>
      </c>
      <c r="X30" s="281">
        <v>0.006944444444444444</v>
      </c>
      <c r="Y30" s="279"/>
      <c r="Z30" s="282" t="s">
        <v>53</v>
      </c>
      <c r="AA30" s="282">
        <v>6379663.0</v>
      </c>
      <c r="AB30" s="283">
        <v>44369.0</v>
      </c>
      <c r="AC30" s="284"/>
      <c r="AD30" s="284"/>
    </row>
    <row r="31" ht="14.25" customHeight="1">
      <c r="A31" s="265">
        <v>44365.0</v>
      </c>
      <c r="B31" s="266" t="s">
        <v>1500</v>
      </c>
      <c r="C31" s="289" t="s">
        <v>1542</v>
      </c>
      <c r="D31" s="266" t="s">
        <v>1543</v>
      </c>
      <c r="E31" s="268"/>
      <c r="F31" s="269" t="s">
        <v>1560</v>
      </c>
      <c r="G31" s="268" t="s">
        <v>1463</v>
      </c>
      <c r="H31" s="270">
        <v>0.0015393518518518519</v>
      </c>
      <c r="I31" s="271">
        <v>44365.69375</v>
      </c>
      <c r="J31" s="268"/>
      <c r="K31" s="271">
        <v>44366.06282407408</v>
      </c>
      <c r="L31" s="288"/>
      <c r="M31" s="278" t="s">
        <v>1561</v>
      </c>
      <c r="N31" s="290"/>
      <c r="O31" s="276"/>
      <c r="P31" s="276"/>
      <c r="Q31" s="276"/>
      <c r="R31" s="278"/>
      <c r="S31" s="278"/>
      <c r="T31" s="278"/>
      <c r="U31" s="279"/>
      <c r="V31" s="279" t="s">
        <v>1500</v>
      </c>
      <c r="W31" s="280">
        <v>44372.0</v>
      </c>
      <c r="X31" s="281">
        <v>0.006944444444444444</v>
      </c>
      <c r="Y31" s="279"/>
      <c r="Z31" s="282" t="s">
        <v>53</v>
      </c>
      <c r="AA31" s="282">
        <v>6379664.0</v>
      </c>
      <c r="AB31" s="283">
        <v>44369.0</v>
      </c>
      <c r="AC31" s="284"/>
      <c r="AD31" s="284"/>
    </row>
    <row r="32" ht="14.25" customHeight="1">
      <c r="A32" s="265">
        <v>44365.0</v>
      </c>
      <c r="B32" s="266" t="s">
        <v>1500</v>
      </c>
      <c r="C32" s="289" t="s">
        <v>1542</v>
      </c>
      <c r="D32" s="266" t="s">
        <v>1543</v>
      </c>
      <c r="E32" s="268"/>
      <c r="F32" s="269" t="s">
        <v>1562</v>
      </c>
      <c r="G32" s="268" t="s">
        <v>1463</v>
      </c>
      <c r="H32" s="270">
        <v>0.0032291666666666666</v>
      </c>
      <c r="I32" s="271">
        <v>44365.69375</v>
      </c>
      <c r="J32" s="268"/>
      <c r="K32" s="271">
        <v>44366.0634375</v>
      </c>
      <c r="L32" s="288"/>
      <c r="M32" s="278" t="s">
        <v>1563</v>
      </c>
      <c r="N32" s="290"/>
      <c r="O32" s="276"/>
      <c r="P32" s="276"/>
      <c r="Q32" s="276"/>
      <c r="R32" s="278"/>
      <c r="S32" s="278"/>
      <c r="T32" s="278"/>
      <c r="U32" s="279"/>
      <c r="V32" s="279" t="s">
        <v>1500</v>
      </c>
      <c r="W32" s="280">
        <v>44372.0</v>
      </c>
      <c r="X32" s="281">
        <v>0.006944444444444444</v>
      </c>
      <c r="Y32" s="279"/>
      <c r="Z32" s="282" t="s">
        <v>53</v>
      </c>
      <c r="AA32" s="282">
        <v>6379665.0</v>
      </c>
      <c r="AB32" s="283">
        <v>44369.0</v>
      </c>
      <c r="AC32" s="284"/>
      <c r="AD32" s="284"/>
    </row>
    <row r="33" ht="14.25" customHeight="1">
      <c r="A33" s="265">
        <v>44365.0</v>
      </c>
      <c r="B33" s="266" t="s">
        <v>1500</v>
      </c>
      <c r="C33" s="289" t="s">
        <v>1542</v>
      </c>
      <c r="D33" s="266" t="s">
        <v>1543</v>
      </c>
      <c r="E33" s="268"/>
      <c r="F33" s="269" t="s">
        <v>1564</v>
      </c>
      <c r="G33" s="268" t="s">
        <v>1463</v>
      </c>
      <c r="H33" s="270">
        <v>0.002847222222222222</v>
      </c>
      <c r="I33" s="271">
        <v>44365.69375</v>
      </c>
      <c r="J33" s="268"/>
      <c r="K33" s="271">
        <v>44366.0633912037</v>
      </c>
      <c r="L33" s="288"/>
      <c r="M33" s="278" t="s">
        <v>1565</v>
      </c>
      <c r="N33" s="290"/>
      <c r="O33" s="276"/>
      <c r="P33" s="276"/>
      <c r="Q33" s="276"/>
      <c r="R33" s="278"/>
      <c r="S33" s="278"/>
      <c r="T33" s="278"/>
      <c r="U33" s="279"/>
      <c r="V33" s="279" t="s">
        <v>1500</v>
      </c>
      <c r="W33" s="280">
        <v>44372.0</v>
      </c>
      <c r="X33" s="281">
        <v>0.013888888888888888</v>
      </c>
      <c r="Y33" s="279"/>
      <c r="Z33" s="282" t="s">
        <v>53</v>
      </c>
      <c r="AA33" s="282">
        <v>6379666.0</v>
      </c>
      <c r="AB33" s="283">
        <v>44369.0</v>
      </c>
      <c r="AC33" s="284"/>
      <c r="AD33" s="284"/>
    </row>
    <row r="34" ht="14.25" customHeight="1">
      <c r="A34" s="265">
        <v>44366.0</v>
      </c>
      <c r="B34" s="266" t="s">
        <v>1500</v>
      </c>
      <c r="C34" s="289" t="s">
        <v>1542</v>
      </c>
      <c r="D34" s="266" t="s">
        <v>1543</v>
      </c>
      <c r="E34" s="268"/>
      <c r="F34" s="291" t="s">
        <v>1566</v>
      </c>
      <c r="G34" s="268" t="s">
        <v>1463</v>
      </c>
      <c r="H34" s="270">
        <v>0.0022916666666666667</v>
      </c>
      <c r="I34" s="271">
        <v>44368.319444444445</v>
      </c>
      <c r="J34" s="268"/>
      <c r="K34" s="271">
        <v>44370.3146875</v>
      </c>
      <c r="L34" s="288"/>
      <c r="M34" s="278" t="s">
        <v>1567</v>
      </c>
      <c r="N34" s="290"/>
      <c r="O34" s="276"/>
      <c r="P34" s="276"/>
      <c r="Q34" s="276"/>
      <c r="R34" s="278"/>
      <c r="S34" s="278"/>
      <c r="T34" s="278"/>
      <c r="U34" s="279"/>
      <c r="V34" s="279" t="s">
        <v>1500</v>
      </c>
      <c r="W34" s="280">
        <v>44372.0</v>
      </c>
      <c r="X34" s="281">
        <v>0.013888888888888888</v>
      </c>
      <c r="Y34" s="279"/>
      <c r="Z34" s="282" t="s">
        <v>53</v>
      </c>
      <c r="AA34" s="282">
        <v>6380755.0</v>
      </c>
      <c r="AB34" s="283">
        <v>44372.0</v>
      </c>
      <c r="AC34" s="284"/>
      <c r="AD34" s="284"/>
    </row>
    <row r="35" ht="14.25" customHeight="1">
      <c r="A35" s="265">
        <v>44366.0</v>
      </c>
      <c r="B35" s="266" t="s">
        <v>1500</v>
      </c>
      <c r="C35" s="289" t="s">
        <v>1542</v>
      </c>
      <c r="D35" s="266" t="s">
        <v>1543</v>
      </c>
      <c r="E35" s="268"/>
      <c r="F35" s="291" t="s">
        <v>1568</v>
      </c>
      <c r="G35" s="268" t="s">
        <v>1463</v>
      </c>
      <c r="H35" s="270">
        <v>0.009560185185185185</v>
      </c>
      <c r="I35" s="271">
        <v>44368.319444444445</v>
      </c>
      <c r="J35" s="268"/>
      <c r="K35" s="271">
        <v>44368.661875</v>
      </c>
      <c r="L35" s="288"/>
      <c r="M35" s="278" t="s">
        <v>1569</v>
      </c>
      <c r="N35" s="290"/>
      <c r="O35" s="276"/>
      <c r="P35" s="276"/>
      <c r="Q35" s="276"/>
      <c r="R35" s="278"/>
      <c r="S35" s="278"/>
      <c r="T35" s="278"/>
      <c r="U35" s="279"/>
      <c r="V35" s="279" t="s">
        <v>1570</v>
      </c>
      <c r="W35" s="280">
        <v>44379.0</v>
      </c>
      <c r="X35" s="281">
        <v>0.16666666666666666</v>
      </c>
      <c r="Y35" s="279"/>
      <c r="Z35" s="282" t="s">
        <v>53</v>
      </c>
      <c r="AA35" s="282">
        <v>6380756.0</v>
      </c>
      <c r="AB35" s="283">
        <v>44372.0</v>
      </c>
      <c r="AC35" s="284"/>
      <c r="AD35" s="284"/>
    </row>
    <row r="36" ht="14.25" customHeight="1">
      <c r="A36" s="265">
        <v>44375.0</v>
      </c>
      <c r="B36" s="266" t="s">
        <v>1500</v>
      </c>
      <c r="C36" s="289" t="s">
        <v>1542</v>
      </c>
      <c r="D36" s="266" t="s">
        <v>1543</v>
      </c>
      <c r="E36" s="268"/>
      <c r="F36" s="269" t="s">
        <v>1571</v>
      </c>
      <c r="G36" s="268" t="s">
        <v>1463</v>
      </c>
      <c r="H36" s="270">
        <v>0.0022800925925925927</v>
      </c>
      <c r="I36" s="271">
        <v>44386.46527777778</v>
      </c>
      <c r="J36" s="268"/>
      <c r="K36" s="271">
        <v>44386.47288194444</v>
      </c>
      <c r="L36" s="288"/>
      <c r="M36" s="278" t="s">
        <v>1572</v>
      </c>
      <c r="N36" s="290"/>
      <c r="O36" s="276"/>
      <c r="P36" s="276"/>
      <c r="Q36" s="276"/>
      <c r="R36" s="278"/>
      <c r="S36" s="278"/>
      <c r="T36" s="278"/>
      <c r="U36" s="279"/>
      <c r="V36" s="279" t="s">
        <v>1500</v>
      </c>
      <c r="W36" s="280">
        <v>44396.0</v>
      </c>
      <c r="X36" s="281">
        <v>0.010416666666666666</v>
      </c>
      <c r="Y36" s="279"/>
      <c r="Z36" s="282" t="s">
        <v>53</v>
      </c>
      <c r="AA36" s="282">
        <v>6395558.0</v>
      </c>
      <c r="AB36" s="283">
        <v>44389.0</v>
      </c>
      <c r="AC36" s="284"/>
      <c r="AD36" s="284"/>
    </row>
    <row r="37" ht="14.25" customHeight="1">
      <c r="A37" s="265">
        <v>44375.0</v>
      </c>
      <c r="B37" s="266" t="s">
        <v>1500</v>
      </c>
      <c r="C37" s="289" t="s">
        <v>1542</v>
      </c>
      <c r="D37" s="266" t="s">
        <v>1543</v>
      </c>
      <c r="E37" s="268"/>
      <c r="F37" s="291" t="s">
        <v>1573</v>
      </c>
      <c r="G37" s="268" t="s">
        <v>1463</v>
      </c>
      <c r="H37" s="270">
        <v>0.01306712962962963</v>
      </c>
      <c r="I37" s="271">
        <v>44379.64233796296</v>
      </c>
      <c r="J37" s="268"/>
      <c r="K37" s="271">
        <v>44382.41744212963</v>
      </c>
      <c r="L37" s="288"/>
      <c r="M37" s="278" t="s">
        <v>1574</v>
      </c>
      <c r="N37" s="290"/>
      <c r="O37" s="276"/>
      <c r="P37" s="276"/>
      <c r="Q37" s="276"/>
      <c r="R37" s="278"/>
      <c r="S37" s="278"/>
      <c r="T37" s="278"/>
      <c r="U37" s="279"/>
      <c r="V37" s="279" t="s">
        <v>1500</v>
      </c>
      <c r="W37" s="280">
        <v>44396.0</v>
      </c>
      <c r="X37" s="281">
        <v>0.024305555555555556</v>
      </c>
      <c r="Y37" s="279"/>
      <c r="Z37" s="282" t="s">
        <v>53</v>
      </c>
      <c r="AA37" s="282">
        <v>6389541.0</v>
      </c>
      <c r="AB37" s="283">
        <v>44383.0</v>
      </c>
      <c r="AC37" s="284"/>
      <c r="AD37" s="284"/>
    </row>
    <row r="38" ht="14.25" customHeight="1">
      <c r="A38" s="265">
        <v>44376.0</v>
      </c>
      <c r="B38" s="266" t="s">
        <v>1500</v>
      </c>
      <c r="C38" s="289" t="s">
        <v>1542</v>
      </c>
      <c r="D38" s="266" t="s">
        <v>1543</v>
      </c>
      <c r="E38" s="268"/>
      <c r="F38" s="269" t="s">
        <v>1575</v>
      </c>
      <c r="G38" s="268" t="s">
        <v>1463</v>
      </c>
      <c r="H38" s="270">
        <v>0.004918981481481482</v>
      </c>
      <c r="I38" s="271">
        <v>44382.59336805555</v>
      </c>
      <c r="J38" s="268"/>
      <c r="K38" s="271">
        <v>44382.930243055554</v>
      </c>
      <c r="L38" s="288"/>
      <c r="M38" s="278" t="s">
        <v>1576</v>
      </c>
      <c r="N38" s="290"/>
      <c r="O38" s="276"/>
      <c r="P38" s="276"/>
      <c r="Q38" s="276"/>
      <c r="R38" s="278"/>
      <c r="S38" s="278"/>
      <c r="T38" s="278"/>
      <c r="U38" s="279"/>
      <c r="V38" s="279" t="s">
        <v>1500</v>
      </c>
      <c r="W38" s="280">
        <v>44396.0</v>
      </c>
      <c r="X38" s="281">
        <v>0.010416666666666666</v>
      </c>
      <c r="Y38" s="279"/>
      <c r="Z38" s="282" t="s">
        <v>53</v>
      </c>
      <c r="AA38" s="282">
        <v>6395559.0</v>
      </c>
      <c r="AB38" s="283">
        <v>44389.0</v>
      </c>
      <c r="AC38" s="284"/>
      <c r="AD38" s="284"/>
    </row>
    <row r="39" ht="14.25" customHeight="1">
      <c r="A39" s="265">
        <v>44376.0</v>
      </c>
      <c r="B39" s="266" t="s">
        <v>1500</v>
      </c>
      <c r="C39" s="289" t="s">
        <v>1542</v>
      </c>
      <c r="D39" s="266" t="s">
        <v>1543</v>
      </c>
      <c r="E39" s="268"/>
      <c r="F39" s="269" t="s">
        <v>1577</v>
      </c>
      <c r="G39" s="268" t="s">
        <v>1463</v>
      </c>
      <c r="H39" s="270">
        <v>0.0018865740740740742</v>
      </c>
      <c r="I39" s="271">
        <v>44386.51736111111</v>
      </c>
      <c r="J39" s="268"/>
      <c r="K39" s="271">
        <v>44386.52590277778</v>
      </c>
      <c r="L39" s="288"/>
      <c r="M39" s="278" t="s">
        <v>1578</v>
      </c>
      <c r="N39" s="290"/>
      <c r="O39" s="276"/>
      <c r="P39" s="276"/>
      <c r="Q39" s="276"/>
      <c r="R39" s="278"/>
      <c r="S39" s="278"/>
      <c r="T39" s="278"/>
      <c r="U39" s="279"/>
      <c r="V39" s="279" t="s">
        <v>1500</v>
      </c>
      <c r="W39" s="280">
        <v>44396.0</v>
      </c>
      <c r="X39" s="281">
        <v>0.012499999999999999</v>
      </c>
      <c r="Y39" s="279"/>
      <c r="Z39" s="282" t="s">
        <v>53</v>
      </c>
      <c r="AA39" s="282">
        <v>6397470.0</v>
      </c>
      <c r="AB39" s="283">
        <v>44390.0</v>
      </c>
      <c r="AC39" s="284"/>
      <c r="AD39" s="284"/>
    </row>
    <row r="40" ht="14.25" customHeight="1">
      <c r="A40" s="265">
        <v>44376.0</v>
      </c>
      <c r="B40" s="266" t="s">
        <v>1500</v>
      </c>
      <c r="C40" s="289" t="s">
        <v>1542</v>
      </c>
      <c r="D40" s="266" t="s">
        <v>1543</v>
      </c>
      <c r="E40" s="268"/>
      <c r="F40" s="269" t="s">
        <v>1579</v>
      </c>
      <c r="G40" s="268" t="s">
        <v>1463</v>
      </c>
      <c r="H40" s="270">
        <v>7.407407407407407E-4</v>
      </c>
      <c r="I40" s="271">
        <v>44383.397372685184</v>
      </c>
      <c r="J40" s="268"/>
      <c r="K40" s="271">
        <v>44383.73133101852</v>
      </c>
      <c r="L40" s="288"/>
      <c r="M40" s="278" t="s">
        <v>1580</v>
      </c>
      <c r="N40" s="290"/>
      <c r="O40" s="276"/>
      <c r="P40" s="276"/>
      <c r="Q40" s="276"/>
      <c r="R40" s="278"/>
      <c r="S40" s="278"/>
      <c r="T40" s="278"/>
      <c r="U40" s="279"/>
      <c r="V40" s="279" t="s">
        <v>1500</v>
      </c>
      <c r="W40" s="280">
        <v>44396.0</v>
      </c>
      <c r="X40" s="281">
        <v>0.005555555555555556</v>
      </c>
      <c r="Y40" s="279"/>
      <c r="Z40" s="282" t="s">
        <v>53</v>
      </c>
      <c r="AA40" s="282">
        <v>6395560.0</v>
      </c>
      <c r="AB40" s="283">
        <v>44389.0</v>
      </c>
      <c r="AC40" s="284"/>
      <c r="AD40" s="284"/>
    </row>
    <row r="41" ht="14.25" customHeight="1">
      <c r="A41" s="265">
        <v>44376.0</v>
      </c>
      <c r="B41" s="266" t="s">
        <v>1500</v>
      </c>
      <c r="C41" s="289" t="s">
        <v>1542</v>
      </c>
      <c r="D41" s="266" t="s">
        <v>1543</v>
      </c>
      <c r="E41" s="268"/>
      <c r="F41" s="269" t="s">
        <v>1581</v>
      </c>
      <c r="G41" s="268" t="s">
        <v>1463</v>
      </c>
      <c r="H41" s="270">
        <v>0.0031134259259259257</v>
      </c>
      <c r="I41" s="271">
        <v>44382.59228009259</v>
      </c>
      <c r="J41" s="268"/>
      <c r="K41" s="271">
        <v>44382.92958333333</v>
      </c>
      <c r="L41" s="288"/>
      <c r="M41" s="278" t="s">
        <v>1582</v>
      </c>
      <c r="N41" s="290"/>
      <c r="O41" s="276"/>
      <c r="P41" s="276"/>
      <c r="Q41" s="276"/>
      <c r="R41" s="278"/>
      <c r="S41" s="278"/>
      <c r="T41" s="278"/>
      <c r="U41" s="279"/>
      <c r="V41" s="279" t="s">
        <v>1500</v>
      </c>
      <c r="W41" s="280">
        <v>44396.0</v>
      </c>
      <c r="X41" s="281">
        <v>0.006944444444444444</v>
      </c>
      <c r="Y41" s="279"/>
      <c r="Z41" s="282" t="s">
        <v>53</v>
      </c>
      <c r="AA41" s="282">
        <v>6395561.0</v>
      </c>
      <c r="AB41" s="283">
        <v>44389.0</v>
      </c>
      <c r="AC41" s="284"/>
      <c r="AD41" s="284"/>
    </row>
    <row r="42" ht="14.25" customHeight="1">
      <c r="A42" s="265">
        <v>44377.0</v>
      </c>
      <c r="B42" s="266" t="s">
        <v>1500</v>
      </c>
      <c r="C42" s="289" t="s">
        <v>1542</v>
      </c>
      <c r="D42" s="266" t="s">
        <v>1543</v>
      </c>
      <c r="E42" s="268"/>
      <c r="F42" s="269" t="s">
        <v>1583</v>
      </c>
      <c r="G42" s="268" t="s">
        <v>1463</v>
      </c>
      <c r="H42" s="270">
        <v>0.005925925925925926</v>
      </c>
      <c r="I42" s="271">
        <v>44386.54861111111</v>
      </c>
      <c r="J42" s="268"/>
      <c r="K42" s="271">
        <v>44386.56060185185</v>
      </c>
      <c r="L42" s="288"/>
      <c r="M42" s="272" t="s">
        <v>1584</v>
      </c>
      <c r="N42" s="273"/>
      <c r="O42" s="276"/>
      <c r="P42" s="275"/>
      <c r="Q42" s="276"/>
      <c r="R42" s="277"/>
      <c r="S42" s="278"/>
      <c r="T42" s="278"/>
      <c r="U42" s="279"/>
      <c r="V42" s="279" t="s">
        <v>1500</v>
      </c>
      <c r="W42" s="280">
        <v>44399.0</v>
      </c>
      <c r="X42" s="281">
        <v>0.034722222222222224</v>
      </c>
      <c r="Y42" s="279"/>
      <c r="Z42" s="282" t="s">
        <v>53</v>
      </c>
      <c r="AA42" s="282">
        <v>6397471.0</v>
      </c>
      <c r="AB42" s="283">
        <v>44390.0</v>
      </c>
      <c r="AC42" s="284"/>
      <c r="AD42" s="284"/>
    </row>
    <row r="43" ht="14.25" customHeight="1">
      <c r="A43" s="265">
        <v>44378.0</v>
      </c>
      <c r="B43" s="266" t="s">
        <v>1500</v>
      </c>
      <c r="C43" s="289" t="s">
        <v>1542</v>
      </c>
      <c r="D43" s="266" t="s">
        <v>1543</v>
      </c>
      <c r="E43" s="268"/>
      <c r="F43" s="269" t="s">
        <v>1585</v>
      </c>
      <c r="G43" s="268" t="s">
        <v>1463</v>
      </c>
      <c r="H43" s="270">
        <v>0.004212962962962963</v>
      </c>
      <c r="I43" s="271">
        <v>44382.470185185186</v>
      </c>
      <c r="J43" s="268"/>
      <c r="K43" s="271">
        <v>44382.80559027778</v>
      </c>
      <c r="L43" s="288"/>
      <c r="M43" s="272" t="s">
        <v>1586</v>
      </c>
      <c r="N43" s="273"/>
      <c r="O43" s="276"/>
      <c r="P43" s="275"/>
      <c r="Q43" s="276"/>
      <c r="R43" s="277"/>
      <c r="S43" s="278"/>
      <c r="T43" s="278"/>
      <c r="U43" s="279"/>
      <c r="V43" s="279" t="s">
        <v>1500</v>
      </c>
      <c r="W43" s="280">
        <v>44408.0</v>
      </c>
      <c r="X43" s="281">
        <v>0.010416666666666666</v>
      </c>
      <c r="Y43" s="279"/>
      <c r="Z43" s="282" t="s">
        <v>53</v>
      </c>
      <c r="AA43" s="282">
        <v>6395562.0</v>
      </c>
      <c r="AB43" s="283">
        <v>44389.0</v>
      </c>
      <c r="AC43" s="284"/>
      <c r="AD43" s="284"/>
    </row>
    <row r="44" ht="14.25" customHeight="1">
      <c r="A44" s="265">
        <v>44379.0</v>
      </c>
      <c r="B44" s="266" t="s">
        <v>1500</v>
      </c>
      <c r="C44" s="289" t="s">
        <v>1542</v>
      </c>
      <c r="D44" s="266" t="s">
        <v>1543</v>
      </c>
      <c r="E44" s="268"/>
      <c r="F44" s="291" t="s">
        <v>1587</v>
      </c>
      <c r="G44" s="268" t="s">
        <v>1463</v>
      </c>
      <c r="H44" s="270">
        <v>0.024050925925925924</v>
      </c>
      <c r="I44" s="271">
        <v>44379.510416666664</v>
      </c>
      <c r="J44" s="268"/>
      <c r="K44" s="271">
        <v>44379.888703703706</v>
      </c>
      <c r="L44" s="288"/>
      <c r="M44" s="278" t="s">
        <v>1588</v>
      </c>
      <c r="N44" s="290"/>
      <c r="O44" s="276"/>
      <c r="P44" s="276"/>
      <c r="Q44" s="276"/>
      <c r="R44" s="278"/>
      <c r="S44" s="278"/>
      <c r="T44" s="278"/>
      <c r="U44" s="279"/>
      <c r="V44" s="279" t="s">
        <v>1500</v>
      </c>
      <c r="W44" s="280">
        <v>44396.0</v>
      </c>
      <c r="X44" s="281">
        <v>0.03125</v>
      </c>
      <c r="Y44" s="279"/>
      <c r="Z44" s="282" t="s">
        <v>53</v>
      </c>
      <c r="AA44" s="282">
        <v>6389540.0</v>
      </c>
      <c r="AB44" s="283">
        <v>44383.0</v>
      </c>
      <c r="AC44" s="284"/>
      <c r="AD44" s="284"/>
    </row>
    <row r="45" ht="14.25" customHeight="1">
      <c r="A45" s="265">
        <v>44379.0</v>
      </c>
      <c r="B45" s="266" t="s">
        <v>1500</v>
      </c>
      <c r="C45" s="289" t="s">
        <v>1542</v>
      </c>
      <c r="D45" s="266" t="s">
        <v>1543</v>
      </c>
      <c r="E45" s="268"/>
      <c r="F45" s="291" t="s">
        <v>1589</v>
      </c>
      <c r="G45" s="268" t="s">
        <v>1463</v>
      </c>
      <c r="H45" s="270">
        <v>0.008020833333333333</v>
      </c>
      <c r="I45" s="271">
        <v>44382.473125</v>
      </c>
      <c r="J45" s="268"/>
      <c r="K45" s="271">
        <v>44382.80994212963</v>
      </c>
      <c r="L45" s="288"/>
      <c r="M45" s="278" t="s">
        <v>1590</v>
      </c>
      <c r="N45" s="290"/>
      <c r="O45" s="276"/>
      <c r="P45" s="276"/>
      <c r="Q45" s="276"/>
      <c r="R45" s="278"/>
      <c r="S45" s="278"/>
      <c r="T45" s="278"/>
      <c r="U45" s="279"/>
      <c r="V45" s="279" t="s">
        <v>1500</v>
      </c>
      <c r="W45" s="280">
        <v>44396.0</v>
      </c>
      <c r="X45" s="281">
        <v>0.017361111111111112</v>
      </c>
      <c r="Y45" s="279"/>
      <c r="Z45" s="282" t="s">
        <v>53</v>
      </c>
      <c r="AA45" s="282">
        <v>6395563.0</v>
      </c>
      <c r="AB45" s="283">
        <v>44389.0</v>
      </c>
      <c r="AC45" s="284"/>
      <c r="AD45" s="284"/>
    </row>
    <row r="46" ht="14.25" customHeight="1">
      <c r="A46" s="265">
        <v>44382.0</v>
      </c>
      <c r="B46" s="266" t="s">
        <v>1500</v>
      </c>
      <c r="C46" s="289" t="s">
        <v>1542</v>
      </c>
      <c r="D46" s="266" t="s">
        <v>1543</v>
      </c>
      <c r="E46" s="268"/>
      <c r="F46" s="269" t="s">
        <v>1591</v>
      </c>
      <c r="G46" s="268" t="s">
        <v>1463</v>
      </c>
      <c r="H46" s="270">
        <v>0.008993055555555554</v>
      </c>
      <c r="I46" s="271">
        <v>44382.475625</v>
      </c>
      <c r="J46" s="268"/>
      <c r="K46" s="271">
        <v>44382.8125</v>
      </c>
      <c r="L46" s="288"/>
      <c r="M46" s="272" t="s">
        <v>1592</v>
      </c>
      <c r="N46" s="273"/>
      <c r="O46" s="276"/>
      <c r="P46" s="275"/>
      <c r="Q46" s="276"/>
      <c r="R46" s="278"/>
      <c r="S46" s="278"/>
      <c r="T46" s="278"/>
      <c r="U46" s="279"/>
      <c r="V46" s="279" t="s">
        <v>1500</v>
      </c>
      <c r="W46" s="280">
        <v>44400.0</v>
      </c>
      <c r="X46" s="281">
        <v>0.010416666666666666</v>
      </c>
      <c r="Y46" s="279"/>
      <c r="Z46" s="282" t="s">
        <v>53</v>
      </c>
      <c r="AA46" s="282">
        <v>6395564.0</v>
      </c>
      <c r="AB46" s="283">
        <v>44389.0</v>
      </c>
      <c r="AC46" s="284"/>
      <c r="AD46" s="284"/>
    </row>
    <row r="47" ht="14.25" customHeight="1">
      <c r="A47" s="265">
        <v>44383.0</v>
      </c>
      <c r="B47" s="266" t="s">
        <v>1500</v>
      </c>
      <c r="C47" s="289" t="s">
        <v>1542</v>
      </c>
      <c r="D47" s="266" t="s">
        <v>1543</v>
      </c>
      <c r="E47" s="268"/>
      <c r="F47" s="269" t="s">
        <v>1593</v>
      </c>
      <c r="G47" s="268" t="s">
        <v>1463</v>
      </c>
      <c r="H47" s="270">
        <v>0.01326388888888889</v>
      </c>
      <c r="I47" s="271">
        <v>44386.618055555555</v>
      </c>
      <c r="J47" s="268"/>
      <c r="K47" s="271">
        <v>44386.53563657407</v>
      </c>
      <c r="L47" s="288"/>
      <c r="M47" s="278" t="s">
        <v>1594</v>
      </c>
      <c r="N47" s="290"/>
      <c r="O47" s="276"/>
      <c r="P47" s="276"/>
      <c r="Q47" s="276"/>
      <c r="R47" s="278"/>
      <c r="S47" s="278"/>
      <c r="T47" s="278"/>
      <c r="U47" s="279"/>
      <c r="V47" s="279" t="s">
        <v>1500</v>
      </c>
      <c r="W47" s="280">
        <v>44401.0</v>
      </c>
      <c r="X47" s="281">
        <v>0.024305555555555556</v>
      </c>
      <c r="Y47" s="279"/>
      <c r="Z47" s="282" t="s">
        <v>53</v>
      </c>
      <c r="AA47" s="282">
        <v>6397472.0</v>
      </c>
      <c r="AB47" s="283">
        <v>44390.0</v>
      </c>
      <c r="AC47" s="284"/>
      <c r="AD47" s="284"/>
    </row>
    <row r="48" ht="14.25" customHeight="1">
      <c r="A48" s="265">
        <v>44383.0</v>
      </c>
      <c r="B48" s="266" t="s">
        <v>1500</v>
      </c>
      <c r="C48" s="289" t="s">
        <v>1542</v>
      </c>
      <c r="D48" s="266" t="s">
        <v>1543</v>
      </c>
      <c r="E48" s="268"/>
      <c r="F48" s="269" t="s">
        <v>1595</v>
      </c>
      <c r="G48" s="268" t="s">
        <v>1463</v>
      </c>
      <c r="H48" s="270">
        <v>0.003252314814814815</v>
      </c>
      <c r="I48" s="271">
        <v>44386.52484953704</v>
      </c>
      <c r="J48" s="268"/>
      <c r="K48" s="271">
        <v>44386.53092592592</v>
      </c>
      <c r="L48" s="288"/>
      <c r="M48" s="278" t="s">
        <v>1596</v>
      </c>
      <c r="N48" s="290"/>
      <c r="O48" s="276"/>
      <c r="P48" s="276"/>
      <c r="Q48" s="276"/>
      <c r="R48" s="278"/>
      <c r="S48" s="278"/>
      <c r="T48" s="278"/>
      <c r="U48" s="279"/>
      <c r="V48" s="279" t="s">
        <v>1500</v>
      </c>
      <c r="W48" s="280">
        <v>44396.0</v>
      </c>
      <c r="X48" s="281">
        <v>0.020833333333333332</v>
      </c>
      <c r="Y48" s="279"/>
      <c r="Z48" s="282" t="s">
        <v>53</v>
      </c>
      <c r="AA48" s="282">
        <v>6395565.0</v>
      </c>
      <c r="AB48" s="283">
        <v>44389.0</v>
      </c>
      <c r="AC48" s="284"/>
      <c r="AD48" s="284"/>
    </row>
    <row r="49" ht="14.25" customHeight="1">
      <c r="A49" s="265">
        <v>44384.0</v>
      </c>
      <c r="B49" s="266" t="s">
        <v>1500</v>
      </c>
      <c r="C49" s="266" t="s">
        <v>1597</v>
      </c>
      <c r="D49" s="267" t="s">
        <v>1502</v>
      </c>
      <c r="E49" s="268"/>
      <c r="F49" s="269" t="s">
        <v>1598</v>
      </c>
      <c r="G49" s="268" t="s">
        <v>1463</v>
      </c>
      <c r="H49" s="270">
        <v>0.03164351851851852</v>
      </c>
      <c r="I49" s="271">
        <v>44384.6505787037</v>
      </c>
      <c r="J49" s="268"/>
      <c r="K49" s="271">
        <v>44384.99931712963</v>
      </c>
      <c r="L49" s="288"/>
      <c r="M49" s="278" t="s">
        <v>1599</v>
      </c>
      <c r="N49" s="290"/>
      <c r="O49" s="276"/>
      <c r="P49" s="276"/>
      <c r="Q49" s="276"/>
      <c r="R49" s="278"/>
      <c r="S49" s="278"/>
      <c r="T49" s="278"/>
      <c r="U49" s="279"/>
      <c r="V49" s="279"/>
      <c r="W49" s="280"/>
      <c r="X49" s="279"/>
      <c r="Y49" s="279"/>
      <c r="Z49" s="282" t="s">
        <v>53</v>
      </c>
      <c r="AA49" s="282">
        <v>6395380.0</v>
      </c>
      <c r="AB49" s="283">
        <v>44389.0</v>
      </c>
      <c r="AC49" s="284"/>
      <c r="AD49" s="284"/>
    </row>
    <row r="50" ht="14.25" customHeight="1">
      <c r="A50" s="265">
        <v>44384.0</v>
      </c>
      <c r="B50" s="266" t="s">
        <v>1500</v>
      </c>
      <c r="C50" s="266" t="s">
        <v>1597</v>
      </c>
      <c r="D50" s="267" t="s">
        <v>1502</v>
      </c>
      <c r="E50" s="268"/>
      <c r="F50" s="269" t="s">
        <v>1600</v>
      </c>
      <c r="G50" s="268" t="s">
        <v>1463</v>
      </c>
      <c r="H50" s="270">
        <v>0.03244212962962963</v>
      </c>
      <c r="I50" s="271">
        <v>44384.64910879629</v>
      </c>
      <c r="J50" s="268"/>
      <c r="K50" s="271">
        <v>44384.995833333334</v>
      </c>
      <c r="L50" s="288"/>
      <c r="M50" s="278" t="s">
        <v>1601</v>
      </c>
      <c r="N50" s="290"/>
      <c r="O50" s="276"/>
      <c r="P50" s="276"/>
      <c r="Q50" s="276"/>
      <c r="R50" s="278"/>
      <c r="S50" s="278"/>
      <c r="T50" s="278"/>
      <c r="U50" s="279"/>
      <c r="V50" s="279"/>
      <c r="W50" s="279"/>
      <c r="X50" s="279"/>
      <c r="Y50" s="279"/>
      <c r="Z50" s="282" t="s">
        <v>53</v>
      </c>
      <c r="AA50" s="282">
        <v>6395383.0</v>
      </c>
      <c r="AB50" s="283">
        <v>44389.0</v>
      </c>
      <c r="AC50" s="284"/>
      <c r="AD50" s="284"/>
    </row>
    <row r="51" ht="14.25" customHeight="1">
      <c r="A51" s="265">
        <v>44384.0</v>
      </c>
      <c r="B51" s="266" t="s">
        <v>1500</v>
      </c>
      <c r="C51" s="266" t="s">
        <v>1597</v>
      </c>
      <c r="D51" s="267" t="s">
        <v>1502</v>
      </c>
      <c r="E51" s="268"/>
      <c r="F51" s="269" t="s">
        <v>1602</v>
      </c>
      <c r="G51" s="268" t="s">
        <v>1463</v>
      </c>
      <c r="H51" s="270">
        <v>0.03244212962962963</v>
      </c>
      <c r="I51" s="271">
        <v>44386.595717592594</v>
      </c>
      <c r="J51" s="268"/>
      <c r="K51" s="271">
        <v>44386.62122685185</v>
      </c>
      <c r="L51" s="288"/>
      <c r="M51" s="278" t="s">
        <v>1603</v>
      </c>
      <c r="N51" s="290"/>
      <c r="O51" s="276"/>
      <c r="P51" s="276"/>
      <c r="Q51" s="276"/>
      <c r="R51" s="278"/>
      <c r="S51" s="278"/>
      <c r="T51" s="278"/>
      <c r="U51" s="279"/>
      <c r="V51" s="279"/>
      <c r="W51" s="279"/>
      <c r="X51" s="279"/>
      <c r="Y51" s="279"/>
      <c r="Z51" s="282" t="s">
        <v>53</v>
      </c>
      <c r="AA51" s="282">
        <v>6351357.0</v>
      </c>
      <c r="AB51" s="283">
        <v>44389.0</v>
      </c>
      <c r="AC51" s="284"/>
      <c r="AD51" s="284"/>
    </row>
    <row r="52" ht="14.25" customHeight="1">
      <c r="A52" s="265">
        <v>44384.0</v>
      </c>
      <c r="B52" s="266" t="s">
        <v>1500</v>
      </c>
      <c r="C52" s="266" t="s">
        <v>1597</v>
      </c>
      <c r="D52" s="267" t="s">
        <v>1502</v>
      </c>
      <c r="E52" s="268"/>
      <c r="F52" s="269" t="s">
        <v>1604</v>
      </c>
      <c r="G52" s="268" t="s">
        <v>1463</v>
      </c>
      <c r="H52" s="270">
        <v>0.03239583333333333</v>
      </c>
      <c r="I52" s="271">
        <v>44384.65712962963</v>
      </c>
      <c r="J52" s="268"/>
      <c r="K52" s="271">
        <v>44385.00450231481</v>
      </c>
      <c r="L52" s="288"/>
      <c r="M52" s="278" t="s">
        <v>1605</v>
      </c>
      <c r="N52" s="290"/>
      <c r="O52" s="276"/>
      <c r="P52" s="276"/>
      <c r="Q52" s="276"/>
      <c r="R52" s="278"/>
      <c r="S52" s="278"/>
      <c r="T52" s="278"/>
      <c r="U52" s="279"/>
      <c r="V52" s="279"/>
      <c r="W52" s="279"/>
      <c r="X52" s="279"/>
      <c r="Y52" s="279"/>
      <c r="Z52" s="282" t="s">
        <v>53</v>
      </c>
      <c r="AA52" s="282">
        <v>6395384.0</v>
      </c>
      <c r="AB52" s="283">
        <v>44389.0</v>
      </c>
      <c r="AC52" s="284"/>
      <c r="AD52" s="284"/>
    </row>
    <row r="53" ht="14.25" customHeight="1">
      <c r="A53" s="265">
        <v>44384.0</v>
      </c>
      <c r="B53" s="266" t="s">
        <v>1500</v>
      </c>
      <c r="C53" s="266" t="s">
        <v>1597</v>
      </c>
      <c r="D53" s="267" t="s">
        <v>1502</v>
      </c>
      <c r="E53" s="268"/>
      <c r="F53" s="269" t="s">
        <v>1606</v>
      </c>
      <c r="G53" s="268" t="s">
        <v>1463</v>
      </c>
      <c r="H53" s="270">
        <v>0.03409722222222222</v>
      </c>
      <c r="I53" s="271">
        <v>44384.632835648146</v>
      </c>
      <c r="J53" s="268"/>
      <c r="K53" s="271">
        <v>44384.980787037035</v>
      </c>
      <c r="L53" s="288"/>
      <c r="M53" s="278" t="s">
        <v>1607</v>
      </c>
      <c r="N53" s="290"/>
      <c r="O53" s="276"/>
      <c r="P53" s="276"/>
      <c r="Q53" s="276"/>
      <c r="R53" s="278"/>
      <c r="S53" s="278"/>
      <c r="T53" s="278"/>
      <c r="U53" s="279"/>
      <c r="V53" s="279"/>
      <c r="W53" s="279"/>
      <c r="X53" s="279"/>
      <c r="Y53" s="279"/>
      <c r="Z53" s="282" t="s">
        <v>53</v>
      </c>
      <c r="AA53" s="282">
        <v>6395386.0</v>
      </c>
      <c r="AB53" s="283">
        <v>44389.0</v>
      </c>
      <c r="AC53" s="284"/>
      <c r="AD53" s="284"/>
    </row>
    <row r="54" ht="14.25" customHeight="1">
      <c r="A54" s="265">
        <v>44384.0</v>
      </c>
      <c r="B54" s="266" t="s">
        <v>1500</v>
      </c>
      <c r="C54" s="266" t="s">
        <v>1597</v>
      </c>
      <c r="D54" s="267" t="s">
        <v>1502</v>
      </c>
      <c r="E54" s="268"/>
      <c r="F54" s="269" t="s">
        <v>1608</v>
      </c>
      <c r="G54" s="268" t="s">
        <v>1463</v>
      </c>
      <c r="H54" s="270">
        <v>0.03409722222222222</v>
      </c>
      <c r="I54" s="271">
        <v>44386.59594907407</v>
      </c>
      <c r="J54" s="268"/>
      <c r="K54" s="271">
        <v>44386.621828703705</v>
      </c>
      <c r="L54" s="288"/>
      <c r="M54" s="278" t="s">
        <v>1609</v>
      </c>
      <c r="N54" s="290"/>
      <c r="O54" s="276"/>
      <c r="P54" s="276"/>
      <c r="Q54" s="276"/>
      <c r="R54" s="278"/>
      <c r="S54" s="278"/>
      <c r="T54" s="278"/>
      <c r="U54" s="279"/>
      <c r="V54" s="279"/>
      <c r="W54" s="279"/>
      <c r="X54" s="279"/>
      <c r="Y54" s="279"/>
      <c r="Z54" s="282" t="s">
        <v>53</v>
      </c>
      <c r="AA54" s="282">
        <v>6351358.0</v>
      </c>
      <c r="AB54" s="283">
        <v>44389.0</v>
      </c>
      <c r="AC54" s="284"/>
      <c r="AD54" s="284"/>
    </row>
    <row r="55" ht="14.25" customHeight="1">
      <c r="A55" s="265">
        <v>44384.0</v>
      </c>
      <c r="B55" s="266" t="s">
        <v>1500</v>
      </c>
      <c r="C55" s="266" t="s">
        <v>1597</v>
      </c>
      <c r="D55" s="267" t="s">
        <v>1502</v>
      </c>
      <c r="E55" s="268"/>
      <c r="F55" s="269" t="s">
        <v>1610</v>
      </c>
      <c r="G55" s="268" t="s">
        <v>1463</v>
      </c>
      <c r="H55" s="270">
        <v>0.031053240740740742</v>
      </c>
      <c r="I55" s="271">
        <v>44384.64140046296</v>
      </c>
      <c r="J55" s="268"/>
      <c r="K55" s="271">
        <v>44384.98519675926</v>
      </c>
      <c r="L55" s="288"/>
      <c r="M55" s="278" t="s">
        <v>1611</v>
      </c>
      <c r="N55" s="290"/>
      <c r="O55" s="276"/>
      <c r="P55" s="276"/>
      <c r="Q55" s="276"/>
      <c r="R55" s="278"/>
      <c r="S55" s="278"/>
      <c r="T55" s="278"/>
      <c r="U55" s="279"/>
      <c r="V55" s="279"/>
      <c r="W55" s="279"/>
      <c r="X55" s="279"/>
      <c r="Y55" s="279"/>
      <c r="Z55" s="282" t="s">
        <v>53</v>
      </c>
      <c r="AA55" s="282">
        <v>6395387.0</v>
      </c>
      <c r="AB55" s="283">
        <v>44389.0</v>
      </c>
      <c r="AC55" s="284"/>
      <c r="AD55" s="284"/>
    </row>
    <row r="56" ht="14.25" customHeight="1">
      <c r="A56" s="265">
        <v>44384.0</v>
      </c>
      <c r="B56" s="266" t="s">
        <v>1500</v>
      </c>
      <c r="C56" s="266" t="s">
        <v>1597</v>
      </c>
      <c r="D56" s="267" t="s">
        <v>1502</v>
      </c>
      <c r="E56" s="268"/>
      <c r="F56" s="269" t="s">
        <v>1612</v>
      </c>
      <c r="G56" s="268" t="s">
        <v>1463</v>
      </c>
      <c r="H56" s="270">
        <v>0.032615740740740744</v>
      </c>
      <c r="I56" s="271">
        <v>44384.657118055555</v>
      </c>
      <c r="J56" s="268"/>
      <c r="K56" s="271">
        <v>44385.004282407404</v>
      </c>
      <c r="L56" s="288"/>
      <c r="M56" s="278" t="s">
        <v>1613</v>
      </c>
      <c r="N56" s="290"/>
      <c r="O56" s="276"/>
      <c r="P56" s="276"/>
      <c r="Q56" s="276"/>
      <c r="R56" s="278"/>
      <c r="S56" s="278"/>
      <c r="T56" s="278"/>
      <c r="U56" s="279"/>
      <c r="V56" s="279"/>
      <c r="W56" s="279"/>
      <c r="X56" s="279"/>
      <c r="Y56" s="279"/>
      <c r="Z56" s="282" t="s">
        <v>53</v>
      </c>
      <c r="AA56" s="282">
        <v>6395388.0</v>
      </c>
      <c r="AB56" s="283">
        <v>44389.0</v>
      </c>
      <c r="AC56" s="284"/>
      <c r="AD56" s="284"/>
    </row>
    <row r="57" ht="14.25" customHeight="1">
      <c r="A57" s="265">
        <v>44384.0</v>
      </c>
      <c r="B57" s="266" t="s">
        <v>1500</v>
      </c>
      <c r="C57" s="266" t="s">
        <v>1597</v>
      </c>
      <c r="D57" s="267" t="s">
        <v>1502</v>
      </c>
      <c r="E57" s="268"/>
      <c r="F57" s="269" t="s">
        <v>1614</v>
      </c>
      <c r="G57" s="268" t="s">
        <v>1463</v>
      </c>
      <c r="H57" s="270">
        <v>0.032615740740740744</v>
      </c>
      <c r="I57" s="271">
        <v>44384.63284722222</v>
      </c>
      <c r="J57" s="268"/>
      <c r="K57" s="271">
        <v>44384.980578703704</v>
      </c>
      <c r="L57" s="288"/>
      <c r="M57" s="278" t="s">
        <v>1615</v>
      </c>
      <c r="N57" s="290"/>
      <c r="O57" s="276"/>
      <c r="P57" s="276"/>
      <c r="Q57" s="276"/>
      <c r="R57" s="278"/>
      <c r="S57" s="278"/>
      <c r="T57" s="278"/>
      <c r="U57" s="279"/>
      <c r="V57" s="279"/>
      <c r="W57" s="279"/>
      <c r="X57" s="279"/>
      <c r="Y57" s="279"/>
      <c r="Z57" s="282" t="s">
        <v>53</v>
      </c>
      <c r="AA57" s="282">
        <v>6351359.0</v>
      </c>
      <c r="AB57" s="283">
        <v>44389.0</v>
      </c>
      <c r="AC57" s="284"/>
      <c r="AD57" s="284"/>
    </row>
    <row r="58" ht="14.25" customHeight="1">
      <c r="A58" s="265">
        <v>44384.0</v>
      </c>
      <c r="B58" s="266" t="s">
        <v>1500</v>
      </c>
      <c r="C58" s="266" t="s">
        <v>1597</v>
      </c>
      <c r="D58" s="267" t="s">
        <v>1502</v>
      </c>
      <c r="E58" s="268"/>
      <c r="F58" s="269" t="s">
        <v>1616</v>
      </c>
      <c r="G58" s="268" t="s">
        <v>1463</v>
      </c>
      <c r="H58" s="270">
        <v>0.028749999999999998</v>
      </c>
      <c r="I58" s="271">
        <v>44386.596180555556</v>
      </c>
      <c r="J58" s="268"/>
      <c r="K58" s="271">
        <v>44386.622615740744</v>
      </c>
      <c r="L58" s="288"/>
      <c r="M58" s="278" t="s">
        <v>1617</v>
      </c>
      <c r="N58" s="290"/>
      <c r="O58" s="276"/>
      <c r="P58" s="276"/>
      <c r="Q58" s="276"/>
      <c r="R58" s="278"/>
      <c r="S58" s="278"/>
      <c r="T58" s="278"/>
      <c r="U58" s="279"/>
      <c r="V58" s="279"/>
      <c r="W58" s="279"/>
      <c r="X58" s="279"/>
      <c r="Y58" s="279"/>
      <c r="Z58" s="282" t="s">
        <v>53</v>
      </c>
      <c r="AA58" s="282">
        <v>6395389.0</v>
      </c>
      <c r="AB58" s="283">
        <v>44390.0</v>
      </c>
      <c r="AC58" s="284"/>
      <c r="AD58" s="284"/>
    </row>
    <row r="59" ht="14.25" customHeight="1">
      <c r="A59" s="265">
        <v>44384.0</v>
      </c>
      <c r="B59" s="266" t="s">
        <v>1500</v>
      </c>
      <c r="C59" s="266" t="s">
        <v>1597</v>
      </c>
      <c r="D59" s="267" t="s">
        <v>1502</v>
      </c>
      <c r="E59" s="268"/>
      <c r="F59" s="269" t="s">
        <v>1618</v>
      </c>
      <c r="G59" s="268" t="s">
        <v>1463</v>
      </c>
      <c r="H59" s="270">
        <v>0.030393518518518518</v>
      </c>
      <c r="I59" s="271">
        <v>44384.63193287037</v>
      </c>
      <c r="J59" s="268"/>
      <c r="K59" s="271">
        <v>44384.97554398148</v>
      </c>
      <c r="L59" s="288"/>
      <c r="M59" s="278" t="s">
        <v>1619</v>
      </c>
      <c r="N59" s="290"/>
      <c r="O59" s="276"/>
      <c r="P59" s="276"/>
      <c r="Q59" s="276"/>
      <c r="R59" s="278"/>
      <c r="S59" s="278"/>
      <c r="T59" s="278"/>
      <c r="U59" s="279"/>
      <c r="V59" s="279"/>
      <c r="W59" s="279"/>
      <c r="X59" s="279"/>
      <c r="Y59" s="279"/>
      <c r="Z59" s="282" t="s">
        <v>53</v>
      </c>
      <c r="AA59" s="282">
        <v>6395390.0</v>
      </c>
      <c r="AB59" s="283">
        <v>44390.0</v>
      </c>
      <c r="AC59" s="284"/>
      <c r="AD59" s="284"/>
    </row>
    <row r="60" ht="14.25" customHeight="1">
      <c r="A60" s="265">
        <v>44384.0</v>
      </c>
      <c r="B60" s="266" t="s">
        <v>1500</v>
      </c>
      <c r="C60" s="266" t="s">
        <v>1597</v>
      </c>
      <c r="D60" s="267" t="s">
        <v>1502</v>
      </c>
      <c r="E60" s="268"/>
      <c r="F60" s="269" t="s">
        <v>1620</v>
      </c>
      <c r="G60" s="268" t="s">
        <v>1463</v>
      </c>
      <c r="H60" s="270">
        <v>0.030393518518518518</v>
      </c>
      <c r="I60" s="271">
        <v>44384.63193287037</v>
      </c>
      <c r="J60" s="268"/>
      <c r="K60" s="271">
        <v>44384.97554398148</v>
      </c>
      <c r="L60" s="288"/>
      <c r="M60" s="278" t="s">
        <v>1621</v>
      </c>
      <c r="N60" s="290"/>
      <c r="O60" s="276"/>
      <c r="P60" s="276"/>
      <c r="Q60" s="276"/>
      <c r="R60" s="278"/>
      <c r="S60" s="278"/>
      <c r="T60" s="278"/>
      <c r="U60" s="279"/>
      <c r="V60" s="279"/>
      <c r="W60" s="279"/>
      <c r="X60" s="279"/>
      <c r="Y60" s="279"/>
      <c r="Z60" s="282" t="s">
        <v>53</v>
      </c>
      <c r="AA60" s="282">
        <v>6351360.0</v>
      </c>
      <c r="AB60" s="283">
        <v>44390.0</v>
      </c>
      <c r="AC60" s="284"/>
      <c r="AD60" s="284"/>
    </row>
    <row r="61" ht="14.25" customHeight="1">
      <c r="A61" s="265">
        <v>44384.0</v>
      </c>
      <c r="B61" s="266" t="s">
        <v>1500</v>
      </c>
      <c r="C61" s="266" t="s">
        <v>1597</v>
      </c>
      <c r="D61" s="267" t="s">
        <v>1502</v>
      </c>
      <c r="E61" s="268"/>
      <c r="F61" s="269" t="s">
        <v>1622</v>
      </c>
      <c r="G61" s="268" t="s">
        <v>1463</v>
      </c>
      <c r="H61" s="270">
        <v>0.030590277777777775</v>
      </c>
      <c r="I61" s="271">
        <v>44384.611979166664</v>
      </c>
      <c r="J61" s="268"/>
      <c r="K61" s="271">
        <v>44384.9558912037</v>
      </c>
      <c r="L61" s="288"/>
      <c r="M61" s="278" t="s">
        <v>1623</v>
      </c>
      <c r="N61" s="290"/>
      <c r="O61" s="276"/>
      <c r="P61" s="276"/>
      <c r="Q61" s="276"/>
      <c r="R61" s="278"/>
      <c r="S61" s="278"/>
      <c r="T61" s="278"/>
      <c r="U61" s="279"/>
      <c r="V61" s="279"/>
      <c r="W61" s="279"/>
      <c r="X61" s="279"/>
      <c r="Y61" s="279"/>
      <c r="Z61" s="282" t="s">
        <v>53</v>
      </c>
      <c r="AA61" s="282">
        <v>6395391.0</v>
      </c>
      <c r="AB61" s="283">
        <v>44389.0</v>
      </c>
      <c r="AC61" s="284"/>
      <c r="AD61" s="284"/>
    </row>
    <row r="62" ht="14.25" customHeight="1">
      <c r="A62" s="265">
        <v>44384.0</v>
      </c>
      <c r="B62" s="266" t="s">
        <v>1500</v>
      </c>
      <c r="C62" s="266" t="s">
        <v>1597</v>
      </c>
      <c r="D62" s="267" t="s">
        <v>1502</v>
      </c>
      <c r="E62" s="268"/>
      <c r="F62" s="269" t="s">
        <v>1624</v>
      </c>
      <c r="G62" s="268" t="s">
        <v>1463</v>
      </c>
      <c r="H62" s="270">
        <v>0.03435185185185185</v>
      </c>
      <c r="I62" s="271">
        <v>44384.61599537037</v>
      </c>
      <c r="J62" s="268"/>
      <c r="K62" s="271">
        <v>44384.962685185186</v>
      </c>
      <c r="L62" s="288"/>
      <c r="M62" s="278" t="s">
        <v>1625</v>
      </c>
      <c r="N62" s="290"/>
      <c r="O62" s="276"/>
      <c r="P62" s="276"/>
      <c r="Q62" s="276"/>
      <c r="R62" s="278"/>
      <c r="S62" s="278"/>
      <c r="T62" s="278"/>
      <c r="U62" s="279"/>
      <c r="V62" s="279"/>
      <c r="W62" s="279"/>
      <c r="X62" s="279"/>
      <c r="Y62" s="279"/>
      <c r="Z62" s="282" t="s">
        <v>53</v>
      </c>
      <c r="AA62" s="282">
        <v>6395474.0</v>
      </c>
      <c r="AB62" s="283">
        <v>44389.0</v>
      </c>
      <c r="AC62" s="284"/>
      <c r="AD62" s="284"/>
    </row>
    <row r="63" ht="14.25" customHeight="1">
      <c r="A63" s="265">
        <v>44384.0</v>
      </c>
      <c r="B63" s="266" t="s">
        <v>1500</v>
      </c>
      <c r="C63" s="266" t="s">
        <v>1597</v>
      </c>
      <c r="D63" s="267" t="s">
        <v>1502</v>
      </c>
      <c r="E63" s="268"/>
      <c r="F63" s="269" t="s">
        <v>1626</v>
      </c>
      <c r="G63" s="268" t="s">
        <v>1463</v>
      </c>
      <c r="H63" s="270">
        <v>0.03435185185185185</v>
      </c>
      <c r="I63" s="271">
        <v>44384.65844907407</v>
      </c>
      <c r="J63" s="268"/>
      <c r="K63" s="271">
        <v>44385.00665509259</v>
      </c>
      <c r="L63" s="288"/>
      <c r="M63" s="278" t="s">
        <v>1627</v>
      </c>
      <c r="N63" s="290"/>
      <c r="O63" s="276"/>
      <c r="P63" s="276"/>
      <c r="Q63" s="276"/>
      <c r="R63" s="278"/>
      <c r="S63" s="278"/>
      <c r="T63" s="278"/>
      <c r="U63" s="279"/>
      <c r="V63" s="279"/>
      <c r="W63" s="279"/>
      <c r="X63" s="279"/>
      <c r="Y63" s="279"/>
      <c r="Z63" s="282" t="s">
        <v>53</v>
      </c>
      <c r="AA63" s="282">
        <v>6351361.0</v>
      </c>
      <c r="AB63" s="283">
        <v>44389.0</v>
      </c>
      <c r="AC63" s="284"/>
      <c r="AD63" s="284"/>
    </row>
    <row r="64" ht="14.25" customHeight="1">
      <c r="A64" s="265">
        <v>44384.0</v>
      </c>
      <c r="B64" s="266" t="s">
        <v>1500</v>
      </c>
      <c r="C64" s="266" t="s">
        <v>1597</v>
      </c>
      <c r="D64" s="267" t="s">
        <v>1502</v>
      </c>
      <c r="E64" s="268"/>
      <c r="F64" s="269" t="s">
        <v>1628</v>
      </c>
      <c r="G64" s="268" t="s">
        <v>1463</v>
      </c>
      <c r="H64" s="270">
        <v>0.03054398148148148</v>
      </c>
      <c r="I64" s="271">
        <v>44383.63379629629</v>
      </c>
      <c r="J64" s="268"/>
      <c r="K64" s="271">
        <v>44384.573159722226</v>
      </c>
      <c r="L64" s="288"/>
      <c r="M64" s="278" t="s">
        <v>1629</v>
      </c>
      <c r="N64" s="290"/>
      <c r="O64" s="276"/>
      <c r="P64" s="276"/>
      <c r="Q64" s="276"/>
      <c r="R64" s="278"/>
      <c r="S64" s="278"/>
      <c r="T64" s="278"/>
      <c r="U64" s="279"/>
      <c r="V64" s="279"/>
      <c r="W64" s="279"/>
      <c r="X64" s="279"/>
      <c r="Y64" s="279"/>
      <c r="Z64" s="282" t="s">
        <v>53</v>
      </c>
      <c r="AA64" s="282">
        <v>6395475.0</v>
      </c>
      <c r="AB64" s="283">
        <v>44389.0</v>
      </c>
      <c r="AC64" s="284"/>
      <c r="AD64" s="284"/>
    </row>
    <row r="65" ht="14.25" customHeight="1">
      <c r="A65" s="265">
        <v>44384.0</v>
      </c>
      <c r="B65" s="266" t="s">
        <v>1500</v>
      </c>
      <c r="C65" s="266" t="s">
        <v>1597</v>
      </c>
      <c r="D65" s="267" t="s">
        <v>1502</v>
      </c>
      <c r="E65" s="268"/>
      <c r="F65" s="269" t="s">
        <v>1630</v>
      </c>
      <c r="G65" s="268" t="s">
        <v>1463</v>
      </c>
      <c r="H65" s="270">
        <v>0.031111111111111107</v>
      </c>
      <c r="I65" s="271">
        <v>44383.64597222222</v>
      </c>
      <c r="J65" s="268"/>
      <c r="K65" s="271">
        <v>44384.575</v>
      </c>
      <c r="L65" s="288"/>
      <c r="M65" s="278" t="s">
        <v>1631</v>
      </c>
      <c r="N65" s="290"/>
      <c r="O65" s="276"/>
      <c r="P65" s="276"/>
      <c r="Q65" s="276"/>
      <c r="R65" s="278"/>
      <c r="S65" s="278"/>
      <c r="T65" s="278"/>
      <c r="U65" s="279"/>
      <c r="V65" s="279"/>
      <c r="W65" s="279"/>
      <c r="X65" s="279"/>
      <c r="Y65" s="279"/>
      <c r="Z65" s="282" t="s">
        <v>53</v>
      </c>
      <c r="AA65" s="282">
        <v>6395476.0</v>
      </c>
      <c r="AB65" s="283">
        <v>44389.0</v>
      </c>
      <c r="AC65" s="284"/>
      <c r="AD65" s="284"/>
    </row>
    <row r="66" ht="14.25" customHeight="1">
      <c r="A66" s="265">
        <v>44384.0</v>
      </c>
      <c r="B66" s="266" t="s">
        <v>1500</v>
      </c>
      <c r="C66" s="266" t="s">
        <v>1597</v>
      </c>
      <c r="D66" s="267" t="s">
        <v>1502</v>
      </c>
      <c r="E66" s="268"/>
      <c r="F66" s="269" t="s">
        <v>1632</v>
      </c>
      <c r="G66" s="268" t="s">
        <v>1463</v>
      </c>
      <c r="H66" s="270">
        <v>0.031111111111111107</v>
      </c>
      <c r="I66" s="271">
        <v>44383.64596064815</v>
      </c>
      <c r="J66" s="268"/>
      <c r="K66" s="271">
        <v>44384.57444444444</v>
      </c>
      <c r="L66" s="288"/>
      <c r="M66" s="278" t="s">
        <v>1633</v>
      </c>
      <c r="N66" s="290"/>
      <c r="O66" s="276"/>
      <c r="P66" s="276"/>
      <c r="Q66" s="276"/>
      <c r="R66" s="278"/>
      <c r="S66" s="278"/>
      <c r="T66" s="278"/>
      <c r="U66" s="279"/>
      <c r="V66" s="279"/>
      <c r="W66" s="279"/>
      <c r="X66" s="279"/>
      <c r="Y66" s="279"/>
      <c r="Z66" s="282" t="s">
        <v>53</v>
      </c>
      <c r="AA66" s="282">
        <v>6362317.0</v>
      </c>
      <c r="AB66" s="283">
        <v>44389.0</v>
      </c>
      <c r="AC66" s="284"/>
      <c r="AD66" s="284"/>
    </row>
    <row r="67" ht="14.25" customHeight="1">
      <c r="A67" s="265">
        <v>44386.0</v>
      </c>
      <c r="B67" s="266" t="s">
        <v>1500</v>
      </c>
      <c r="C67" s="289" t="s">
        <v>1542</v>
      </c>
      <c r="D67" s="266" t="s">
        <v>1543</v>
      </c>
      <c r="E67" s="268"/>
      <c r="F67" s="291" t="s">
        <v>1634</v>
      </c>
      <c r="G67" s="268" t="s">
        <v>1463</v>
      </c>
      <c r="H67" s="270">
        <v>0.005231481481481482</v>
      </c>
      <c r="I67" s="271">
        <v>44386.52486111111</v>
      </c>
      <c r="J67" s="268"/>
      <c r="K67" s="271">
        <v>44386.531909722224</v>
      </c>
      <c r="L67" s="288"/>
      <c r="M67" s="278" t="s">
        <v>1635</v>
      </c>
      <c r="N67" s="290"/>
      <c r="O67" s="276"/>
      <c r="P67" s="276"/>
      <c r="Q67" s="276"/>
      <c r="R67" s="278"/>
      <c r="S67" s="278"/>
      <c r="T67" s="278"/>
      <c r="U67" s="279"/>
      <c r="V67" s="279" t="s">
        <v>1500</v>
      </c>
      <c r="W67" s="280">
        <v>44400.0</v>
      </c>
      <c r="X67" s="281">
        <v>0.017361111111111112</v>
      </c>
      <c r="Y67" s="279"/>
      <c r="Z67" s="282" t="s">
        <v>53</v>
      </c>
      <c r="AA67" s="282">
        <v>6395566.0</v>
      </c>
      <c r="AB67" s="283">
        <v>44389.0</v>
      </c>
      <c r="AC67" s="284"/>
      <c r="AD67" s="284"/>
    </row>
    <row r="68" ht="14.25" customHeight="1">
      <c r="A68" s="265">
        <v>44386.0</v>
      </c>
      <c r="B68" s="266" t="s">
        <v>1500</v>
      </c>
      <c r="C68" s="289" t="s">
        <v>1542</v>
      </c>
      <c r="D68" s="266" t="s">
        <v>1543</v>
      </c>
      <c r="E68" s="268"/>
      <c r="F68" s="291" t="s">
        <v>1636</v>
      </c>
      <c r="G68" s="268" t="s">
        <v>1463</v>
      </c>
      <c r="H68" s="270">
        <v>0.0020601851851851853</v>
      </c>
      <c r="I68" s="271">
        <v>44386.52292824074</v>
      </c>
      <c r="J68" s="268"/>
      <c r="K68" s="271">
        <v>44386.52929398148</v>
      </c>
      <c r="L68" s="288"/>
      <c r="M68" s="278" t="s">
        <v>1637</v>
      </c>
      <c r="N68" s="290"/>
      <c r="O68" s="276"/>
      <c r="P68" s="276"/>
      <c r="Q68" s="276"/>
      <c r="R68" s="278"/>
      <c r="S68" s="278"/>
      <c r="T68" s="278"/>
      <c r="U68" s="279"/>
      <c r="V68" s="279" t="s">
        <v>1500</v>
      </c>
      <c r="W68" s="280">
        <v>44400.0</v>
      </c>
      <c r="X68" s="281">
        <v>0.006944444444444444</v>
      </c>
      <c r="Y68" s="279"/>
      <c r="Z68" s="282" t="s">
        <v>53</v>
      </c>
      <c r="AA68" s="282">
        <v>6395567.0</v>
      </c>
      <c r="AB68" s="283">
        <v>44389.0</v>
      </c>
      <c r="AC68" s="284"/>
      <c r="AD68" s="284"/>
    </row>
    <row r="69" ht="14.25" customHeight="1">
      <c r="A69" s="265">
        <v>44386.0</v>
      </c>
      <c r="B69" s="266" t="s">
        <v>1500</v>
      </c>
      <c r="C69" s="289" t="s">
        <v>1542</v>
      </c>
      <c r="D69" s="266" t="s">
        <v>1543</v>
      </c>
      <c r="E69" s="268"/>
      <c r="F69" s="291" t="s">
        <v>1638</v>
      </c>
      <c r="G69" s="268" t="s">
        <v>1463</v>
      </c>
      <c r="H69" s="270">
        <v>0.010324074074074074</v>
      </c>
      <c r="I69" s="271">
        <v>44386.52636574074</v>
      </c>
      <c r="J69" s="268"/>
      <c r="K69" s="271">
        <v>44386.566041666665</v>
      </c>
      <c r="L69" s="288"/>
      <c r="M69" s="278" t="s">
        <v>1639</v>
      </c>
      <c r="N69" s="290"/>
      <c r="O69" s="276"/>
      <c r="P69" s="276"/>
      <c r="Q69" s="276"/>
      <c r="R69" s="278"/>
      <c r="S69" s="278"/>
      <c r="T69" s="278"/>
      <c r="U69" s="279"/>
      <c r="V69" s="279" t="s">
        <v>1500</v>
      </c>
      <c r="W69" s="280">
        <v>44400.0</v>
      </c>
      <c r="X69" s="281">
        <v>0.013888888888888888</v>
      </c>
      <c r="Y69" s="279"/>
      <c r="Z69" s="282" t="s">
        <v>53</v>
      </c>
      <c r="AA69" s="282">
        <v>6395568.0</v>
      </c>
      <c r="AB69" s="283">
        <v>44389.0</v>
      </c>
      <c r="AC69" s="284"/>
      <c r="AD69" s="284"/>
    </row>
    <row r="70" ht="14.25" customHeight="1">
      <c r="A70" s="265">
        <v>44386.0</v>
      </c>
      <c r="B70" s="266" t="s">
        <v>1500</v>
      </c>
      <c r="C70" s="289" t="s">
        <v>1542</v>
      </c>
      <c r="D70" s="266" t="s">
        <v>1543</v>
      </c>
      <c r="E70" s="268"/>
      <c r="F70" s="291" t="s">
        <v>1640</v>
      </c>
      <c r="G70" s="268" t="s">
        <v>1463</v>
      </c>
      <c r="H70" s="270">
        <v>0.001550925925925926</v>
      </c>
      <c r="I70" s="271">
        <v>44386.52292824074</v>
      </c>
      <c r="J70" s="268"/>
      <c r="K70" s="271">
        <v>44386.529282407406</v>
      </c>
      <c r="L70" s="288"/>
      <c r="M70" s="278" t="s">
        <v>1641</v>
      </c>
      <c r="N70" s="290"/>
      <c r="O70" s="276"/>
      <c r="P70" s="276"/>
      <c r="Q70" s="276"/>
      <c r="R70" s="278"/>
      <c r="S70" s="278"/>
      <c r="T70" s="278"/>
      <c r="U70" s="279"/>
      <c r="V70" s="279" t="s">
        <v>1500</v>
      </c>
      <c r="W70" s="280">
        <v>44400.0</v>
      </c>
      <c r="X70" s="281">
        <v>0.006944444444444444</v>
      </c>
      <c r="Y70" s="279"/>
      <c r="Z70" s="282" t="s">
        <v>53</v>
      </c>
      <c r="AA70" s="282">
        <v>6395569.0</v>
      </c>
      <c r="AB70" s="283">
        <v>44389.0</v>
      </c>
      <c r="AC70" s="284"/>
      <c r="AD70" s="284"/>
    </row>
    <row r="71" ht="14.25" customHeight="1">
      <c r="A71" s="265">
        <v>44545.0</v>
      </c>
      <c r="B71" s="266" t="s">
        <v>1500</v>
      </c>
      <c r="C71" s="266" t="s">
        <v>1642</v>
      </c>
      <c r="D71" s="266" t="s">
        <v>1543</v>
      </c>
      <c r="E71" s="292"/>
      <c r="F71" s="291" t="s">
        <v>1643</v>
      </c>
      <c r="G71" s="268" t="s">
        <v>1463</v>
      </c>
      <c r="H71" s="270">
        <v>0.01252314814814815</v>
      </c>
      <c r="I71" s="271">
        <v>44545.85115740741</v>
      </c>
      <c r="J71" s="268"/>
      <c r="K71" s="271">
        <v>44547.28865740741</v>
      </c>
      <c r="L71" s="288"/>
      <c r="M71" s="278" t="s">
        <v>1644</v>
      </c>
      <c r="N71" s="290"/>
      <c r="O71" s="276"/>
      <c r="P71" s="276"/>
      <c r="Q71" s="276"/>
      <c r="R71" s="278"/>
      <c r="S71" s="278"/>
      <c r="T71" s="278"/>
      <c r="U71" s="279"/>
      <c r="V71" s="279"/>
      <c r="W71" s="280"/>
      <c r="X71" s="281"/>
      <c r="Y71" s="279"/>
      <c r="Z71" s="282" t="s">
        <v>53</v>
      </c>
      <c r="AA71" s="282">
        <v>7218075.0</v>
      </c>
      <c r="AB71" s="283">
        <v>44550.0</v>
      </c>
      <c r="AC71" s="284"/>
      <c r="AD71" s="284"/>
    </row>
    <row r="72" ht="14.25" customHeight="1">
      <c r="A72" s="265">
        <v>44545.0</v>
      </c>
      <c r="B72" s="266" t="s">
        <v>1500</v>
      </c>
      <c r="C72" s="266" t="s">
        <v>1642</v>
      </c>
      <c r="D72" s="266" t="s">
        <v>1543</v>
      </c>
      <c r="E72" s="292"/>
      <c r="F72" s="291" t="s">
        <v>1645</v>
      </c>
      <c r="G72" s="268" t="s">
        <v>1463</v>
      </c>
      <c r="H72" s="270">
        <v>0.007395833333333334</v>
      </c>
      <c r="I72" s="271">
        <v>44545.849340277775</v>
      </c>
      <c r="J72" s="268"/>
      <c r="K72" s="271">
        <v>44547.28969907408</v>
      </c>
      <c r="L72" s="288"/>
      <c r="M72" s="278" t="s">
        <v>1646</v>
      </c>
      <c r="N72" s="290"/>
      <c r="O72" s="276"/>
      <c r="P72" s="276"/>
      <c r="Q72" s="276"/>
      <c r="R72" s="278"/>
      <c r="S72" s="278"/>
      <c r="T72" s="278"/>
      <c r="U72" s="279"/>
      <c r="V72" s="279"/>
      <c r="W72" s="280"/>
      <c r="X72" s="281"/>
      <c r="Y72" s="279"/>
      <c r="Z72" s="282" t="s">
        <v>53</v>
      </c>
      <c r="AA72" s="282">
        <v>7218076.0</v>
      </c>
      <c r="AB72" s="283">
        <v>44550.0</v>
      </c>
      <c r="AC72" s="284"/>
      <c r="AD72" s="284"/>
    </row>
    <row r="73" ht="14.25" customHeight="1">
      <c r="A73" s="265">
        <v>44545.0</v>
      </c>
      <c r="B73" s="266" t="s">
        <v>1500</v>
      </c>
      <c r="C73" s="266" t="s">
        <v>1642</v>
      </c>
      <c r="D73" s="266" t="s">
        <v>1543</v>
      </c>
      <c r="E73" s="292"/>
      <c r="F73" s="291" t="s">
        <v>1647</v>
      </c>
      <c r="G73" s="268" t="s">
        <v>1463</v>
      </c>
      <c r="H73" s="270">
        <v>0.004155092592592593</v>
      </c>
      <c r="I73" s="271">
        <v>44545.84824074074</v>
      </c>
      <c r="J73" s="268"/>
      <c r="K73" s="271">
        <v>44547.28957175926</v>
      </c>
      <c r="L73" s="288"/>
      <c r="M73" s="278" t="s">
        <v>1648</v>
      </c>
      <c r="N73" s="290"/>
      <c r="O73" s="276"/>
      <c r="P73" s="276"/>
      <c r="Q73" s="276"/>
      <c r="R73" s="278"/>
      <c r="S73" s="278"/>
      <c r="T73" s="278"/>
      <c r="U73" s="279"/>
      <c r="V73" s="279"/>
      <c r="W73" s="280"/>
      <c r="X73" s="281"/>
      <c r="Y73" s="279"/>
      <c r="Z73" s="282" t="s">
        <v>53</v>
      </c>
      <c r="AA73" s="282">
        <v>7218077.0</v>
      </c>
      <c r="AB73" s="283">
        <v>44550.0</v>
      </c>
      <c r="AC73" s="284"/>
      <c r="AD73" s="284"/>
    </row>
    <row r="74" ht="14.25" customHeight="1">
      <c r="A74" s="265">
        <v>44545.0</v>
      </c>
      <c r="B74" s="266" t="s">
        <v>1500</v>
      </c>
      <c r="C74" s="266" t="s">
        <v>1642</v>
      </c>
      <c r="D74" s="266" t="s">
        <v>1543</v>
      </c>
      <c r="E74" s="292"/>
      <c r="F74" s="291" t="s">
        <v>1649</v>
      </c>
      <c r="G74" s="268" t="s">
        <v>1463</v>
      </c>
      <c r="H74" s="270">
        <v>0.004513888888888889</v>
      </c>
      <c r="I74" s="271">
        <v>44545.848229166666</v>
      </c>
      <c r="J74" s="268"/>
      <c r="K74" s="271">
        <v>44547.29010416667</v>
      </c>
      <c r="L74" s="288"/>
      <c r="M74" s="278" t="s">
        <v>1650</v>
      </c>
      <c r="N74" s="290"/>
      <c r="O74" s="276"/>
      <c r="P74" s="276"/>
      <c r="Q74" s="276"/>
      <c r="R74" s="278"/>
      <c r="S74" s="278"/>
      <c r="T74" s="278"/>
      <c r="U74" s="279"/>
      <c r="V74" s="279"/>
      <c r="W74" s="280"/>
      <c r="X74" s="281"/>
      <c r="Y74" s="279"/>
      <c r="Z74" s="282" t="s">
        <v>53</v>
      </c>
      <c r="AA74" s="282">
        <v>7218078.0</v>
      </c>
      <c r="AB74" s="283">
        <v>44550.0</v>
      </c>
      <c r="AC74" s="284"/>
      <c r="AD74" s="284"/>
    </row>
    <row r="75" ht="14.25" customHeight="1">
      <c r="A75" s="265">
        <v>44545.0</v>
      </c>
      <c r="B75" s="266" t="s">
        <v>1500</v>
      </c>
      <c r="C75" s="266" t="s">
        <v>1642</v>
      </c>
      <c r="D75" s="266" t="s">
        <v>1543</v>
      </c>
      <c r="E75" s="292"/>
      <c r="F75" s="291" t="s">
        <v>1651</v>
      </c>
      <c r="G75" s="268" t="s">
        <v>1463</v>
      </c>
      <c r="H75" s="270">
        <v>0.0010069444444444444</v>
      </c>
      <c r="I75" s="271">
        <v>44545.84496527778</v>
      </c>
      <c r="J75" s="268"/>
      <c r="K75" s="271">
        <v>44547.29053240741</v>
      </c>
      <c r="L75" s="288"/>
      <c r="M75" s="278" t="s">
        <v>1652</v>
      </c>
      <c r="N75" s="290"/>
      <c r="O75" s="276"/>
      <c r="P75" s="276"/>
      <c r="Q75" s="276"/>
      <c r="R75" s="278"/>
      <c r="S75" s="278"/>
      <c r="T75" s="278"/>
      <c r="U75" s="279"/>
      <c r="V75" s="279"/>
      <c r="W75" s="280"/>
      <c r="X75" s="281"/>
      <c r="Y75" s="279"/>
      <c r="Z75" s="282" t="s">
        <v>53</v>
      </c>
      <c r="AA75" s="282">
        <v>7218079.0</v>
      </c>
      <c r="AB75" s="283">
        <v>44550.0</v>
      </c>
      <c r="AC75" s="284"/>
      <c r="AD75" s="284"/>
    </row>
    <row r="76" ht="14.25" customHeight="1">
      <c r="A76" s="265">
        <v>44545.0</v>
      </c>
      <c r="B76" s="266" t="s">
        <v>1500</v>
      </c>
      <c r="C76" s="266" t="s">
        <v>1642</v>
      </c>
      <c r="D76" s="266" t="s">
        <v>1543</v>
      </c>
      <c r="E76" s="292"/>
      <c r="F76" s="291" t="s">
        <v>1653</v>
      </c>
      <c r="G76" s="268" t="s">
        <v>1463</v>
      </c>
      <c r="H76" s="270">
        <v>8.449074074074075E-4</v>
      </c>
      <c r="I76" s="271">
        <v>44545.84496527778</v>
      </c>
      <c r="J76" s="268"/>
      <c r="K76" s="271">
        <v>44547.29659722222</v>
      </c>
      <c r="L76" s="288"/>
      <c r="M76" s="278" t="s">
        <v>1654</v>
      </c>
      <c r="N76" s="290"/>
      <c r="O76" s="276"/>
      <c r="P76" s="276"/>
      <c r="Q76" s="276"/>
      <c r="R76" s="278"/>
      <c r="S76" s="278"/>
      <c r="T76" s="278"/>
      <c r="U76" s="279"/>
      <c r="V76" s="279"/>
      <c r="W76" s="280"/>
      <c r="X76" s="281"/>
      <c r="Y76" s="279"/>
      <c r="Z76" s="282" t="s">
        <v>53</v>
      </c>
      <c r="AA76" s="282">
        <v>7218080.0</v>
      </c>
      <c r="AB76" s="283">
        <v>44550.0</v>
      </c>
      <c r="AC76" s="284"/>
      <c r="AD76" s="284"/>
    </row>
    <row r="77" ht="14.25" customHeight="1">
      <c r="A77" s="265">
        <v>44546.0</v>
      </c>
      <c r="B77" s="266" t="s">
        <v>1500</v>
      </c>
      <c r="C77" s="266" t="s">
        <v>1642</v>
      </c>
      <c r="D77" s="266" t="s">
        <v>1502</v>
      </c>
      <c r="E77" s="268"/>
      <c r="F77" s="291" t="s">
        <v>1655</v>
      </c>
      <c r="G77" s="268" t="s">
        <v>1463</v>
      </c>
      <c r="H77" s="270">
        <v>0.043368055555555556</v>
      </c>
      <c r="I77" s="271">
        <v>44550.689421296294</v>
      </c>
      <c r="J77" s="268"/>
      <c r="K77" s="271">
        <v>44550.868993055556</v>
      </c>
      <c r="L77" s="288" t="str">
        <f t="shared" ref="L77:L78" si="2">IFERROR(IF(OR(I77="",K77=""),"",K77-I77),"")</f>
        <v>4:18:35 AM</v>
      </c>
      <c r="M77" s="278" t="s">
        <v>1656</v>
      </c>
      <c r="N77" s="290"/>
      <c r="O77" s="276"/>
      <c r="P77" s="276"/>
      <c r="Q77" s="276"/>
      <c r="R77" s="278"/>
      <c r="S77" s="278"/>
      <c r="T77" s="278"/>
      <c r="U77" s="279"/>
      <c r="V77" s="279"/>
      <c r="W77" s="279"/>
      <c r="X77" s="279"/>
      <c r="Y77" s="279"/>
      <c r="Z77" s="282" t="s">
        <v>1505</v>
      </c>
      <c r="AA77" s="282">
        <v>7214309.0</v>
      </c>
      <c r="AB77" s="283">
        <v>44546.0</v>
      </c>
      <c r="AC77" s="284"/>
      <c r="AD77" s="284"/>
    </row>
    <row r="78" ht="14.25" customHeight="1">
      <c r="A78" s="265">
        <v>44546.0</v>
      </c>
      <c r="B78" s="266" t="s">
        <v>1500</v>
      </c>
      <c r="C78" s="266" t="s">
        <v>1642</v>
      </c>
      <c r="D78" s="266" t="s">
        <v>1502</v>
      </c>
      <c r="E78" s="268"/>
      <c r="F78" s="291" t="s">
        <v>1657</v>
      </c>
      <c r="G78" s="268" t="s">
        <v>1463</v>
      </c>
      <c r="H78" s="270">
        <v>0.043368055555555556</v>
      </c>
      <c r="I78" s="271">
        <v>44550.67885416667</v>
      </c>
      <c r="J78" s="268"/>
      <c r="K78" s="271">
        <v>44550.86944444444</v>
      </c>
      <c r="L78" s="288" t="str">
        <f t="shared" si="2"/>
        <v>4:34:27 AM</v>
      </c>
      <c r="M78" s="278" t="s">
        <v>1658</v>
      </c>
      <c r="N78" s="290"/>
      <c r="O78" s="276"/>
      <c r="P78" s="276"/>
      <c r="Q78" s="276"/>
      <c r="R78" s="278"/>
      <c r="S78" s="278"/>
      <c r="T78" s="278"/>
      <c r="U78" s="279"/>
      <c r="V78" s="279"/>
      <c r="W78" s="279"/>
      <c r="X78" s="279"/>
      <c r="Y78" s="279"/>
      <c r="Z78" s="282" t="s">
        <v>53</v>
      </c>
      <c r="AA78" s="282">
        <v>7259356.0</v>
      </c>
      <c r="AB78" s="283">
        <v>44559.0</v>
      </c>
      <c r="AC78" s="284"/>
      <c r="AD78" s="284"/>
    </row>
    <row r="79" ht="14.25" customHeight="1">
      <c r="A79" s="265">
        <v>44558.0</v>
      </c>
      <c r="B79" s="265" t="s">
        <v>1500</v>
      </c>
      <c r="C79" s="265" t="s">
        <v>1659</v>
      </c>
      <c r="D79" s="266" t="s">
        <v>1502</v>
      </c>
      <c r="E79" s="292"/>
      <c r="F79" s="269" t="s">
        <v>1660</v>
      </c>
      <c r="G79" s="268" t="s">
        <v>1661</v>
      </c>
      <c r="H79" s="270">
        <v>0.050729166666666665</v>
      </c>
      <c r="I79" s="271">
        <v>44558.243125</v>
      </c>
      <c r="J79" s="268"/>
      <c r="K79" s="271">
        <v>44558.27127314815</v>
      </c>
      <c r="L79" s="288"/>
      <c r="M79" s="278" t="s">
        <v>1662</v>
      </c>
      <c r="N79" s="290"/>
      <c r="O79" s="276"/>
      <c r="P79" s="276"/>
      <c r="Q79" s="276"/>
      <c r="R79" s="278"/>
      <c r="S79" s="278"/>
      <c r="T79" s="278"/>
      <c r="U79" s="279"/>
      <c r="V79" s="279"/>
      <c r="W79" s="280"/>
      <c r="X79" s="281"/>
      <c r="Y79" s="279"/>
      <c r="Z79" s="282" t="s">
        <v>53</v>
      </c>
      <c r="AA79" s="282">
        <v>7260245.0</v>
      </c>
      <c r="AB79" s="283">
        <v>44559.0</v>
      </c>
      <c r="AC79" s="284"/>
      <c r="AD79" s="284"/>
    </row>
    <row r="80" ht="14.25" customHeight="1">
      <c r="A80" s="265">
        <v>44558.0</v>
      </c>
      <c r="B80" s="265" t="s">
        <v>1500</v>
      </c>
      <c r="C80" s="265" t="s">
        <v>1659</v>
      </c>
      <c r="D80" s="266" t="s">
        <v>1502</v>
      </c>
      <c r="E80" s="292"/>
      <c r="F80" s="269" t="s">
        <v>1663</v>
      </c>
      <c r="G80" s="268" t="s">
        <v>1661</v>
      </c>
      <c r="H80" s="270">
        <v>0.050729166666666665</v>
      </c>
      <c r="I80" s="271">
        <v>44558.243125</v>
      </c>
      <c r="J80" s="268"/>
      <c r="K80" s="271">
        <v>44558.27127314815</v>
      </c>
      <c r="L80" s="288"/>
      <c r="M80" s="278" t="s">
        <v>1664</v>
      </c>
      <c r="N80" s="290"/>
      <c r="O80" s="276"/>
      <c r="P80" s="276"/>
      <c r="Q80" s="276"/>
      <c r="R80" s="278"/>
      <c r="S80" s="278"/>
      <c r="T80" s="278"/>
      <c r="U80" s="279"/>
      <c r="V80" s="279"/>
      <c r="W80" s="280"/>
      <c r="X80" s="281"/>
      <c r="Y80" s="279"/>
      <c r="Z80" s="282" t="s">
        <v>53</v>
      </c>
      <c r="AA80" s="282">
        <v>7259357.0</v>
      </c>
      <c r="AB80" s="283">
        <v>44559.0</v>
      </c>
      <c r="AC80" s="284"/>
      <c r="AD80" s="284"/>
    </row>
    <row r="81" ht="14.25" customHeight="1">
      <c r="A81" s="265">
        <v>44558.0</v>
      </c>
      <c r="B81" s="265" t="s">
        <v>1500</v>
      </c>
      <c r="C81" s="265" t="s">
        <v>1665</v>
      </c>
      <c r="D81" s="266" t="s">
        <v>1502</v>
      </c>
      <c r="E81" s="292"/>
      <c r="F81" s="269" t="s">
        <v>1666</v>
      </c>
      <c r="G81" s="268" t="s">
        <v>1661</v>
      </c>
      <c r="H81" s="270">
        <v>0.05502314814814815</v>
      </c>
      <c r="I81" s="271">
        <v>44558.30871527778</v>
      </c>
      <c r="J81" s="268"/>
      <c r="K81" s="271">
        <v>44558.353310185186</v>
      </c>
      <c r="L81" s="288"/>
      <c r="M81" s="278" t="s">
        <v>1667</v>
      </c>
      <c r="N81" s="290"/>
      <c r="O81" s="276"/>
      <c r="P81" s="276"/>
      <c r="Q81" s="276"/>
      <c r="R81" s="278"/>
      <c r="S81" s="278"/>
      <c r="T81" s="278"/>
      <c r="U81" s="279"/>
      <c r="V81" s="279"/>
      <c r="W81" s="280"/>
      <c r="X81" s="281"/>
      <c r="Y81" s="279"/>
      <c r="Z81" s="282" t="s">
        <v>53</v>
      </c>
      <c r="AA81" s="282">
        <v>7260247.0</v>
      </c>
      <c r="AB81" s="283">
        <v>44559.0</v>
      </c>
      <c r="AC81" s="284"/>
      <c r="AD81" s="284"/>
    </row>
    <row r="82" ht="14.25" customHeight="1">
      <c r="A82" s="265">
        <v>44558.0</v>
      </c>
      <c r="B82" s="265" t="s">
        <v>1500</v>
      </c>
      <c r="C82" s="265" t="s">
        <v>1665</v>
      </c>
      <c r="D82" s="266" t="s">
        <v>1502</v>
      </c>
      <c r="E82" s="292"/>
      <c r="F82" s="269" t="s">
        <v>1668</v>
      </c>
      <c r="G82" s="268" t="s">
        <v>1661</v>
      </c>
      <c r="H82" s="270">
        <v>0.05502314814814815</v>
      </c>
      <c r="I82" s="271">
        <v>44558.308703703704</v>
      </c>
      <c r="J82" s="268"/>
      <c r="K82" s="271">
        <v>44558.353472222225</v>
      </c>
      <c r="L82" s="288"/>
      <c r="M82" s="278" t="s">
        <v>1669</v>
      </c>
      <c r="N82" s="290"/>
      <c r="O82" s="276"/>
      <c r="P82" s="276"/>
      <c r="Q82" s="276"/>
      <c r="R82" s="278"/>
      <c r="S82" s="278"/>
      <c r="T82" s="278"/>
      <c r="U82" s="279"/>
      <c r="V82" s="279"/>
      <c r="W82" s="280"/>
      <c r="X82" s="281"/>
      <c r="Y82" s="279"/>
      <c r="Z82" s="282" t="s">
        <v>53</v>
      </c>
      <c r="AA82" s="282">
        <v>7260248.0</v>
      </c>
      <c r="AB82" s="283">
        <v>44559.0</v>
      </c>
      <c r="AC82" s="284"/>
      <c r="AD82" s="284"/>
    </row>
    <row r="83" ht="14.25" customHeight="1">
      <c r="A83" s="265">
        <v>44568.0</v>
      </c>
      <c r="B83" s="266" t="s">
        <v>1500</v>
      </c>
      <c r="C83" s="266" t="s">
        <v>1670</v>
      </c>
      <c r="D83" s="266" t="s">
        <v>1502</v>
      </c>
      <c r="E83" s="268"/>
      <c r="F83" s="269" t="s">
        <v>1671</v>
      </c>
      <c r="G83" s="268" t="s">
        <v>1463</v>
      </c>
      <c r="H83" s="270">
        <v>0.03701388888888889</v>
      </c>
      <c r="I83" s="271">
        <v>44568.684953703705</v>
      </c>
      <c r="J83" s="271"/>
      <c r="K83" s="271">
        <v>44571.41363425926</v>
      </c>
      <c r="L83" s="288"/>
      <c r="M83" s="278" t="s">
        <v>1672</v>
      </c>
      <c r="N83" s="290"/>
      <c r="O83" s="276"/>
      <c r="P83" s="276"/>
      <c r="Q83" s="276"/>
      <c r="R83" s="278"/>
      <c r="S83" s="278"/>
      <c r="T83" s="278"/>
      <c r="U83" s="279"/>
      <c r="V83" s="279"/>
      <c r="W83" s="280"/>
      <c r="X83" s="281"/>
      <c r="Y83" s="279"/>
      <c r="Z83" s="282"/>
      <c r="AA83" s="293"/>
      <c r="AB83" s="283"/>
      <c r="AC83" s="284"/>
      <c r="AD83" s="284"/>
    </row>
    <row r="84" ht="14.25" customHeight="1">
      <c r="A84" s="265">
        <v>44568.0</v>
      </c>
      <c r="B84" s="266" t="s">
        <v>1500</v>
      </c>
      <c r="C84" s="266" t="s">
        <v>1670</v>
      </c>
      <c r="D84" s="266" t="s">
        <v>1502</v>
      </c>
      <c r="E84" s="268"/>
      <c r="F84" s="269" t="s">
        <v>1673</v>
      </c>
      <c r="G84" s="268" t="s">
        <v>1463</v>
      </c>
      <c r="H84" s="270">
        <v>0.03701388888888889</v>
      </c>
      <c r="I84" s="271">
        <v>44571.46104166667</v>
      </c>
      <c r="J84" s="271"/>
      <c r="K84" s="271">
        <v>44572.31518518519</v>
      </c>
      <c r="L84" s="288"/>
      <c r="M84" s="278" t="s">
        <v>1674</v>
      </c>
      <c r="N84" s="290"/>
      <c r="O84" s="276"/>
      <c r="P84" s="276"/>
      <c r="Q84" s="276"/>
      <c r="R84" s="278"/>
      <c r="S84" s="278"/>
      <c r="T84" s="278"/>
      <c r="U84" s="279"/>
      <c r="V84" s="279"/>
      <c r="W84" s="280"/>
      <c r="X84" s="281"/>
      <c r="Y84" s="279"/>
      <c r="Z84" s="282"/>
      <c r="AA84" s="293"/>
      <c r="AB84" s="283"/>
      <c r="AC84" s="284"/>
      <c r="AD84" s="284"/>
    </row>
    <row r="85" ht="14.25" customHeight="1">
      <c r="A85" s="265">
        <v>44568.0</v>
      </c>
      <c r="B85" s="266" t="s">
        <v>1500</v>
      </c>
      <c r="C85" s="266" t="s">
        <v>1670</v>
      </c>
      <c r="D85" s="266" t="s">
        <v>1502</v>
      </c>
      <c r="E85" s="268"/>
      <c r="F85" s="269" t="s">
        <v>1675</v>
      </c>
      <c r="G85" s="268" t="s">
        <v>1463</v>
      </c>
      <c r="H85" s="270">
        <v>0.03023148148148148</v>
      </c>
      <c r="I85" s="271">
        <v>44572.354166666664</v>
      </c>
      <c r="J85" s="271"/>
      <c r="K85" s="271">
        <v>44572.36172453704</v>
      </c>
      <c r="L85" s="288"/>
      <c r="M85" s="278" t="s">
        <v>1676</v>
      </c>
      <c r="N85" s="290"/>
      <c r="O85" s="276"/>
      <c r="P85" s="276"/>
      <c r="Q85" s="276"/>
      <c r="R85" s="278"/>
      <c r="S85" s="278"/>
      <c r="T85" s="278"/>
      <c r="U85" s="279"/>
      <c r="V85" s="279"/>
      <c r="W85" s="280"/>
      <c r="X85" s="281"/>
      <c r="Y85" s="279"/>
      <c r="Z85" s="282"/>
      <c r="AA85" s="293"/>
      <c r="AB85" s="283"/>
      <c r="AC85" s="284"/>
      <c r="AD85" s="284"/>
    </row>
    <row r="86" ht="14.25" customHeight="1">
      <c r="A86" s="265">
        <v>44568.0</v>
      </c>
      <c r="B86" s="266" t="s">
        <v>1500</v>
      </c>
      <c r="C86" s="266" t="s">
        <v>1670</v>
      </c>
      <c r="D86" s="266" t="s">
        <v>1502</v>
      </c>
      <c r="E86" s="268"/>
      <c r="F86" s="269" t="s">
        <v>1677</v>
      </c>
      <c r="G86" s="268" t="s">
        <v>1463</v>
      </c>
      <c r="H86" s="270">
        <v>0.03023148148148148</v>
      </c>
      <c r="I86" s="271">
        <v>44572.354166666664</v>
      </c>
      <c r="J86" s="271"/>
      <c r="K86" s="271">
        <v>44572.361979166664</v>
      </c>
      <c r="L86" s="288"/>
      <c r="M86" s="278" t="s">
        <v>1678</v>
      </c>
      <c r="N86" s="290"/>
      <c r="O86" s="276"/>
      <c r="P86" s="276"/>
      <c r="Q86" s="276"/>
      <c r="R86" s="278"/>
      <c r="S86" s="278"/>
      <c r="T86" s="278"/>
      <c r="U86" s="279"/>
      <c r="V86" s="279"/>
      <c r="W86" s="280"/>
      <c r="X86" s="281"/>
      <c r="Y86" s="279"/>
      <c r="Z86" s="282"/>
      <c r="AA86" s="293"/>
      <c r="AB86" s="283"/>
      <c r="AC86" s="284"/>
      <c r="AD86" s="284"/>
    </row>
    <row r="87" ht="14.25" customHeight="1">
      <c r="A87" s="265">
        <v>44568.0</v>
      </c>
      <c r="B87" s="266" t="s">
        <v>1500</v>
      </c>
      <c r="C87" s="266" t="s">
        <v>1670</v>
      </c>
      <c r="D87" s="266" t="s">
        <v>1543</v>
      </c>
      <c r="E87" s="268"/>
      <c r="F87" s="269" t="s">
        <v>1679</v>
      </c>
      <c r="G87" s="268" t="s">
        <v>1463</v>
      </c>
      <c r="H87" s="270">
        <v>0.003368055555555555</v>
      </c>
      <c r="I87" s="271">
        <v>44571.451006944444</v>
      </c>
      <c r="J87" s="271"/>
      <c r="K87" s="271">
        <v>44571.456782407404</v>
      </c>
      <c r="L87" s="288"/>
      <c r="M87" s="278" t="s">
        <v>1680</v>
      </c>
      <c r="N87" s="290"/>
      <c r="O87" s="276"/>
      <c r="P87" s="276"/>
      <c r="Q87" s="276"/>
      <c r="R87" s="278"/>
      <c r="S87" s="278"/>
      <c r="T87" s="278"/>
      <c r="U87" s="279"/>
      <c r="V87" s="279"/>
      <c r="W87" s="280"/>
      <c r="X87" s="281"/>
      <c r="Y87" s="279"/>
      <c r="Z87" s="282"/>
      <c r="AA87" s="293"/>
      <c r="AB87" s="283"/>
      <c r="AC87" s="284"/>
      <c r="AD87" s="284"/>
    </row>
    <row r="88" ht="14.25" customHeight="1">
      <c r="A88" s="265">
        <v>44568.0</v>
      </c>
      <c r="B88" s="266" t="s">
        <v>1500</v>
      </c>
      <c r="C88" s="266" t="s">
        <v>1670</v>
      </c>
      <c r="D88" s="266" t="s">
        <v>1543</v>
      </c>
      <c r="E88" s="268"/>
      <c r="F88" s="269" t="s">
        <v>1681</v>
      </c>
      <c r="G88" s="268" t="s">
        <v>1463</v>
      </c>
      <c r="H88" s="270">
        <v>0.007905092592592592</v>
      </c>
      <c r="I88" s="271">
        <v>44570.63627314815</v>
      </c>
      <c r="J88" s="271"/>
      <c r="K88" s="271">
        <v>44572.32898148148</v>
      </c>
      <c r="L88" s="288"/>
      <c r="M88" s="278" t="s">
        <v>1682</v>
      </c>
      <c r="N88" s="290"/>
      <c r="O88" s="276"/>
      <c r="P88" s="276"/>
      <c r="Q88" s="276"/>
      <c r="R88" s="278"/>
      <c r="S88" s="278"/>
      <c r="T88" s="278"/>
      <c r="U88" s="279"/>
      <c r="V88" s="279"/>
      <c r="W88" s="280"/>
      <c r="X88" s="281"/>
      <c r="Y88" s="279"/>
      <c r="Z88" s="282"/>
      <c r="AA88" s="293"/>
      <c r="AB88" s="283"/>
      <c r="AC88" s="284"/>
      <c r="AD88" s="284"/>
    </row>
    <row r="89" ht="14.25" customHeight="1">
      <c r="A89" s="265">
        <v>44568.0</v>
      </c>
      <c r="B89" s="266" t="s">
        <v>1500</v>
      </c>
      <c r="C89" s="266" t="s">
        <v>1670</v>
      </c>
      <c r="D89" s="266" t="s">
        <v>1543</v>
      </c>
      <c r="E89" s="268"/>
      <c r="F89" s="269" t="s">
        <v>1683</v>
      </c>
      <c r="G89" s="268" t="s">
        <v>1463</v>
      </c>
      <c r="H89" s="270">
        <v>0.010219907407407408</v>
      </c>
      <c r="I89" s="271">
        <v>44570.6418287037</v>
      </c>
      <c r="J89" s="271"/>
      <c r="K89" s="271">
        <v>44572.33122685185</v>
      </c>
      <c r="L89" s="288"/>
      <c r="M89" s="278" t="s">
        <v>1684</v>
      </c>
      <c r="N89" s="290"/>
      <c r="O89" s="276"/>
      <c r="P89" s="276"/>
      <c r="Q89" s="276"/>
      <c r="R89" s="278"/>
      <c r="S89" s="278"/>
      <c r="T89" s="278"/>
      <c r="U89" s="279"/>
      <c r="V89" s="279"/>
      <c r="W89" s="280"/>
      <c r="X89" s="281"/>
      <c r="Y89" s="279"/>
      <c r="Z89" s="282"/>
      <c r="AA89" s="293"/>
      <c r="AB89" s="283"/>
      <c r="AC89" s="284"/>
      <c r="AD89" s="284"/>
    </row>
    <row r="90" ht="14.25" customHeight="1">
      <c r="A90" s="266"/>
      <c r="B90" s="266"/>
      <c r="C90" s="266"/>
      <c r="D90" s="266"/>
      <c r="E90" s="268"/>
      <c r="F90" s="291"/>
      <c r="G90" s="268"/>
      <c r="H90" s="268"/>
      <c r="I90" s="268"/>
      <c r="J90" s="268"/>
      <c r="K90" s="268"/>
      <c r="L90" s="288" t="str">
        <f t="shared" ref="L90:L453" si="3">IFERROR(IF(OR(I90="",K90=""),"",K90-I90),"")</f>
        <v/>
      </c>
      <c r="M90" s="278"/>
      <c r="N90" s="290"/>
      <c r="O90" s="276"/>
      <c r="P90" s="276"/>
      <c r="Q90" s="276"/>
      <c r="R90" s="278"/>
      <c r="S90" s="278"/>
      <c r="T90" s="278"/>
      <c r="U90" s="279"/>
      <c r="V90" s="279"/>
      <c r="W90" s="279"/>
      <c r="X90" s="279"/>
      <c r="Y90" s="279"/>
      <c r="Z90" s="282"/>
      <c r="AA90" s="282"/>
      <c r="AB90" s="282"/>
      <c r="AC90" s="284"/>
      <c r="AD90" s="284"/>
    </row>
    <row r="91" ht="14.25" customHeight="1">
      <c r="A91" s="266"/>
      <c r="B91" s="266"/>
      <c r="C91" s="266"/>
      <c r="D91" s="266"/>
      <c r="E91" s="268"/>
      <c r="F91" s="291"/>
      <c r="G91" s="268"/>
      <c r="H91" s="268"/>
      <c r="I91" s="268"/>
      <c r="J91" s="268"/>
      <c r="K91" s="268"/>
      <c r="L91" s="288" t="str">
        <f t="shared" si="3"/>
        <v/>
      </c>
      <c r="M91" s="278"/>
      <c r="N91" s="290"/>
      <c r="O91" s="276"/>
      <c r="P91" s="276"/>
      <c r="Q91" s="276"/>
      <c r="R91" s="278"/>
      <c r="S91" s="278"/>
      <c r="T91" s="278"/>
      <c r="U91" s="279"/>
      <c r="V91" s="279"/>
      <c r="W91" s="279"/>
      <c r="X91" s="279"/>
      <c r="Y91" s="279"/>
      <c r="Z91" s="282"/>
      <c r="AA91" s="282"/>
      <c r="AB91" s="282"/>
      <c r="AC91" s="284"/>
      <c r="AD91" s="284"/>
    </row>
    <row r="92" ht="14.25" customHeight="1">
      <c r="A92" s="266"/>
      <c r="B92" s="266"/>
      <c r="C92" s="266"/>
      <c r="D92" s="266"/>
      <c r="E92" s="268"/>
      <c r="F92" s="291"/>
      <c r="G92" s="268"/>
      <c r="H92" s="268"/>
      <c r="I92" s="268"/>
      <c r="J92" s="268"/>
      <c r="K92" s="268"/>
      <c r="L92" s="288" t="str">
        <f t="shared" si="3"/>
        <v/>
      </c>
      <c r="M92" s="278"/>
      <c r="N92" s="290"/>
      <c r="O92" s="276"/>
      <c r="P92" s="276"/>
      <c r="Q92" s="276"/>
      <c r="R92" s="278"/>
      <c r="S92" s="278"/>
      <c r="T92" s="278"/>
      <c r="U92" s="279"/>
      <c r="V92" s="279"/>
      <c r="W92" s="279"/>
      <c r="X92" s="279"/>
      <c r="Y92" s="279"/>
      <c r="Z92" s="282"/>
      <c r="AA92" s="282"/>
      <c r="AB92" s="282"/>
      <c r="AC92" s="284"/>
      <c r="AD92" s="284"/>
    </row>
    <row r="93" ht="14.25" customHeight="1">
      <c r="A93" s="266"/>
      <c r="B93" s="266"/>
      <c r="C93" s="266"/>
      <c r="D93" s="266"/>
      <c r="E93" s="268"/>
      <c r="F93" s="291"/>
      <c r="G93" s="268"/>
      <c r="H93" s="268"/>
      <c r="I93" s="268"/>
      <c r="J93" s="268"/>
      <c r="K93" s="268"/>
      <c r="L93" s="288" t="str">
        <f t="shared" si="3"/>
        <v/>
      </c>
      <c r="M93" s="278"/>
      <c r="N93" s="290"/>
      <c r="O93" s="276"/>
      <c r="P93" s="276"/>
      <c r="Q93" s="276"/>
      <c r="R93" s="278"/>
      <c r="S93" s="278"/>
      <c r="T93" s="278"/>
      <c r="U93" s="279"/>
      <c r="V93" s="279"/>
      <c r="W93" s="279"/>
      <c r="X93" s="279"/>
      <c r="Y93" s="279"/>
      <c r="Z93" s="282"/>
      <c r="AA93" s="282"/>
      <c r="AB93" s="282"/>
      <c r="AC93" s="284"/>
      <c r="AD93" s="284"/>
    </row>
    <row r="94" ht="14.25" customHeight="1">
      <c r="A94" s="266"/>
      <c r="B94" s="266"/>
      <c r="C94" s="266"/>
      <c r="D94" s="266"/>
      <c r="E94" s="268"/>
      <c r="F94" s="291"/>
      <c r="G94" s="268"/>
      <c r="H94" s="268"/>
      <c r="I94" s="268"/>
      <c r="J94" s="268"/>
      <c r="K94" s="268"/>
      <c r="L94" s="288" t="str">
        <f t="shared" si="3"/>
        <v/>
      </c>
      <c r="M94" s="278"/>
      <c r="N94" s="290"/>
      <c r="O94" s="276"/>
      <c r="P94" s="276"/>
      <c r="Q94" s="276"/>
      <c r="R94" s="278"/>
      <c r="S94" s="278"/>
      <c r="T94" s="278"/>
      <c r="U94" s="279"/>
      <c r="V94" s="279"/>
      <c r="W94" s="279"/>
      <c r="X94" s="279"/>
      <c r="Y94" s="279"/>
      <c r="Z94" s="282"/>
      <c r="AA94" s="282"/>
      <c r="AB94" s="282"/>
      <c r="AC94" s="284"/>
      <c r="AD94" s="284"/>
    </row>
    <row r="95" ht="14.25" customHeight="1">
      <c r="A95" s="266"/>
      <c r="B95" s="266"/>
      <c r="C95" s="266"/>
      <c r="D95" s="266"/>
      <c r="E95" s="268"/>
      <c r="F95" s="291"/>
      <c r="G95" s="268"/>
      <c r="H95" s="268"/>
      <c r="I95" s="268"/>
      <c r="J95" s="268"/>
      <c r="K95" s="268"/>
      <c r="L95" s="288" t="str">
        <f t="shared" si="3"/>
        <v/>
      </c>
      <c r="M95" s="278"/>
      <c r="N95" s="290"/>
      <c r="O95" s="276"/>
      <c r="P95" s="276"/>
      <c r="Q95" s="276"/>
      <c r="R95" s="278"/>
      <c r="S95" s="278"/>
      <c r="T95" s="278"/>
      <c r="U95" s="279"/>
      <c r="V95" s="279"/>
      <c r="W95" s="279"/>
      <c r="X95" s="279"/>
      <c r="Y95" s="279"/>
      <c r="Z95" s="282"/>
      <c r="AA95" s="282"/>
      <c r="AB95" s="282"/>
      <c r="AC95" s="284"/>
      <c r="AD95" s="284"/>
    </row>
    <row r="96" ht="14.25" customHeight="1">
      <c r="A96" s="266"/>
      <c r="B96" s="266"/>
      <c r="C96" s="266"/>
      <c r="D96" s="266"/>
      <c r="E96" s="268"/>
      <c r="F96" s="291"/>
      <c r="G96" s="268"/>
      <c r="H96" s="268"/>
      <c r="I96" s="268"/>
      <c r="J96" s="268"/>
      <c r="K96" s="268"/>
      <c r="L96" s="288" t="str">
        <f t="shared" si="3"/>
        <v/>
      </c>
      <c r="M96" s="278"/>
      <c r="N96" s="290"/>
      <c r="O96" s="276"/>
      <c r="P96" s="276"/>
      <c r="Q96" s="276"/>
      <c r="R96" s="278"/>
      <c r="S96" s="278"/>
      <c r="T96" s="278"/>
      <c r="U96" s="279"/>
      <c r="V96" s="279"/>
      <c r="W96" s="279"/>
      <c r="X96" s="279"/>
      <c r="Y96" s="279"/>
      <c r="Z96" s="282"/>
      <c r="AA96" s="282"/>
      <c r="AB96" s="282"/>
      <c r="AC96" s="284"/>
      <c r="AD96" s="284"/>
    </row>
    <row r="97" ht="14.25" customHeight="1">
      <c r="A97" s="266"/>
      <c r="B97" s="266"/>
      <c r="C97" s="266"/>
      <c r="D97" s="266"/>
      <c r="E97" s="268"/>
      <c r="F97" s="291"/>
      <c r="G97" s="268"/>
      <c r="H97" s="268"/>
      <c r="I97" s="268"/>
      <c r="J97" s="268"/>
      <c r="K97" s="268"/>
      <c r="L97" s="288" t="str">
        <f t="shared" si="3"/>
        <v/>
      </c>
      <c r="M97" s="278"/>
      <c r="N97" s="290"/>
      <c r="O97" s="276"/>
      <c r="P97" s="276"/>
      <c r="Q97" s="276"/>
      <c r="R97" s="278"/>
      <c r="S97" s="278"/>
      <c r="T97" s="278"/>
      <c r="U97" s="279"/>
      <c r="V97" s="279"/>
      <c r="W97" s="279"/>
      <c r="X97" s="279"/>
      <c r="Y97" s="279"/>
      <c r="Z97" s="282"/>
      <c r="AA97" s="282"/>
      <c r="AB97" s="282"/>
      <c r="AC97" s="284"/>
      <c r="AD97" s="284"/>
    </row>
    <row r="98" ht="14.25" customHeight="1">
      <c r="A98" s="266"/>
      <c r="B98" s="266"/>
      <c r="C98" s="266"/>
      <c r="D98" s="266"/>
      <c r="E98" s="268"/>
      <c r="F98" s="291"/>
      <c r="G98" s="268"/>
      <c r="H98" s="268"/>
      <c r="I98" s="268"/>
      <c r="J98" s="268"/>
      <c r="K98" s="268"/>
      <c r="L98" s="288" t="str">
        <f t="shared" si="3"/>
        <v/>
      </c>
      <c r="M98" s="278"/>
      <c r="N98" s="290"/>
      <c r="O98" s="276"/>
      <c r="P98" s="276"/>
      <c r="Q98" s="276"/>
      <c r="R98" s="278"/>
      <c r="S98" s="278"/>
      <c r="T98" s="278"/>
      <c r="U98" s="279"/>
      <c r="V98" s="279"/>
      <c r="W98" s="279"/>
      <c r="X98" s="279"/>
      <c r="Y98" s="279"/>
      <c r="Z98" s="282"/>
      <c r="AA98" s="282"/>
      <c r="AB98" s="282"/>
      <c r="AC98" s="284"/>
      <c r="AD98" s="284"/>
    </row>
    <row r="99" ht="14.25" customHeight="1">
      <c r="A99" s="266"/>
      <c r="B99" s="266"/>
      <c r="C99" s="266"/>
      <c r="D99" s="266"/>
      <c r="E99" s="268"/>
      <c r="F99" s="291"/>
      <c r="G99" s="268"/>
      <c r="H99" s="268"/>
      <c r="I99" s="268"/>
      <c r="J99" s="268"/>
      <c r="K99" s="268"/>
      <c r="L99" s="288" t="str">
        <f t="shared" si="3"/>
        <v/>
      </c>
      <c r="M99" s="278"/>
      <c r="N99" s="290"/>
      <c r="O99" s="276"/>
      <c r="P99" s="276"/>
      <c r="Q99" s="276"/>
      <c r="R99" s="278"/>
      <c r="S99" s="278"/>
      <c r="T99" s="278"/>
      <c r="U99" s="279"/>
      <c r="V99" s="279"/>
      <c r="W99" s="279"/>
      <c r="X99" s="279"/>
      <c r="Y99" s="279"/>
      <c r="Z99" s="282"/>
      <c r="AA99" s="282"/>
      <c r="AB99" s="282"/>
      <c r="AC99" s="284"/>
      <c r="AD99" s="284"/>
    </row>
    <row r="100" ht="14.25" customHeight="1">
      <c r="A100" s="266"/>
      <c r="B100" s="266"/>
      <c r="C100" s="266"/>
      <c r="D100" s="266"/>
      <c r="E100" s="268"/>
      <c r="F100" s="291"/>
      <c r="G100" s="268"/>
      <c r="H100" s="268"/>
      <c r="I100" s="268"/>
      <c r="J100" s="268"/>
      <c r="K100" s="268"/>
      <c r="L100" s="288" t="str">
        <f t="shared" si="3"/>
        <v/>
      </c>
      <c r="M100" s="278"/>
      <c r="N100" s="290"/>
      <c r="O100" s="276"/>
      <c r="P100" s="276"/>
      <c r="Q100" s="276"/>
      <c r="R100" s="278"/>
      <c r="S100" s="278"/>
      <c r="T100" s="278"/>
      <c r="U100" s="279"/>
      <c r="V100" s="279"/>
      <c r="W100" s="279"/>
      <c r="X100" s="279"/>
      <c r="Y100" s="279"/>
      <c r="Z100" s="282"/>
      <c r="AA100" s="282"/>
      <c r="AB100" s="282"/>
      <c r="AC100" s="284"/>
      <c r="AD100" s="284"/>
    </row>
    <row r="101" ht="14.25" customHeight="1">
      <c r="A101" s="266"/>
      <c r="B101" s="266"/>
      <c r="C101" s="266"/>
      <c r="D101" s="266"/>
      <c r="E101" s="268"/>
      <c r="F101" s="291"/>
      <c r="G101" s="268"/>
      <c r="H101" s="268"/>
      <c r="I101" s="268"/>
      <c r="J101" s="268"/>
      <c r="K101" s="268"/>
      <c r="L101" s="288" t="str">
        <f t="shared" si="3"/>
        <v/>
      </c>
      <c r="M101" s="278"/>
      <c r="N101" s="290"/>
      <c r="O101" s="276"/>
      <c r="P101" s="276"/>
      <c r="Q101" s="276"/>
      <c r="R101" s="278"/>
      <c r="S101" s="278"/>
      <c r="T101" s="278"/>
      <c r="U101" s="279"/>
      <c r="V101" s="279"/>
      <c r="W101" s="279"/>
      <c r="X101" s="279"/>
      <c r="Y101" s="279"/>
      <c r="Z101" s="282"/>
      <c r="AA101" s="282"/>
      <c r="AB101" s="282"/>
      <c r="AC101" s="284"/>
      <c r="AD101" s="284"/>
    </row>
    <row r="102" ht="14.25" customHeight="1">
      <c r="A102" s="266"/>
      <c r="B102" s="266"/>
      <c r="C102" s="266"/>
      <c r="D102" s="266"/>
      <c r="E102" s="268"/>
      <c r="F102" s="291"/>
      <c r="G102" s="268"/>
      <c r="H102" s="268"/>
      <c r="I102" s="268"/>
      <c r="J102" s="268"/>
      <c r="K102" s="268"/>
      <c r="L102" s="288" t="str">
        <f t="shared" si="3"/>
        <v/>
      </c>
      <c r="M102" s="278"/>
      <c r="N102" s="290"/>
      <c r="O102" s="276"/>
      <c r="P102" s="276"/>
      <c r="Q102" s="276"/>
      <c r="R102" s="278"/>
      <c r="S102" s="278"/>
      <c r="T102" s="278"/>
      <c r="U102" s="279"/>
      <c r="V102" s="279"/>
      <c r="W102" s="279"/>
      <c r="X102" s="279"/>
      <c r="Y102" s="279"/>
      <c r="Z102" s="282"/>
      <c r="AA102" s="282"/>
      <c r="AB102" s="282"/>
      <c r="AC102" s="284"/>
      <c r="AD102" s="284"/>
    </row>
    <row r="103" ht="14.25" customHeight="1">
      <c r="A103" s="266"/>
      <c r="B103" s="266"/>
      <c r="C103" s="266"/>
      <c r="D103" s="266"/>
      <c r="E103" s="268"/>
      <c r="F103" s="291"/>
      <c r="G103" s="268"/>
      <c r="H103" s="268"/>
      <c r="I103" s="268"/>
      <c r="J103" s="268"/>
      <c r="K103" s="268"/>
      <c r="L103" s="288" t="str">
        <f t="shared" si="3"/>
        <v/>
      </c>
      <c r="M103" s="278"/>
      <c r="N103" s="290"/>
      <c r="O103" s="276"/>
      <c r="P103" s="276"/>
      <c r="Q103" s="276"/>
      <c r="R103" s="278"/>
      <c r="S103" s="278"/>
      <c r="T103" s="278"/>
      <c r="U103" s="279"/>
      <c r="V103" s="279"/>
      <c r="W103" s="279"/>
      <c r="X103" s="279"/>
      <c r="Y103" s="279"/>
      <c r="Z103" s="282"/>
      <c r="AA103" s="282"/>
      <c r="AB103" s="282"/>
      <c r="AC103" s="284"/>
      <c r="AD103" s="284"/>
    </row>
    <row r="104" ht="14.25" customHeight="1">
      <c r="A104" s="266"/>
      <c r="B104" s="266"/>
      <c r="C104" s="266"/>
      <c r="D104" s="266"/>
      <c r="E104" s="268"/>
      <c r="F104" s="291"/>
      <c r="G104" s="268"/>
      <c r="H104" s="268"/>
      <c r="I104" s="268"/>
      <c r="J104" s="268"/>
      <c r="K104" s="268"/>
      <c r="L104" s="288" t="str">
        <f t="shared" si="3"/>
        <v/>
      </c>
      <c r="M104" s="278"/>
      <c r="N104" s="290"/>
      <c r="O104" s="276"/>
      <c r="P104" s="276"/>
      <c r="Q104" s="276"/>
      <c r="R104" s="278"/>
      <c r="S104" s="278"/>
      <c r="T104" s="278"/>
      <c r="U104" s="279"/>
      <c r="V104" s="279"/>
      <c r="W104" s="279"/>
      <c r="X104" s="279"/>
      <c r="Y104" s="279"/>
      <c r="Z104" s="282"/>
      <c r="AA104" s="282"/>
      <c r="AB104" s="282"/>
      <c r="AC104" s="284"/>
      <c r="AD104" s="284"/>
    </row>
    <row r="105" ht="14.25" customHeight="1">
      <c r="A105" s="266"/>
      <c r="B105" s="266"/>
      <c r="C105" s="266"/>
      <c r="D105" s="266"/>
      <c r="E105" s="268"/>
      <c r="F105" s="291"/>
      <c r="G105" s="268"/>
      <c r="H105" s="268"/>
      <c r="I105" s="268"/>
      <c r="J105" s="268"/>
      <c r="K105" s="268"/>
      <c r="L105" s="288" t="str">
        <f t="shared" si="3"/>
        <v/>
      </c>
      <c r="M105" s="278"/>
      <c r="N105" s="290"/>
      <c r="O105" s="276"/>
      <c r="P105" s="276"/>
      <c r="Q105" s="276"/>
      <c r="R105" s="278"/>
      <c r="S105" s="278"/>
      <c r="T105" s="278"/>
      <c r="U105" s="279"/>
      <c r="V105" s="279"/>
      <c r="W105" s="279"/>
      <c r="X105" s="279"/>
      <c r="Y105" s="279"/>
      <c r="Z105" s="282"/>
      <c r="AA105" s="282"/>
      <c r="AB105" s="282"/>
      <c r="AC105" s="284"/>
      <c r="AD105" s="284"/>
    </row>
    <row r="106" ht="14.25" customHeight="1">
      <c r="A106" s="266"/>
      <c r="B106" s="266"/>
      <c r="C106" s="266"/>
      <c r="D106" s="266"/>
      <c r="E106" s="268"/>
      <c r="F106" s="291"/>
      <c r="G106" s="268"/>
      <c r="H106" s="268"/>
      <c r="I106" s="268"/>
      <c r="J106" s="268"/>
      <c r="K106" s="268"/>
      <c r="L106" s="288" t="str">
        <f t="shared" si="3"/>
        <v/>
      </c>
      <c r="M106" s="278"/>
      <c r="N106" s="290"/>
      <c r="O106" s="276"/>
      <c r="P106" s="276"/>
      <c r="Q106" s="276"/>
      <c r="R106" s="278"/>
      <c r="S106" s="278"/>
      <c r="T106" s="278"/>
      <c r="U106" s="279"/>
      <c r="V106" s="279"/>
      <c r="W106" s="279"/>
      <c r="X106" s="279"/>
      <c r="Y106" s="279"/>
      <c r="Z106" s="282"/>
      <c r="AA106" s="282"/>
      <c r="AB106" s="282"/>
      <c r="AC106" s="284"/>
      <c r="AD106" s="284"/>
    </row>
    <row r="107" ht="14.25" customHeight="1">
      <c r="A107" s="266"/>
      <c r="B107" s="266"/>
      <c r="C107" s="266"/>
      <c r="D107" s="266"/>
      <c r="E107" s="268"/>
      <c r="F107" s="291"/>
      <c r="G107" s="268"/>
      <c r="H107" s="268"/>
      <c r="I107" s="268"/>
      <c r="J107" s="268"/>
      <c r="K107" s="268"/>
      <c r="L107" s="288" t="str">
        <f t="shared" si="3"/>
        <v/>
      </c>
      <c r="M107" s="278"/>
      <c r="N107" s="290"/>
      <c r="O107" s="276"/>
      <c r="P107" s="276"/>
      <c r="Q107" s="276"/>
      <c r="R107" s="278"/>
      <c r="S107" s="278"/>
      <c r="T107" s="278"/>
      <c r="U107" s="279"/>
      <c r="V107" s="279"/>
      <c r="W107" s="279"/>
      <c r="X107" s="279"/>
      <c r="Y107" s="279"/>
      <c r="Z107" s="282"/>
      <c r="AA107" s="282"/>
      <c r="AB107" s="282"/>
      <c r="AC107" s="284"/>
      <c r="AD107" s="284"/>
    </row>
    <row r="108" ht="14.25" customHeight="1">
      <c r="A108" s="266"/>
      <c r="B108" s="266"/>
      <c r="C108" s="266"/>
      <c r="D108" s="266"/>
      <c r="E108" s="268"/>
      <c r="F108" s="291"/>
      <c r="G108" s="268"/>
      <c r="H108" s="268"/>
      <c r="I108" s="268"/>
      <c r="J108" s="268"/>
      <c r="K108" s="268"/>
      <c r="L108" s="288" t="str">
        <f t="shared" si="3"/>
        <v/>
      </c>
      <c r="M108" s="278"/>
      <c r="N108" s="290"/>
      <c r="O108" s="276"/>
      <c r="P108" s="276"/>
      <c r="Q108" s="276"/>
      <c r="R108" s="278"/>
      <c r="S108" s="278"/>
      <c r="T108" s="278"/>
      <c r="U108" s="279"/>
      <c r="V108" s="279"/>
      <c r="W108" s="279"/>
      <c r="X108" s="279"/>
      <c r="Y108" s="279"/>
      <c r="Z108" s="282"/>
      <c r="AA108" s="282"/>
      <c r="AB108" s="282"/>
      <c r="AC108" s="284"/>
      <c r="AD108" s="284"/>
    </row>
    <row r="109" ht="14.25" customHeight="1">
      <c r="A109" s="266"/>
      <c r="B109" s="266"/>
      <c r="C109" s="266"/>
      <c r="D109" s="266"/>
      <c r="E109" s="268"/>
      <c r="F109" s="291"/>
      <c r="G109" s="268"/>
      <c r="H109" s="268"/>
      <c r="I109" s="268"/>
      <c r="J109" s="268"/>
      <c r="K109" s="268"/>
      <c r="L109" s="288" t="str">
        <f t="shared" si="3"/>
        <v/>
      </c>
      <c r="M109" s="278"/>
      <c r="N109" s="290"/>
      <c r="O109" s="276"/>
      <c r="P109" s="276"/>
      <c r="Q109" s="276"/>
      <c r="R109" s="278"/>
      <c r="S109" s="278"/>
      <c r="T109" s="278"/>
      <c r="U109" s="279"/>
      <c r="V109" s="279"/>
      <c r="W109" s="279"/>
      <c r="X109" s="279"/>
      <c r="Y109" s="279"/>
      <c r="Z109" s="282"/>
      <c r="AA109" s="282"/>
      <c r="AB109" s="282"/>
      <c r="AC109" s="284"/>
      <c r="AD109" s="284"/>
    </row>
    <row r="110" ht="14.25" customHeight="1">
      <c r="A110" s="266"/>
      <c r="B110" s="266"/>
      <c r="C110" s="266"/>
      <c r="D110" s="266"/>
      <c r="E110" s="268"/>
      <c r="F110" s="291"/>
      <c r="G110" s="268"/>
      <c r="H110" s="268"/>
      <c r="I110" s="268"/>
      <c r="J110" s="268"/>
      <c r="K110" s="268"/>
      <c r="L110" s="288" t="str">
        <f t="shared" si="3"/>
        <v/>
      </c>
      <c r="M110" s="278"/>
      <c r="N110" s="290"/>
      <c r="O110" s="276"/>
      <c r="P110" s="276"/>
      <c r="Q110" s="276"/>
      <c r="R110" s="278"/>
      <c r="S110" s="278"/>
      <c r="T110" s="278"/>
      <c r="U110" s="279"/>
      <c r="V110" s="279"/>
      <c r="W110" s="279"/>
      <c r="X110" s="279"/>
      <c r="Y110" s="279"/>
      <c r="Z110" s="282"/>
      <c r="AA110" s="282"/>
      <c r="AB110" s="282"/>
      <c r="AC110" s="284"/>
      <c r="AD110" s="284"/>
    </row>
    <row r="111" ht="14.25" customHeight="1">
      <c r="A111" s="266"/>
      <c r="B111" s="266"/>
      <c r="C111" s="266"/>
      <c r="D111" s="266"/>
      <c r="E111" s="268"/>
      <c r="F111" s="291"/>
      <c r="G111" s="268"/>
      <c r="H111" s="268"/>
      <c r="I111" s="268"/>
      <c r="J111" s="268"/>
      <c r="K111" s="268"/>
      <c r="L111" s="288" t="str">
        <f t="shared" si="3"/>
        <v/>
      </c>
      <c r="M111" s="278"/>
      <c r="N111" s="290"/>
      <c r="O111" s="276"/>
      <c r="P111" s="276"/>
      <c r="Q111" s="276"/>
      <c r="R111" s="278"/>
      <c r="S111" s="278"/>
      <c r="T111" s="278"/>
      <c r="U111" s="279"/>
      <c r="V111" s="279"/>
      <c r="W111" s="279"/>
      <c r="X111" s="279"/>
      <c r="Y111" s="279"/>
      <c r="Z111" s="282"/>
      <c r="AA111" s="282"/>
      <c r="AB111" s="282"/>
      <c r="AC111" s="284"/>
      <c r="AD111" s="284"/>
    </row>
    <row r="112" ht="14.25" customHeight="1">
      <c r="A112" s="266"/>
      <c r="B112" s="266"/>
      <c r="C112" s="266"/>
      <c r="D112" s="266"/>
      <c r="E112" s="268"/>
      <c r="F112" s="291"/>
      <c r="G112" s="268"/>
      <c r="H112" s="268"/>
      <c r="I112" s="268"/>
      <c r="J112" s="268"/>
      <c r="K112" s="268"/>
      <c r="L112" s="288" t="str">
        <f t="shared" si="3"/>
        <v/>
      </c>
      <c r="M112" s="278"/>
      <c r="N112" s="290"/>
      <c r="O112" s="276"/>
      <c r="P112" s="276"/>
      <c r="Q112" s="276"/>
      <c r="R112" s="278"/>
      <c r="S112" s="278"/>
      <c r="T112" s="278"/>
      <c r="U112" s="279"/>
      <c r="V112" s="279"/>
      <c r="W112" s="279"/>
      <c r="X112" s="279"/>
      <c r="Y112" s="279"/>
      <c r="Z112" s="282"/>
      <c r="AA112" s="282"/>
      <c r="AB112" s="282"/>
      <c r="AC112" s="284"/>
      <c r="AD112" s="284"/>
    </row>
    <row r="113" ht="14.25" customHeight="1">
      <c r="A113" s="266"/>
      <c r="B113" s="266"/>
      <c r="C113" s="266"/>
      <c r="D113" s="266"/>
      <c r="E113" s="268"/>
      <c r="F113" s="291"/>
      <c r="G113" s="268"/>
      <c r="H113" s="268"/>
      <c r="I113" s="268"/>
      <c r="J113" s="268"/>
      <c r="K113" s="268"/>
      <c r="L113" s="288" t="str">
        <f t="shared" si="3"/>
        <v/>
      </c>
      <c r="M113" s="278"/>
      <c r="N113" s="290"/>
      <c r="O113" s="276"/>
      <c r="P113" s="276"/>
      <c r="Q113" s="276"/>
      <c r="R113" s="278"/>
      <c r="S113" s="278"/>
      <c r="T113" s="278"/>
      <c r="U113" s="279"/>
      <c r="V113" s="279"/>
      <c r="W113" s="279"/>
      <c r="X113" s="279"/>
      <c r="Y113" s="279"/>
      <c r="Z113" s="282"/>
      <c r="AA113" s="282"/>
      <c r="AB113" s="282"/>
      <c r="AC113" s="284"/>
      <c r="AD113" s="284"/>
    </row>
    <row r="114" ht="14.25" customHeight="1">
      <c r="A114" s="266"/>
      <c r="B114" s="266"/>
      <c r="C114" s="266"/>
      <c r="D114" s="266"/>
      <c r="E114" s="268"/>
      <c r="F114" s="291"/>
      <c r="G114" s="268"/>
      <c r="H114" s="268"/>
      <c r="I114" s="268"/>
      <c r="J114" s="268"/>
      <c r="K114" s="268"/>
      <c r="L114" s="288" t="str">
        <f t="shared" si="3"/>
        <v/>
      </c>
      <c r="M114" s="278"/>
      <c r="N114" s="290"/>
      <c r="O114" s="276"/>
      <c r="P114" s="276"/>
      <c r="Q114" s="276"/>
      <c r="R114" s="278"/>
      <c r="S114" s="278"/>
      <c r="T114" s="278"/>
      <c r="U114" s="279"/>
      <c r="V114" s="279"/>
      <c r="W114" s="279"/>
      <c r="X114" s="279"/>
      <c r="Y114" s="279"/>
      <c r="Z114" s="282"/>
      <c r="AA114" s="282"/>
      <c r="AB114" s="282"/>
      <c r="AC114" s="284"/>
      <c r="AD114" s="284"/>
    </row>
    <row r="115" ht="14.25" customHeight="1">
      <c r="A115" s="266"/>
      <c r="B115" s="266"/>
      <c r="C115" s="266"/>
      <c r="D115" s="266"/>
      <c r="E115" s="268"/>
      <c r="F115" s="291"/>
      <c r="G115" s="268"/>
      <c r="H115" s="268"/>
      <c r="I115" s="268"/>
      <c r="J115" s="268"/>
      <c r="K115" s="268"/>
      <c r="L115" s="288" t="str">
        <f t="shared" si="3"/>
        <v/>
      </c>
      <c r="M115" s="278"/>
      <c r="N115" s="290"/>
      <c r="O115" s="276"/>
      <c r="P115" s="276"/>
      <c r="Q115" s="276"/>
      <c r="R115" s="278"/>
      <c r="S115" s="278"/>
      <c r="T115" s="278"/>
      <c r="U115" s="279"/>
      <c r="V115" s="279"/>
      <c r="W115" s="279"/>
      <c r="X115" s="279"/>
      <c r="Y115" s="279"/>
      <c r="Z115" s="282"/>
      <c r="AA115" s="282"/>
      <c r="AB115" s="282"/>
      <c r="AC115" s="284"/>
      <c r="AD115" s="284"/>
    </row>
    <row r="116" ht="14.25" customHeight="1">
      <c r="A116" s="266"/>
      <c r="B116" s="266"/>
      <c r="C116" s="266"/>
      <c r="D116" s="266"/>
      <c r="E116" s="268"/>
      <c r="F116" s="291"/>
      <c r="G116" s="268"/>
      <c r="H116" s="268"/>
      <c r="I116" s="268"/>
      <c r="J116" s="268"/>
      <c r="K116" s="268"/>
      <c r="L116" s="288" t="str">
        <f t="shared" si="3"/>
        <v/>
      </c>
      <c r="M116" s="278"/>
      <c r="N116" s="290"/>
      <c r="O116" s="276"/>
      <c r="P116" s="276"/>
      <c r="Q116" s="276"/>
      <c r="R116" s="278"/>
      <c r="S116" s="278"/>
      <c r="T116" s="278"/>
      <c r="U116" s="279"/>
      <c r="V116" s="279"/>
      <c r="W116" s="279"/>
      <c r="X116" s="279"/>
      <c r="Y116" s="279"/>
      <c r="Z116" s="282"/>
      <c r="AA116" s="282"/>
      <c r="AB116" s="282"/>
      <c r="AC116" s="284"/>
      <c r="AD116" s="284"/>
    </row>
    <row r="117" ht="14.25" customHeight="1">
      <c r="A117" s="266"/>
      <c r="B117" s="266"/>
      <c r="C117" s="266"/>
      <c r="D117" s="266"/>
      <c r="E117" s="268"/>
      <c r="F117" s="291"/>
      <c r="G117" s="268"/>
      <c r="H117" s="268"/>
      <c r="I117" s="268"/>
      <c r="J117" s="268"/>
      <c r="K117" s="268"/>
      <c r="L117" s="288" t="str">
        <f t="shared" si="3"/>
        <v/>
      </c>
      <c r="M117" s="278"/>
      <c r="N117" s="290"/>
      <c r="O117" s="276"/>
      <c r="P117" s="276"/>
      <c r="Q117" s="276"/>
      <c r="R117" s="278"/>
      <c r="S117" s="278"/>
      <c r="T117" s="278"/>
      <c r="U117" s="279"/>
      <c r="V117" s="279"/>
      <c r="W117" s="279"/>
      <c r="X117" s="279"/>
      <c r="Y117" s="279"/>
      <c r="Z117" s="282"/>
      <c r="AA117" s="282"/>
      <c r="AB117" s="282"/>
      <c r="AC117" s="284"/>
      <c r="AD117" s="284"/>
    </row>
    <row r="118" ht="14.25" customHeight="1">
      <c r="A118" s="266"/>
      <c r="B118" s="266"/>
      <c r="C118" s="266"/>
      <c r="D118" s="266"/>
      <c r="E118" s="268"/>
      <c r="F118" s="291"/>
      <c r="G118" s="268"/>
      <c r="H118" s="268"/>
      <c r="I118" s="268"/>
      <c r="J118" s="268"/>
      <c r="K118" s="268"/>
      <c r="L118" s="288" t="str">
        <f t="shared" si="3"/>
        <v/>
      </c>
      <c r="M118" s="278"/>
      <c r="N118" s="290"/>
      <c r="O118" s="276"/>
      <c r="P118" s="276"/>
      <c r="Q118" s="276"/>
      <c r="R118" s="278"/>
      <c r="S118" s="278"/>
      <c r="T118" s="278"/>
      <c r="U118" s="279"/>
      <c r="V118" s="279"/>
      <c r="W118" s="279"/>
      <c r="X118" s="279"/>
      <c r="Y118" s="279"/>
      <c r="Z118" s="282"/>
      <c r="AA118" s="282"/>
      <c r="AB118" s="282"/>
      <c r="AC118" s="284"/>
      <c r="AD118" s="284"/>
    </row>
    <row r="119" ht="14.25" customHeight="1">
      <c r="A119" s="266"/>
      <c r="B119" s="266"/>
      <c r="C119" s="266"/>
      <c r="D119" s="266"/>
      <c r="E119" s="268"/>
      <c r="F119" s="291"/>
      <c r="G119" s="268"/>
      <c r="H119" s="268"/>
      <c r="I119" s="268"/>
      <c r="J119" s="268"/>
      <c r="K119" s="268"/>
      <c r="L119" s="288" t="str">
        <f t="shared" si="3"/>
        <v/>
      </c>
      <c r="M119" s="278"/>
      <c r="N119" s="290"/>
      <c r="O119" s="276"/>
      <c r="P119" s="276"/>
      <c r="Q119" s="276"/>
      <c r="R119" s="278"/>
      <c r="S119" s="278"/>
      <c r="T119" s="278"/>
      <c r="U119" s="279"/>
      <c r="V119" s="279"/>
      <c r="W119" s="279"/>
      <c r="X119" s="279"/>
      <c r="Y119" s="279"/>
      <c r="Z119" s="282"/>
      <c r="AA119" s="282"/>
      <c r="AB119" s="282"/>
      <c r="AC119" s="284"/>
      <c r="AD119" s="284"/>
    </row>
    <row r="120" ht="14.25" customHeight="1">
      <c r="A120" s="266"/>
      <c r="B120" s="266"/>
      <c r="C120" s="266"/>
      <c r="D120" s="266"/>
      <c r="E120" s="268"/>
      <c r="F120" s="291"/>
      <c r="G120" s="268"/>
      <c r="H120" s="268"/>
      <c r="I120" s="268"/>
      <c r="J120" s="268"/>
      <c r="K120" s="268"/>
      <c r="L120" s="288" t="str">
        <f t="shared" si="3"/>
        <v/>
      </c>
      <c r="M120" s="278"/>
      <c r="N120" s="290"/>
      <c r="O120" s="276"/>
      <c r="P120" s="276"/>
      <c r="Q120" s="276"/>
      <c r="R120" s="278"/>
      <c r="S120" s="278"/>
      <c r="T120" s="278"/>
      <c r="U120" s="279"/>
      <c r="V120" s="279"/>
      <c r="W120" s="279"/>
      <c r="X120" s="279"/>
      <c r="Y120" s="279"/>
      <c r="Z120" s="282"/>
      <c r="AA120" s="282"/>
      <c r="AB120" s="282"/>
      <c r="AC120" s="284"/>
      <c r="AD120" s="284"/>
    </row>
    <row r="121" ht="14.25" customHeight="1">
      <c r="A121" s="266"/>
      <c r="B121" s="266"/>
      <c r="C121" s="266"/>
      <c r="D121" s="266"/>
      <c r="E121" s="268"/>
      <c r="F121" s="291"/>
      <c r="G121" s="268"/>
      <c r="H121" s="268"/>
      <c r="I121" s="268"/>
      <c r="J121" s="268"/>
      <c r="K121" s="268"/>
      <c r="L121" s="288" t="str">
        <f t="shared" si="3"/>
        <v/>
      </c>
      <c r="M121" s="278"/>
      <c r="N121" s="290"/>
      <c r="O121" s="276"/>
      <c r="P121" s="276"/>
      <c r="Q121" s="276"/>
      <c r="R121" s="278"/>
      <c r="S121" s="278"/>
      <c r="T121" s="278"/>
      <c r="U121" s="279"/>
      <c r="V121" s="279"/>
      <c r="W121" s="279"/>
      <c r="X121" s="279"/>
      <c r="Y121" s="279"/>
      <c r="Z121" s="282"/>
      <c r="AA121" s="282"/>
      <c r="AB121" s="282"/>
      <c r="AC121" s="284"/>
      <c r="AD121" s="284"/>
    </row>
    <row r="122" ht="14.25" customHeight="1">
      <c r="A122" s="266"/>
      <c r="B122" s="266"/>
      <c r="C122" s="266"/>
      <c r="D122" s="266"/>
      <c r="E122" s="268"/>
      <c r="F122" s="291"/>
      <c r="G122" s="268"/>
      <c r="H122" s="268"/>
      <c r="I122" s="268"/>
      <c r="J122" s="268"/>
      <c r="K122" s="268"/>
      <c r="L122" s="288" t="str">
        <f t="shared" si="3"/>
        <v/>
      </c>
      <c r="M122" s="278"/>
      <c r="N122" s="290"/>
      <c r="O122" s="276"/>
      <c r="P122" s="276"/>
      <c r="Q122" s="276"/>
      <c r="R122" s="278"/>
      <c r="S122" s="278"/>
      <c r="T122" s="278"/>
      <c r="U122" s="279"/>
      <c r="V122" s="279"/>
      <c r="W122" s="279"/>
      <c r="X122" s="279"/>
      <c r="Y122" s="279"/>
      <c r="Z122" s="282"/>
      <c r="AA122" s="282"/>
      <c r="AB122" s="282"/>
      <c r="AC122" s="284"/>
      <c r="AD122" s="284"/>
    </row>
    <row r="123" ht="14.25" customHeight="1">
      <c r="A123" s="266"/>
      <c r="B123" s="266"/>
      <c r="C123" s="266"/>
      <c r="D123" s="266"/>
      <c r="E123" s="268"/>
      <c r="F123" s="291"/>
      <c r="G123" s="268"/>
      <c r="H123" s="268"/>
      <c r="I123" s="268"/>
      <c r="J123" s="268"/>
      <c r="K123" s="268"/>
      <c r="L123" s="288" t="str">
        <f t="shared" si="3"/>
        <v/>
      </c>
      <c r="M123" s="278"/>
      <c r="N123" s="290"/>
      <c r="O123" s="276"/>
      <c r="P123" s="276"/>
      <c r="Q123" s="276"/>
      <c r="R123" s="278"/>
      <c r="S123" s="278"/>
      <c r="T123" s="278"/>
      <c r="U123" s="279"/>
      <c r="V123" s="279"/>
      <c r="W123" s="279"/>
      <c r="X123" s="279"/>
      <c r="Y123" s="279"/>
      <c r="Z123" s="282"/>
      <c r="AA123" s="282"/>
      <c r="AB123" s="282"/>
      <c r="AC123" s="284"/>
      <c r="AD123" s="284"/>
    </row>
    <row r="124" ht="14.25" customHeight="1">
      <c r="A124" s="266"/>
      <c r="B124" s="266"/>
      <c r="C124" s="266"/>
      <c r="D124" s="266"/>
      <c r="E124" s="268"/>
      <c r="F124" s="291"/>
      <c r="G124" s="268"/>
      <c r="H124" s="268"/>
      <c r="I124" s="268"/>
      <c r="J124" s="268"/>
      <c r="K124" s="268"/>
      <c r="L124" s="288" t="str">
        <f t="shared" si="3"/>
        <v/>
      </c>
      <c r="M124" s="278"/>
      <c r="N124" s="290"/>
      <c r="O124" s="276"/>
      <c r="P124" s="276"/>
      <c r="Q124" s="276"/>
      <c r="R124" s="278"/>
      <c r="S124" s="278"/>
      <c r="T124" s="278"/>
      <c r="U124" s="279"/>
      <c r="V124" s="279"/>
      <c r="W124" s="279"/>
      <c r="X124" s="279"/>
      <c r="Y124" s="279"/>
      <c r="Z124" s="282"/>
      <c r="AA124" s="282"/>
      <c r="AB124" s="282"/>
      <c r="AC124" s="284"/>
      <c r="AD124" s="284"/>
    </row>
    <row r="125" ht="14.25" customHeight="1">
      <c r="A125" s="266"/>
      <c r="B125" s="266"/>
      <c r="C125" s="266"/>
      <c r="D125" s="266"/>
      <c r="E125" s="268"/>
      <c r="F125" s="291"/>
      <c r="G125" s="268"/>
      <c r="H125" s="268"/>
      <c r="I125" s="268"/>
      <c r="J125" s="268"/>
      <c r="K125" s="268"/>
      <c r="L125" s="288" t="str">
        <f t="shared" si="3"/>
        <v/>
      </c>
      <c r="M125" s="278"/>
      <c r="N125" s="290"/>
      <c r="O125" s="276"/>
      <c r="P125" s="276"/>
      <c r="Q125" s="276"/>
      <c r="R125" s="278"/>
      <c r="S125" s="278"/>
      <c r="T125" s="278"/>
      <c r="U125" s="279"/>
      <c r="V125" s="279"/>
      <c r="W125" s="279"/>
      <c r="X125" s="279"/>
      <c r="Y125" s="279"/>
      <c r="Z125" s="282"/>
      <c r="AA125" s="282"/>
      <c r="AB125" s="282"/>
      <c r="AC125" s="284"/>
      <c r="AD125" s="284"/>
    </row>
    <row r="126" ht="14.25" customHeight="1">
      <c r="A126" s="266"/>
      <c r="B126" s="266"/>
      <c r="C126" s="266"/>
      <c r="D126" s="266"/>
      <c r="E126" s="268"/>
      <c r="F126" s="291"/>
      <c r="G126" s="268"/>
      <c r="H126" s="268"/>
      <c r="I126" s="268"/>
      <c r="J126" s="268"/>
      <c r="K126" s="268"/>
      <c r="L126" s="288" t="str">
        <f t="shared" si="3"/>
        <v/>
      </c>
      <c r="M126" s="278"/>
      <c r="N126" s="290"/>
      <c r="O126" s="276"/>
      <c r="P126" s="276"/>
      <c r="Q126" s="276"/>
      <c r="R126" s="278"/>
      <c r="S126" s="278"/>
      <c r="T126" s="278"/>
      <c r="U126" s="279"/>
      <c r="V126" s="279"/>
      <c r="W126" s="279"/>
      <c r="X126" s="279"/>
      <c r="Y126" s="279"/>
      <c r="Z126" s="282"/>
      <c r="AA126" s="282"/>
      <c r="AB126" s="282"/>
      <c r="AC126" s="284"/>
      <c r="AD126" s="284"/>
    </row>
    <row r="127" ht="14.25" customHeight="1">
      <c r="A127" s="266"/>
      <c r="B127" s="266"/>
      <c r="C127" s="266"/>
      <c r="D127" s="266"/>
      <c r="E127" s="268"/>
      <c r="F127" s="291"/>
      <c r="G127" s="268"/>
      <c r="H127" s="268"/>
      <c r="I127" s="268"/>
      <c r="J127" s="268"/>
      <c r="K127" s="268"/>
      <c r="L127" s="288" t="str">
        <f t="shared" si="3"/>
        <v/>
      </c>
      <c r="M127" s="278"/>
      <c r="N127" s="290"/>
      <c r="O127" s="276"/>
      <c r="P127" s="276"/>
      <c r="Q127" s="276"/>
      <c r="R127" s="278"/>
      <c r="S127" s="278"/>
      <c r="T127" s="278"/>
      <c r="U127" s="279"/>
      <c r="V127" s="279"/>
      <c r="W127" s="279"/>
      <c r="X127" s="279"/>
      <c r="Y127" s="279"/>
      <c r="Z127" s="282"/>
      <c r="AA127" s="282"/>
      <c r="AB127" s="282"/>
      <c r="AC127" s="284"/>
      <c r="AD127" s="284"/>
    </row>
    <row r="128" ht="14.25" customHeight="1">
      <c r="A128" s="266"/>
      <c r="B128" s="266"/>
      <c r="C128" s="266"/>
      <c r="D128" s="266"/>
      <c r="E128" s="268"/>
      <c r="F128" s="291"/>
      <c r="G128" s="268"/>
      <c r="H128" s="268"/>
      <c r="I128" s="268"/>
      <c r="J128" s="268"/>
      <c r="K128" s="268"/>
      <c r="L128" s="288" t="str">
        <f t="shared" si="3"/>
        <v/>
      </c>
      <c r="M128" s="278"/>
      <c r="N128" s="290"/>
      <c r="O128" s="276"/>
      <c r="P128" s="276"/>
      <c r="Q128" s="276"/>
      <c r="R128" s="278"/>
      <c r="S128" s="278"/>
      <c r="T128" s="278"/>
      <c r="U128" s="279"/>
      <c r="V128" s="279"/>
      <c r="W128" s="279"/>
      <c r="X128" s="279"/>
      <c r="Y128" s="279"/>
      <c r="Z128" s="282"/>
      <c r="AA128" s="282"/>
      <c r="AB128" s="282"/>
      <c r="AC128" s="284"/>
      <c r="AD128" s="284"/>
    </row>
    <row r="129" ht="14.25" customHeight="1">
      <c r="A129" s="266"/>
      <c r="B129" s="266"/>
      <c r="C129" s="266"/>
      <c r="D129" s="266"/>
      <c r="E129" s="268"/>
      <c r="F129" s="291"/>
      <c r="G129" s="268"/>
      <c r="H129" s="268"/>
      <c r="I129" s="268"/>
      <c r="J129" s="268"/>
      <c r="K129" s="268"/>
      <c r="L129" s="288" t="str">
        <f t="shared" si="3"/>
        <v/>
      </c>
      <c r="M129" s="278"/>
      <c r="N129" s="290"/>
      <c r="O129" s="276"/>
      <c r="P129" s="276"/>
      <c r="Q129" s="276"/>
      <c r="R129" s="278"/>
      <c r="S129" s="278"/>
      <c r="T129" s="278"/>
      <c r="U129" s="279"/>
      <c r="V129" s="279"/>
      <c r="W129" s="279"/>
      <c r="X129" s="279"/>
      <c r="Y129" s="279"/>
      <c r="Z129" s="282"/>
      <c r="AA129" s="282"/>
      <c r="AB129" s="282"/>
      <c r="AC129" s="284"/>
      <c r="AD129" s="284"/>
    </row>
    <row r="130" ht="14.25" customHeight="1">
      <c r="A130" s="266"/>
      <c r="B130" s="266"/>
      <c r="C130" s="266"/>
      <c r="D130" s="266"/>
      <c r="E130" s="268"/>
      <c r="F130" s="291"/>
      <c r="G130" s="268"/>
      <c r="H130" s="268"/>
      <c r="I130" s="268"/>
      <c r="J130" s="268"/>
      <c r="K130" s="268"/>
      <c r="L130" s="288" t="str">
        <f t="shared" si="3"/>
        <v/>
      </c>
      <c r="M130" s="278"/>
      <c r="N130" s="290"/>
      <c r="O130" s="276"/>
      <c r="P130" s="276"/>
      <c r="Q130" s="276"/>
      <c r="R130" s="278"/>
      <c r="S130" s="278"/>
      <c r="T130" s="278"/>
      <c r="U130" s="279"/>
      <c r="V130" s="279"/>
      <c r="W130" s="279"/>
      <c r="X130" s="279"/>
      <c r="Y130" s="279"/>
      <c r="Z130" s="282"/>
      <c r="AA130" s="282"/>
      <c r="AB130" s="282"/>
      <c r="AC130" s="284"/>
      <c r="AD130" s="284"/>
    </row>
    <row r="131" ht="14.25" customHeight="1">
      <c r="A131" s="266"/>
      <c r="B131" s="266"/>
      <c r="C131" s="266"/>
      <c r="D131" s="266"/>
      <c r="E131" s="268"/>
      <c r="F131" s="291"/>
      <c r="G131" s="268"/>
      <c r="H131" s="268"/>
      <c r="I131" s="268"/>
      <c r="J131" s="268"/>
      <c r="K131" s="268"/>
      <c r="L131" s="288" t="str">
        <f t="shared" si="3"/>
        <v/>
      </c>
      <c r="M131" s="278"/>
      <c r="N131" s="290"/>
      <c r="O131" s="276"/>
      <c r="P131" s="276"/>
      <c r="Q131" s="276"/>
      <c r="R131" s="278"/>
      <c r="S131" s="278"/>
      <c r="T131" s="278"/>
      <c r="U131" s="279"/>
      <c r="V131" s="279"/>
      <c r="W131" s="279"/>
      <c r="X131" s="279"/>
      <c r="Y131" s="279"/>
      <c r="Z131" s="282"/>
      <c r="AA131" s="282"/>
      <c r="AB131" s="282"/>
      <c r="AC131" s="284"/>
      <c r="AD131" s="284"/>
    </row>
    <row r="132" ht="14.25" customHeight="1">
      <c r="A132" s="266"/>
      <c r="B132" s="266"/>
      <c r="C132" s="266"/>
      <c r="D132" s="266"/>
      <c r="E132" s="268"/>
      <c r="F132" s="291"/>
      <c r="G132" s="268"/>
      <c r="H132" s="268"/>
      <c r="I132" s="268"/>
      <c r="J132" s="268"/>
      <c r="K132" s="268"/>
      <c r="L132" s="288" t="str">
        <f t="shared" si="3"/>
        <v/>
      </c>
      <c r="M132" s="278"/>
      <c r="N132" s="290"/>
      <c r="O132" s="276"/>
      <c r="P132" s="276"/>
      <c r="Q132" s="276"/>
      <c r="R132" s="278"/>
      <c r="S132" s="278"/>
      <c r="T132" s="278"/>
      <c r="U132" s="279"/>
      <c r="V132" s="279"/>
      <c r="W132" s="279"/>
      <c r="X132" s="279"/>
      <c r="Y132" s="279"/>
      <c r="Z132" s="282"/>
      <c r="AA132" s="282"/>
      <c r="AB132" s="282"/>
      <c r="AC132" s="284"/>
      <c r="AD132" s="284"/>
    </row>
    <row r="133" ht="14.25" customHeight="1">
      <c r="A133" s="266"/>
      <c r="B133" s="266"/>
      <c r="C133" s="266"/>
      <c r="D133" s="266"/>
      <c r="E133" s="268"/>
      <c r="F133" s="291"/>
      <c r="G133" s="268"/>
      <c r="H133" s="268"/>
      <c r="I133" s="268"/>
      <c r="J133" s="268"/>
      <c r="K133" s="268"/>
      <c r="L133" s="288" t="str">
        <f t="shared" si="3"/>
        <v/>
      </c>
      <c r="M133" s="278"/>
      <c r="N133" s="290"/>
      <c r="O133" s="276"/>
      <c r="P133" s="276"/>
      <c r="Q133" s="276"/>
      <c r="R133" s="278"/>
      <c r="S133" s="278"/>
      <c r="T133" s="278"/>
      <c r="U133" s="279"/>
      <c r="V133" s="279"/>
      <c r="W133" s="279"/>
      <c r="X133" s="279"/>
      <c r="Y133" s="279"/>
      <c r="Z133" s="282"/>
      <c r="AA133" s="282"/>
      <c r="AB133" s="282"/>
      <c r="AC133" s="284"/>
      <c r="AD133" s="284"/>
    </row>
    <row r="134" ht="14.25" customHeight="1">
      <c r="A134" s="266"/>
      <c r="B134" s="266"/>
      <c r="C134" s="266"/>
      <c r="D134" s="266"/>
      <c r="E134" s="268"/>
      <c r="F134" s="291"/>
      <c r="G134" s="268"/>
      <c r="H134" s="268"/>
      <c r="I134" s="268"/>
      <c r="J134" s="268"/>
      <c r="K134" s="268"/>
      <c r="L134" s="288" t="str">
        <f t="shared" si="3"/>
        <v/>
      </c>
      <c r="M134" s="278"/>
      <c r="N134" s="290"/>
      <c r="O134" s="276"/>
      <c r="P134" s="276"/>
      <c r="Q134" s="276"/>
      <c r="R134" s="278"/>
      <c r="S134" s="278"/>
      <c r="T134" s="278"/>
      <c r="U134" s="279"/>
      <c r="V134" s="279"/>
      <c r="W134" s="279"/>
      <c r="X134" s="279"/>
      <c r="Y134" s="279"/>
      <c r="Z134" s="282"/>
      <c r="AA134" s="282"/>
      <c r="AB134" s="282"/>
      <c r="AC134" s="284"/>
      <c r="AD134" s="284"/>
    </row>
    <row r="135" ht="14.25" customHeight="1">
      <c r="A135" s="266"/>
      <c r="B135" s="266"/>
      <c r="C135" s="266"/>
      <c r="D135" s="266"/>
      <c r="E135" s="268"/>
      <c r="F135" s="291"/>
      <c r="G135" s="268"/>
      <c r="H135" s="268"/>
      <c r="I135" s="268"/>
      <c r="J135" s="268"/>
      <c r="K135" s="268"/>
      <c r="L135" s="288" t="str">
        <f t="shared" si="3"/>
        <v/>
      </c>
      <c r="M135" s="278"/>
      <c r="N135" s="290"/>
      <c r="O135" s="276"/>
      <c r="P135" s="276"/>
      <c r="Q135" s="276"/>
      <c r="R135" s="278"/>
      <c r="S135" s="278"/>
      <c r="T135" s="278"/>
      <c r="U135" s="279"/>
      <c r="V135" s="279"/>
      <c r="W135" s="279"/>
      <c r="X135" s="279"/>
      <c r="Y135" s="279"/>
      <c r="Z135" s="282"/>
      <c r="AA135" s="282"/>
      <c r="AB135" s="282"/>
      <c r="AC135" s="284"/>
      <c r="AD135" s="284"/>
    </row>
    <row r="136" ht="14.25" customHeight="1">
      <c r="A136" s="266"/>
      <c r="B136" s="266"/>
      <c r="C136" s="266"/>
      <c r="D136" s="266"/>
      <c r="E136" s="268"/>
      <c r="F136" s="291"/>
      <c r="G136" s="268"/>
      <c r="H136" s="268"/>
      <c r="I136" s="268"/>
      <c r="J136" s="268"/>
      <c r="K136" s="268"/>
      <c r="L136" s="288" t="str">
        <f t="shared" si="3"/>
        <v/>
      </c>
      <c r="M136" s="278"/>
      <c r="N136" s="290"/>
      <c r="O136" s="276"/>
      <c r="P136" s="276"/>
      <c r="Q136" s="276"/>
      <c r="R136" s="278"/>
      <c r="S136" s="278"/>
      <c r="T136" s="278"/>
      <c r="U136" s="279"/>
      <c r="V136" s="279"/>
      <c r="W136" s="279"/>
      <c r="X136" s="279"/>
      <c r="Y136" s="279"/>
      <c r="Z136" s="282"/>
      <c r="AA136" s="282"/>
      <c r="AB136" s="282"/>
      <c r="AC136" s="284"/>
      <c r="AD136" s="284"/>
    </row>
    <row r="137" ht="14.25" customHeight="1">
      <c r="A137" s="266"/>
      <c r="B137" s="266"/>
      <c r="C137" s="266"/>
      <c r="D137" s="266"/>
      <c r="E137" s="268"/>
      <c r="F137" s="291"/>
      <c r="G137" s="268"/>
      <c r="H137" s="268"/>
      <c r="I137" s="268"/>
      <c r="J137" s="268"/>
      <c r="K137" s="268"/>
      <c r="L137" s="288" t="str">
        <f t="shared" si="3"/>
        <v/>
      </c>
      <c r="M137" s="278"/>
      <c r="N137" s="290"/>
      <c r="O137" s="276"/>
      <c r="P137" s="276"/>
      <c r="Q137" s="276"/>
      <c r="R137" s="278"/>
      <c r="S137" s="278"/>
      <c r="T137" s="278"/>
      <c r="U137" s="279"/>
      <c r="V137" s="279"/>
      <c r="W137" s="279"/>
      <c r="X137" s="279"/>
      <c r="Y137" s="279"/>
      <c r="Z137" s="282"/>
      <c r="AA137" s="282"/>
      <c r="AB137" s="282"/>
      <c r="AC137" s="284"/>
      <c r="AD137" s="284"/>
    </row>
    <row r="138" ht="14.25" customHeight="1">
      <c r="A138" s="266"/>
      <c r="B138" s="266"/>
      <c r="C138" s="266"/>
      <c r="D138" s="266"/>
      <c r="E138" s="268"/>
      <c r="F138" s="291"/>
      <c r="G138" s="268"/>
      <c r="H138" s="268"/>
      <c r="I138" s="268"/>
      <c r="J138" s="268"/>
      <c r="K138" s="268"/>
      <c r="L138" s="288" t="str">
        <f t="shared" si="3"/>
        <v/>
      </c>
      <c r="M138" s="278"/>
      <c r="N138" s="290"/>
      <c r="O138" s="276"/>
      <c r="P138" s="276"/>
      <c r="Q138" s="276"/>
      <c r="R138" s="278"/>
      <c r="S138" s="278"/>
      <c r="T138" s="278"/>
      <c r="U138" s="279"/>
      <c r="V138" s="279"/>
      <c r="W138" s="279"/>
      <c r="X138" s="279"/>
      <c r="Y138" s="279"/>
      <c r="Z138" s="282"/>
      <c r="AA138" s="282"/>
      <c r="AB138" s="282"/>
      <c r="AC138" s="284"/>
      <c r="AD138" s="284"/>
    </row>
    <row r="139" ht="14.25" customHeight="1">
      <c r="A139" s="266"/>
      <c r="B139" s="266"/>
      <c r="C139" s="266"/>
      <c r="D139" s="266"/>
      <c r="E139" s="268"/>
      <c r="F139" s="291"/>
      <c r="G139" s="268"/>
      <c r="H139" s="268"/>
      <c r="I139" s="268"/>
      <c r="J139" s="268"/>
      <c r="K139" s="268"/>
      <c r="L139" s="288" t="str">
        <f t="shared" si="3"/>
        <v/>
      </c>
      <c r="M139" s="278"/>
      <c r="N139" s="290"/>
      <c r="O139" s="276"/>
      <c r="P139" s="276"/>
      <c r="Q139" s="276"/>
      <c r="R139" s="278"/>
      <c r="S139" s="278"/>
      <c r="T139" s="278"/>
      <c r="U139" s="279"/>
      <c r="V139" s="279"/>
      <c r="W139" s="279"/>
      <c r="X139" s="279"/>
      <c r="Y139" s="279"/>
      <c r="Z139" s="282"/>
      <c r="AA139" s="282"/>
      <c r="AB139" s="282"/>
      <c r="AC139" s="284"/>
      <c r="AD139" s="284"/>
    </row>
    <row r="140" ht="14.25" customHeight="1">
      <c r="A140" s="266"/>
      <c r="B140" s="266"/>
      <c r="C140" s="266"/>
      <c r="D140" s="266"/>
      <c r="E140" s="268"/>
      <c r="F140" s="291"/>
      <c r="G140" s="268"/>
      <c r="H140" s="268"/>
      <c r="I140" s="268"/>
      <c r="J140" s="268"/>
      <c r="K140" s="268"/>
      <c r="L140" s="288" t="str">
        <f t="shared" si="3"/>
        <v/>
      </c>
      <c r="M140" s="278"/>
      <c r="N140" s="290"/>
      <c r="O140" s="276"/>
      <c r="P140" s="276"/>
      <c r="Q140" s="276"/>
      <c r="R140" s="278"/>
      <c r="S140" s="278"/>
      <c r="T140" s="278"/>
      <c r="U140" s="279"/>
      <c r="V140" s="279"/>
      <c r="W140" s="279"/>
      <c r="X140" s="279"/>
      <c r="Y140" s="279"/>
      <c r="Z140" s="282"/>
      <c r="AA140" s="282"/>
      <c r="AB140" s="282"/>
      <c r="AC140" s="284"/>
      <c r="AD140" s="284"/>
    </row>
    <row r="141" ht="14.25" customHeight="1">
      <c r="A141" s="266"/>
      <c r="B141" s="266"/>
      <c r="C141" s="266"/>
      <c r="D141" s="266"/>
      <c r="E141" s="268"/>
      <c r="F141" s="291"/>
      <c r="G141" s="268"/>
      <c r="H141" s="268"/>
      <c r="I141" s="268"/>
      <c r="J141" s="268"/>
      <c r="K141" s="268"/>
      <c r="L141" s="288" t="str">
        <f t="shared" si="3"/>
        <v/>
      </c>
      <c r="M141" s="278"/>
      <c r="N141" s="290"/>
      <c r="O141" s="276"/>
      <c r="P141" s="276"/>
      <c r="Q141" s="276"/>
      <c r="R141" s="278"/>
      <c r="S141" s="278"/>
      <c r="T141" s="278"/>
      <c r="U141" s="279"/>
      <c r="V141" s="279"/>
      <c r="W141" s="279"/>
      <c r="X141" s="279"/>
      <c r="Y141" s="279"/>
      <c r="Z141" s="282"/>
      <c r="AA141" s="282"/>
      <c r="AB141" s="282"/>
      <c r="AC141" s="284"/>
      <c r="AD141" s="284"/>
    </row>
    <row r="142" ht="14.25" customHeight="1">
      <c r="A142" s="266"/>
      <c r="B142" s="266"/>
      <c r="C142" s="266"/>
      <c r="D142" s="266"/>
      <c r="E142" s="268"/>
      <c r="F142" s="291"/>
      <c r="G142" s="268"/>
      <c r="H142" s="268"/>
      <c r="I142" s="268"/>
      <c r="J142" s="268"/>
      <c r="K142" s="268"/>
      <c r="L142" s="288" t="str">
        <f t="shared" si="3"/>
        <v/>
      </c>
      <c r="M142" s="278"/>
      <c r="N142" s="290"/>
      <c r="O142" s="276"/>
      <c r="P142" s="276"/>
      <c r="Q142" s="276"/>
      <c r="R142" s="278"/>
      <c r="S142" s="278"/>
      <c r="T142" s="278"/>
      <c r="U142" s="279"/>
      <c r="V142" s="279"/>
      <c r="W142" s="279"/>
      <c r="X142" s="279"/>
      <c r="Y142" s="279"/>
      <c r="Z142" s="282"/>
      <c r="AA142" s="282"/>
      <c r="AB142" s="282"/>
      <c r="AC142" s="284"/>
      <c r="AD142" s="284"/>
    </row>
    <row r="143" ht="14.25" customHeight="1">
      <c r="A143" s="266"/>
      <c r="B143" s="266"/>
      <c r="C143" s="266"/>
      <c r="D143" s="266"/>
      <c r="E143" s="268"/>
      <c r="F143" s="291"/>
      <c r="G143" s="268"/>
      <c r="H143" s="268"/>
      <c r="I143" s="268"/>
      <c r="J143" s="268"/>
      <c r="K143" s="268"/>
      <c r="L143" s="288" t="str">
        <f t="shared" si="3"/>
        <v/>
      </c>
      <c r="M143" s="278"/>
      <c r="N143" s="290"/>
      <c r="O143" s="276"/>
      <c r="P143" s="276"/>
      <c r="Q143" s="276"/>
      <c r="R143" s="278"/>
      <c r="S143" s="278"/>
      <c r="T143" s="278"/>
      <c r="U143" s="279"/>
      <c r="V143" s="279"/>
      <c r="W143" s="279"/>
      <c r="X143" s="279"/>
      <c r="Y143" s="279"/>
      <c r="Z143" s="282"/>
      <c r="AA143" s="282"/>
      <c r="AB143" s="282"/>
      <c r="AC143" s="284"/>
      <c r="AD143" s="284"/>
    </row>
    <row r="144" ht="14.25" customHeight="1">
      <c r="A144" s="266"/>
      <c r="B144" s="266"/>
      <c r="C144" s="266"/>
      <c r="D144" s="266"/>
      <c r="E144" s="268"/>
      <c r="F144" s="291"/>
      <c r="G144" s="268"/>
      <c r="H144" s="268"/>
      <c r="I144" s="268"/>
      <c r="J144" s="268"/>
      <c r="K144" s="268"/>
      <c r="L144" s="288" t="str">
        <f t="shared" si="3"/>
        <v/>
      </c>
      <c r="M144" s="278"/>
      <c r="N144" s="290"/>
      <c r="O144" s="276"/>
      <c r="P144" s="276"/>
      <c r="Q144" s="276"/>
      <c r="R144" s="278"/>
      <c r="S144" s="278"/>
      <c r="T144" s="278"/>
      <c r="U144" s="279"/>
      <c r="V144" s="279"/>
      <c r="W144" s="279"/>
      <c r="X144" s="279"/>
      <c r="Y144" s="279"/>
      <c r="Z144" s="282"/>
      <c r="AA144" s="282"/>
      <c r="AB144" s="282"/>
      <c r="AC144" s="284"/>
      <c r="AD144" s="284"/>
    </row>
    <row r="145" ht="14.25" customHeight="1">
      <c r="A145" s="266"/>
      <c r="B145" s="266"/>
      <c r="C145" s="266"/>
      <c r="D145" s="266"/>
      <c r="E145" s="268"/>
      <c r="F145" s="291"/>
      <c r="G145" s="268"/>
      <c r="H145" s="268"/>
      <c r="I145" s="268"/>
      <c r="J145" s="268"/>
      <c r="K145" s="268"/>
      <c r="L145" s="288" t="str">
        <f t="shared" si="3"/>
        <v/>
      </c>
      <c r="M145" s="278"/>
      <c r="N145" s="290"/>
      <c r="O145" s="276"/>
      <c r="P145" s="276"/>
      <c r="Q145" s="276"/>
      <c r="R145" s="278"/>
      <c r="S145" s="278"/>
      <c r="T145" s="278"/>
      <c r="U145" s="279"/>
      <c r="V145" s="279"/>
      <c r="W145" s="279"/>
      <c r="X145" s="279"/>
      <c r="Y145" s="279"/>
      <c r="Z145" s="282"/>
      <c r="AA145" s="282"/>
      <c r="AB145" s="282"/>
      <c r="AC145" s="284"/>
      <c r="AD145" s="284"/>
    </row>
    <row r="146" ht="14.25" customHeight="1">
      <c r="A146" s="266"/>
      <c r="B146" s="266"/>
      <c r="C146" s="266"/>
      <c r="D146" s="266"/>
      <c r="E146" s="268"/>
      <c r="F146" s="291"/>
      <c r="G146" s="268"/>
      <c r="H146" s="268"/>
      <c r="I146" s="268"/>
      <c r="J146" s="268"/>
      <c r="K146" s="268"/>
      <c r="L146" s="288" t="str">
        <f t="shared" si="3"/>
        <v/>
      </c>
      <c r="M146" s="278"/>
      <c r="N146" s="290"/>
      <c r="O146" s="276"/>
      <c r="P146" s="276"/>
      <c r="Q146" s="276"/>
      <c r="R146" s="278"/>
      <c r="S146" s="278"/>
      <c r="T146" s="278"/>
      <c r="U146" s="279"/>
      <c r="V146" s="279"/>
      <c r="W146" s="279"/>
      <c r="X146" s="279"/>
      <c r="Y146" s="279"/>
      <c r="Z146" s="282"/>
      <c r="AA146" s="282"/>
      <c r="AB146" s="282"/>
      <c r="AC146" s="284"/>
      <c r="AD146" s="284"/>
    </row>
    <row r="147" ht="14.25" customHeight="1">
      <c r="A147" s="266"/>
      <c r="B147" s="266"/>
      <c r="C147" s="266"/>
      <c r="D147" s="266"/>
      <c r="E147" s="268"/>
      <c r="F147" s="291"/>
      <c r="G147" s="268"/>
      <c r="H147" s="268"/>
      <c r="I147" s="268"/>
      <c r="J147" s="268"/>
      <c r="K147" s="268"/>
      <c r="L147" s="288" t="str">
        <f t="shared" si="3"/>
        <v/>
      </c>
      <c r="M147" s="278"/>
      <c r="N147" s="290"/>
      <c r="O147" s="276"/>
      <c r="P147" s="276"/>
      <c r="Q147" s="276"/>
      <c r="R147" s="278"/>
      <c r="S147" s="278"/>
      <c r="T147" s="278"/>
      <c r="U147" s="279"/>
      <c r="V147" s="279"/>
      <c r="W147" s="279"/>
      <c r="X147" s="279"/>
      <c r="Y147" s="279"/>
      <c r="Z147" s="282"/>
      <c r="AA147" s="282"/>
      <c r="AB147" s="282"/>
      <c r="AC147" s="284"/>
      <c r="AD147" s="284"/>
    </row>
    <row r="148" ht="14.25" customHeight="1">
      <c r="A148" s="266"/>
      <c r="B148" s="266"/>
      <c r="C148" s="266"/>
      <c r="D148" s="266"/>
      <c r="E148" s="268"/>
      <c r="F148" s="291"/>
      <c r="G148" s="268"/>
      <c r="H148" s="268"/>
      <c r="I148" s="268"/>
      <c r="J148" s="268"/>
      <c r="K148" s="268"/>
      <c r="L148" s="288" t="str">
        <f t="shared" si="3"/>
        <v/>
      </c>
      <c r="M148" s="278"/>
      <c r="N148" s="290"/>
      <c r="O148" s="276"/>
      <c r="P148" s="276"/>
      <c r="Q148" s="276"/>
      <c r="R148" s="278"/>
      <c r="S148" s="278"/>
      <c r="T148" s="278"/>
      <c r="U148" s="279"/>
      <c r="V148" s="279"/>
      <c r="W148" s="279"/>
      <c r="X148" s="279"/>
      <c r="Y148" s="279"/>
      <c r="Z148" s="282"/>
      <c r="AA148" s="282"/>
      <c r="AB148" s="282"/>
      <c r="AC148" s="284"/>
      <c r="AD148" s="284"/>
    </row>
    <row r="149" ht="14.25" customHeight="1">
      <c r="A149" s="266"/>
      <c r="B149" s="266"/>
      <c r="C149" s="266"/>
      <c r="D149" s="266"/>
      <c r="E149" s="268"/>
      <c r="F149" s="291"/>
      <c r="G149" s="268"/>
      <c r="H149" s="268"/>
      <c r="I149" s="268"/>
      <c r="J149" s="268"/>
      <c r="K149" s="268"/>
      <c r="L149" s="288" t="str">
        <f t="shared" si="3"/>
        <v/>
      </c>
      <c r="M149" s="278"/>
      <c r="N149" s="290"/>
      <c r="O149" s="276"/>
      <c r="P149" s="276"/>
      <c r="Q149" s="276"/>
      <c r="R149" s="278"/>
      <c r="S149" s="278"/>
      <c r="T149" s="278"/>
      <c r="U149" s="279"/>
      <c r="V149" s="279"/>
      <c r="W149" s="279"/>
      <c r="X149" s="279"/>
      <c r="Y149" s="279"/>
      <c r="Z149" s="282"/>
      <c r="AA149" s="282"/>
      <c r="AB149" s="282"/>
      <c r="AC149" s="284"/>
      <c r="AD149" s="284"/>
    </row>
    <row r="150" ht="14.25" customHeight="1">
      <c r="A150" s="266"/>
      <c r="B150" s="266"/>
      <c r="C150" s="266"/>
      <c r="D150" s="266"/>
      <c r="E150" s="268"/>
      <c r="F150" s="291"/>
      <c r="G150" s="268"/>
      <c r="H150" s="268"/>
      <c r="I150" s="268"/>
      <c r="J150" s="268"/>
      <c r="K150" s="268"/>
      <c r="L150" s="288" t="str">
        <f t="shared" si="3"/>
        <v/>
      </c>
      <c r="M150" s="278"/>
      <c r="N150" s="290"/>
      <c r="O150" s="276"/>
      <c r="P150" s="276"/>
      <c r="Q150" s="276"/>
      <c r="R150" s="278"/>
      <c r="S150" s="278"/>
      <c r="T150" s="278"/>
      <c r="U150" s="279"/>
      <c r="V150" s="279"/>
      <c r="W150" s="279"/>
      <c r="X150" s="279"/>
      <c r="Y150" s="279"/>
      <c r="Z150" s="282"/>
      <c r="AA150" s="282"/>
      <c r="AB150" s="282"/>
      <c r="AC150" s="284"/>
      <c r="AD150" s="284"/>
    </row>
    <row r="151" ht="14.25" customHeight="1">
      <c r="A151" s="266"/>
      <c r="B151" s="266"/>
      <c r="C151" s="266"/>
      <c r="D151" s="266"/>
      <c r="E151" s="268"/>
      <c r="F151" s="291"/>
      <c r="G151" s="268"/>
      <c r="H151" s="268"/>
      <c r="I151" s="268"/>
      <c r="J151" s="268"/>
      <c r="K151" s="268"/>
      <c r="L151" s="288" t="str">
        <f t="shared" si="3"/>
        <v/>
      </c>
      <c r="M151" s="278"/>
      <c r="N151" s="290"/>
      <c r="O151" s="276"/>
      <c r="P151" s="276"/>
      <c r="Q151" s="276"/>
      <c r="R151" s="278"/>
      <c r="S151" s="278"/>
      <c r="T151" s="278"/>
      <c r="U151" s="279"/>
      <c r="V151" s="279"/>
      <c r="W151" s="279"/>
      <c r="X151" s="279"/>
      <c r="Y151" s="279"/>
      <c r="Z151" s="282"/>
      <c r="AA151" s="282"/>
      <c r="AB151" s="282"/>
      <c r="AC151" s="284"/>
      <c r="AD151" s="284"/>
    </row>
    <row r="152" ht="14.25" customHeight="1">
      <c r="A152" s="266"/>
      <c r="B152" s="266"/>
      <c r="C152" s="266"/>
      <c r="D152" s="266"/>
      <c r="E152" s="268"/>
      <c r="F152" s="291"/>
      <c r="G152" s="268"/>
      <c r="H152" s="268"/>
      <c r="I152" s="268"/>
      <c r="J152" s="268"/>
      <c r="K152" s="268"/>
      <c r="L152" s="288" t="str">
        <f t="shared" si="3"/>
        <v/>
      </c>
      <c r="M152" s="278"/>
      <c r="N152" s="290"/>
      <c r="O152" s="276"/>
      <c r="P152" s="276"/>
      <c r="Q152" s="276"/>
      <c r="R152" s="278"/>
      <c r="S152" s="278"/>
      <c r="T152" s="278"/>
      <c r="U152" s="279"/>
      <c r="V152" s="279"/>
      <c r="W152" s="279"/>
      <c r="X152" s="279"/>
      <c r="Y152" s="279"/>
      <c r="Z152" s="282"/>
      <c r="AA152" s="282"/>
      <c r="AB152" s="282"/>
      <c r="AC152" s="284"/>
      <c r="AD152" s="284"/>
    </row>
    <row r="153" ht="14.25" customHeight="1">
      <c r="A153" s="266"/>
      <c r="B153" s="266"/>
      <c r="C153" s="266"/>
      <c r="D153" s="266"/>
      <c r="E153" s="268"/>
      <c r="F153" s="291"/>
      <c r="G153" s="268"/>
      <c r="H153" s="268"/>
      <c r="I153" s="268"/>
      <c r="J153" s="268"/>
      <c r="K153" s="268"/>
      <c r="L153" s="288" t="str">
        <f t="shared" si="3"/>
        <v/>
      </c>
      <c r="M153" s="278"/>
      <c r="N153" s="290"/>
      <c r="O153" s="276"/>
      <c r="P153" s="276"/>
      <c r="Q153" s="276"/>
      <c r="R153" s="278"/>
      <c r="S153" s="278"/>
      <c r="T153" s="278"/>
      <c r="U153" s="279"/>
      <c r="V153" s="279"/>
      <c r="W153" s="279"/>
      <c r="X153" s="279"/>
      <c r="Y153" s="279"/>
      <c r="Z153" s="282"/>
      <c r="AA153" s="282"/>
      <c r="AB153" s="282"/>
      <c r="AC153" s="284"/>
      <c r="AD153" s="284"/>
    </row>
    <row r="154" ht="14.25" customHeight="1">
      <c r="A154" s="266"/>
      <c r="B154" s="266"/>
      <c r="C154" s="266"/>
      <c r="D154" s="266"/>
      <c r="E154" s="268"/>
      <c r="F154" s="291"/>
      <c r="G154" s="268"/>
      <c r="H154" s="268"/>
      <c r="I154" s="268"/>
      <c r="J154" s="268"/>
      <c r="K154" s="268"/>
      <c r="L154" s="288" t="str">
        <f t="shared" si="3"/>
        <v/>
      </c>
      <c r="M154" s="278"/>
      <c r="N154" s="290"/>
      <c r="O154" s="276"/>
      <c r="P154" s="276"/>
      <c r="Q154" s="276"/>
      <c r="R154" s="278"/>
      <c r="S154" s="278"/>
      <c r="T154" s="278"/>
      <c r="U154" s="279"/>
      <c r="V154" s="279"/>
      <c r="W154" s="279"/>
      <c r="X154" s="279"/>
      <c r="Y154" s="279"/>
      <c r="Z154" s="282"/>
      <c r="AA154" s="282"/>
      <c r="AB154" s="282"/>
      <c r="AC154" s="284"/>
      <c r="AD154" s="284"/>
    </row>
    <row r="155" ht="14.25" customHeight="1">
      <c r="A155" s="266"/>
      <c r="B155" s="266"/>
      <c r="C155" s="266"/>
      <c r="D155" s="266"/>
      <c r="E155" s="268"/>
      <c r="F155" s="291"/>
      <c r="G155" s="268"/>
      <c r="H155" s="268"/>
      <c r="I155" s="268"/>
      <c r="J155" s="268"/>
      <c r="K155" s="268"/>
      <c r="L155" s="288" t="str">
        <f t="shared" si="3"/>
        <v/>
      </c>
      <c r="M155" s="278"/>
      <c r="N155" s="290"/>
      <c r="O155" s="276"/>
      <c r="P155" s="276"/>
      <c r="Q155" s="276"/>
      <c r="R155" s="278"/>
      <c r="S155" s="278"/>
      <c r="T155" s="278"/>
      <c r="U155" s="279"/>
      <c r="V155" s="279"/>
      <c r="W155" s="279"/>
      <c r="X155" s="279"/>
      <c r="Y155" s="279"/>
      <c r="Z155" s="282"/>
      <c r="AA155" s="282"/>
      <c r="AB155" s="282"/>
      <c r="AC155" s="284"/>
      <c r="AD155" s="284"/>
    </row>
    <row r="156" ht="14.25" customHeight="1">
      <c r="A156" s="266"/>
      <c r="B156" s="266"/>
      <c r="C156" s="266"/>
      <c r="D156" s="266"/>
      <c r="E156" s="268"/>
      <c r="F156" s="291"/>
      <c r="G156" s="268"/>
      <c r="H156" s="268"/>
      <c r="I156" s="268"/>
      <c r="J156" s="268"/>
      <c r="K156" s="268"/>
      <c r="L156" s="288" t="str">
        <f t="shared" si="3"/>
        <v/>
      </c>
      <c r="M156" s="278"/>
      <c r="N156" s="290"/>
      <c r="O156" s="276"/>
      <c r="P156" s="276"/>
      <c r="Q156" s="276"/>
      <c r="R156" s="278"/>
      <c r="S156" s="278"/>
      <c r="T156" s="278"/>
      <c r="U156" s="279"/>
      <c r="V156" s="279"/>
      <c r="W156" s="279"/>
      <c r="X156" s="279"/>
      <c r="Y156" s="279"/>
      <c r="Z156" s="282"/>
      <c r="AA156" s="282"/>
      <c r="AB156" s="282"/>
      <c r="AC156" s="284"/>
      <c r="AD156" s="284"/>
    </row>
    <row r="157" ht="14.25" customHeight="1">
      <c r="A157" s="266"/>
      <c r="B157" s="266"/>
      <c r="C157" s="266"/>
      <c r="D157" s="266"/>
      <c r="E157" s="268"/>
      <c r="F157" s="291"/>
      <c r="G157" s="268"/>
      <c r="H157" s="268"/>
      <c r="I157" s="268"/>
      <c r="J157" s="268"/>
      <c r="K157" s="268"/>
      <c r="L157" s="288" t="str">
        <f t="shared" si="3"/>
        <v/>
      </c>
      <c r="M157" s="278"/>
      <c r="N157" s="290"/>
      <c r="O157" s="276"/>
      <c r="P157" s="276"/>
      <c r="Q157" s="276"/>
      <c r="R157" s="278"/>
      <c r="S157" s="278"/>
      <c r="T157" s="278"/>
      <c r="U157" s="279"/>
      <c r="V157" s="279"/>
      <c r="W157" s="279"/>
      <c r="X157" s="279"/>
      <c r="Y157" s="279"/>
      <c r="Z157" s="282"/>
      <c r="AA157" s="282"/>
      <c r="AB157" s="282"/>
      <c r="AC157" s="284"/>
      <c r="AD157" s="284"/>
    </row>
    <row r="158" ht="14.25" customHeight="1">
      <c r="A158" s="266"/>
      <c r="B158" s="266"/>
      <c r="C158" s="266"/>
      <c r="D158" s="266"/>
      <c r="E158" s="268"/>
      <c r="F158" s="291"/>
      <c r="G158" s="268"/>
      <c r="H158" s="268"/>
      <c r="I158" s="268"/>
      <c r="J158" s="268"/>
      <c r="K158" s="268"/>
      <c r="L158" s="288" t="str">
        <f t="shared" si="3"/>
        <v/>
      </c>
      <c r="M158" s="278"/>
      <c r="N158" s="290"/>
      <c r="O158" s="276"/>
      <c r="P158" s="276"/>
      <c r="Q158" s="276"/>
      <c r="R158" s="278"/>
      <c r="S158" s="278"/>
      <c r="T158" s="278"/>
      <c r="U158" s="279"/>
      <c r="V158" s="279"/>
      <c r="W158" s="279"/>
      <c r="X158" s="279"/>
      <c r="Y158" s="279"/>
      <c r="Z158" s="282"/>
      <c r="AA158" s="282"/>
      <c r="AB158" s="282"/>
      <c r="AC158" s="284"/>
      <c r="AD158" s="284"/>
    </row>
    <row r="159" ht="14.25" customHeight="1">
      <c r="A159" s="266"/>
      <c r="B159" s="266"/>
      <c r="C159" s="266"/>
      <c r="D159" s="266"/>
      <c r="E159" s="268"/>
      <c r="F159" s="291"/>
      <c r="G159" s="268"/>
      <c r="H159" s="268"/>
      <c r="I159" s="268"/>
      <c r="J159" s="268"/>
      <c r="K159" s="268"/>
      <c r="L159" s="288" t="str">
        <f t="shared" si="3"/>
        <v/>
      </c>
      <c r="M159" s="278"/>
      <c r="N159" s="290"/>
      <c r="O159" s="276"/>
      <c r="P159" s="276"/>
      <c r="Q159" s="276"/>
      <c r="R159" s="278"/>
      <c r="S159" s="278"/>
      <c r="T159" s="278"/>
      <c r="U159" s="279"/>
      <c r="V159" s="279"/>
      <c r="W159" s="279"/>
      <c r="X159" s="279"/>
      <c r="Y159" s="279"/>
      <c r="Z159" s="282"/>
      <c r="AA159" s="282"/>
      <c r="AB159" s="282"/>
      <c r="AC159" s="284"/>
      <c r="AD159" s="284"/>
    </row>
    <row r="160" ht="14.25" customHeight="1">
      <c r="A160" s="266"/>
      <c r="B160" s="266"/>
      <c r="C160" s="266"/>
      <c r="D160" s="266"/>
      <c r="E160" s="268"/>
      <c r="F160" s="291"/>
      <c r="G160" s="268"/>
      <c r="H160" s="268"/>
      <c r="I160" s="268"/>
      <c r="J160" s="268"/>
      <c r="K160" s="268"/>
      <c r="L160" s="288" t="str">
        <f t="shared" si="3"/>
        <v/>
      </c>
      <c r="M160" s="278"/>
      <c r="N160" s="290"/>
      <c r="O160" s="276"/>
      <c r="P160" s="276"/>
      <c r="Q160" s="276"/>
      <c r="R160" s="278"/>
      <c r="S160" s="278"/>
      <c r="T160" s="278"/>
      <c r="U160" s="279"/>
      <c r="V160" s="279"/>
      <c r="W160" s="279"/>
      <c r="X160" s="279"/>
      <c r="Y160" s="279"/>
      <c r="Z160" s="282"/>
      <c r="AA160" s="282"/>
      <c r="AB160" s="282"/>
      <c r="AC160" s="284"/>
      <c r="AD160" s="284"/>
    </row>
    <row r="161" ht="14.25" customHeight="1">
      <c r="A161" s="266"/>
      <c r="B161" s="266"/>
      <c r="C161" s="266"/>
      <c r="D161" s="266"/>
      <c r="E161" s="268"/>
      <c r="F161" s="291"/>
      <c r="G161" s="268"/>
      <c r="H161" s="268"/>
      <c r="I161" s="268"/>
      <c r="J161" s="268"/>
      <c r="K161" s="268"/>
      <c r="L161" s="288" t="str">
        <f t="shared" si="3"/>
        <v/>
      </c>
      <c r="M161" s="278"/>
      <c r="N161" s="290"/>
      <c r="O161" s="276"/>
      <c r="P161" s="276"/>
      <c r="Q161" s="276"/>
      <c r="R161" s="278"/>
      <c r="S161" s="278"/>
      <c r="T161" s="278"/>
      <c r="U161" s="279"/>
      <c r="V161" s="279"/>
      <c r="W161" s="279"/>
      <c r="X161" s="279"/>
      <c r="Y161" s="279"/>
      <c r="Z161" s="282"/>
      <c r="AA161" s="282"/>
      <c r="AB161" s="282"/>
      <c r="AC161" s="284"/>
      <c r="AD161" s="284"/>
    </row>
    <row r="162" ht="14.25" customHeight="1">
      <c r="A162" s="266"/>
      <c r="B162" s="266"/>
      <c r="C162" s="266"/>
      <c r="D162" s="266"/>
      <c r="E162" s="268"/>
      <c r="F162" s="291"/>
      <c r="G162" s="268"/>
      <c r="H162" s="268"/>
      <c r="I162" s="268"/>
      <c r="J162" s="268"/>
      <c r="K162" s="268"/>
      <c r="L162" s="288" t="str">
        <f t="shared" si="3"/>
        <v/>
      </c>
      <c r="M162" s="278"/>
      <c r="N162" s="290"/>
      <c r="O162" s="276"/>
      <c r="P162" s="276"/>
      <c r="Q162" s="276"/>
      <c r="R162" s="278"/>
      <c r="S162" s="278"/>
      <c r="T162" s="278"/>
      <c r="U162" s="279"/>
      <c r="V162" s="279"/>
      <c r="W162" s="279"/>
      <c r="X162" s="279"/>
      <c r="Y162" s="279"/>
      <c r="Z162" s="282"/>
      <c r="AA162" s="282"/>
      <c r="AB162" s="282"/>
      <c r="AC162" s="284"/>
      <c r="AD162" s="284"/>
    </row>
    <row r="163" ht="14.25" customHeight="1">
      <c r="A163" s="266"/>
      <c r="B163" s="266"/>
      <c r="C163" s="266"/>
      <c r="D163" s="266"/>
      <c r="E163" s="268"/>
      <c r="F163" s="291"/>
      <c r="G163" s="268"/>
      <c r="H163" s="268"/>
      <c r="I163" s="268"/>
      <c r="J163" s="268"/>
      <c r="K163" s="268"/>
      <c r="L163" s="288" t="str">
        <f t="shared" si="3"/>
        <v/>
      </c>
      <c r="M163" s="278"/>
      <c r="N163" s="290"/>
      <c r="O163" s="276"/>
      <c r="P163" s="276"/>
      <c r="Q163" s="276"/>
      <c r="R163" s="278"/>
      <c r="S163" s="278"/>
      <c r="T163" s="278"/>
      <c r="U163" s="279"/>
      <c r="V163" s="279"/>
      <c r="W163" s="279"/>
      <c r="X163" s="279"/>
      <c r="Y163" s="279"/>
      <c r="Z163" s="282"/>
      <c r="AA163" s="282"/>
      <c r="AB163" s="282"/>
      <c r="AC163" s="284"/>
      <c r="AD163" s="284"/>
    </row>
    <row r="164" ht="14.25" customHeight="1">
      <c r="A164" s="266"/>
      <c r="B164" s="266"/>
      <c r="C164" s="266"/>
      <c r="D164" s="266"/>
      <c r="E164" s="268"/>
      <c r="F164" s="291"/>
      <c r="G164" s="268"/>
      <c r="H164" s="268"/>
      <c r="I164" s="268"/>
      <c r="J164" s="268"/>
      <c r="K164" s="268"/>
      <c r="L164" s="288" t="str">
        <f t="shared" si="3"/>
        <v/>
      </c>
      <c r="M164" s="278"/>
      <c r="N164" s="290"/>
      <c r="O164" s="276"/>
      <c r="P164" s="276"/>
      <c r="Q164" s="276"/>
      <c r="R164" s="278"/>
      <c r="S164" s="278"/>
      <c r="T164" s="278"/>
      <c r="U164" s="279"/>
      <c r="V164" s="279"/>
      <c r="W164" s="279"/>
      <c r="X164" s="279"/>
      <c r="Y164" s="279"/>
      <c r="Z164" s="282"/>
      <c r="AA164" s="282"/>
      <c r="AB164" s="282"/>
      <c r="AC164" s="284"/>
      <c r="AD164" s="284"/>
    </row>
    <row r="165" ht="14.25" customHeight="1">
      <c r="A165" s="266"/>
      <c r="B165" s="266"/>
      <c r="C165" s="266"/>
      <c r="D165" s="266"/>
      <c r="E165" s="268"/>
      <c r="F165" s="291"/>
      <c r="G165" s="268"/>
      <c r="H165" s="268"/>
      <c r="I165" s="268"/>
      <c r="J165" s="268"/>
      <c r="K165" s="268"/>
      <c r="L165" s="288" t="str">
        <f t="shared" si="3"/>
        <v/>
      </c>
      <c r="M165" s="278"/>
      <c r="N165" s="290"/>
      <c r="O165" s="276"/>
      <c r="P165" s="276"/>
      <c r="Q165" s="276"/>
      <c r="R165" s="278"/>
      <c r="S165" s="278"/>
      <c r="T165" s="278"/>
      <c r="U165" s="279"/>
      <c r="V165" s="279"/>
      <c r="W165" s="279"/>
      <c r="X165" s="279"/>
      <c r="Y165" s="279"/>
      <c r="Z165" s="282"/>
      <c r="AA165" s="282"/>
      <c r="AB165" s="282"/>
      <c r="AC165" s="284"/>
      <c r="AD165" s="284"/>
    </row>
    <row r="166" ht="14.25" customHeight="1">
      <c r="A166" s="266"/>
      <c r="B166" s="266"/>
      <c r="C166" s="266"/>
      <c r="D166" s="266"/>
      <c r="E166" s="268"/>
      <c r="F166" s="291"/>
      <c r="G166" s="268"/>
      <c r="H166" s="268"/>
      <c r="I166" s="268"/>
      <c r="J166" s="268"/>
      <c r="K166" s="268"/>
      <c r="L166" s="288" t="str">
        <f t="shared" si="3"/>
        <v/>
      </c>
      <c r="M166" s="278"/>
      <c r="N166" s="290"/>
      <c r="O166" s="276"/>
      <c r="P166" s="276"/>
      <c r="Q166" s="276"/>
      <c r="R166" s="278"/>
      <c r="S166" s="278"/>
      <c r="T166" s="278"/>
      <c r="U166" s="279"/>
      <c r="V166" s="279"/>
      <c r="W166" s="279"/>
      <c r="X166" s="279"/>
      <c r="Y166" s="279"/>
      <c r="Z166" s="282"/>
      <c r="AA166" s="282"/>
      <c r="AB166" s="282"/>
      <c r="AC166" s="284"/>
      <c r="AD166" s="284"/>
    </row>
    <row r="167" ht="14.25" customHeight="1">
      <c r="A167" s="266"/>
      <c r="B167" s="266"/>
      <c r="C167" s="266"/>
      <c r="D167" s="266"/>
      <c r="E167" s="268"/>
      <c r="F167" s="291"/>
      <c r="G167" s="268"/>
      <c r="H167" s="268"/>
      <c r="I167" s="268"/>
      <c r="J167" s="268"/>
      <c r="K167" s="268"/>
      <c r="L167" s="288" t="str">
        <f t="shared" si="3"/>
        <v/>
      </c>
      <c r="M167" s="278"/>
      <c r="N167" s="290"/>
      <c r="O167" s="276"/>
      <c r="P167" s="276"/>
      <c r="Q167" s="276"/>
      <c r="R167" s="278"/>
      <c r="S167" s="278"/>
      <c r="T167" s="278"/>
      <c r="U167" s="279"/>
      <c r="V167" s="279"/>
      <c r="W167" s="279"/>
      <c r="X167" s="279"/>
      <c r="Y167" s="279"/>
      <c r="Z167" s="282"/>
      <c r="AA167" s="282"/>
      <c r="AB167" s="282"/>
      <c r="AC167" s="284"/>
      <c r="AD167" s="284"/>
    </row>
    <row r="168" ht="14.25" customHeight="1">
      <c r="A168" s="266"/>
      <c r="B168" s="266"/>
      <c r="C168" s="266"/>
      <c r="D168" s="266"/>
      <c r="E168" s="268"/>
      <c r="F168" s="291"/>
      <c r="G168" s="268"/>
      <c r="H168" s="268"/>
      <c r="I168" s="268"/>
      <c r="J168" s="268"/>
      <c r="K168" s="268"/>
      <c r="L168" s="288" t="str">
        <f t="shared" si="3"/>
        <v/>
      </c>
      <c r="M168" s="278"/>
      <c r="N168" s="290"/>
      <c r="O168" s="276"/>
      <c r="P168" s="276"/>
      <c r="Q168" s="276"/>
      <c r="R168" s="278"/>
      <c r="S168" s="278"/>
      <c r="T168" s="278"/>
      <c r="U168" s="279"/>
      <c r="V168" s="279"/>
      <c r="W168" s="279"/>
      <c r="X168" s="279"/>
      <c r="Y168" s="279"/>
      <c r="Z168" s="282"/>
      <c r="AA168" s="282"/>
      <c r="AB168" s="282"/>
      <c r="AC168" s="284"/>
      <c r="AD168" s="284"/>
    </row>
    <row r="169" ht="14.25" customHeight="1">
      <c r="A169" s="266"/>
      <c r="B169" s="266"/>
      <c r="C169" s="266"/>
      <c r="D169" s="266"/>
      <c r="E169" s="268"/>
      <c r="F169" s="291"/>
      <c r="G169" s="268"/>
      <c r="H169" s="268"/>
      <c r="I169" s="268"/>
      <c r="J169" s="268"/>
      <c r="K169" s="268"/>
      <c r="L169" s="288" t="str">
        <f t="shared" si="3"/>
        <v/>
      </c>
      <c r="M169" s="278"/>
      <c r="N169" s="290"/>
      <c r="O169" s="276"/>
      <c r="P169" s="276"/>
      <c r="Q169" s="276"/>
      <c r="R169" s="278"/>
      <c r="S169" s="278"/>
      <c r="T169" s="278"/>
      <c r="U169" s="279"/>
      <c r="V169" s="279"/>
      <c r="W169" s="279"/>
      <c r="X169" s="279"/>
      <c r="Y169" s="279"/>
      <c r="Z169" s="282"/>
      <c r="AA169" s="282"/>
      <c r="AB169" s="282"/>
      <c r="AC169" s="284"/>
      <c r="AD169" s="284"/>
    </row>
    <row r="170" ht="14.25" customHeight="1">
      <c r="A170" s="266"/>
      <c r="B170" s="266"/>
      <c r="C170" s="266"/>
      <c r="D170" s="266"/>
      <c r="E170" s="268"/>
      <c r="F170" s="291"/>
      <c r="G170" s="268"/>
      <c r="H170" s="268"/>
      <c r="I170" s="268"/>
      <c r="J170" s="268"/>
      <c r="K170" s="268"/>
      <c r="L170" s="288" t="str">
        <f t="shared" si="3"/>
        <v/>
      </c>
      <c r="M170" s="278"/>
      <c r="N170" s="290"/>
      <c r="O170" s="276"/>
      <c r="P170" s="276"/>
      <c r="Q170" s="276"/>
      <c r="R170" s="278"/>
      <c r="S170" s="278"/>
      <c r="T170" s="278"/>
      <c r="U170" s="279"/>
      <c r="V170" s="279"/>
      <c r="W170" s="279"/>
      <c r="X170" s="279"/>
      <c r="Y170" s="279"/>
      <c r="Z170" s="282"/>
      <c r="AA170" s="282"/>
      <c r="AB170" s="282"/>
      <c r="AC170" s="284"/>
      <c r="AD170" s="284"/>
    </row>
    <row r="171" ht="14.25" customHeight="1">
      <c r="A171" s="266"/>
      <c r="B171" s="266"/>
      <c r="C171" s="266"/>
      <c r="D171" s="266"/>
      <c r="E171" s="268"/>
      <c r="F171" s="291"/>
      <c r="G171" s="268"/>
      <c r="H171" s="268"/>
      <c r="I171" s="268"/>
      <c r="J171" s="268"/>
      <c r="K171" s="268"/>
      <c r="L171" s="288" t="str">
        <f t="shared" si="3"/>
        <v/>
      </c>
      <c r="M171" s="278"/>
      <c r="N171" s="290"/>
      <c r="O171" s="276"/>
      <c r="P171" s="276"/>
      <c r="Q171" s="276"/>
      <c r="R171" s="278"/>
      <c r="S171" s="278"/>
      <c r="T171" s="278"/>
      <c r="U171" s="279"/>
      <c r="V171" s="279"/>
      <c r="W171" s="279"/>
      <c r="X171" s="279"/>
      <c r="Y171" s="279"/>
      <c r="Z171" s="282"/>
      <c r="AA171" s="282"/>
      <c r="AB171" s="282"/>
      <c r="AC171" s="284"/>
      <c r="AD171" s="284"/>
    </row>
    <row r="172" ht="14.25" customHeight="1">
      <c r="A172" s="266"/>
      <c r="B172" s="266"/>
      <c r="C172" s="266"/>
      <c r="D172" s="266"/>
      <c r="E172" s="268"/>
      <c r="F172" s="291"/>
      <c r="G172" s="268"/>
      <c r="H172" s="268"/>
      <c r="I172" s="268"/>
      <c r="J172" s="268"/>
      <c r="K172" s="268"/>
      <c r="L172" s="288" t="str">
        <f t="shared" si="3"/>
        <v/>
      </c>
      <c r="M172" s="278"/>
      <c r="N172" s="290"/>
      <c r="O172" s="276"/>
      <c r="P172" s="276"/>
      <c r="Q172" s="276"/>
      <c r="R172" s="278"/>
      <c r="S172" s="278"/>
      <c r="T172" s="278"/>
      <c r="U172" s="279"/>
      <c r="V172" s="279"/>
      <c r="W172" s="279"/>
      <c r="X172" s="279"/>
      <c r="Y172" s="279"/>
      <c r="Z172" s="282"/>
      <c r="AA172" s="282"/>
      <c r="AB172" s="282"/>
      <c r="AC172" s="284"/>
      <c r="AD172" s="284"/>
    </row>
    <row r="173" ht="14.25" customHeight="1">
      <c r="A173" s="266"/>
      <c r="B173" s="266"/>
      <c r="C173" s="266"/>
      <c r="D173" s="266"/>
      <c r="E173" s="268"/>
      <c r="F173" s="291"/>
      <c r="G173" s="268"/>
      <c r="H173" s="268"/>
      <c r="I173" s="268"/>
      <c r="J173" s="268"/>
      <c r="K173" s="268"/>
      <c r="L173" s="288" t="str">
        <f t="shared" si="3"/>
        <v/>
      </c>
      <c r="M173" s="278"/>
      <c r="N173" s="290"/>
      <c r="O173" s="276"/>
      <c r="P173" s="276"/>
      <c r="Q173" s="276"/>
      <c r="R173" s="278"/>
      <c r="S173" s="278"/>
      <c r="T173" s="278"/>
      <c r="U173" s="279"/>
      <c r="V173" s="279"/>
      <c r="W173" s="279"/>
      <c r="X173" s="279"/>
      <c r="Y173" s="279"/>
      <c r="Z173" s="282"/>
      <c r="AA173" s="282"/>
      <c r="AB173" s="282"/>
      <c r="AC173" s="284"/>
      <c r="AD173" s="284"/>
    </row>
    <row r="174" ht="14.25" customHeight="1">
      <c r="A174" s="266"/>
      <c r="B174" s="266"/>
      <c r="C174" s="266"/>
      <c r="D174" s="266"/>
      <c r="E174" s="268"/>
      <c r="F174" s="291"/>
      <c r="G174" s="268"/>
      <c r="H174" s="268"/>
      <c r="I174" s="268"/>
      <c r="J174" s="268"/>
      <c r="K174" s="268"/>
      <c r="L174" s="288" t="str">
        <f t="shared" si="3"/>
        <v/>
      </c>
      <c r="M174" s="278"/>
      <c r="N174" s="290"/>
      <c r="O174" s="276"/>
      <c r="P174" s="276"/>
      <c r="Q174" s="276"/>
      <c r="R174" s="278"/>
      <c r="S174" s="278"/>
      <c r="T174" s="278"/>
      <c r="U174" s="279"/>
      <c r="V174" s="279"/>
      <c r="W174" s="279"/>
      <c r="X174" s="279"/>
      <c r="Y174" s="279"/>
      <c r="Z174" s="282"/>
      <c r="AA174" s="282"/>
      <c r="AB174" s="282"/>
      <c r="AC174" s="284"/>
      <c r="AD174" s="284"/>
    </row>
    <row r="175" ht="14.25" customHeight="1">
      <c r="A175" s="266"/>
      <c r="B175" s="266"/>
      <c r="C175" s="266"/>
      <c r="D175" s="266"/>
      <c r="E175" s="268"/>
      <c r="F175" s="291"/>
      <c r="G175" s="268"/>
      <c r="H175" s="268"/>
      <c r="I175" s="268"/>
      <c r="J175" s="268"/>
      <c r="K175" s="268"/>
      <c r="L175" s="288" t="str">
        <f t="shared" si="3"/>
        <v/>
      </c>
      <c r="M175" s="278"/>
      <c r="N175" s="290"/>
      <c r="O175" s="276"/>
      <c r="P175" s="276"/>
      <c r="Q175" s="276"/>
      <c r="R175" s="278"/>
      <c r="S175" s="278"/>
      <c r="T175" s="278"/>
      <c r="U175" s="279"/>
      <c r="V175" s="279"/>
      <c r="W175" s="279"/>
      <c r="X175" s="279"/>
      <c r="Y175" s="279"/>
      <c r="Z175" s="282"/>
      <c r="AA175" s="282"/>
      <c r="AB175" s="282"/>
      <c r="AC175" s="284"/>
      <c r="AD175" s="284"/>
    </row>
    <row r="176" ht="14.25" customHeight="1">
      <c r="A176" s="266"/>
      <c r="B176" s="266"/>
      <c r="C176" s="266"/>
      <c r="D176" s="266"/>
      <c r="E176" s="268"/>
      <c r="F176" s="291"/>
      <c r="G176" s="268"/>
      <c r="H176" s="268"/>
      <c r="I176" s="268"/>
      <c r="J176" s="268"/>
      <c r="K176" s="268"/>
      <c r="L176" s="288" t="str">
        <f t="shared" si="3"/>
        <v/>
      </c>
      <c r="M176" s="278"/>
      <c r="N176" s="290"/>
      <c r="O176" s="276"/>
      <c r="P176" s="276"/>
      <c r="Q176" s="276"/>
      <c r="R176" s="278"/>
      <c r="S176" s="278"/>
      <c r="T176" s="278"/>
      <c r="U176" s="279"/>
      <c r="V176" s="279"/>
      <c r="W176" s="279"/>
      <c r="X176" s="279"/>
      <c r="Y176" s="279"/>
      <c r="Z176" s="282"/>
      <c r="AA176" s="282"/>
      <c r="AB176" s="282"/>
      <c r="AC176" s="284"/>
      <c r="AD176" s="284"/>
    </row>
    <row r="177" ht="14.25" customHeight="1">
      <c r="A177" s="266"/>
      <c r="B177" s="266"/>
      <c r="C177" s="266"/>
      <c r="D177" s="266"/>
      <c r="E177" s="268"/>
      <c r="F177" s="291"/>
      <c r="G177" s="268"/>
      <c r="H177" s="268"/>
      <c r="I177" s="268"/>
      <c r="J177" s="268"/>
      <c r="K177" s="268"/>
      <c r="L177" s="288" t="str">
        <f t="shared" si="3"/>
        <v/>
      </c>
      <c r="M177" s="278"/>
      <c r="N177" s="290"/>
      <c r="O177" s="276"/>
      <c r="P177" s="276"/>
      <c r="Q177" s="276"/>
      <c r="R177" s="278"/>
      <c r="S177" s="278"/>
      <c r="T177" s="278"/>
      <c r="U177" s="279"/>
      <c r="V177" s="279"/>
      <c r="W177" s="279"/>
      <c r="X177" s="279"/>
      <c r="Y177" s="279"/>
      <c r="Z177" s="282"/>
      <c r="AA177" s="282"/>
      <c r="AB177" s="282"/>
      <c r="AC177" s="284"/>
      <c r="AD177" s="284"/>
    </row>
    <row r="178" ht="14.25" customHeight="1">
      <c r="A178" s="266"/>
      <c r="B178" s="266"/>
      <c r="C178" s="266"/>
      <c r="D178" s="266"/>
      <c r="E178" s="268"/>
      <c r="F178" s="291"/>
      <c r="G178" s="268"/>
      <c r="H178" s="268"/>
      <c r="I178" s="268"/>
      <c r="J178" s="268"/>
      <c r="K178" s="268"/>
      <c r="L178" s="288" t="str">
        <f t="shared" si="3"/>
        <v/>
      </c>
      <c r="M178" s="278"/>
      <c r="N178" s="290"/>
      <c r="O178" s="276"/>
      <c r="P178" s="276"/>
      <c r="Q178" s="276"/>
      <c r="R178" s="278"/>
      <c r="S178" s="278"/>
      <c r="T178" s="278"/>
      <c r="U178" s="279"/>
      <c r="V178" s="279"/>
      <c r="W178" s="279"/>
      <c r="X178" s="279"/>
      <c r="Y178" s="279"/>
      <c r="Z178" s="282"/>
      <c r="AA178" s="282"/>
      <c r="AB178" s="282"/>
      <c r="AC178" s="284"/>
      <c r="AD178" s="284"/>
    </row>
    <row r="179" ht="14.25" customHeight="1">
      <c r="A179" s="266"/>
      <c r="B179" s="266"/>
      <c r="C179" s="266"/>
      <c r="D179" s="266"/>
      <c r="E179" s="268"/>
      <c r="F179" s="291"/>
      <c r="G179" s="268"/>
      <c r="H179" s="268"/>
      <c r="I179" s="268"/>
      <c r="J179" s="268"/>
      <c r="K179" s="268"/>
      <c r="L179" s="288" t="str">
        <f t="shared" si="3"/>
        <v/>
      </c>
      <c r="M179" s="278"/>
      <c r="N179" s="290"/>
      <c r="O179" s="276"/>
      <c r="P179" s="276"/>
      <c r="Q179" s="276"/>
      <c r="R179" s="278"/>
      <c r="S179" s="278"/>
      <c r="T179" s="278"/>
      <c r="U179" s="279"/>
      <c r="V179" s="279"/>
      <c r="W179" s="279"/>
      <c r="X179" s="279"/>
      <c r="Y179" s="279"/>
      <c r="Z179" s="282"/>
      <c r="AA179" s="282"/>
      <c r="AB179" s="282"/>
      <c r="AC179" s="284"/>
      <c r="AD179" s="284"/>
    </row>
    <row r="180" ht="14.25" customHeight="1">
      <c r="A180" s="266"/>
      <c r="B180" s="266"/>
      <c r="C180" s="266"/>
      <c r="D180" s="266"/>
      <c r="E180" s="268"/>
      <c r="F180" s="291"/>
      <c r="G180" s="268"/>
      <c r="H180" s="268"/>
      <c r="I180" s="268"/>
      <c r="J180" s="268"/>
      <c r="K180" s="268"/>
      <c r="L180" s="288" t="str">
        <f t="shared" si="3"/>
        <v/>
      </c>
      <c r="M180" s="278"/>
      <c r="N180" s="290"/>
      <c r="O180" s="276"/>
      <c r="P180" s="276"/>
      <c r="Q180" s="276"/>
      <c r="R180" s="278"/>
      <c r="S180" s="278"/>
      <c r="T180" s="278"/>
      <c r="U180" s="279"/>
      <c r="V180" s="279"/>
      <c r="W180" s="279"/>
      <c r="X180" s="279"/>
      <c r="Y180" s="279"/>
      <c r="Z180" s="282"/>
      <c r="AA180" s="282"/>
      <c r="AB180" s="282"/>
      <c r="AC180" s="284"/>
      <c r="AD180" s="284"/>
    </row>
    <row r="181" ht="14.25" customHeight="1">
      <c r="A181" s="266"/>
      <c r="B181" s="266"/>
      <c r="C181" s="266"/>
      <c r="D181" s="266"/>
      <c r="E181" s="268"/>
      <c r="F181" s="291"/>
      <c r="G181" s="268"/>
      <c r="H181" s="268"/>
      <c r="I181" s="268"/>
      <c r="J181" s="268"/>
      <c r="K181" s="268"/>
      <c r="L181" s="288" t="str">
        <f t="shared" si="3"/>
        <v/>
      </c>
      <c r="M181" s="278"/>
      <c r="N181" s="290"/>
      <c r="O181" s="276"/>
      <c r="P181" s="276"/>
      <c r="Q181" s="276"/>
      <c r="R181" s="278"/>
      <c r="S181" s="278"/>
      <c r="T181" s="278"/>
      <c r="U181" s="279"/>
      <c r="V181" s="279"/>
      <c r="W181" s="279"/>
      <c r="X181" s="279"/>
      <c r="Y181" s="279"/>
      <c r="Z181" s="282"/>
      <c r="AA181" s="282"/>
      <c r="AB181" s="282"/>
      <c r="AC181" s="284"/>
      <c r="AD181" s="284"/>
    </row>
    <row r="182" ht="14.25" customHeight="1">
      <c r="A182" s="266"/>
      <c r="B182" s="266"/>
      <c r="C182" s="266"/>
      <c r="D182" s="266"/>
      <c r="E182" s="268"/>
      <c r="F182" s="291"/>
      <c r="G182" s="268"/>
      <c r="H182" s="268"/>
      <c r="I182" s="268"/>
      <c r="J182" s="268"/>
      <c r="K182" s="268"/>
      <c r="L182" s="288" t="str">
        <f t="shared" si="3"/>
        <v/>
      </c>
      <c r="M182" s="278"/>
      <c r="N182" s="290"/>
      <c r="O182" s="276"/>
      <c r="P182" s="276"/>
      <c r="Q182" s="276"/>
      <c r="R182" s="278"/>
      <c r="S182" s="278"/>
      <c r="T182" s="278"/>
      <c r="U182" s="279"/>
      <c r="V182" s="279"/>
      <c r="W182" s="279"/>
      <c r="X182" s="279"/>
      <c r="Y182" s="279"/>
      <c r="Z182" s="282"/>
      <c r="AA182" s="282"/>
      <c r="AB182" s="282"/>
      <c r="AC182" s="284"/>
      <c r="AD182" s="284"/>
    </row>
    <row r="183" ht="14.25" customHeight="1">
      <c r="A183" s="266"/>
      <c r="B183" s="266"/>
      <c r="C183" s="266"/>
      <c r="D183" s="266"/>
      <c r="E183" s="268"/>
      <c r="F183" s="291"/>
      <c r="G183" s="268"/>
      <c r="H183" s="268"/>
      <c r="I183" s="268"/>
      <c r="J183" s="268"/>
      <c r="K183" s="268"/>
      <c r="L183" s="288" t="str">
        <f t="shared" si="3"/>
        <v/>
      </c>
      <c r="M183" s="278"/>
      <c r="N183" s="290"/>
      <c r="O183" s="276"/>
      <c r="P183" s="276"/>
      <c r="Q183" s="276"/>
      <c r="R183" s="278"/>
      <c r="S183" s="278"/>
      <c r="T183" s="278"/>
      <c r="U183" s="279"/>
      <c r="V183" s="279"/>
      <c r="W183" s="279"/>
      <c r="X183" s="279"/>
      <c r="Y183" s="279"/>
      <c r="Z183" s="282"/>
      <c r="AA183" s="282"/>
      <c r="AB183" s="282"/>
      <c r="AC183" s="284"/>
      <c r="AD183" s="284"/>
    </row>
    <row r="184" ht="14.25" customHeight="1">
      <c r="A184" s="266"/>
      <c r="B184" s="266"/>
      <c r="C184" s="266"/>
      <c r="D184" s="266"/>
      <c r="E184" s="268"/>
      <c r="F184" s="291"/>
      <c r="G184" s="268"/>
      <c r="H184" s="268"/>
      <c r="I184" s="268"/>
      <c r="J184" s="268"/>
      <c r="K184" s="268"/>
      <c r="L184" s="288" t="str">
        <f t="shared" si="3"/>
        <v/>
      </c>
      <c r="M184" s="278"/>
      <c r="N184" s="290"/>
      <c r="O184" s="276"/>
      <c r="P184" s="276"/>
      <c r="Q184" s="276"/>
      <c r="R184" s="278"/>
      <c r="S184" s="278"/>
      <c r="T184" s="278"/>
      <c r="U184" s="279"/>
      <c r="V184" s="279"/>
      <c r="W184" s="279"/>
      <c r="X184" s="279"/>
      <c r="Y184" s="279"/>
      <c r="Z184" s="282"/>
      <c r="AA184" s="282"/>
      <c r="AB184" s="282"/>
      <c r="AC184" s="284"/>
      <c r="AD184" s="284"/>
    </row>
    <row r="185" ht="14.25" customHeight="1">
      <c r="A185" s="266"/>
      <c r="B185" s="266"/>
      <c r="C185" s="266"/>
      <c r="D185" s="266"/>
      <c r="E185" s="268"/>
      <c r="F185" s="291"/>
      <c r="G185" s="268"/>
      <c r="H185" s="268"/>
      <c r="I185" s="268"/>
      <c r="J185" s="268"/>
      <c r="K185" s="268"/>
      <c r="L185" s="288" t="str">
        <f t="shared" si="3"/>
        <v/>
      </c>
      <c r="M185" s="278"/>
      <c r="N185" s="290"/>
      <c r="O185" s="276"/>
      <c r="P185" s="276"/>
      <c r="Q185" s="276"/>
      <c r="R185" s="278"/>
      <c r="S185" s="278"/>
      <c r="T185" s="278"/>
      <c r="U185" s="279"/>
      <c r="V185" s="279"/>
      <c r="W185" s="279"/>
      <c r="X185" s="279"/>
      <c r="Y185" s="279"/>
      <c r="Z185" s="282"/>
      <c r="AA185" s="282"/>
      <c r="AB185" s="282"/>
      <c r="AC185" s="284"/>
      <c r="AD185" s="284"/>
    </row>
    <row r="186" ht="14.25" customHeight="1">
      <c r="A186" s="266"/>
      <c r="B186" s="266"/>
      <c r="C186" s="266"/>
      <c r="D186" s="266"/>
      <c r="E186" s="268"/>
      <c r="F186" s="291"/>
      <c r="G186" s="268"/>
      <c r="H186" s="268"/>
      <c r="I186" s="268"/>
      <c r="J186" s="268"/>
      <c r="K186" s="268"/>
      <c r="L186" s="288" t="str">
        <f t="shared" si="3"/>
        <v/>
      </c>
      <c r="M186" s="278"/>
      <c r="N186" s="290"/>
      <c r="O186" s="276"/>
      <c r="P186" s="276"/>
      <c r="Q186" s="276"/>
      <c r="R186" s="278"/>
      <c r="S186" s="278"/>
      <c r="T186" s="278"/>
      <c r="U186" s="279"/>
      <c r="V186" s="279"/>
      <c r="W186" s="279"/>
      <c r="X186" s="279"/>
      <c r="Y186" s="279"/>
      <c r="Z186" s="282"/>
      <c r="AA186" s="282"/>
      <c r="AB186" s="282"/>
      <c r="AC186" s="284"/>
      <c r="AD186" s="284"/>
    </row>
    <row r="187" ht="14.25" customHeight="1">
      <c r="A187" s="266"/>
      <c r="B187" s="266"/>
      <c r="C187" s="266"/>
      <c r="D187" s="266"/>
      <c r="E187" s="268"/>
      <c r="F187" s="291"/>
      <c r="G187" s="268"/>
      <c r="H187" s="268"/>
      <c r="I187" s="268"/>
      <c r="J187" s="268"/>
      <c r="K187" s="268"/>
      <c r="L187" s="288" t="str">
        <f t="shared" si="3"/>
        <v/>
      </c>
      <c r="M187" s="278"/>
      <c r="N187" s="290"/>
      <c r="O187" s="276"/>
      <c r="P187" s="276"/>
      <c r="Q187" s="276"/>
      <c r="R187" s="278"/>
      <c r="S187" s="278"/>
      <c r="T187" s="278"/>
      <c r="U187" s="279"/>
      <c r="V187" s="279"/>
      <c r="W187" s="279"/>
      <c r="X187" s="279"/>
      <c r="Y187" s="279"/>
      <c r="Z187" s="282"/>
      <c r="AA187" s="282"/>
      <c r="AB187" s="282"/>
      <c r="AC187" s="284"/>
      <c r="AD187" s="284"/>
    </row>
    <row r="188" ht="14.25" customHeight="1">
      <c r="A188" s="266"/>
      <c r="B188" s="266"/>
      <c r="C188" s="266"/>
      <c r="D188" s="266"/>
      <c r="E188" s="268"/>
      <c r="F188" s="291"/>
      <c r="G188" s="268"/>
      <c r="H188" s="268"/>
      <c r="I188" s="268"/>
      <c r="J188" s="268"/>
      <c r="K188" s="268"/>
      <c r="L188" s="288" t="str">
        <f t="shared" si="3"/>
        <v/>
      </c>
      <c r="M188" s="278"/>
      <c r="N188" s="290"/>
      <c r="O188" s="276"/>
      <c r="P188" s="276"/>
      <c r="Q188" s="276"/>
      <c r="R188" s="278"/>
      <c r="S188" s="278"/>
      <c r="T188" s="278"/>
      <c r="U188" s="279"/>
      <c r="V188" s="279"/>
      <c r="W188" s="279"/>
      <c r="X188" s="279"/>
      <c r="Y188" s="279"/>
      <c r="Z188" s="282"/>
      <c r="AA188" s="282"/>
      <c r="AB188" s="282"/>
      <c r="AC188" s="284"/>
      <c r="AD188" s="284"/>
    </row>
    <row r="189" ht="14.25" customHeight="1">
      <c r="A189" s="266"/>
      <c r="B189" s="266"/>
      <c r="C189" s="266"/>
      <c r="D189" s="266"/>
      <c r="E189" s="268"/>
      <c r="F189" s="291"/>
      <c r="G189" s="268"/>
      <c r="H189" s="268"/>
      <c r="I189" s="268"/>
      <c r="J189" s="268"/>
      <c r="K189" s="268"/>
      <c r="L189" s="288" t="str">
        <f t="shared" si="3"/>
        <v/>
      </c>
      <c r="M189" s="278"/>
      <c r="N189" s="290"/>
      <c r="O189" s="276"/>
      <c r="P189" s="276"/>
      <c r="Q189" s="276"/>
      <c r="R189" s="278"/>
      <c r="S189" s="278"/>
      <c r="T189" s="278"/>
      <c r="U189" s="279"/>
      <c r="V189" s="279"/>
      <c r="W189" s="279"/>
      <c r="X189" s="279"/>
      <c r="Y189" s="279"/>
      <c r="Z189" s="282"/>
      <c r="AA189" s="282"/>
      <c r="AB189" s="282"/>
      <c r="AC189" s="284"/>
      <c r="AD189" s="284"/>
    </row>
    <row r="190" ht="14.25" customHeight="1">
      <c r="A190" s="266"/>
      <c r="B190" s="266"/>
      <c r="C190" s="266"/>
      <c r="D190" s="266"/>
      <c r="E190" s="268"/>
      <c r="F190" s="291"/>
      <c r="G190" s="268"/>
      <c r="H190" s="268"/>
      <c r="I190" s="268"/>
      <c r="J190" s="268"/>
      <c r="K190" s="268"/>
      <c r="L190" s="288" t="str">
        <f t="shared" si="3"/>
        <v/>
      </c>
      <c r="M190" s="278"/>
      <c r="N190" s="290"/>
      <c r="O190" s="276"/>
      <c r="P190" s="276"/>
      <c r="Q190" s="276"/>
      <c r="R190" s="278"/>
      <c r="S190" s="278"/>
      <c r="T190" s="278"/>
      <c r="U190" s="279"/>
      <c r="V190" s="279"/>
      <c r="W190" s="279"/>
      <c r="X190" s="279"/>
      <c r="Y190" s="279"/>
      <c r="Z190" s="282"/>
      <c r="AA190" s="282"/>
      <c r="AB190" s="282"/>
      <c r="AC190" s="284"/>
      <c r="AD190" s="284"/>
    </row>
    <row r="191" ht="14.25" customHeight="1">
      <c r="A191" s="266"/>
      <c r="B191" s="266"/>
      <c r="C191" s="266"/>
      <c r="D191" s="266"/>
      <c r="E191" s="268"/>
      <c r="F191" s="291"/>
      <c r="G191" s="268"/>
      <c r="H191" s="268"/>
      <c r="I191" s="268"/>
      <c r="J191" s="268"/>
      <c r="K191" s="268"/>
      <c r="L191" s="288" t="str">
        <f t="shared" si="3"/>
        <v/>
      </c>
      <c r="M191" s="278"/>
      <c r="N191" s="290"/>
      <c r="O191" s="276"/>
      <c r="P191" s="276"/>
      <c r="Q191" s="276"/>
      <c r="R191" s="278"/>
      <c r="S191" s="278"/>
      <c r="T191" s="278"/>
      <c r="U191" s="279"/>
      <c r="V191" s="279"/>
      <c r="W191" s="279"/>
      <c r="X191" s="279"/>
      <c r="Y191" s="279"/>
      <c r="Z191" s="282"/>
      <c r="AA191" s="282"/>
      <c r="AB191" s="282"/>
      <c r="AC191" s="284"/>
      <c r="AD191" s="284"/>
    </row>
    <row r="192" ht="14.25" customHeight="1">
      <c r="A192" s="266"/>
      <c r="B192" s="266"/>
      <c r="C192" s="266"/>
      <c r="D192" s="266"/>
      <c r="E192" s="268"/>
      <c r="F192" s="291"/>
      <c r="G192" s="268"/>
      <c r="H192" s="268"/>
      <c r="I192" s="268"/>
      <c r="J192" s="268"/>
      <c r="K192" s="268"/>
      <c r="L192" s="288" t="str">
        <f t="shared" si="3"/>
        <v/>
      </c>
      <c r="M192" s="278"/>
      <c r="N192" s="290"/>
      <c r="O192" s="276"/>
      <c r="P192" s="276"/>
      <c r="Q192" s="276"/>
      <c r="R192" s="278"/>
      <c r="S192" s="278"/>
      <c r="T192" s="278"/>
      <c r="U192" s="279"/>
      <c r="V192" s="279"/>
      <c r="W192" s="279"/>
      <c r="X192" s="279"/>
      <c r="Y192" s="279"/>
      <c r="Z192" s="282"/>
      <c r="AA192" s="282"/>
      <c r="AB192" s="282"/>
      <c r="AC192" s="284"/>
      <c r="AD192" s="284"/>
    </row>
    <row r="193" ht="14.25" customHeight="1">
      <c r="A193" s="266"/>
      <c r="B193" s="266"/>
      <c r="C193" s="266"/>
      <c r="D193" s="266"/>
      <c r="E193" s="268"/>
      <c r="F193" s="291"/>
      <c r="G193" s="268"/>
      <c r="H193" s="268"/>
      <c r="I193" s="268"/>
      <c r="J193" s="268"/>
      <c r="K193" s="268"/>
      <c r="L193" s="288" t="str">
        <f t="shared" si="3"/>
        <v/>
      </c>
      <c r="M193" s="278"/>
      <c r="N193" s="290"/>
      <c r="O193" s="276"/>
      <c r="P193" s="276"/>
      <c r="Q193" s="276"/>
      <c r="R193" s="278"/>
      <c r="S193" s="278"/>
      <c r="T193" s="278"/>
      <c r="U193" s="279"/>
      <c r="V193" s="279"/>
      <c r="W193" s="279"/>
      <c r="X193" s="279"/>
      <c r="Y193" s="279"/>
      <c r="Z193" s="282"/>
      <c r="AA193" s="282"/>
      <c r="AB193" s="282"/>
      <c r="AC193" s="284"/>
      <c r="AD193" s="284"/>
    </row>
    <row r="194" ht="14.25" customHeight="1">
      <c r="A194" s="266"/>
      <c r="B194" s="266"/>
      <c r="C194" s="266"/>
      <c r="D194" s="266"/>
      <c r="E194" s="268"/>
      <c r="F194" s="291"/>
      <c r="G194" s="268"/>
      <c r="H194" s="268"/>
      <c r="I194" s="268"/>
      <c r="J194" s="268"/>
      <c r="K194" s="268"/>
      <c r="L194" s="288" t="str">
        <f t="shared" si="3"/>
        <v/>
      </c>
      <c r="M194" s="278"/>
      <c r="N194" s="290"/>
      <c r="O194" s="276"/>
      <c r="P194" s="276"/>
      <c r="Q194" s="276"/>
      <c r="R194" s="278"/>
      <c r="S194" s="278"/>
      <c r="T194" s="278"/>
      <c r="U194" s="279"/>
      <c r="V194" s="279"/>
      <c r="W194" s="279"/>
      <c r="X194" s="279"/>
      <c r="Y194" s="279"/>
      <c r="Z194" s="282"/>
      <c r="AA194" s="282"/>
      <c r="AB194" s="282"/>
      <c r="AC194" s="284"/>
      <c r="AD194" s="284"/>
    </row>
    <row r="195" ht="14.25" customHeight="1">
      <c r="A195" s="266"/>
      <c r="B195" s="266"/>
      <c r="C195" s="266"/>
      <c r="D195" s="266"/>
      <c r="E195" s="268"/>
      <c r="F195" s="291"/>
      <c r="G195" s="268"/>
      <c r="H195" s="268"/>
      <c r="I195" s="268"/>
      <c r="J195" s="268"/>
      <c r="K195" s="268"/>
      <c r="L195" s="288" t="str">
        <f t="shared" si="3"/>
        <v/>
      </c>
      <c r="M195" s="278"/>
      <c r="N195" s="290"/>
      <c r="O195" s="276"/>
      <c r="P195" s="276"/>
      <c r="Q195" s="276"/>
      <c r="R195" s="278"/>
      <c r="S195" s="278"/>
      <c r="T195" s="278"/>
      <c r="U195" s="279"/>
      <c r="V195" s="279"/>
      <c r="W195" s="279"/>
      <c r="X195" s="279"/>
      <c r="Y195" s="279"/>
      <c r="Z195" s="282"/>
      <c r="AA195" s="282"/>
      <c r="AB195" s="282"/>
      <c r="AC195" s="284"/>
      <c r="AD195" s="284"/>
    </row>
    <row r="196" ht="14.25" customHeight="1">
      <c r="A196" s="266"/>
      <c r="B196" s="266"/>
      <c r="C196" s="266"/>
      <c r="D196" s="266"/>
      <c r="E196" s="268"/>
      <c r="F196" s="291"/>
      <c r="G196" s="268"/>
      <c r="H196" s="268"/>
      <c r="I196" s="268"/>
      <c r="J196" s="268"/>
      <c r="K196" s="268"/>
      <c r="L196" s="288" t="str">
        <f t="shared" si="3"/>
        <v/>
      </c>
      <c r="M196" s="278"/>
      <c r="N196" s="290"/>
      <c r="O196" s="276"/>
      <c r="P196" s="276"/>
      <c r="Q196" s="276"/>
      <c r="R196" s="278"/>
      <c r="S196" s="278"/>
      <c r="T196" s="278"/>
      <c r="U196" s="279"/>
      <c r="V196" s="279"/>
      <c r="W196" s="279"/>
      <c r="X196" s="279"/>
      <c r="Y196" s="279"/>
      <c r="Z196" s="282"/>
      <c r="AA196" s="282"/>
      <c r="AB196" s="282"/>
      <c r="AC196" s="284"/>
      <c r="AD196" s="284"/>
    </row>
    <row r="197" ht="14.25" customHeight="1">
      <c r="A197" s="266"/>
      <c r="B197" s="266"/>
      <c r="C197" s="266"/>
      <c r="D197" s="266"/>
      <c r="E197" s="268"/>
      <c r="F197" s="291"/>
      <c r="G197" s="268"/>
      <c r="H197" s="268"/>
      <c r="I197" s="268"/>
      <c r="J197" s="268"/>
      <c r="K197" s="268"/>
      <c r="L197" s="288" t="str">
        <f t="shared" si="3"/>
        <v/>
      </c>
      <c r="M197" s="278"/>
      <c r="N197" s="290"/>
      <c r="O197" s="276"/>
      <c r="P197" s="276"/>
      <c r="Q197" s="276"/>
      <c r="R197" s="278"/>
      <c r="S197" s="278"/>
      <c r="T197" s="278"/>
      <c r="U197" s="279"/>
      <c r="V197" s="279"/>
      <c r="W197" s="279"/>
      <c r="X197" s="279"/>
      <c r="Y197" s="279"/>
      <c r="Z197" s="282"/>
      <c r="AA197" s="282"/>
      <c r="AB197" s="282"/>
      <c r="AC197" s="284"/>
      <c r="AD197" s="284"/>
    </row>
    <row r="198" ht="14.25" customHeight="1">
      <c r="A198" s="266"/>
      <c r="B198" s="266"/>
      <c r="C198" s="266"/>
      <c r="D198" s="266"/>
      <c r="E198" s="268"/>
      <c r="F198" s="291"/>
      <c r="G198" s="268"/>
      <c r="H198" s="268"/>
      <c r="I198" s="268"/>
      <c r="J198" s="268"/>
      <c r="K198" s="268"/>
      <c r="L198" s="288" t="str">
        <f t="shared" si="3"/>
        <v/>
      </c>
      <c r="M198" s="278"/>
      <c r="N198" s="290"/>
      <c r="O198" s="276"/>
      <c r="P198" s="276"/>
      <c r="Q198" s="276"/>
      <c r="R198" s="278"/>
      <c r="S198" s="278"/>
      <c r="T198" s="278"/>
      <c r="U198" s="279"/>
      <c r="V198" s="279"/>
      <c r="W198" s="279"/>
      <c r="X198" s="279"/>
      <c r="Y198" s="279"/>
      <c r="Z198" s="282"/>
      <c r="AA198" s="282"/>
      <c r="AB198" s="282"/>
      <c r="AC198" s="284"/>
      <c r="AD198" s="284"/>
    </row>
    <row r="199" ht="14.25" customHeight="1">
      <c r="A199" s="266"/>
      <c r="B199" s="266"/>
      <c r="C199" s="266"/>
      <c r="D199" s="266"/>
      <c r="E199" s="268"/>
      <c r="F199" s="291"/>
      <c r="G199" s="268"/>
      <c r="H199" s="268"/>
      <c r="I199" s="268"/>
      <c r="J199" s="268"/>
      <c r="K199" s="268"/>
      <c r="L199" s="288" t="str">
        <f t="shared" si="3"/>
        <v/>
      </c>
      <c r="M199" s="278"/>
      <c r="N199" s="290"/>
      <c r="O199" s="276"/>
      <c r="P199" s="276"/>
      <c r="Q199" s="276"/>
      <c r="R199" s="278"/>
      <c r="S199" s="278"/>
      <c r="T199" s="278"/>
      <c r="U199" s="279"/>
      <c r="V199" s="279"/>
      <c r="W199" s="279"/>
      <c r="X199" s="279"/>
      <c r="Y199" s="279"/>
      <c r="Z199" s="282"/>
      <c r="AA199" s="282"/>
      <c r="AB199" s="282"/>
      <c r="AC199" s="284"/>
      <c r="AD199" s="284"/>
    </row>
    <row r="200" ht="14.25" customHeight="1">
      <c r="A200" s="266"/>
      <c r="B200" s="266"/>
      <c r="C200" s="266"/>
      <c r="D200" s="266"/>
      <c r="E200" s="268"/>
      <c r="F200" s="291"/>
      <c r="G200" s="268"/>
      <c r="H200" s="268"/>
      <c r="I200" s="268"/>
      <c r="J200" s="268"/>
      <c r="K200" s="268"/>
      <c r="L200" s="288" t="str">
        <f t="shared" si="3"/>
        <v/>
      </c>
      <c r="M200" s="278"/>
      <c r="N200" s="290"/>
      <c r="O200" s="276"/>
      <c r="P200" s="276"/>
      <c r="Q200" s="276"/>
      <c r="R200" s="278"/>
      <c r="S200" s="278"/>
      <c r="T200" s="278"/>
      <c r="U200" s="279"/>
      <c r="V200" s="279"/>
      <c r="W200" s="279"/>
      <c r="X200" s="279"/>
      <c r="Y200" s="279"/>
      <c r="Z200" s="282"/>
      <c r="AA200" s="282"/>
      <c r="AB200" s="282"/>
      <c r="AC200" s="284"/>
      <c r="AD200" s="284"/>
    </row>
    <row r="201" ht="14.25" customHeight="1">
      <c r="A201" s="266"/>
      <c r="B201" s="266"/>
      <c r="C201" s="266"/>
      <c r="D201" s="266"/>
      <c r="E201" s="268"/>
      <c r="F201" s="291"/>
      <c r="G201" s="268"/>
      <c r="H201" s="268"/>
      <c r="I201" s="268"/>
      <c r="J201" s="268"/>
      <c r="K201" s="268"/>
      <c r="L201" s="288" t="str">
        <f t="shared" si="3"/>
        <v/>
      </c>
      <c r="M201" s="278"/>
      <c r="N201" s="290"/>
      <c r="O201" s="276"/>
      <c r="P201" s="276"/>
      <c r="Q201" s="276"/>
      <c r="R201" s="278"/>
      <c r="S201" s="278"/>
      <c r="T201" s="278"/>
      <c r="U201" s="279"/>
      <c r="V201" s="279"/>
      <c r="W201" s="279"/>
      <c r="X201" s="279"/>
      <c r="Y201" s="279"/>
      <c r="Z201" s="282"/>
      <c r="AA201" s="282"/>
      <c r="AB201" s="282"/>
      <c r="AC201" s="284"/>
      <c r="AD201" s="284"/>
    </row>
    <row r="202" ht="14.25" customHeight="1">
      <c r="A202" s="266"/>
      <c r="B202" s="266"/>
      <c r="C202" s="266"/>
      <c r="D202" s="266"/>
      <c r="E202" s="268"/>
      <c r="F202" s="291"/>
      <c r="G202" s="268"/>
      <c r="H202" s="268"/>
      <c r="I202" s="268"/>
      <c r="J202" s="268"/>
      <c r="K202" s="268"/>
      <c r="L202" s="288" t="str">
        <f t="shared" si="3"/>
        <v/>
      </c>
      <c r="M202" s="278"/>
      <c r="N202" s="290"/>
      <c r="O202" s="276"/>
      <c r="P202" s="276"/>
      <c r="Q202" s="276"/>
      <c r="R202" s="278"/>
      <c r="S202" s="278"/>
      <c r="T202" s="278"/>
      <c r="U202" s="279"/>
      <c r="V202" s="279"/>
      <c r="W202" s="279"/>
      <c r="X202" s="279"/>
      <c r="Y202" s="279"/>
      <c r="Z202" s="282"/>
      <c r="AA202" s="282"/>
      <c r="AB202" s="282"/>
      <c r="AC202" s="284"/>
      <c r="AD202" s="284"/>
    </row>
    <row r="203" ht="14.25" customHeight="1">
      <c r="A203" s="266"/>
      <c r="B203" s="266"/>
      <c r="C203" s="266"/>
      <c r="D203" s="266"/>
      <c r="E203" s="268"/>
      <c r="F203" s="291"/>
      <c r="G203" s="268"/>
      <c r="H203" s="268"/>
      <c r="I203" s="268"/>
      <c r="J203" s="268"/>
      <c r="K203" s="268"/>
      <c r="L203" s="288" t="str">
        <f t="shared" si="3"/>
        <v/>
      </c>
      <c r="M203" s="278"/>
      <c r="N203" s="290"/>
      <c r="O203" s="276"/>
      <c r="P203" s="276"/>
      <c r="Q203" s="276"/>
      <c r="R203" s="278"/>
      <c r="S203" s="278"/>
      <c r="T203" s="278"/>
      <c r="U203" s="279"/>
      <c r="V203" s="279"/>
      <c r="W203" s="279"/>
      <c r="X203" s="279"/>
      <c r="Y203" s="279"/>
      <c r="Z203" s="282"/>
      <c r="AA203" s="282"/>
      <c r="AB203" s="282"/>
      <c r="AC203" s="284"/>
      <c r="AD203" s="284"/>
    </row>
    <row r="204" ht="14.25" customHeight="1">
      <c r="A204" s="266"/>
      <c r="B204" s="266"/>
      <c r="C204" s="266"/>
      <c r="D204" s="266"/>
      <c r="E204" s="268"/>
      <c r="F204" s="291"/>
      <c r="G204" s="268"/>
      <c r="H204" s="268"/>
      <c r="I204" s="268"/>
      <c r="J204" s="268"/>
      <c r="K204" s="268"/>
      <c r="L204" s="288" t="str">
        <f t="shared" si="3"/>
        <v/>
      </c>
      <c r="M204" s="278"/>
      <c r="N204" s="290"/>
      <c r="O204" s="276"/>
      <c r="P204" s="276"/>
      <c r="Q204" s="276"/>
      <c r="R204" s="278"/>
      <c r="S204" s="278"/>
      <c r="T204" s="278"/>
      <c r="U204" s="279"/>
      <c r="V204" s="279"/>
      <c r="W204" s="279"/>
      <c r="X204" s="279"/>
      <c r="Y204" s="279"/>
      <c r="Z204" s="282"/>
      <c r="AA204" s="282"/>
      <c r="AB204" s="282"/>
      <c r="AC204" s="284"/>
      <c r="AD204" s="284"/>
    </row>
    <row r="205" ht="14.25" customHeight="1">
      <c r="A205" s="266"/>
      <c r="B205" s="266"/>
      <c r="C205" s="266"/>
      <c r="D205" s="266"/>
      <c r="E205" s="268"/>
      <c r="F205" s="291"/>
      <c r="G205" s="268"/>
      <c r="H205" s="268"/>
      <c r="I205" s="268"/>
      <c r="J205" s="268"/>
      <c r="K205" s="268"/>
      <c r="L205" s="288" t="str">
        <f t="shared" si="3"/>
        <v/>
      </c>
      <c r="M205" s="278"/>
      <c r="N205" s="290"/>
      <c r="O205" s="276"/>
      <c r="P205" s="276"/>
      <c r="Q205" s="276"/>
      <c r="R205" s="278"/>
      <c r="S205" s="278"/>
      <c r="T205" s="278"/>
      <c r="U205" s="279"/>
      <c r="V205" s="279"/>
      <c r="W205" s="279"/>
      <c r="X205" s="279"/>
      <c r="Y205" s="279"/>
      <c r="Z205" s="282"/>
      <c r="AA205" s="282"/>
      <c r="AB205" s="282"/>
      <c r="AC205" s="284"/>
      <c r="AD205" s="284"/>
    </row>
    <row r="206" ht="14.25" customHeight="1">
      <c r="A206" s="266"/>
      <c r="B206" s="266"/>
      <c r="C206" s="266"/>
      <c r="D206" s="266"/>
      <c r="E206" s="268"/>
      <c r="F206" s="291"/>
      <c r="G206" s="268"/>
      <c r="H206" s="268"/>
      <c r="I206" s="268"/>
      <c r="J206" s="268"/>
      <c r="K206" s="268"/>
      <c r="L206" s="288" t="str">
        <f t="shared" si="3"/>
        <v/>
      </c>
      <c r="M206" s="278"/>
      <c r="N206" s="290"/>
      <c r="O206" s="276"/>
      <c r="P206" s="276"/>
      <c r="Q206" s="276"/>
      <c r="R206" s="278"/>
      <c r="S206" s="278"/>
      <c r="T206" s="278"/>
      <c r="U206" s="279"/>
      <c r="V206" s="279"/>
      <c r="W206" s="279"/>
      <c r="X206" s="279"/>
      <c r="Y206" s="279"/>
      <c r="Z206" s="282"/>
      <c r="AA206" s="282"/>
      <c r="AB206" s="282"/>
      <c r="AC206" s="284"/>
      <c r="AD206" s="284"/>
    </row>
    <row r="207" ht="14.25" customHeight="1">
      <c r="A207" s="266"/>
      <c r="B207" s="266"/>
      <c r="C207" s="266"/>
      <c r="D207" s="266"/>
      <c r="E207" s="268"/>
      <c r="F207" s="291"/>
      <c r="G207" s="268"/>
      <c r="H207" s="268"/>
      <c r="I207" s="268"/>
      <c r="J207" s="268"/>
      <c r="K207" s="268"/>
      <c r="L207" s="288" t="str">
        <f t="shared" si="3"/>
        <v/>
      </c>
      <c r="M207" s="278"/>
      <c r="N207" s="290"/>
      <c r="O207" s="276"/>
      <c r="P207" s="276"/>
      <c r="Q207" s="276"/>
      <c r="R207" s="278"/>
      <c r="S207" s="278"/>
      <c r="T207" s="278"/>
      <c r="U207" s="279"/>
      <c r="V207" s="279"/>
      <c r="W207" s="279"/>
      <c r="X207" s="279"/>
      <c r="Y207" s="279"/>
      <c r="Z207" s="282"/>
      <c r="AA207" s="282"/>
      <c r="AB207" s="282"/>
      <c r="AC207" s="284"/>
      <c r="AD207" s="284"/>
    </row>
    <row r="208" ht="14.25" customHeight="1">
      <c r="A208" s="266"/>
      <c r="B208" s="266"/>
      <c r="C208" s="266"/>
      <c r="D208" s="266"/>
      <c r="E208" s="268"/>
      <c r="F208" s="291"/>
      <c r="G208" s="268"/>
      <c r="H208" s="268"/>
      <c r="I208" s="268"/>
      <c r="J208" s="268"/>
      <c r="K208" s="268"/>
      <c r="L208" s="288" t="str">
        <f t="shared" si="3"/>
        <v/>
      </c>
      <c r="M208" s="278"/>
      <c r="N208" s="290"/>
      <c r="O208" s="276"/>
      <c r="P208" s="276"/>
      <c r="Q208" s="276"/>
      <c r="R208" s="278"/>
      <c r="S208" s="278"/>
      <c r="T208" s="278"/>
      <c r="U208" s="279"/>
      <c r="V208" s="279"/>
      <c r="W208" s="279"/>
      <c r="X208" s="279"/>
      <c r="Y208" s="279"/>
      <c r="Z208" s="282"/>
      <c r="AA208" s="282"/>
      <c r="AB208" s="282"/>
      <c r="AC208" s="284"/>
      <c r="AD208" s="284"/>
    </row>
    <row r="209" ht="14.25" customHeight="1">
      <c r="A209" s="266"/>
      <c r="B209" s="266"/>
      <c r="C209" s="266"/>
      <c r="D209" s="266"/>
      <c r="E209" s="268"/>
      <c r="F209" s="291"/>
      <c r="G209" s="268"/>
      <c r="H209" s="268"/>
      <c r="I209" s="268"/>
      <c r="J209" s="268"/>
      <c r="K209" s="268"/>
      <c r="L209" s="288" t="str">
        <f t="shared" si="3"/>
        <v/>
      </c>
      <c r="M209" s="278"/>
      <c r="N209" s="290"/>
      <c r="O209" s="276"/>
      <c r="P209" s="276"/>
      <c r="Q209" s="276"/>
      <c r="R209" s="278"/>
      <c r="S209" s="278"/>
      <c r="T209" s="278"/>
      <c r="U209" s="279"/>
      <c r="V209" s="279"/>
      <c r="W209" s="279"/>
      <c r="X209" s="279"/>
      <c r="Y209" s="279"/>
      <c r="Z209" s="282"/>
      <c r="AA209" s="282"/>
      <c r="AB209" s="282"/>
      <c r="AC209" s="284"/>
      <c r="AD209" s="284"/>
    </row>
    <row r="210" ht="14.25" customHeight="1">
      <c r="A210" s="266"/>
      <c r="B210" s="266"/>
      <c r="C210" s="266"/>
      <c r="D210" s="266"/>
      <c r="E210" s="268"/>
      <c r="F210" s="291"/>
      <c r="G210" s="268"/>
      <c r="H210" s="268"/>
      <c r="I210" s="268"/>
      <c r="J210" s="268"/>
      <c r="K210" s="268"/>
      <c r="L210" s="288" t="str">
        <f t="shared" si="3"/>
        <v/>
      </c>
      <c r="M210" s="278"/>
      <c r="N210" s="290"/>
      <c r="O210" s="276"/>
      <c r="P210" s="276"/>
      <c r="Q210" s="276"/>
      <c r="R210" s="278"/>
      <c r="S210" s="278"/>
      <c r="T210" s="278"/>
      <c r="U210" s="279"/>
      <c r="V210" s="279"/>
      <c r="W210" s="279"/>
      <c r="X210" s="279"/>
      <c r="Y210" s="279"/>
      <c r="Z210" s="282"/>
      <c r="AA210" s="282"/>
      <c r="AB210" s="282"/>
      <c r="AC210" s="284"/>
      <c r="AD210" s="284"/>
    </row>
    <row r="211" ht="14.25" customHeight="1">
      <c r="A211" s="266"/>
      <c r="B211" s="266"/>
      <c r="C211" s="266"/>
      <c r="D211" s="266"/>
      <c r="E211" s="268"/>
      <c r="F211" s="291"/>
      <c r="G211" s="268"/>
      <c r="H211" s="268"/>
      <c r="I211" s="268"/>
      <c r="J211" s="268"/>
      <c r="K211" s="268"/>
      <c r="L211" s="288" t="str">
        <f t="shared" si="3"/>
        <v/>
      </c>
      <c r="M211" s="278"/>
      <c r="N211" s="290"/>
      <c r="O211" s="276"/>
      <c r="P211" s="276"/>
      <c r="Q211" s="276"/>
      <c r="R211" s="278"/>
      <c r="S211" s="278"/>
      <c r="T211" s="278"/>
      <c r="U211" s="279"/>
      <c r="V211" s="279"/>
      <c r="W211" s="279"/>
      <c r="X211" s="279"/>
      <c r="Y211" s="279"/>
      <c r="Z211" s="282"/>
      <c r="AA211" s="282"/>
      <c r="AB211" s="282"/>
      <c r="AC211" s="284"/>
      <c r="AD211" s="284"/>
    </row>
    <row r="212" ht="14.25" customHeight="1">
      <c r="A212" s="266"/>
      <c r="B212" s="266"/>
      <c r="C212" s="266"/>
      <c r="D212" s="266"/>
      <c r="E212" s="268"/>
      <c r="F212" s="291"/>
      <c r="G212" s="268"/>
      <c r="H212" s="268"/>
      <c r="I212" s="268"/>
      <c r="J212" s="268"/>
      <c r="K212" s="268"/>
      <c r="L212" s="288" t="str">
        <f t="shared" si="3"/>
        <v/>
      </c>
      <c r="M212" s="278"/>
      <c r="N212" s="290"/>
      <c r="O212" s="276"/>
      <c r="P212" s="276"/>
      <c r="Q212" s="276"/>
      <c r="R212" s="278"/>
      <c r="S212" s="278"/>
      <c r="T212" s="278"/>
      <c r="U212" s="279"/>
      <c r="V212" s="279"/>
      <c r="W212" s="279"/>
      <c r="X212" s="279"/>
      <c r="Y212" s="279"/>
      <c r="Z212" s="282"/>
      <c r="AA212" s="282"/>
      <c r="AB212" s="282"/>
      <c r="AC212" s="284"/>
      <c r="AD212" s="284"/>
    </row>
    <row r="213" ht="14.25" customHeight="1">
      <c r="A213" s="266"/>
      <c r="B213" s="266"/>
      <c r="C213" s="266"/>
      <c r="D213" s="266"/>
      <c r="E213" s="268"/>
      <c r="F213" s="291"/>
      <c r="G213" s="268"/>
      <c r="H213" s="268"/>
      <c r="I213" s="268"/>
      <c r="J213" s="268"/>
      <c r="K213" s="268"/>
      <c r="L213" s="288" t="str">
        <f t="shared" si="3"/>
        <v/>
      </c>
      <c r="M213" s="278"/>
      <c r="N213" s="290"/>
      <c r="O213" s="276"/>
      <c r="P213" s="276"/>
      <c r="Q213" s="276"/>
      <c r="R213" s="278"/>
      <c r="S213" s="278"/>
      <c r="T213" s="278"/>
      <c r="U213" s="279"/>
      <c r="V213" s="279"/>
      <c r="W213" s="279"/>
      <c r="X213" s="279"/>
      <c r="Y213" s="279"/>
      <c r="Z213" s="282"/>
      <c r="AA213" s="282"/>
      <c r="AB213" s="282"/>
      <c r="AC213" s="284"/>
      <c r="AD213" s="284"/>
    </row>
    <row r="214" ht="14.25" customHeight="1">
      <c r="A214" s="266"/>
      <c r="B214" s="266"/>
      <c r="C214" s="266"/>
      <c r="D214" s="266"/>
      <c r="E214" s="268"/>
      <c r="F214" s="291"/>
      <c r="G214" s="268"/>
      <c r="H214" s="268"/>
      <c r="I214" s="268"/>
      <c r="J214" s="268"/>
      <c r="K214" s="268"/>
      <c r="L214" s="288" t="str">
        <f t="shared" si="3"/>
        <v/>
      </c>
      <c r="M214" s="278"/>
      <c r="N214" s="290"/>
      <c r="O214" s="276"/>
      <c r="P214" s="276"/>
      <c r="Q214" s="276"/>
      <c r="R214" s="278"/>
      <c r="S214" s="278"/>
      <c r="T214" s="278"/>
      <c r="U214" s="279"/>
      <c r="V214" s="279"/>
      <c r="W214" s="279"/>
      <c r="X214" s="279"/>
      <c r="Y214" s="279"/>
      <c r="Z214" s="282"/>
      <c r="AA214" s="282"/>
      <c r="AB214" s="282"/>
      <c r="AC214" s="284"/>
      <c r="AD214" s="284"/>
    </row>
    <row r="215" ht="14.25" customHeight="1">
      <c r="A215" s="266"/>
      <c r="B215" s="266"/>
      <c r="C215" s="266"/>
      <c r="D215" s="266"/>
      <c r="E215" s="268"/>
      <c r="F215" s="291"/>
      <c r="G215" s="268"/>
      <c r="H215" s="268"/>
      <c r="I215" s="268"/>
      <c r="J215" s="268"/>
      <c r="K215" s="268"/>
      <c r="L215" s="288" t="str">
        <f t="shared" si="3"/>
        <v/>
      </c>
      <c r="M215" s="278"/>
      <c r="N215" s="290"/>
      <c r="O215" s="276"/>
      <c r="P215" s="276"/>
      <c r="Q215" s="276"/>
      <c r="R215" s="278"/>
      <c r="S215" s="278"/>
      <c r="T215" s="278"/>
      <c r="U215" s="279"/>
      <c r="V215" s="279"/>
      <c r="W215" s="279"/>
      <c r="X215" s="279"/>
      <c r="Y215" s="279"/>
      <c r="Z215" s="282"/>
      <c r="AA215" s="282"/>
      <c r="AB215" s="282"/>
      <c r="AC215" s="284"/>
      <c r="AD215" s="284"/>
    </row>
    <row r="216" ht="14.25" customHeight="1">
      <c r="A216" s="266"/>
      <c r="B216" s="266"/>
      <c r="C216" s="266"/>
      <c r="D216" s="266"/>
      <c r="E216" s="268"/>
      <c r="F216" s="291"/>
      <c r="G216" s="268"/>
      <c r="H216" s="268"/>
      <c r="I216" s="268"/>
      <c r="J216" s="268"/>
      <c r="K216" s="268"/>
      <c r="L216" s="288" t="str">
        <f t="shared" si="3"/>
        <v/>
      </c>
      <c r="M216" s="278"/>
      <c r="N216" s="290"/>
      <c r="O216" s="276"/>
      <c r="P216" s="276"/>
      <c r="Q216" s="276"/>
      <c r="R216" s="278"/>
      <c r="S216" s="278"/>
      <c r="T216" s="278"/>
      <c r="U216" s="279"/>
      <c r="V216" s="279"/>
      <c r="W216" s="279"/>
      <c r="X216" s="279"/>
      <c r="Y216" s="279"/>
      <c r="Z216" s="282"/>
      <c r="AA216" s="282"/>
      <c r="AB216" s="282"/>
      <c r="AC216" s="284"/>
      <c r="AD216" s="284"/>
    </row>
    <row r="217" ht="14.25" customHeight="1">
      <c r="A217" s="266"/>
      <c r="B217" s="266"/>
      <c r="C217" s="266"/>
      <c r="D217" s="266"/>
      <c r="E217" s="268"/>
      <c r="F217" s="291"/>
      <c r="G217" s="268"/>
      <c r="H217" s="268"/>
      <c r="I217" s="268"/>
      <c r="J217" s="268"/>
      <c r="K217" s="268"/>
      <c r="L217" s="288" t="str">
        <f t="shared" si="3"/>
        <v/>
      </c>
      <c r="M217" s="278"/>
      <c r="N217" s="290"/>
      <c r="O217" s="276"/>
      <c r="P217" s="276"/>
      <c r="Q217" s="276"/>
      <c r="R217" s="278"/>
      <c r="S217" s="278"/>
      <c r="T217" s="278"/>
      <c r="U217" s="279"/>
      <c r="V217" s="279"/>
      <c r="W217" s="279"/>
      <c r="X217" s="279"/>
      <c r="Y217" s="279"/>
      <c r="Z217" s="282"/>
      <c r="AA217" s="282"/>
      <c r="AB217" s="282"/>
      <c r="AC217" s="284"/>
      <c r="AD217" s="284"/>
    </row>
    <row r="218" ht="14.25" customHeight="1">
      <c r="A218" s="266"/>
      <c r="B218" s="266"/>
      <c r="C218" s="266"/>
      <c r="D218" s="266"/>
      <c r="E218" s="268"/>
      <c r="F218" s="291"/>
      <c r="G218" s="268"/>
      <c r="H218" s="268"/>
      <c r="I218" s="268"/>
      <c r="J218" s="268"/>
      <c r="K218" s="268"/>
      <c r="L218" s="288" t="str">
        <f t="shared" si="3"/>
        <v/>
      </c>
      <c r="M218" s="278"/>
      <c r="N218" s="290"/>
      <c r="O218" s="276"/>
      <c r="P218" s="276"/>
      <c r="Q218" s="276"/>
      <c r="R218" s="278"/>
      <c r="S218" s="278"/>
      <c r="T218" s="278"/>
      <c r="U218" s="279"/>
      <c r="V218" s="279"/>
      <c r="W218" s="279"/>
      <c r="X218" s="279"/>
      <c r="Y218" s="279"/>
      <c r="Z218" s="282"/>
      <c r="AA218" s="282"/>
      <c r="AB218" s="282"/>
      <c r="AC218" s="284"/>
      <c r="AD218" s="284"/>
    </row>
    <row r="219" ht="14.25" customHeight="1">
      <c r="A219" s="266"/>
      <c r="B219" s="266"/>
      <c r="C219" s="266"/>
      <c r="D219" s="266"/>
      <c r="E219" s="268"/>
      <c r="F219" s="291"/>
      <c r="G219" s="268"/>
      <c r="H219" s="268"/>
      <c r="I219" s="268"/>
      <c r="J219" s="268"/>
      <c r="K219" s="268"/>
      <c r="L219" s="288" t="str">
        <f t="shared" si="3"/>
        <v/>
      </c>
      <c r="M219" s="278"/>
      <c r="N219" s="290"/>
      <c r="O219" s="276"/>
      <c r="P219" s="276"/>
      <c r="Q219" s="276"/>
      <c r="R219" s="278"/>
      <c r="S219" s="278"/>
      <c r="T219" s="278"/>
      <c r="U219" s="279"/>
      <c r="V219" s="279"/>
      <c r="W219" s="279"/>
      <c r="X219" s="279"/>
      <c r="Y219" s="279"/>
      <c r="Z219" s="282"/>
      <c r="AA219" s="282"/>
      <c r="AB219" s="282"/>
      <c r="AC219" s="284"/>
      <c r="AD219" s="284"/>
    </row>
    <row r="220" ht="14.25" customHeight="1">
      <c r="A220" s="266"/>
      <c r="B220" s="266"/>
      <c r="C220" s="266"/>
      <c r="D220" s="266"/>
      <c r="E220" s="268"/>
      <c r="F220" s="291"/>
      <c r="G220" s="268"/>
      <c r="H220" s="268"/>
      <c r="I220" s="268"/>
      <c r="J220" s="268"/>
      <c r="K220" s="268"/>
      <c r="L220" s="288" t="str">
        <f t="shared" si="3"/>
        <v/>
      </c>
      <c r="M220" s="278"/>
      <c r="N220" s="290"/>
      <c r="O220" s="276"/>
      <c r="P220" s="276"/>
      <c r="Q220" s="276"/>
      <c r="R220" s="278"/>
      <c r="S220" s="278"/>
      <c r="T220" s="278"/>
      <c r="U220" s="279"/>
      <c r="V220" s="279"/>
      <c r="W220" s="279"/>
      <c r="X220" s="279"/>
      <c r="Y220" s="279"/>
      <c r="Z220" s="282"/>
      <c r="AA220" s="282"/>
      <c r="AB220" s="282"/>
      <c r="AC220" s="284"/>
      <c r="AD220" s="284"/>
    </row>
    <row r="221" ht="14.25" customHeight="1">
      <c r="A221" s="266"/>
      <c r="B221" s="266"/>
      <c r="C221" s="266"/>
      <c r="D221" s="266"/>
      <c r="E221" s="268"/>
      <c r="F221" s="291"/>
      <c r="G221" s="268"/>
      <c r="H221" s="268"/>
      <c r="I221" s="268"/>
      <c r="J221" s="268"/>
      <c r="K221" s="268"/>
      <c r="L221" s="288" t="str">
        <f t="shared" si="3"/>
        <v/>
      </c>
      <c r="M221" s="278"/>
      <c r="N221" s="290"/>
      <c r="O221" s="276"/>
      <c r="P221" s="276"/>
      <c r="Q221" s="276"/>
      <c r="R221" s="278"/>
      <c r="S221" s="278"/>
      <c r="T221" s="278"/>
      <c r="U221" s="279"/>
      <c r="V221" s="279"/>
      <c r="W221" s="279"/>
      <c r="X221" s="279"/>
      <c r="Y221" s="279"/>
      <c r="Z221" s="282"/>
      <c r="AA221" s="282"/>
      <c r="AB221" s="282"/>
      <c r="AC221" s="284"/>
      <c r="AD221" s="284"/>
    </row>
    <row r="222" ht="14.25" customHeight="1">
      <c r="A222" s="266"/>
      <c r="B222" s="266"/>
      <c r="C222" s="266"/>
      <c r="D222" s="266"/>
      <c r="E222" s="268"/>
      <c r="F222" s="291"/>
      <c r="G222" s="268"/>
      <c r="H222" s="268"/>
      <c r="I222" s="268"/>
      <c r="J222" s="268"/>
      <c r="K222" s="268"/>
      <c r="L222" s="288" t="str">
        <f t="shared" si="3"/>
        <v/>
      </c>
      <c r="M222" s="278"/>
      <c r="N222" s="290"/>
      <c r="O222" s="276"/>
      <c r="P222" s="276"/>
      <c r="Q222" s="276"/>
      <c r="R222" s="278"/>
      <c r="S222" s="278"/>
      <c r="T222" s="278"/>
      <c r="U222" s="279"/>
      <c r="V222" s="279"/>
      <c r="W222" s="279"/>
      <c r="X222" s="279"/>
      <c r="Y222" s="279"/>
      <c r="Z222" s="282"/>
      <c r="AA222" s="282"/>
      <c r="AB222" s="282"/>
      <c r="AC222" s="284"/>
      <c r="AD222" s="284"/>
    </row>
    <row r="223" ht="14.25" customHeight="1">
      <c r="A223" s="266"/>
      <c r="B223" s="266"/>
      <c r="C223" s="266"/>
      <c r="D223" s="266"/>
      <c r="E223" s="268"/>
      <c r="F223" s="291"/>
      <c r="G223" s="268"/>
      <c r="H223" s="268"/>
      <c r="I223" s="268"/>
      <c r="J223" s="268"/>
      <c r="K223" s="268"/>
      <c r="L223" s="288" t="str">
        <f t="shared" si="3"/>
        <v/>
      </c>
      <c r="M223" s="278"/>
      <c r="N223" s="290"/>
      <c r="O223" s="276"/>
      <c r="P223" s="276"/>
      <c r="Q223" s="276"/>
      <c r="R223" s="278"/>
      <c r="S223" s="278"/>
      <c r="T223" s="278"/>
      <c r="U223" s="279"/>
      <c r="V223" s="279"/>
      <c r="W223" s="279"/>
      <c r="X223" s="279"/>
      <c r="Y223" s="279"/>
      <c r="Z223" s="282"/>
      <c r="AA223" s="282"/>
      <c r="AB223" s="282"/>
      <c r="AC223" s="284"/>
      <c r="AD223" s="284"/>
    </row>
    <row r="224" ht="14.25" customHeight="1">
      <c r="A224" s="266"/>
      <c r="B224" s="266"/>
      <c r="C224" s="266"/>
      <c r="D224" s="266"/>
      <c r="E224" s="268"/>
      <c r="F224" s="291"/>
      <c r="G224" s="268"/>
      <c r="H224" s="268"/>
      <c r="I224" s="268"/>
      <c r="J224" s="268"/>
      <c r="K224" s="268"/>
      <c r="L224" s="288" t="str">
        <f t="shared" si="3"/>
        <v/>
      </c>
      <c r="M224" s="278"/>
      <c r="N224" s="290"/>
      <c r="O224" s="276"/>
      <c r="P224" s="276"/>
      <c r="Q224" s="276"/>
      <c r="R224" s="278"/>
      <c r="S224" s="278"/>
      <c r="T224" s="278"/>
      <c r="U224" s="279"/>
      <c r="V224" s="279"/>
      <c r="W224" s="279"/>
      <c r="X224" s="279"/>
      <c r="Y224" s="279"/>
      <c r="Z224" s="282"/>
      <c r="AA224" s="282"/>
      <c r="AB224" s="282"/>
      <c r="AC224" s="284"/>
      <c r="AD224" s="284"/>
    </row>
    <row r="225" ht="14.25" customHeight="1">
      <c r="A225" s="266"/>
      <c r="B225" s="266"/>
      <c r="C225" s="266"/>
      <c r="D225" s="266"/>
      <c r="E225" s="268"/>
      <c r="F225" s="291"/>
      <c r="G225" s="268"/>
      <c r="H225" s="268"/>
      <c r="I225" s="268"/>
      <c r="J225" s="268"/>
      <c r="K225" s="268"/>
      <c r="L225" s="288" t="str">
        <f t="shared" si="3"/>
        <v/>
      </c>
      <c r="M225" s="278"/>
      <c r="N225" s="290"/>
      <c r="O225" s="276"/>
      <c r="P225" s="276"/>
      <c r="Q225" s="276"/>
      <c r="R225" s="278"/>
      <c r="S225" s="278"/>
      <c r="T225" s="278"/>
      <c r="U225" s="279"/>
      <c r="V225" s="279"/>
      <c r="W225" s="279"/>
      <c r="X225" s="279"/>
      <c r="Y225" s="279"/>
      <c r="Z225" s="282"/>
      <c r="AA225" s="282"/>
      <c r="AB225" s="282"/>
      <c r="AC225" s="284"/>
      <c r="AD225" s="284"/>
    </row>
    <row r="226" ht="14.25" customHeight="1">
      <c r="A226" s="266"/>
      <c r="B226" s="266"/>
      <c r="C226" s="266"/>
      <c r="D226" s="266"/>
      <c r="E226" s="268"/>
      <c r="F226" s="291"/>
      <c r="G226" s="268"/>
      <c r="H226" s="268"/>
      <c r="I226" s="268"/>
      <c r="J226" s="268"/>
      <c r="K226" s="268"/>
      <c r="L226" s="288" t="str">
        <f t="shared" si="3"/>
        <v/>
      </c>
      <c r="M226" s="278"/>
      <c r="N226" s="290"/>
      <c r="O226" s="276"/>
      <c r="P226" s="276"/>
      <c r="Q226" s="276"/>
      <c r="R226" s="278"/>
      <c r="S226" s="278"/>
      <c r="T226" s="278"/>
      <c r="U226" s="279"/>
      <c r="V226" s="279"/>
      <c r="W226" s="279"/>
      <c r="X226" s="279"/>
      <c r="Y226" s="279"/>
      <c r="Z226" s="282"/>
      <c r="AA226" s="282"/>
      <c r="AB226" s="282"/>
      <c r="AC226" s="284"/>
      <c r="AD226" s="284"/>
    </row>
    <row r="227" ht="14.25" customHeight="1">
      <c r="A227" s="266"/>
      <c r="B227" s="266"/>
      <c r="C227" s="266"/>
      <c r="D227" s="266"/>
      <c r="E227" s="268"/>
      <c r="F227" s="291"/>
      <c r="G227" s="268"/>
      <c r="H227" s="268"/>
      <c r="I227" s="268"/>
      <c r="J227" s="268"/>
      <c r="K227" s="268"/>
      <c r="L227" s="288" t="str">
        <f t="shared" si="3"/>
        <v/>
      </c>
      <c r="M227" s="278"/>
      <c r="N227" s="290"/>
      <c r="O227" s="276"/>
      <c r="P227" s="276"/>
      <c r="Q227" s="276"/>
      <c r="R227" s="278"/>
      <c r="S227" s="278"/>
      <c r="T227" s="278"/>
      <c r="U227" s="279"/>
      <c r="V227" s="279"/>
      <c r="W227" s="279"/>
      <c r="X227" s="279"/>
      <c r="Y227" s="279"/>
      <c r="Z227" s="282"/>
      <c r="AA227" s="282"/>
      <c r="AB227" s="282"/>
      <c r="AC227" s="284"/>
      <c r="AD227" s="284"/>
    </row>
    <row r="228" ht="14.25" customHeight="1">
      <c r="A228" s="266"/>
      <c r="B228" s="266"/>
      <c r="C228" s="266"/>
      <c r="D228" s="266"/>
      <c r="E228" s="268"/>
      <c r="F228" s="291"/>
      <c r="G228" s="268"/>
      <c r="H228" s="268"/>
      <c r="I228" s="268"/>
      <c r="J228" s="268"/>
      <c r="K228" s="268"/>
      <c r="L228" s="288" t="str">
        <f t="shared" si="3"/>
        <v/>
      </c>
      <c r="M228" s="278"/>
      <c r="N228" s="290"/>
      <c r="O228" s="276"/>
      <c r="P228" s="276"/>
      <c r="Q228" s="276"/>
      <c r="R228" s="278"/>
      <c r="S228" s="278"/>
      <c r="T228" s="278"/>
      <c r="U228" s="279"/>
      <c r="V228" s="279"/>
      <c r="W228" s="279"/>
      <c r="X228" s="279"/>
      <c r="Y228" s="279"/>
      <c r="Z228" s="282"/>
      <c r="AA228" s="282"/>
      <c r="AB228" s="282"/>
      <c r="AC228" s="284"/>
      <c r="AD228" s="284"/>
    </row>
    <row r="229" ht="14.25" customHeight="1">
      <c r="A229" s="266"/>
      <c r="B229" s="266"/>
      <c r="C229" s="266"/>
      <c r="D229" s="266"/>
      <c r="E229" s="268"/>
      <c r="F229" s="291"/>
      <c r="G229" s="268"/>
      <c r="H229" s="268"/>
      <c r="I229" s="268"/>
      <c r="J229" s="268"/>
      <c r="K229" s="268"/>
      <c r="L229" s="288" t="str">
        <f t="shared" si="3"/>
        <v/>
      </c>
      <c r="M229" s="278"/>
      <c r="N229" s="290"/>
      <c r="O229" s="276"/>
      <c r="P229" s="276"/>
      <c r="Q229" s="276"/>
      <c r="R229" s="278"/>
      <c r="S229" s="278"/>
      <c r="T229" s="278"/>
      <c r="U229" s="279"/>
      <c r="V229" s="279"/>
      <c r="W229" s="279"/>
      <c r="X229" s="279"/>
      <c r="Y229" s="279"/>
      <c r="Z229" s="282"/>
      <c r="AA229" s="282"/>
      <c r="AB229" s="282"/>
      <c r="AC229" s="284"/>
      <c r="AD229" s="284"/>
    </row>
    <row r="230" ht="14.25" customHeight="1">
      <c r="A230" s="266"/>
      <c r="B230" s="266"/>
      <c r="C230" s="266"/>
      <c r="D230" s="266"/>
      <c r="E230" s="268"/>
      <c r="F230" s="291"/>
      <c r="G230" s="268"/>
      <c r="H230" s="268"/>
      <c r="I230" s="268"/>
      <c r="J230" s="268"/>
      <c r="K230" s="268"/>
      <c r="L230" s="288" t="str">
        <f t="shared" si="3"/>
        <v/>
      </c>
      <c r="M230" s="278"/>
      <c r="N230" s="290"/>
      <c r="O230" s="276"/>
      <c r="P230" s="276"/>
      <c r="Q230" s="276"/>
      <c r="R230" s="278"/>
      <c r="S230" s="278"/>
      <c r="T230" s="278"/>
      <c r="U230" s="279"/>
      <c r="V230" s="279"/>
      <c r="W230" s="279"/>
      <c r="X230" s="279"/>
      <c r="Y230" s="279"/>
      <c r="Z230" s="282"/>
      <c r="AA230" s="282"/>
      <c r="AB230" s="282"/>
      <c r="AC230" s="284"/>
      <c r="AD230" s="284"/>
    </row>
    <row r="231" ht="14.25" customHeight="1">
      <c r="A231" s="266"/>
      <c r="B231" s="266"/>
      <c r="C231" s="266"/>
      <c r="D231" s="266"/>
      <c r="E231" s="268"/>
      <c r="F231" s="291"/>
      <c r="G231" s="268"/>
      <c r="H231" s="268"/>
      <c r="I231" s="268"/>
      <c r="J231" s="268"/>
      <c r="K231" s="268"/>
      <c r="L231" s="288" t="str">
        <f t="shared" si="3"/>
        <v/>
      </c>
      <c r="M231" s="278"/>
      <c r="N231" s="290"/>
      <c r="O231" s="276"/>
      <c r="P231" s="276"/>
      <c r="Q231" s="276"/>
      <c r="R231" s="278"/>
      <c r="S231" s="278"/>
      <c r="T231" s="278"/>
      <c r="U231" s="279"/>
      <c r="V231" s="279"/>
      <c r="W231" s="279"/>
      <c r="X231" s="279"/>
      <c r="Y231" s="279"/>
      <c r="Z231" s="282"/>
      <c r="AA231" s="282"/>
      <c r="AB231" s="282"/>
      <c r="AC231" s="284"/>
      <c r="AD231" s="284"/>
    </row>
    <row r="232" ht="14.25" customHeight="1">
      <c r="A232" s="266"/>
      <c r="B232" s="266"/>
      <c r="C232" s="266"/>
      <c r="D232" s="266"/>
      <c r="E232" s="268"/>
      <c r="F232" s="291"/>
      <c r="G232" s="268"/>
      <c r="H232" s="268"/>
      <c r="I232" s="268"/>
      <c r="J232" s="268"/>
      <c r="K232" s="268"/>
      <c r="L232" s="288" t="str">
        <f t="shared" si="3"/>
        <v/>
      </c>
      <c r="M232" s="278"/>
      <c r="N232" s="290"/>
      <c r="O232" s="276"/>
      <c r="P232" s="276"/>
      <c r="Q232" s="276"/>
      <c r="R232" s="278"/>
      <c r="S232" s="278"/>
      <c r="T232" s="278"/>
      <c r="U232" s="279"/>
      <c r="V232" s="279"/>
      <c r="W232" s="279"/>
      <c r="X232" s="279"/>
      <c r="Y232" s="279"/>
      <c r="Z232" s="282"/>
      <c r="AA232" s="282"/>
      <c r="AB232" s="282"/>
      <c r="AC232" s="284"/>
      <c r="AD232" s="284"/>
    </row>
    <row r="233" ht="14.25" customHeight="1">
      <c r="A233" s="266"/>
      <c r="B233" s="266"/>
      <c r="C233" s="266"/>
      <c r="D233" s="266"/>
      <c r="E233" s="268"/>
      <c r="F233" s="291"/>
      <c r="G233" s="268"/>
      <c r="H233" s="268"/>
      <c r="I233" s="268"/>
      <c r="J233" s="268"/>
      <c r="K233" s="268"/>
      <c r="L233" s="288" t="str">
        <f t="shared" si="3"/>
        <v/>
      </c>
      <c r="M233" s="278"/>
      <c r="N233" s="290"/>
      <c r="O233" s="276"/>
      <c r="P233" s="276"/>
      <c r="Q233" s="276"/>
      <c r="R233" s="278"/>
      <c r="S233" s="278"/>
      <c r="T233" s="278"/>
      <c r="U233" s="279"/>
      <c r="V233" s="279"/>
      <c r="W233" s="279"/>
      <c r="X233" s="279"/>
      <c r="Y233" s="279"/>
      <c r="Z233" s="282"/>
      <c r="AA233" s="282"/>
      <c r="AB233" s="282"/>
      <c r="AC233" s="284"/>
      <c r="AD233" s="284"/>
    </row>
    <row r="234" ht="14.25" customHeight="1">
      <c r="A234" s="266"/>
      <c r="B234" s="266"/>
      <c r="C234" s="266"/>
      <c r="D234" s="266"/>
      <c r="E234" s="268"/>
      <c r="F234" s="291"/>
      <c r="G234" s="268"/>
      <c r="H234" s="268"/>
      <c r="I234" s="268"/>
      <c r="J234" s="268"/>
      <c r="K234" s="268"/>
      <c r="L234" s="288" t="str">
        <f t="shared" si="3"/>
        <v/>
      </c>
      <c r="M234" s="278"/>
      <c r="N234" s="290"/>
      <c r="O234" s="276"/>
      <c r="P234" s="276"/>
      <c r="Q234" s="276"/>
      <c r="R234" s="278"/>
      <c r="S234" s="278"/>
      <c r="T234" s="278"/>
      <c r="U234" s="279"/>
      <c r="V234" s="279"/>
      <c r="W234" s="279"/>
      <c r="X234" s="279"/>
      <c r="Y234" s="279"/>
      <c r="Z234" s="282"/>
      <c r="AA234" s="282"/>
      <c r="AB234" s="282"/>
      <c r="AC234" s="284"/>
      <c r="AD234" s="284"/>
    </row>
    <row r="235" ht="14.25" customHeight="1">
      <c r="A235" s="266"/>
      <c r="B235" s="266"/>
      <c r="C235" s="266"/>
      <c r="D235" s="266"/>
      <c r="E235" s="268"/>
      <c r="F235" s="291"/>
      <c r="G235" s="268"/>
      <c r="H235" s="268"/>
      <c r="I235" s="268"/>
      <c r="J235" s="268"/>
      <c r="K235" s="268"/>
      <c r="L235" s="288" t="str">
        <f t="shared" si="3"/>
        <v/>
      </c>
      <c r="M235" s="278"/>
      <c r="N235" s="290"/>
      <c r="O235" s="276"/>
      <c r="P235" s="276"/>
      <c r="Q235" s="276"/>
      <c r="R235" s="278"/>
      <c r="S235" s="278"/>
      <c r="T235" s="278"/>
      <c r="U235" s="279"/>
      <c r="V235" s="279"/>
      <c r="W235" s="279"/>
      <c r="X235" s="279"/>
      <c r="Y235" s="279"/>
      <c r="Z235" s="282"/>
      <c r="AA235" s="282"/>
      <c r="AB235" s="282"/>
      <c r="AC235" s="284"/>
      <c r="AD235" s="284"/>
    </row>
    <row r="236" ht="14.25" customHeight="1">
      <c r="A236" s="266"/>
      <c r="B236" s="266"/>
      <c r="C236" s="266"/>
      <c r="D236" s="266"/>
      <c r="E236" s="268"/>
      <c r="F236" s="291"/>
      <c r="G236" s="268"/>
      <c r="H236" s="268"/>
      <c r="I236" s="268"/>
      <c r="J236" s="268"/>
      <c r="K236" s="268"/>
      <c r="L236" s="288" t="str">
        <f t="shared" si="3"/>
        <v/>
      </c>
      <c r="M236" s="278"/>
      <c r="N236" s="290"/>
      <c r="O236" s="276"/>
      <c r="P236" s="276"/>
      <c r="Q236" s="276"/>
      <c r="R236" s="278"/>
      <c r="S236" s="278"/>
      <c r="T236" s="278"/>
      <c r="U236" s="279"/>
      <c r="V236" s="279"/>
      <c r="W236" s="279"/>
      <c r="X236" s="279"/>
      <c r="Y236" s="279"/>
      <c r="Z236" s="282"/>
      <c r="AA236" s="282"/>
      <c r="AB236" s="282"/>
      <c r="AC236" s="284"/>
      <c r="AD236" s="284"/>
    </row>
    <row r="237" ht="14.25" customHeight="1">
      <c r="A237" s="266"/>
      <c r="B237" s="266"/>
      <c r="C237" s="266"/>
      <c r="D237" s="266"/>
      <c r="E237" s="268"/>
      <c r="F237" s="291"/>
      <c r="G237" s="268"/>
      <c r="H237" s="268"/>
      <c r="I237" s="268"/>
      <c r="J237" s="268"/>
      <c r="K237" s="268"/>
      <c r="L237" s="288" t="str">
        <f t="shared" si="3"/>
        <v/>
      </c>
      <c r="M237" s="278"/>
      <c r="N237" s="290"/>
      <c r="O237" s="276"/>
      <c r="P237" s="276"/>
      <c r="Q237" s="276"/>
      <c r="R237" s="278"/>
      <c r="S237" s="278"/>
      <c r="T237" s="278"/>
      <c r="U237" s="279"/>
      <c r="V237" s="279"/>
      <c r="W237" s="279"/>
      <c r="X237" s="279"/>
      <c r="Y237" s="279"/>
      <c r="Z237" s="282"/>
      <c r="AA237" s="282"/>
      <c r="AB237" s="282"/>
      <c r="AC237" s="284"/>
      <c r="AD237" s="284"/>
    </row>
    <row r="238" ht="14.25" customHeight="1">
      <c r="A238" s="266"/>
      <c r="B238" s="266"/>
      <c r="C238" s="266"/>
      <c r="D238" s="266"/>
      <c r="E238" s="268"/>
      <c r="F238" s="291"/>
      <c r="G238" s="268"/>
      <c r="H238" s="268"/>
      <c r="I238" s="268"/>
      <c r="J238" s="268"/>
      <c r="K238" s="268"/>
      <c r="L238" s="288" t="str">
        <f t="shared" si="3"/>
        <v/>
      </c>
      <c r="M238" s="278"/>
      <c r="N238" s="290"/>
      <c r="O238" s="276"/>
      <c r="P238" s="276"/>
      <c r="Q238" s="276"/>
      <c r="R238" s="278"/>
      <c r="S238" s="278"/>
      <c r="T238" s="278"/>
      <c r="U238" s="279"/>
      <c r="V238" s="279"/>
      <c r="W238" s="279"/>
      <c r="X238" s="279"/>
      <c r="Y238" s="279"/>
      <c r="Z238" s="282"/>
      <c r="AA238" s="282"/>
      <c r="AB238" s="282"/>
      <c r="AC238" s="284"/>
      <c r="AD238" s="284"/>
    </row>
    <row r="239" ht="14.25" customHeight="1">
      <c r="A239" s="266"/>
      <c r="B239" s="266"/>
      <c r="C239" s="266"/>
      <c r="D239" s="266"/>
      <c r="E239" s="268"/>
      <c r="F239" s="291"/>
      <c r="G239" s="268"/>
      <c r="H239" s="268"/>
      <c r="I239" s="268"/>
      <c r="J239" s="268"/>
      <c r="K239" s="268"/>
      <c r="L239" s="288" t="str">
        <f t="shared" si="3"/>
        <v/>
      </c>
      <c r="M239" s="278"/>
      <c r="N239" s="290"/>
      <c r="O239" s="276"/>
      <c r="P239" s="276"/>
      <c r="Q239" s="276"/>
      <c r="R239" s="278"/>
      <c r="S239" s="278"/>
      <c r="T239" s="278"/>
      <c r="U239" s="279"/>
      <c r="V239" s="279"/>
      <c r="W239" s="279"/>
      <c r="X239" s="279"/>
      <c r="Y239" s="279"/>
      <c r="Z239" s="282"/>
      <c r="AA239" s="282"/>
      <c r="AB239" s="282"/>
      <c r="AC239" s="284"/>
      <c r="AD239" s="284"/>
    </row>
    <row r="240" ht="14.25" customHeight="1">
      <c r="A240" s="266"/>
      <c r="B240" s="266"/>
      <c r="C240" s="266"/>
      <c r="D240" s="266"/>
      <c r="E240" s="268"/>
      <c r="F240" s="291"/>
      <c r="G240" s="268"/>
      <c r="H240" s="268"/>
      <c r="I240" s="268"/>
      <c r="J240" s="268"/>
      <c r="K240" s="268"/>
      <c r="L240" s="288" t="str">
        <f t="shared" si="3"/>
        <v/>
      </c>
      <c r="M240" s="278"/>
      <c r="N240" s="290"/>
      <c r="O240" s="276"/>
      <c r="P240" s="276"/>
      <c r="Q240" s="276"/>
      <c r="R240" s="278"/>
      <c r="S240" s="278"/>
      <c r="T240" s="278"/>
      <c r="U240" s="279"/>
      <c r="V240" s="279"/>
      <c r="W240" s="279"/>
      <c r="X240" s="279"/>
      <c r="Y240" s="279"/>
      <c r="Z240" s="282"/>
      <c r="AA240" s="282"/>
      <c r="AB240" s="282"/>
      <c r="AC240" s="284"/>
      <c r="AD240" s="284"/>
    </row>
    <row r="241" ht="14.25" customHeight="1">
      <c r="A241" s="266"/>
      <c r="B241" s="266"/>
      <c r="C241" s="266"/>
      <c r="D241" s="266"/>
      <c r="E241" s="268"/>
      <c r="F241" s="291"/>
      <c r="G241" s="268"/>
      <c r="H241" s="268"/>
      <c r="I241" s="268"/>
      <c r="J241" s="268"/>
      <c r="K241" s="268"/>
      <c r="L241" s="288" t="str">
        <f t="shared" si="3"/>
        <v/>
      </c>
      <c r="M241" s="278"/>
      <c r="N241" s="290"/>
      <c r="O241" s="276"/>
      <c r="P241" s="276"/>
      <c r="Q241" s="276"/>
      <c r="R241" s="278"/>
      <c r="S241" s="278"/>
      <c r="T241" s="278"/>
      <c r="U241" s="279"/>
      <c r="V241" s="279"/>
      <c r="W241" s="279"/>
      <c r="X241" s="279"/>
      <c r="Y241" s="279"/>
      <c r="Z241" s="282"/>
      <c r="AA241" s="282"/>
      <c r="AB241" s="282"/>
      <c r="AC241" s="284"/>
      <c r="AD241" s="284"/>
    </row>
    <row r="242" ht="14.25" customHeight="1">
      <c r="A242" s="266"/>
      <c r="B242" s="266"/>
      <c r="C242" s="266"/>
      <c r="D242" s="266"/>
      <c r="E242" s="268"/>
      <c r="F242" s="291"/>
      <c r="G242" s="268"/>
      <c r="H242" s="268"/>
      <c r="I242" s="268"/>
      <c r="J242" s="268"/>
      <c r="K242" s="268"/>
      <c r="L242" s="288" t="str">
        <f t="shared" si="3"/>
        <v/>
      </c>
      <c r="M242" s="278"/>
      <c r="N242" s="290"/>
      <c r="O242" s="276"/>
      <c r="P242" s="276"/>
      <c r="Q242" s="276"/>
      <c r="R242" s="278"/>
      <c r="S242" s="278"/>
      <c r="T242" s="278"/>
      <c r="U242" s="279"/>
      <c r="V242" s="279"/>
      <c r="W242" s="279"/>
      <c r="X242" s="279"/>
      <c r="Y242" s="279"/>
      <c r="Z242" s="282"/>
      <c r="AA242" s="282"/>
      <c r="AB242" s="282"/>
      <c r="AC242" s="284"/>
      <c r="AD242" s="284"/>
    </row>
    <row r="243" ht="14.25" customHeight="1">
      <c r="A243" s="266"/>
      <c r="B243" s="266"/>
      <c r="C243" s="266"/>
      <c r="D243" s="266"/>
      <c r="E243" s="268"/>
      <c r="F243" s="291"/>
      <c r="G243" s="268"/>
      <c r="H243" s="268"/>
      <c r="I243" s="268"/>
      <c r="J243" s="268"/>
      <c r="K243" s="268"/>
      <c r="L243" s="288" t="str">
        <f t="shared" si="3"/>
        <v/>
      </c>
      <c r="M243" s="278"/>
      <c r="N243" s="290"/>
      <c r="O243" s="276"/>
      <c r="P243" s="276"/>
      <c r="Q243" s="276"/>
      <c r="R243" s="278"/>
      <c r="S243" s="278"/>
      <c r="T243" s="278"/>
      <c r="U243" s="279"/>
      <c r="V243" s="279"/>
      <c r="W243" s="279"/>
      <c r="X243" s="279"/>
      <c r="Y243" s="279"/>
      <c r="Z243" s="282"/>
      <c r="AA243" s="282"/>
      <c r="AB243" s="282"/>
      <c r="AC243" s="284"/>
      <c r="AD243" s="284"/>
    </row>
    <row r="244" ht="14.25" customHeight="1">
      <c r="A244" s="266"/>
      <c r="B244" s="266"/>
      <c r="C244" s="266"/>
      <c r="D244" s="266"/>
      <c r="E244" s="268"/>
      <c r="F244" s="291"/>
      <c r="G244" s="268"/>
      <c r="H244" s="268"/>
      <c r="I244" s="268"/>
      <c r="J244" s="268"/>
      <c r="K244" s="268"/>
      <c r="L244" s="288" t="str">
        <f t="shared" si="3"/>
        <v/>
      </c>
      <c r="M244" s="278"/>
      <c r="N244" s="290"/>
      <c r="O244" s="276"/>
      <c r="P244" s="276"/>
      <c r="Q244" s="276"/>
      <c r="R244" s="278"/>
      <c r="S244" s="278"/>
      <c r="T244" s="278"/>
      <c r="U244" s="279"/>
      <c r="V244" s="279"/>
      <c r="W244" s="279"/>
      <c r="X244" s="279"/>
      <c r="Y244" s="279"/>
      <c r="Z244" s="282"/>
      <c r="AA244" s="282"/>
      <c r="AB244" s="282"/>
      <c r="AC244" s="284"/>
      <c r="AD244" s="284"/>
    </row>
    <row r="245" ht="14.25" customHeight="1">
      <c r="A245" s="266"/>
      <c r="B245" s="266"/>
      <c r="C245" s="266"/>
      <c r="D245" s="266"/>
      <c r="E245" s="268"/>
      <c r="F245" s="291"/>
      <c r="G245" s="268"/>
      <c r="H245" s="268"/>
      <c r="I245" s="268"/>
      <c r="J245" s="268"/>
      <c r="K245" s="268"/>
      <c r="L245" s="288" t="str">
        <f t="shared" si="3"/>
        <v/>
      </c>
      <c r="M245" s="278"/>
      <c r="N245" s="290"/>
      <c r="O245" s="276"/>
      <c r="P245" s="276"/>
      <c r="Q245" s="276"/>
      <c r="R245" s="278"/>
      <c r="S245" s="278"/>
      <c r="T245" s="278"/>
      <c r="U245" s="279"/>
      <c r="V245" s="279"/>
      <c r="W245" s="279"/>
      <c r="X245" s="279"/>
      <c r="Y245" s="279"/>
      <c r="Z245" s="282"/>
      <c r="AA245" s="282"/>
      <c r="AB245" s="282"/>
      <c r="AC245" s="284"/>
      <c r="AD245" s="284"/>
    </row>
    <row r="246" ht="14.25" customHeight="1">
      <c r="A246" s="266"/>
      <c r="B246" s="266"/>
      <c r="C246" s="266"/>
      <c r="D246" s="266"/>
      <c r="E246" s="268"/>
      <c r="F246" s="291"/>
      <c r="G246" s="268"/>
      <c r="H246" s="268"/>
      <c r="I246" s="268"/>
      <c r="J246" s="268"/>
      <c r="K246" s="268"/>
      <c r="L246" s="288" t="str">
        <f t="shared" si="3"/>
        <v/>
      </c>
      <c r="M246" s="278"/>
      <c r="N246" s="290"/>
      <c r="O246" s="276"/>
      <c r="P246" s="276"/>
      <c r="Q246" s="276"/>
      <c r="R246" s="278"/>
      <c r="S246" s="278"/>
      <c r="T246" s="278"/>
      <c r="U246" s="279"/>
      <c r="V246" s="279"/>
      <c r="W246" s="279"/>
      <c r="X246" s="279"/>
      <c r="Y246" s="279"/>
      <c r="Z246" s="282"/>
      <c r="AA246" s="282"/>
      <c r="AB246" s="282"/>
      <c r="AC246" s="284"/>
      <c r="AD246" s="284"/>
    </row>
    <row r="247" ht="14.25" customHeight="1">
      <c r="A247" s="266"/>
      <c r="B247" s="266"/>
      <c r="C247" s="266"/>
      <c r="D247" s="266"/>
      <c r="E247" s="268"/>
      <c r="F247" s="291"/>
      <c r="G247" s="268"/>
      <c r="H247" s="268"/>
      <c r="I247" s="268"/>
      <c r="J247" s="268"/>
      <c r="K247" s="268"/>
      <c r="L247" s="288" t="str">
        <f t="shared" si="3"/>
        <v/>
      </c>
      <c r="M247" s="278"/>
      <c r="N247" s="290"/>
      <c r="O247" s="276"/>
      <c r="P247" s="276"/>
      <c r="Q247" s="276"/>
      <c r="R247" s="278"/>
      <c r="S247" s="278"/>
      <c r="T247" s="278"/>
      <c r="U247" s="279"/>
      <c r="V247" s="279"/>
      <c r="W247" s="279"/>
      <c r="X247" s="279"/>
      <c r="Y247" s="279"/>
      <c r="Z247" s="282"/>
      <c r="AA247" s="282"/>
      <c r="AB247" s="282"/>
      <c r="AC247" s="284"/>
      <c r="AD247" s="284"/>
    </row>
    <row r="248" ht="14.25" customHeight="1">
      <c r="A248" s="266"/>
      <c r="B248" s="266"/>
      <c r="C248" s="266"/>
      <c r="D248" s="266"/>
      <c r="E248" s="268"/>
      <c r="F248" s="291"/>
      <c r="G248" s="268"/>
      <c r="H248" s="268"/>
      <c r="I248" s="268"/>
      <c r="J248" s="268"/>
      <c r="K248" s="268"/>
      <c r="L248" s="288" t="str">
        <f t="shared" si="3"/>
        <v/>
      </c>
      <c r="M248" s="278"/>
      <c r="N248" s="290"/>
      <c r="O248" s="276"/>
      <c r="P248" s="276"/>
      <c r="Q248" s="276"/>
      <c r="R248" s="278"/>
      <c r="S248" s="278"/>
      <c r="T248" s="278"/>
      <c r="U248" s="279"/>
      <c r="V248" s="279"/>
      <c r="W248" s="279"/>
      <c r="X248" s="279"/>
      <c r="Y248" s="279"/>
      <c r="Z248" s="282"/>
      <c r="AA248" s="282"/>
      <c r="AB248" s="282"/>
      <c r="AC248" s="284"/>
      <c r="AD248" s="284"/>
    </row>
    <row r="249" ht="14.25" customHeight="1">
      <c r="A249" s="266"/>
      <c r="B249" s="266"/>
      <c r="C249" s="266"/>
      <c r="D249" s="266"/>
      <c r="E249" s="268"/>
      <c r="F249" s="291"/>
      <c r="G249" s="268"/>
      <c r="H249" s="268"/>
      <c r="I249" s="268"/>
      <c r="J249" s="268"/>
      <c r="K249" s="268"/>
      <c r="L249" s="288" t="str">
        <f t="shared" si="3"/>
        <v/>
      </c>
      <c r="M249" s="278"/>
      <c r="N249" s="290"/>
      <c r="O249" s="276"/>
      <c r="P249" s="276"/>
      <c r="Q249" s="276"/>
      <c r="R249" s="278"/>
      <c r="S249" s="278"/>
      <c r="T249" s="278"/>
      <c r="U249" s="279"/>
      <c r="V249" s="279"/>
      <c r="W249" s="279"/>
      <c r="X249" s="279"/>
      <c r="Y249" s="279"/>
      <c r="Z249" s="282"/>
      <c r="AA249" s="282"/>
      <c r="AB249" s="282"/>
      <c r="AC249" s="284"/>
      <c r="AD249" s="284"/>
    </row>
    <row r="250" ht="14.25" customHeight="1">
      <c r="A250" s="266"/>
      <c r="B250" s="266"/>
      <c r="C250" s="266"/>
      <c r="D250" s="266"/>
      <c r="E250" s="268"/>
      <c r="F250" s="291"/>
      <c r="G250" s="268"/>
      <c r="H250" s="268"/>
      <c r="I250" s="268"/>
      <c r="J250" s="268"/>
      <c r="K250" s="268"/>
      <c r="L250" s="288" t="str">
        <f t="shared" si="3"/>
        <v/>
      </c>
      <c r="M250" s="278"/>
      <c r="N250" s="290"/>
      <c r="O250" s="276"/>
      <c r="P250" s="276"/>
      <c r="Q250" s="276"/>
      <c r="R250" s="278"/>
      <c r="S250" s="278"/>
      <c r="T250" s="278"/>
      <c r="U250" s="279"/>
      <c r="V250" s="279"/>
      <c r="W250" s="279"/>
      <c r="X250" s="279"/>
      <c r="Y250" s="279"/>
      <c r="Z250" s="282"/>
      <c r="AA250" s="282"/>
      <c r="AB250" s="282"/>
      <c r="AC250" s="284"/>
      <c r="AD250" s="284"/>
    </row>
    <row r="251" ht="14.25" customHeight="1">
      <c r="A251" s="266"/>
      <c r="B251" s="266"/>
      <c r="C251" s="266"/>
      <c r="D251" s="266"/>
      <c r="E251" s="268"/>
      <c r="F251" s="291"/>
      <c r="G251" s="268"/>
      <c r="H251" s="268"/>
      <c r="I251" s="268"/>
      <c r="J251" s="268"/>
      <c r="K251" s="268"/>
      <c r="L251" s="288" t="str">
        <f t="shared" si="3"/>
        <v/>
      </c>
      <c r="M251" s="278"/>
      <c r="N251" s="290"/>
      <c r="O251" s="276"/>
      <c r="P251" s="276"/>
      <c r="Q251" s="276"/>
      <c r="R251" s="278"/>
      <c r="S251" s="278"/>
      <c r="T251" s="278"/>
      <c r="U251" s="279"/>
      <c r="V251" s="279"/>
      <c r="W251" s="279"/>
      <c r="X251" s="279"/>
      <c r="Y251" s="279"/>
      <c r="Z251" s="282"/>
      <c r="AA251" s="282"/>
      <c r="AB251" s="282"/>
      <c r="AC251" s="284"/>
      <c r="AD251" s="284"/>
    </row>
    <row r="252" ht="14.25" customHeight="1">
      <c r="A252" s="266"/>
      <c r="B252" s="266"/>
      <c r="C252" s="266"/>
      <c r="D252" s="266"/>
      <c r="E252" s="268"/>
      <c r="F252" s="291"/>
      <c r="G252" s="268"/>
      <c r="H252" s="268"/>
      <c r="I252" s="268"/>
      <c r="J252" s="268"/>
      <c r="K252" s="268"/>
      <c r="L252" s="288" t="str">
        <f t="shared" si="3"/>
        <v/>
      </c>
      <c r="M252" s="278"/>
      <c r="N252" s="290"/>
      <c r="O252" s="276"/>
      <c r="P252" s="276"/>
      <c r="Q252" s="276"/>
      <c r="R252" s="278"/>
      <c r="S252" s="278"/>
      <c r="T252" s="278"/>
      <c r="U252" s="279"/>
      <c r="V252" s="279"/>
      <c r="W252" s="279"/>
      <c r="X252" s="279"/>
      <c r="Y252" s="279"/>
      <c r="Z252" s="282"/>
      <c r="AA252" s="282"/>
      <c r="AB252" s="282"/>
      <c r="AC252" s="284"/>
      <c r="AD252" s="284"/>
    </row>
    <row r="253" ht="14.25" customHeight="1">
      <c r="A253" s="266"/>
      <c r="B253" s="266"/>
      <c r="C253" s="266"/>
      <c r="D253" s="266"/>
      <c r="E253" s="268"/>
      <c r="F253" s="291"/>
      <c r="G253" s="268"/>
      <c r="H253" s="268"/>
      <c r="I253" s="268"/>
      <c r="J253" s="268"/>
      <c r="K253" s="268"/>
      <c r="L253" s="288" t="str">
        <f t="shared" si="3"/>
        <v/>
      </c>
      <c r="M253" s="278"/>
      <c r="N253" s="290"/>
      <c r="O253" s="276"/>
      <c r="P253" s="276"/>
      <c r="Q253" s="276"/>
      <c r="R253" s="278"/>
      <c r="S253" s="278"/>
      <c r="T253" s="278"/>
      <c r="U253" s="279"/>
      <c r="V253" s="279"/>
      <c r="W253" s="279"/>
      <c r="X253" s="279"/>
      <c r="Y253" s="279"/>
      <c r="Z253" s="282"/>
      <c r="AA253" s="282"/>
      <c r="AB253" s="282"/>
      <c r="AC253" s="284"/>
      <c r="AD253" s="284"/>
    </row>
    <row r="254" ht="14.25" customHeight="1">
      <c r="A254" s="266"/>
      <c r="B254" s="266"/>
      <c r="C254" s="266"/>
      <c r="D254" s="266"/>
      <c r="E254" s="268"/>
      <c r="F254" s="291"/>
      <c r="G254" s="268"/>
      <c r="H254" s="268"/>
      <c r="I254" s="268"/>
      <c r="J254" s="268"/>
      <c r="K254" s="268"/>
      <c r="L254" s="288" t="str">
        <f t="shared" si="3"/>
        <v/>
      </c>
      <c r="M254" s="278"/>
      <c r="N254" s="290"/>
      <c r="O254" s="276"/>
      <c r="P254" s="276"/>
      <c r="Q254" s="276"/>
      <c r="R254" s="278"/>
      <c r="S254" s="278"/>
      <c r="T254" s="278"/>
      <c r="U254" s="279"/>
      <c r="V254" s="279"/>
      <c r="W254" s="279"/>
      <c r="X254" s="279"/>
      <c r="Y254" s="279"/>
      <c r="Z254" s="282"/>
      <c r="AA254" s="282"/>
      <c r="AB254" s="282"/>
      <c r="AC254" s="284"/>
      <c r="AD254" s="284"/>
    </row>
    <row r="255" ht="14.25" customHeight="1">
      <c r="A255" s="266"/>
      <c r="B255" s="266"/>
      <c r="C255" s="266"/>
      <c r="D255" s="266"/>
      <c r="E255" s="268"/>
      <c r="F255" s="291"/>
      <c r="G255" s="268"/>
      <c r="H255" s="268"/>
      <c r="I255" s="268"/>
      <c r="J255" s="268"/>
      <c r="K255" s="268"/>
      <c r="L255" s="288" t="str">
        <f t="shared" si="3"/>
        <v/>
      </c>
      <c r="M255" s="278"/>
      <c r="N255" s="290"/>
      <c r="O255" s="276"/>
      <c r="P255" s="276"/>
      <c r="Q255" s="276"/>
      <c r="R255" s="278"/>
      <c r="S255" s="278"/>
      <c r="T255" s="278"/>
      <c r="U255" s="279"/>
      <c r="V255" s="279"/>
      <c r="W255" s="279"/>
      <c r="X255" s="279"/>
      <c r="Y255" s="279"/>
      <c r="Z255" s="282"/>
      <c r="AA255" s="282"/>
      <c r="AB255" s="282"/>
      <c r="AC255" s="284"/>
      <c r="AD255" s="284"/>
    </row>
    <row r="256" ht="14.25" customHeight="1">
      <c r="A256" s="266"/>
      <c r="B256" s="266"/>
      <c r="C256" s="266"/>
      <c r="D256" s="266"/>
      <c r="E256" s="268"/>
      <c r="F256" s="291"/>
      <c r="G256" s="268"/>
      <c r="H256" s="268"/>
      <c r="I256" s="268"/>
      <c r="J256" s="268"/>
      <c r="K256" s="268"/>
      <c r="L256" s="288" t="str">
        <f t="shared" si="3"/>
        <v/>
      </c>
      <c r="M256" s="278"/>
      <c r="N256" s="290"/>
      <c r="O256" s="276"/>
      <c r="P256" s="276"/>
      <c r="Q256" s="276"/>
      <c r="R256" s="278"/>
      <c r="S256" s="278"/>
      <c r="T256" s="278"/>
      <c r="U256" s="279"/>
      <c r="V256" s="279"/>
      <c r="W256" s="279"/>
      <c r="X256" s="279"/>
      <c r="Y256" s="279"/>
      <c r="Z256" s="282"/>
      <c r="AA256" s="282"/>
      <c r="AB256" s="282"/>
      <c r="AC256" s="284"/>
      <c r="AD256" s="284"/>
    </row>
    <row r="257" ht="14.25" customHeight="1">
      <c r="A257" s="266"/>
      <c r="B257" s="266"/>
      <c r="C257" s="266"/>
      <c r="D257" s="266"/>
      <c r="E257" s="268"/>
      <c r="F257" s="291"/>
      <c r="G257" s="268"/>
      <c r="H257" s="268"/>
      <c r="I257" s="268"/>
      <c r="J257" s="268"/>
      <c r="K257" s="268"/>
      <c r="L257" s="288" t="str">
        <f t="shared" si="3"/>
        <v/>
      </c>
      <c r="M257" s="278"/>
      <c r="N257" s="290"/>
      <c r="O257" s="276"/>
      <c r="P257" s="276"/>
      <c r="Q257" s="276"/>
      <c r="R257" s="278"/>
      <c r="S257" s="278"/>
      <c r="T257" s="278"/>
      <c r="U257" s="279"/>
      <c r="V257" s="279"/>
      <c r="W257" s="279"/>
      <c r="X257" s="279"/>
      <c r="Y257" s="279"/>
      <c r="Z257" s="282"/>
      <c r="AA257" s="282"/>
      <c r="AB257" s="282"/>
      <c r="AC257" s="284"/>
      <c r="AD257" s="284"/>
    </row>
    <row r="258" ht="14.25" customHeight="1">
      <c r="A258" s="266"/>
      <c r="B258" s="266"/>
      <c r="C258" s="266"/>
      <c r="D258" s="266"/>
      <c r="E258" s="268"/>
      <c r="F258" s="291"/>
      <c r="G258" s="268"/>
      <c r="H258" s="268"/>
      <c r="I258" s="268"/>
      <c r="J258" s="268"/>
      <c r="K258" s="268"/>
      <c r="L258" s="288" t="str">
        <f t="shared" si="3"/>
        <v/>
      </c>
      <c r="M258" s="278"/>
      <c r="N258" s="290"/>
      <c r="O258" s="276"/>
      <c r="P258" s="276"/>
      <c r="Q258" s="276"/>
      <c r="R258" s="278"/>
      <c r="S258" s="278"/>
      <c r="T258" s="278"/>
      <c r="U258" s="279"/>
      <c r="V258" s="279"/>
      <c r="W258" s="279"/>
      <c r="X258" s="279"/>
      <c r="Y258" s="279"/>
      <c r="Z258" s="282"/>
      <c r="AA258" s="282"/>
      <c r="AB258" s="282"/>
      <c r="AC258" s="284"/>
      <c r="AD258" s="284"/>
    </row>
    <row r="259" ht="14.25" customHeight="1">
      <c r="A259" s="266"/>
      <c r="B259" s="266"/>
      <c r="C259" s="266"/>
      <c r="D259" s="266"/>
      <c r="E259" s="268"/>
      <c r="F259" s="291"/>
      <c r="G259" s="268"/>
      <c r="H259" s="268"/>
      <c r="I259" s="268"/>
      <c r="J259" s="268"/>
      <c r="K259" s="268"/>
      <c r="L259" s="288" t="str">
        <f t="shared" si="3"/>
        <v/>
      </c>
      <c r="M259" s="278"/>
      <c r="N259" s="290"/>
      <c r="O259" s="276"/>
      <c r="P259" s="276"/>
      <c r="Q259" s="276"/>
      <c r="R259" s="278"/>
      <c r="S259" s="278"/>
      <c r="T259" s="278"/>
      <c r="U259" s="279"/>
      <c r="V259" s="279"/>
      <c r="W259" s="279"/>
      <c r="X259" s="279"/>
      <c r="Y259" s="279"/>
      <c r="Z259" s="282"/>
      <c r="AA259" s="282"/>
      <c r="AB259" s="282"/>
      <c r="AC259" s="284"/>
      <c r="AD259" s="284"/>
    </row>
    <row r="260" ht="14.25" customHeight="1">
      <c r="A260" s="266"/>
      <c r="B260" s="266"/>
      <c r="C260" s="266"/>
      <c r="D260" s="266"/>
      <c r="E260" s="268"/>
      <c r="F260" s="291"/>
      <c r="G260" s="268"/>
      <c r="H260" s="268"/>
      <c r="I260" s="268"/>
      <c r="J260" s="268"/>
      <c r="K260" s="268"/>
      <c r="L260" s="288" t="str">
        <f t="shared" si="3"/>
        <v/>
      </c>
      <c r="M260" s="278"/>
      <c r="N260" s="290"/>
      <c r="O260" s="276"/>
      <c r="P260" s="276"/>
      <c r="Q260" s="276"/>
      <c r="R260" s="278"/>
      <c r="S260" s="278"/>
      <c r="T260" s="278"/>
      <c r="U260" s="279"/>
      <c r="V260" s="279"/>
      <c r="W260" s="279"/>
      <c r="X260" s="279"/>
      <c r="Y260" s="279"/>
      <c r="Z260" s="282"/>
      <c r="AA260" s="282"/>
      <c r="AB260" s="282"/>
      <c r="AC260" s="284"/>
      <c r="AD260" s="284"/>
    </row>
    <row r="261" ht="14.25" customHeight="1">
      <c r="A261" s="266"/>
      <c r="B261" s="266"/>
      <c r="C261" s="266"/>
      <c r="D261" s="266"/>
      <c r="E261" s="268"/>
      <c r="F261" s="291"/>
      <c r="G261" s="268"/>
      <c r="H261" s="268"/>
      <c r="I261" s="268"/>
      <c r="J261" s="268"/>
      <c r="K261" s="268"/>
      <c r="L261" s="288" t="str">
        <f t="shared" si="3"/>
        <v/>
      </c>
      <c r="M261" s="278"/>
      <c r="N261" s="290"/>
      <c r="O261" s="276"/>
      <c r="P261" s="276"/>
      <c r="Q261" s="276"/>
      <c r="R261" s="278"/>
      <c r="S261" s="278"/>
      <c r="T261" s="278"/>
      <c r="U261" s="279"/>
      <c r="V261" s="279"/>
      <c r="W261" s="279"/>
      <c r="X261" s="279"/>
      <c r="Y261" s="279"/>
      <c r="Z261" s="282"/>
      <c r="AA261" s="282"/>
      <c r="AB261" s="282"/>
      <c r="AC261" s="284"/>
      <c r="AD261" s="284"/>
    </row>
    <row r="262" ht="14.25" customHeight="1">
      <c r="A262" s="266"/>
      <c r="B262" s="266"/>
      <c r="C262" s="266"/>
      <c r="D262" s="266"/>
      <c r="E262" s="268"/>
      <c r="F262" s="291"/>
      <c r="G262" s="268"/>
      <c r="H262" s="268"/>
      <c r="I262" s="268"/>
      <c r="J262" s="268"/>
      <c r="K262" s="268"/>
      <c r="L262" s="288" t="str">
        <f t="shared" si="3"/>
        <v/>
      </c>
      <c r="M262" s="278"/>
      <c r="N262" s="290"/>
      <c r="O262" s="276"/>
      <c r="P262" s="276"/>
      <c r="Q262" s="276"/>
      <c r="R262" s="278"/>
      <c r="S262" s="278"/>
      <c r="T262" s="278"/>
      <c r="U262" s="279"/>
      <c r="V262" s="279"/>
      <c r="W262" s="279"/>
      <c r="X262" s="279"/>
      <c r="Y262" s="279"/>
      <c r="Z262" s="282"/>
      <c r="AA262" s="282"/>
      <c r="AB262" s="282"/>
      <c r="AC262" s="284"/>
      <c r="AD262" s="284"/>
    </row>
    <row r="263" ht="14.25" customHeight="1">
      <c r="A263" s="266"/>
      <c r="B263" s="266"/>
      <c r="C263" s="266"/>
      <c r="D263" s="266"/>
      <c r="E263" s="268"/>
      <c r="F263" s="291"/>
      <c r="G263" s="268"/>
      <c r="H263" s="268"/>
      <c r="I263" s="268"/>
      <c r="J263" s="268"/>
      <c r="K263" s="268"/>
      <c r="L263" s="288" t="str">
        <f t="shared" si="3"/>
        <v/>
      </c>
      <c r="M263" s="278"/>
      <c r="N263" s="290"/>
      <c r="O263" s="276"/>
      <c r="P263" s="276"/>
      <c r="Q263" s="276"/>
      <c r="R263" s="278"/>
      <c r="S263" s="278"/>
      <c r="T263" s="278"/>
      <c r="U263" s="279"/>
      <c r="V263" s="279"/>
      <c r="W263" s="279"/>
      <c r="X263" s="279"/>
      <c r="Y263" s="279"/>
      <c r="Z263" s="282"/>
      <c r="AA263" s="282"/>
      <c r="AB263" s="282"/>
      <c r="AC263" s="284"/>
      <c r="AD263" s="284"/>
    </row>
    <row r="264" ht="14.25" customHeight="1">
      <c r="A264" s="266"/>
      <c r="B264" s="266"/>
      <c r="C264" s="266"/>
      <c r="D264" s="266"/>
      <c r="E264" s="268"/>
      <c r="F264" s="291"/>
      <c r="G264" s="268"/>
      <c r="H264" s="268"/>
      <c r="I264" s="268"/>
      <c r="J264" s="268"/>
      <c r="K264" s="268"/>
      <c r="L264" s="288" t="str">
        <f t="shared" si="3"/>
        <v/>
      </c>
      <c r="M264" s="278"/>
      <c r="N264" s="290"/>
      <c r="O264" s="276"/>
      <c r="P264" s="276"/>
      <c r="Q264" s="276"/>
      <c r="R264" s="278"/>
      <c r="S264" s="278"/>
      <c r="T264" s="278"/>
      <c r="U264" s="279"/>
      <c r="V264" s="279"/>
      <c r="W264" s="279"/>
      <c r="X264" s="279"/>
      <c r="Y264" s="279"/>
      <c r="Z264" s="282"/>
      <c r="AA264" s="282"/>
      <c r="AB264" s="282"/>
      <c r="AC264" s="284"/>
      <c r="AD264" s="284"/>
    </row>
    <row r="265" ht="14.25" customHeight="1">
      <c r="A265" s="266"/>
      <c r="B265" s="266"/>
      <c r="C265" s="266"/>
      <c r="D265" s="266"/>
      <c r="E265" s="268"/>
      <c r="F265" s="291"/>
      <c r="G265" s="268"/>
      <c r="H265" s="268"/>
      <c r="I265" s="268"/>
      <c r="J265" s="268"/>
      <c r="K265" s="268"/>
      <c r="L265" s="288" t="str">
        <f t="shared" si="3"/>
        <v/>
      </c>
      <c r="M265" s="278"/>
      <c r="N265" s="290"/>
      <c r="O265" s="276"/>
      <c r="P265" s="276"/>
      <c r="Q265" s="276"/>
      <c r="R265" s="278"/>
      <c r="S265" s="278"/>
      <c r="T265" s="278"/>
      <c r="U265" s="279"/>
      <c r="V265" s="279"/>
      <c r="W265" s="279"/>
      <c r="X265" s="279"/>
      <c r="Y265" s="279"/>
      <c r="Z265" s="282"/>
      <c r="AA265" s="282"/>
      <c r="AB265" s="282"/>
      <c r="AC265" s="284"/>
      <c r="AD265" s="284"/>
    </row>
    <row r="266" ht="14.25" customHeight="1">
      <c r="A266" s="266"/>
      <c r="B266" s="266"/>
      <c r="C266" s="266"/>
      <c r="D266" s="266"/>
      <c r="E266" s="268"/>
      <c r="F266" s="291"/>
      <c r="G266" s="268"/>
      <c r="H266" s="268"/>
      <c r="I266" s="268"/>
      <c r="J266" s="268"/>
      <c r="K266" s="268"/>
      <c r="L266" s="288" t="str">
        <f t="shared" si="3"/>
        <v/>
      </c>
      <c r="M266" s="278"/>
      <c r="N266" s="290"/>
      <c r="O266" s="276"/>
      <c r="P266" s="276"/>
      <c r="Q266" s="276"/>
      <c r="R266" s="278"/>
      <c r="S266" s="278"/>
      <c r="T266" s="278"/>
      <c r="U266" s="279"/>
      <c r="V266" s="279"/>
      <c r="W266" s="279"/>
      <c r="X266" s="279"/>
      <c r="Y266" s="279"/>
      <c r="Z266" s="282"/>
      <c r="AA266" s="282"/>
      <c r="AB266" s="282"/>
      <c r="AC266" s="284"/>
      <c r="AD266" s="284"/>
    </row>
    <row r="267" ht="14.25" customHeight="1">
      <c r="A267" s="266"/>
      <c r="B267" s="266"/>
      <c r="C267" s="266"/>
      <c r="D267" s="266"/>
      <c r="E267" s="268"/>
      <c r="F267" s="291"/>
      <c r="G267" s="268"/>
      <c r="H267" s="268"/>
      <c r="I267" s="268"/>
      <c r="J267" s="268"/>
      <c r="K267" s="268"/>
      <c r="L267" s="288" t="str">
        <f t="shared" si="3"/>
        <v/>
      </c>
      <c r="M267" s="278"/>
      <c r="N267" s="290"/>
      <c r="O267" s="276"/>
      <c r="P267" s="276"/>
      <c r="Q267" s="276"/>
      <c r="R267" s="278"/>
      <c r="S267" s="278"/>
      <c r="T267" s="278"/>
      <c r="U267" s="279"/>
      <c r="V267" s="279"/>
      <c r="W267" s="279"/>
      <c r="X267" s="279"/>
      <c r="Y267" s="279"/>
      <c r="Z267" s="282"/>
      <c r="AA267" s="282"/>
      <c r="AB267" s="282"/>
      <c r="AC267" s="284"/>
      <c r="AD267" s="284"/>
    </row>
    <row r="268" ht="14.25" customHeight="1">
      <c r="A268" s="266"/>
      <c r="B268" s="266"/>
      <c r="C268" s="266"/>
      <c r="D268" s="266"/>
      <c r="E268" s="268"/>
      <c r="F268" s="291"/>
      <c r="G268" s="268"/>
      <c r="H268" s="268"/>
      <c r="I268" s="268"/>
      <c r="J268" s="268"/>
      <c r="K268" s="268"/>
      <c r="L268" s="288" t="str">
        <f t="shared" si="3"/>
        <v/>
      </c>
      <c r="M268" s="278"/>
      <c r="N268" s="290"/>
      <c r="O268" s="276"/>
      <c r="P268" s="276"/>
      <c r="Q268" s="276"/>
      <c r="R268" s="278"/>
      <c r="S268" s="278"/>
      <c r="T268" s="278"/>
      <c r="U268" s="279"/>
      <c r="V268" s="279"/>
      <c r="W268" s="279"/>
      <c r="X268" s="279"/>
      <c r="Y268" s="279"/>
      <c r="Z268" s="282"/>
      <c r="AA268" s="282"/>
      <c r="AB268" s="282"/>
      <c r="AC268" s="284"/>
      <c r="AD268" s="284"/>
    </row>
    <row r="269" ht="14.25" customHeight="1">
      <c r="A269" s="266"/>
      <c r="B269" s="266"/>
      <c r="C269" s="266"/>
      <c r="D269" s="266"/>
      <c r="E269" s="268"/>
      <c r="F269" s="291"/>
      <c r="G269" s="268"/>
      <c r="H269" s="268"/>
      <c r="I269" s="268"/>
      <c r="J269" s="268"/>
      <c r="K269" s="268"/>
      <c r="L269" s="288" t="str">
        <f t="shared" si="3"/>
        <v/>
      </c>
      <c r="M269" s="278"/>
      <c r="N269" s="290"/>
      <c r="O269" s="276"/>
      <c r="P269" s="276"/>
      <c r="Q269" s="276"/>
      <c r="R269" s="278"/>
      <c r="S269" s="278"/>
      <c r="T269" s="278"/>
      <c r="U269" s="279"/>
      <c r="V269" s="279"/>
      <c r="W269" s="279"/>
      <c r="X269" s="279"/>
      <c r="Y269" s="279"/>
      <c r="Z269" s="282"/>
      <c r="AA269" s="282"/>
      <c r="AB269" s="282"/>
      <c r="AC269" s="284"/>
      <c r="AD269" s="284"/>
    </row>
    <row r="270" ht="14.25" customHeight="1">
      <c r="A270" s="266"/>
      <c r="B270" s="266"/>
      <c r="C270" s="266"/>
      <c r="D270" s="266"/>
      <c r="E270" s="268"/>
      <c r="F270" s="291"/>
      <c r="G270" s="268"/>
      <c r="H270" s="268"/>
      <c r="I270" s="268"/>
      <c r="J270" s="268"/>
      <c r="K270" s="268"/>
      <c r="L270" s="288" t="str">
        <f t="shared" si="3"/>
        <v/>
      </c>
      <c r="M270" s="278"/>
      <c r="N270" s="290"/>
      <c r="O270" s="276"/>
      <c r="P270" s="276"/>
      <c r="Q270" s="276"/>
      <c r="R270" s="278"/>
      <c r="S270" s="278"/>
      <c r="T270" s="278"/>
      <c r="U270" s="279"/>
      <c r="V270" s="279"/>
      <c r="W270" s="279"/>
      <c r="X270" s="279"/>
      <c r="Y270" s="279"/>
      <c r="Z270" s="282"/>
      <c r="AA270" s="282"/>
      <c r="AB270" s="282"/>
      <c r="AC270" s="284"/>
      <c r="AD270" s="284"/>
    </row>
    <row r="271" ht="14.25" customHeight="1">
      <c r="A271" s="266"/>
      <c r="B271" s="266"/>
      <c r="C271" s="266"/>
      <c r="D271" s="266"/>
      <c r="E271" s="268"/>
      <c r="F271" s="291"/>
      <c r="G271" s="268"/>
      <c r="H271" s="268"/>
      <c r="I271" s="268"/>
      <c r="J271" s="268"/>
      <c r="K271" s="268"/>
      <c r="L271" s="288" t="str">
        <f t="shared" si="3"/>
        <v/>
      </c>
      <c r="M271" s="278"/>
      <c r="N271" s="290"/>
      <c r="O271" s="276"/>
      <c r="P271" s="276"/>
      <c r="Q271" s="276"/>
      <c r="R271" s="278"/>
      <c r="S271" s="278"/>
      <c r="T271" s="278"/>
      <c r="U271" s="279"/>
      <c r="V271" s="279"/>
      <c r="W271" s="279"/>
      <c r="X271" s="279"/>
      <c r="Y271" s="279"/>
      <c r="Z271" s="282"/>
      <c r="AA271" s="282"/>
      <c r="AB271" s="282"/>
      <c r="AC271" s="284"/>
      <c r="AD271" s="284"/>
    </row>
    <row r="272" ht="14.25" customHeight="1">
      <c r="A272" s="266"/>
      <c r="B272" s="266"/>
      <c r="C272" s="266"/>
      <c r="D272" s="266"/>
      <c r="E272" s="268"/>
      <c r="F272" s="291"/>
      <c r="G272" s="268"/>
      <c r="H272" s="268"/>
      <c r="I272" s="268"/>
      <c r="J272" s="268"/>
      <c r="K272" s="268"/>
      <c r="L272" s="288" t="str">
        <f t="shared" si="3"/>
        <v/>
      </c>
      <c r="M272" s="278"/>
      <c r="N272" s="290"/>
      <c r="O272" s="276"/>
      <c r="P272" s="276"/>
      <c r="Q272" s="276"/>
      <c r="R272" s="278"/>
      <c r="S272" s="278"/>
      <c r="T272" s="278"/>
      <c r="U272" s="279"/>
      <c r="V272" s="279"/>
      <c r="W272" s="279"/>
      <c r="X272" s="279"/>
      <c r="Y272" s="279"/>
      <c r="Z272" s="282"/>
      <c r="AA272" s="282"/>
      <c r="AB272" s="282"/>
      <c r="AC272" s="284"/>
      <c r="AD272" s="284"/>
    </row>
    <row r="273" ht="14.25" customHeight="1">
      <c r="A273" s="266"/>
      <c r="B273" s="266"/>
      <c r="C273" s="266"/>
      <c r="D273" s="266"/>
      <c r="E273" s="268"/>
      <c r="F273" s="291"/>
      <c r="G273" s="268"/>
      <c r="H273" s="268"/>
      <c r="I273" s="268"/>
      <c r="J273" s="268"/>
      <c r="K273" s="268"/>
      <c r="L273" s="288" t="str">
        <f t="shared" si="3"/>
        <v/>
      </c>
      <c r="M273" s="278"/>
      <c r="N273" s="290"/>
      <c r="O273" s="276"/>
      <c r="P273" s="276"/>
      <c r="Q273" s="276"/>
      <c r="R273" s="278"/>
      <c r="S273" s="278"/>
      <c r="T273" s="278"/>
      <c r="U273" s="279"/>
      <c r="V273" s="279"/>
      <c r="W273" s="279"/>
      <c r="X273" s="279"/>
      <c r="Y273" s="279"/>
      <c r="Z273" s="282"/>
      <c r="AA273" s="282"/>
      <c r="AB273" s="282"/>
      <c r="AC273" s="284"/>
      <c r="AD273" s="284"/>
    </row>
    <row r="274" ht="14.25" customHeight="1">
      <c r="A274" s="266"/>
      <c r="B274" s="266"/>
      <c r="C274" s="266"/>
      <c r="D274" s="266"/>
      <c r="E274" s="268"/>
      <c r="F274" s="291"/>
      <c r="G274" s="268"/>
      <c r="H274" s="268"/>
      <c r="I274" s="268"/>
      <c r="J274" s="268"/>
      <c r="K274" s="268"/>
      <c r="L274" s="288" t="str">
        <f t="shared" si="3"/>
        <v/>
      </c>
      <c r="M274" s="278"/>
      <c r="N274" s="290"/>
      <c r="O274" s="276"/>
      <c r="P274" s="276"/>
      <c r="Q274" s="276"/>
      <c r="R274" s="278"/>
      <c r="S274" s="278"/>
      <c r="T274" s="278"/>
      <c r="U274" s="279"/>
      <c r="V274" s="279"/>
      <c r="W274" s="279"/>
      <c r="X274" s="279"/>
      <c r="Y274" s="279"/>
      <c r="Z274" s="282"/>
      <c r="AA274" s="282"/>
      <c r="AB274" s="282"/>
      <c r="AC274" s="284"/>
      <c r="AD274" s="284"/>
    </row>
    <row r="275" ht="14.25" customHeight="1">
      <c r="A275" s="266"/>
      <c r="B275" s="266"/>
      <c r="C275" s="266"/>
      <c r="D275" s="266"/>
      <c r="E275" s="268"/>
      <c r="F275" s="291"/>
      <c r="G275" s="268"/>
      <c r="H275" s="268"/>
      <c r="I275" s="268"/>
      <c r="J275" s="268"/>
      <c r="K275" s="268"/>
      <c r="L275" s="288" t="str">
        <f t="shared" si="3"/>
        <v/>
      </c>
      <c r="M275" s="278"/>
      <c r="N275" s="290"/>
      <c r="O275" s="276"/>
      <c r="P275" s="276"/>
      <c r="Q275" s="276"/>
      <c r="R275" s="278"/>
      <c r="S275" s="278"/>
      <c r="T275" s="278"/>
      <c r="U275" s="279"/>
      <c r="V275" s="279"/>
      <c r="W275" s="279"/>
      <c r="X275" s="279"/>
      <c r="Y275" s="279"/>
      <c r="Z275" s="282"/>
      <c r="AA275" s="282"/>
      <c r="AB275" s="282"/>
      <c r="AC275" s="284"/>
      <c r="AD275" s="284"/>
    </row>
    <row r="276" ht="14.25" customHeight="1">
      <c r="A276" s="266"/>
      <c r="B276" s="266"/>
      <c r="C276" s="266"/>
      <c r="D276" s="266"/>
      <c r="E276" s="268"/>
      <c r="F276" s="291"/>
      <c r="G276" s="268"/>
      <c r="H276" s="268"/>
      <c r="I276" s="268"/>
      <c r="J276" s="268"/>
      <c r="K276" s="268"/>
      <c r="L276" s="288" t="str">
        <f t="shared" si="3"/>
        <v/>
      </c>
      <c r="M276" s="278"/>
      <c r="N276" s="290"/>
      <c r="O276" s="276"/>
      <c r="P276" s="276"/>
      <c r="Q276" s="276"/>
      <c r="R276" s="278"/>
      <c r="S276" s="278"/>
      <c r="T276" s="278"/>
      <c r="U276" s="279"/>
      <c r="V276" s="279"/>
      <c r="W276" s="279"/>
      <c r="X276" s="279"/>
      <c r="Y276" s="279"/>
      <c r="Z276" s="282"/>
      <c r="AA276" s="282"/>
      <c r="AB276" s="282"/>
      <c r="AC276" s="284"/>
      <c r="AD276" s="284"/>
    </row>
    <row r="277" ht="14.25" customHeight="1">
      <c r="A277" s="266"/>
      <c r="B277" s="266"/>
      <c r="C277" s="266"/>
      <c r="D277" s="266"/>
      <c r="E277" s="268"/>
      <c r="F277" s="291"/>
      <c r="G277" s="268"/>
      <c r="H277" s="268"/>
      <c r="I277" s="268"/>
      <c r="J277" s="268"/>
      <c r="K277" s="268"/>
      <c r="L277" s="288" t="str">
        <f t="shared" si="3"/>
        <v/>
      </c>
      <c r="M277" s="278"/>
      <c r="N277" s="290"/>
      <c r="O277" s="276"/>
      <c r="P277" s="276"/>
      <c r="Q277" s="276"/>
      <c r="R277" s="278"/>
      <c r="S277" s="278"/>
      <c r="T277" s="278"/>
      <c r="U277" s="279"/>
      <c r="V277" s="279"/>
      <c r="W277" s="279"/>
      <c r="X277" s="279"/>
      <c r="Y277" s="279"/>
      <c r="Z277" s="282"/>
      <c r="AA277" s="282"/>
      <c r="AB277" s="282"/>
      <c r="AC277" s="284"/>
      <c r="AD277" s="284"/>
    </row>
    <row r="278" ht="14.25" customHeight="1">
      <c r="A278" s="266"/>
      <c r="B278" s="266"/>
      <c r="C278" s="266"/>
      <c r="D278" s="266"/>
      <c r="E278" s="268"/>
      <c r="F278" s="291"/>
      <c r="G278" s="268"/>
      <c r="H278" s="268"/>
      <c r="I278" s="268"/>
      <c r="J278" s="268"/>
      <c r="K278" s="268"/>
      <c r="L278" s="288" t="str">
        <f t="shared" si="3"/>
        <v/>
      </c>
      <c r="M278" s="278"/>
      <c r="N278" s="290"/>
      <c r="O278" s="276"/>
      <c r="P278" s="276"/>
      <c r="Q278" s="276"/>
      <c r="R278" s="278"/>
      <c r="S278" s="278"/>
      <c r="T278" s="278"/>
      <c r="U278" s="279"/>
      <c r="V278" s="279"/>
      <c r="W278" s="279"/>
      <c r="X278" s="279"/>
      <c r="Y278" s="279"/>
      <c r="Z278" s="282"/>
      <c r="AA278" s="282"/>
      <c r="AB278" s="282"/>
      <c r="AC278" s="284"/>
      <c r="AD278" s="284"/>
    </row>
    <row r="279" ht="14.25" customHeight="1">
      <c r="A279" s="266"/>
      <c r="B279" s="266"/>
      <c r="C279" s="266"/>
      <c r="D279" s="266"/>
      <c r="E279" s="268"/>
      <c r="F279" s="291"/>
      <c r="G279" s="268"/>
      <c r="H279" s="268"/>
      <c r="I279" s="268"/>
      <c r="J279" s="268"/>
      <c r="K279" s="268"/>
      <c r="L279" s="288" t="str">
        <f t="shared" si="3"/>
        <v/>
      </c>
      <c r="M279" s="278"/>
      <c r="N279" s="290"/>
      <c r="O279" s="276"/>
      <c r="P279" s="276"/>
      <c r="Q279" s="276"/>
      <c r="R279" s="278"/>
      <c r="S279" s="278"/>
      <c r="T279" s="278"/>
      <c r="U279" s="279"/>
      <c r="V279" s="279"/>
      <c r="W279" s="279"/>
      <c r="X279" s="279"/>
      <c r="Y279" s="279"/>
      <c r="Z279" s="282"/>
      <c r="AA279" s="282"/>
      <c r="AB279" s="282"/>
      <c r="AC279" s="284"/>
      <c r="AD279" s="284"/>
    </row>
    <row r="280" ht="14.25" customHeight="1">
      <c r="A280" s="266"/>
      <c r="B280" s="266"/>
      <c r="C280" s="266"/>
      <c r="D280" s="266"/>
      <c r="E280" s="268"/>
      <c r="F280" s="291"/>
      <c r="G280" s="268"/>
      <c r="H280" s="268"/>
      <c r="I280" s="268"/>
      <c r="J280" s="268"/>
      <c r="K280" s="268"/>
      <c r="L280" s="288" t="str">
        <f t="shared" si="3"/>
        <v/>
      </c>
      <c r="M280" s="278"/>
      <c r="N280" s="290"/>
      <c r="O280" s="276"/>
      <c r="P280" s="276"/>
      <c r="Q280" s="276"/>
      <c r="R280" s="278"/>
      <c r="S280" s="278"/>
      <c r="T280" s="278"/>
      <c r="U280" s="279"/>
      <c r="V280" s="279"/>
      <c r="W280" s="279"/>
      <c r="X280" s="279"/>
      <c r="Y280" s="279"/>
      <c r="Z280" s="282"/>
      <c r="AA280" s="282"/>
      <c r="AB280" s="282"/>
      <c r="AC280" s="284"/>
      <c r="AD280" s="284"/>
    </row>
    <row r="281" ht="14.25" customHeight="1">
      <c r="A281" s="266"/>
      <c r="B281" s="266"/>
      <c r="C281" s="266"/>
      <c r="D281" s="266"/>
      <c r="E281" s="268"/>
      <c r="F281" s="291"/>
      <c r="G281" s="268"/>
      <c r="H281" s="268"/>
      <c r="I281" s="268"/>
      <c r="J281" s="268"/>
      <c r="K281" s="268"/>
      <c r="L281" s="288" t="str">
        <f t="shared" si="3"/>
        <v/>
      </c>
      <c r="M281" s="278"/>
      <c r="N281" s="290"/>
      <c r="O281" s="276"/>
      <c r="P281" s="276"/>
      <c r="Q281" s="276"/>
      <c r="R281" s="278"/>
      <c r="S281" s="278"/>
      <c r="T281" s="278"/>
      <c r="U281" s="279"/>
      <c r="V281" s="279"/>
      <c r="W281" s="279"/>
      <c r="X281" s="279"/>
      <c r="Y281" s="279"/>
      <c r="Z281" s="282"/>
      <c r="AA281" s="282"/>
      <c r="AB281" s="282"/>
      <c r="AC281" s="284"/>
      <c r="AD281" s="284"/>
    </row>
    <row r="282" ht="14.25" customHeight="1">
      <c r="A282" s="266"/>
      <c r="B282" s="266"/>
      <c r="C282" s="266"/>
      <c r="D282" s="266"/>
      <c r="E282" s="268"/>
      <c r="F282" s="291"/>
      <c r="G282" s="268"/>
      <c r="H282" s="268"/>
      <c r="I282" s="268"/>
      <c r="J282" s="268"/>
      <c r="K282" s="268"/>
      <c r="L282" s="288" t="str">
        <f t="shared" si="3"/>
        <v/>
      </c>
      <c r="M282" s="278"/>
      <c r="N282" s="290"/>
      <c r="O282" s="276"/>
      <c r="P282" s="276"/>
      <c r="Q282" s="276"/>
      <c r="R282" s="278"/>
      <c r="S282" s="278"/>
      <c r="T282" s="278"/>
      <c r="U282" s="279"/>
      <c r="V282" s="279"/>
      <c r="W282" s="279"/>
      <c r="X282" s="279"/>
      <c r="Y282" s="279"/>
      <c r="Z282" s="282"/>
      <c r="AA282" s="282"/>
      <c r="AB282" s="282"/>
      <c r="AC282" s="284"/>
      <c r="AD282" s="284"/>
    </row>
    <row r="283" ht="14.25" customHeight="1">
      <c r="A283" s="266"/>
      <c r="B283" s="266"/>
      <c r="C283" s="266"/>
      <c r="D283" s="266"/>
      <c r="E283" s="268"/>
      <c r="F283" s="291"/>
      <c r="G283" s="268"/>
      <c r="H283" s="268"/>
      <c r="I283" s="268"/>
      <c r="J283" s="268"/>
      <c r="K283" s="268"/>
      <c r="L283" s="288" t="str">
        <f t="shared" si="3"/>
        <v/>
      </c>
      <c r="M283" s="278"/>
      <c r="N283" s="290"/>
      <c r="O283" s="276"/>
      <c r="P283" s="276"/>
      <c r="Q283" s="276"/>
      <c r="R283" s="278"/>
      <c r="S283" s="278"/>
      <c r="T283" s="278"/>
      <c r="U283" s="279"/>
      <c r="V283" s="279"/>
      <c r="W283" s="279"/>
      <c r="X283" s="279"/>
      <c r="Y283" s="279"/>
      <c r="Z283" s="282"/>
      <c r="AA283" s="282"/>
      <c r="AB283" s="282"/>
      <c r="AC283" s="284"/>
      <c r="AD283" s="284"/>
    </row>
    <row r="284" ht="14.25" customHeight="1">
      <c r="A284" s="266"/>
      <c r="B284" s="266"/>
      <c r="C284" s="266"/>
      <c r="D284" s="266"/>
      <c r="E284" s="268"/>
      <c r="F284" s="291"/>
      <c r="G284" s="268"/>
      <c r="H284" s="268"/>
      <c r="I284" s="268"/>
      <c r="J284" s="268"/>
      <c r="K284" s="268"/>
      <c r="L284" s="288" t="str">
        <f t="shared" si="3"/>
        <v/>
      </c>
      <c r="M284" s="278"/>
      <c r="N284" s="290"/>
      <c r="O284" s="276"/>
      <c r="P284" s="276"/>
      <c r="Q284" s="276"/>
      <c r="R284" s="278"/>
      <c r="S284" s="278"/>
      <c r="T284" s="278"/>
      <c r="U284" s="279"/>
      <c r="V284" s="279"/>
      <c r="W284" s="279"/>
      <c r="X284" s="279"/>
      <c r="Y284" s="279"/>
      <c r="Z284" s="282"/>
      <c r="AA284" s="282"/>
      <c r="AB284" s="282"/>
      <c r="AC284" s="284"/>
      <c r="AD284" s="284"/>
    </row>
    <row r="285" ht="14.25" customHeight="1">
      <c r="A285" s="266"/>
      <c r="B285" s="266"/>
      <c r="C285" s="266"/>
      <c r="D285" s="266"/>
      <c r="E285" s="268"/>
      <c r="F285" s="291"/>
      <c r="G285" s="268"/>
      <c r="H285" s="268"/>
      <c r="I285" s="268"/>
      <c r="J285" s="268"/>
      <c r="K285" s="268"/>
      <c r="L285" s="288" t="str">
        <f t="shared" si="3"/>
        <v/>
      </c>
      <c r="M285" s="278"/>
      <c r="N285" s="290"/>
      <c r="O285" s="276"/>
      <c r="P285" s="276"/>
      <c r="Q285" s="276"/>
      <c r="R285" s="278"/>
      <c r="S285" s="278"/>
      <c r="T285" s="278"/>
      <c r="U285" s="279"/>
      <c r="V285" s="279"/>
      <c r="W285" s="279"/>
      <c r="X285" s="279"/>
      <c r="Y285" s="279"/>
      <c r="Z285" s="282"/>
      <c r="AA285" s="282"/>
      <c r="AB285" s="282"/>
      <c r="AC285" s="284"/>
      <c r="AD285" s="284"/>
    </row>
    <row r="286" ht="14.25" customHeight="1">
      <c r="A286" s="266"/>
      <c r="B286" s="266"/>
      <c r="C286" s="266"/>
      <c r="D286" s="266"/>
      <c r="E286" s="268"/>
      <c r="F286" s="291"/>
      <c r="G286" s="268"/>
      <c r="H286" s="268"/>
      <c r="I286" s="268"/>
      <c r="J286" s="268"/>
      <c r="K286" s="268"/>
      <c r="L286" s="288" t="str">
        <f t="shared" si="3"/>
        <v/>
      </c>
      <c r="M286" s="278"/>
      <c r="N286" s="290"/>
      <c r="O286" s="276"/>
      <c r="P286" s="276"/>
      <c r="Q286" s="276"/>
      <c r="R286" s="278"/>
      <c r="S286" s="278"/>
      <c r="T286" s="278"/>
      <c r="U286" s="279"/>
      <c r="V286" s="279"/>
      <c r="W286" s="279"/>
      <c r="X286" s="279"/>
      <c r="Y286" s="279"/>
      <c r="Z286" s="282"/>
      <c r="AA286" s="282"/>
      <c r="AB286" s="282"/>
      <c r="AC286" s="284"/>
      <c r="AD286" s="284"/>
    </row>
    <row r="287" ht="14.25" customHeight="1">
      <c r="A287" s="217"/>
      <c r="B287" s="217"/>
      <c r="C287" s="217"/>
      <c r="D287" s="217"/>
      <c r="E287" s="292"/>
      <c r="F287" s="294"/>
      <c r="G287" s="292"/>
      <c r="H287" s="292"/>
      <c r="I287" s="292"/>
      <c r="J287" s="292"/>
      <c r="K287" s="292"/>
      <c r="L287" s="295" t="str">
        <f t="shared" si="3"/>
        <v/>
      </c>
      <c r="M287" s="296"/>
      <c r="N287" s="297"/>
      <c r="O287" s="298"/>
      <c r="P287" s="298"/>
      <c r="Q287" s="298"/>
      <c r="R287" s="296"/>
      <c r="S287" s="296"/>
      <c r="T287" s="296"/>
      <c r="U287" s="292"/>
      <c r="V287" s="292"/>
      <c r="W287" s="292"/>
      <c r="X287" s="292"/>
      <c r="Y287" s="292"/>
      <c r="Z287" s="292"/>
      <c r="AA287" s="292"/>
      <c r="AB287" s="292"/>
      <c r="AC287" s="292"/>
      <c r="AD287" s="292"/>
    </row>
    <row r="288" ht="14.25" customHeight="1">
      <c r="A288" s="217"/>
      <c r="B288" s="217"/>
      <c r="C288" s="217"/>
      <c r="D288" s="217"/>
      <c r="E288" s="292"/>
      <c r="F288" s="294"/>
      <c r="G288" s="292"/>
      <c r="H288" s="292"/>
      <c r="I288" s="292"/>
      <c r="J288" s="292"/>
      <c r="K288" s="292"/>
      <c r="L288" s="295" t="str">
        <f t="shared" si="3"/>
        <v/>
      </c>
      <c r="M288" s="296"/>
      <c r="N288" s="297"/>
      <c r="O288" s="298"/>
      <c r="P288" s="298"/>
      <c r="Q288" s="298"/>
      <c r="R288" s="296"/>
      <c r="S288" s="296"/>
      <c r="T288" s="296"/>
      <c r="U288" s="292"/>
      <c r="V288" s="292"/>
      <c r="W288" s="292"/>
      <c r="X288" s="292"/>
      <c r="Y288" s="292"/>
      <c r="Z288" s="292"/>
      <c r="AA288" s="292"/>
      <c r="AB288" s="292"/>
      <c r="AC288" s="292"/>
      <c r="AD288" s="292"/>
    </row>
    <row r="289" ht="14.25" customHeight="1">
      <c r="A289" s="217"/>
      <c r="B289" s="217"/>
      <c r="C289" s="217"/>
      <c r="D289" s="217"/>
      <c r="E289" s="292"/>
      <c r="F289" s="294"/>
      <c r="G289" s="292"/>
      <c r="H289" s="292"/>
      <c r="I289" s="292"/>
      <c r="J289" s="292"/>
      <c r="K289" s="292"/>
      <c r="L289" s="295" t="str">
        <f t="shared" si="3"/>
        <v/>
      </c>
      <c r="M289" s="296"/>
      <c r="N289" s="297"/>
      <c r="O289" s="298"/>
      <c r="P289" s="298"/>
      <c r="Q289" s="298"/>
      <c r="R289" s="296"/>
      <c r="S289" s="296"/>
      <c r="T289" s="296"/>
      <c r="U289" s="292"/>
      <c r="V289" s="292"/>
      <c r="W289" s="292"/>
      <c r="X289" s="292"/>
      <c r="Y289" s="292"/>
      <c r="Z289" s="292"/>
      <c r="AA289" s="292"/>
      <c r="AB289" s="292"/>
      <c r="AC289" s="292"/>
      <c r="AD289" s="292"/>
    </row>
    <row r="290" ht="14.25" customHeight="1">
      <c r="A290" s="217"/>
      <c r="B290" s="217"/>
      <c r="C290" s="217"/>
      <c r="D290" s="217"/>
      <c r="E290" s="292"/>
      <c r="F290" s="294"/>
      <c r="G290" s="292"/>
      <c r="H290" s="292"/>
      <c r="I290" s="292"/>
      <c r="J290" s="292"/>
      <c r="K290" s="292"/>
      <c r="L290" s="295" t="str">
        <f t="shared" si="3"/>
        <v/>
      </c>
      <c r="M290" s="296"/>
      <c r="N290" s="297"/>
      <c r="O290" s="298"/>
      <c r="P290" s="298"/>
      <c r="Q290" s="298"/>
      <c r="R290" s="296"/>
      <c r="S290" s="296"/>
      <c r="T290" s="296"/>
      <c r="U290" s="292"/>
      <c r="V290" s="292"/>
      <c r="W290" s="292"/>
      <c r="X290" s="292"/>
      <c r="Y290" s="292"/>
      <c r="Z290" s="292"/>
      <c r="AA290" s="292"/>
      <c r="AB290" s="292"/>
      <c r="AC290" s="292"/>
      <c r="AD290" s="292"/>
    </row>
    <row r="291" ht="14.25" customHeight="1">
      <c r="A291" s="217"/>
      <c r="B291" s="217"/>
      <c r="C291" s="217"/>
      <c r="D291" s="217"/>
      <c r="E291" s="292"/>
      <c r="F291" s="294"/>
      <c r="G291" s="292"/>
      <c r="H291" s="292"/>
      <c r="I291" s="292"/>
      <c r="J291" s="292"/>
      <c r="K291" s="292"/>
      <c r="L291" s="295" t="str">
        <f t="shared" si="3"/>
        <v/>
      </c>
      <c r="M291" s="296"/>
      <c r="N291" s="297"/>
      <c r="O291" s="298"/>
      <c r="P291" s="298"/>
      <c r="Q291" s="298"/>
      <c r="R291" s="296"/>
      <c r="S291" s="296"/>
      <c r="T291" s="296"/>
      <c r="U291" s="292"/>
      <c r="V291" s="292"/>
      <c r="W291" s="292"/>
      <c r="X291" s="292"/>
      <c r="Y291" s="292"/>
      <c r="Z291" s="292"/>
      <c r="AA291" s="292"/>
      <c r="AB291" s="292"/>
      <c r="AC291" s="292"/>
      <c r="AD291" s="292"/>
    </row>
    <row r="292" ht="14.25" customHeight="1">
      <c r="A292" s="217"/>
      <c r="B292" s="217"/>
      <c r="C292" s="217"/>
      <c r="D292" s="217"/>
      <c r="E292" s="292"/>
      <c r="F292" s="294"/>
      <c r="G292" s="292"/>
      <c r="H292" s="292"/>
      <c r="I292" s="292"/>
      <c r="J292" s="292"/>
      <c r="K292" s="292"/>
      <c r="L292" s="295" t="str">
        <f t="shared" si="3"/>
        <v/>
      </c>
      <c r="M292" s="296"/>
      <c r="N292" s="297"/>
      <c r="O292" s="298"/>
      <c r="P292" s="298"/>
      <c r="Q292" s="298"/>
      <c r="R292" s="296"/>
      <c r="S292" s="296"/>
      <c r="T292" s="296"/>
      <c r="U292" s="292"/>
      <c r="V292" s="292"/>
      <c r="W292" s="292"/>
      <c r="X292" s="292"/>
      <c r="Y292" s="292"/>
      <c r="Z292" s="292"/>
      <c r="AA292" s="292"/>
      <c r="AB292" s="292"/>
      <c r="AC292" s="292"/>
      <c r="AD292" s="292"/>
    </row>
    <row r="293" ht="14.25" customHeight="1">
      <c r="A293" s="217"/>
      <c r="B293" s="217"/>
      <c r="C293" s="217"/>
      <c r="D293" s="217"/>
      <c r="E293" s="292"/>
      <c r="F293" s="294"/>
      <c r="G293" s="292"/>
      <c r="H293" s="292"/>
      <c r="I293" s="292"/>
      <c r="J293" s="292"/>
      <c r="K293" s="292"/>
      <c r="L293" s="295" t="str">
        <f t="shared" si="3"/>
        <v/>
      </c>
      <c r="M293" s="296"/>
      <c r="N293" s="297"/>
      <c r="O293" s="298"/>
      <c r="P293" s="298"/>
      <c r="Q293" s="298"/>
      <c r="R293" s="296"/>
      <c r="S293" s="296"/>
      <c r="T293" s="296"/>
      <c r="U293" s="292"/>
      <c r="V293" s="292"/>
      <c r="W293" s="292"/>
      <c r="X293" s="292"/>
      <c r="Y293" s="292"/>
      <c r="Z293" s="292"/>
      <c r="AA293" s="292"/>
      <c r="AB293" s="292"/>
      <c r="AC293" s="292"/>
      <c r="AD293" s="292"/>
    </row>
    <row r="294" ht="14.25" customHeight="1">
      <c r="A294" s="217"/>
      <c r="B294" s="217"/>
      <c r="C294" s="217"/>
      <c r="D294" s="217"/>
      <c r="E294" s="292"/>
      <c r="F294" s="294"/>
      <c r="G294" s="292"/>
      <c r="H294" s="292"/>
      <c r="I294" s="292"/>
      <c r="J294" s="292"/>
      <c r="K294" s="292"/>
      <c r="L294" s="295" t="str">
        <f t="shared" si="3"/>
        <v/>
      </c>
      <c r="M294" s="296"/>
      <c r="N294" s="297"/>
      <c r="O294" s="298"/>
      <c r="P294" s="298"/>
      <c r="Q294" s="298"/>
      <c r="R294" s="296"/>
      <c r="S294" s="296"/>
      <c r="T294" s="296"/>
      <c r="U294" s="292"/>
      <c r="V294" s="292"/>
      <c r="W294" s="292"/>
      <c r="X294" s="292"/>
      <c r="Y294" s="292"/>
      <c r="Z294" s="292"/>
      <c r="AA294" s="292"/>
      <c r="AB294" s="292"/>
      <c r="AC294" s="292"/>
      <c r="AD294" s="292"/>
    </row>
    <row r="295" ht="14.25" customHeight="1">
      <c r="A295" s="217"/>
      <c r="B295" s="217"/>
      <c r="C295" s="217"/>
      <c r="D295" s="217"/>
      <c r="E295" s="292"/>
      <c r="F295" s="294"/>
      <c r="G295" s="292"/>
      <c r="H295" s="292"/>
      <c r="I295" s="292"/>
      <c r="J295" s="292"/>
      <c r="K295" s="292"/>
      <c r="L295" s="295" t="str">
        <f t="shared" si="3"/>
        <v/>
      </c>
      <c r="M295" s="296"/>
      <c r="N295" s="297"/>
      <c r="O295" s="298"/>
      <c r="P295" s="298"/>
      <c r="Q295" s="298"/>
      <c r="R295" s="296"/>
      <c r="S295" s="296"/>
      <c r="T295" s="296"/>
      <c r="U295" s="292"/>
      <c r="V295" s="292"/>
      <c r="W295" s="292"/>
      <c r="X295" s="292"/>
      <c r="Y295" s="292"/>
      <c r="Z295" s="292"/>
      <c r="AA295" s="292"/>
      <c r="AB295" s="292"/>
      <c r="AC295" s="292"/>
      <c r="AD295" s="292"/>
    </row>
    <row r="296" ht="14.25" customHeight="1">
      <c r="A296" s="217"/>
      <c r="B296" s="217"/>
      <c r="C296" s="217"/>
      <c r="D296" s="217"/>
      <c r="E296" s="292"/>
      <c r="F296" s="294"/>
      <c r="G296" s="292"/>
      <c r="H296" s="292"/>
      <c r="I296" s="292"/>
      <c r="J296" s="292"/>
      <c r="K296" s="292"/>
      <c r="L296" s="295" t="str">
        <f t="shared" si="3"/>
        <v/>
      </c>
      <c r="M296" s="296"/>
      <c r="N296" s="297"/>
      <c r="O296" s="298"/>
      <c r="P296" s="298"/>
      <c r="Q296" s="298"/>
      <c r="R296" s="296"/>
      <c r="S296" s="296"/>
      <c r="T296" s="296"/>
      <c r="U296" s="292"/>
      <c r="V296" s="292"/>
      <c r="W296" s="292"/>
      <c r="X296" s="292"/>
      <c r="Y296" s="292"/>
      <c r="Z296" s="292"/>
      <c r="AA296" s="292"/>
      <c r="AB296" s="292"/>
      <c r="AC296" s="292"/>
      <c r="AD296" s="292"/>
    </row>
    <row r="297" ht="14.25" customHeight="1">
      <c r="A297" s="217"/>
      <c r="B297" s="217"/>
      <c r="C297" s="217"/>
      <c r="D297" s="217"/>
      <c r="E297" s="292"/>
      <c r="F297" s="294"/>
      <c r="G297" s="292"/>
      <c r="H297" s="292"/>
      <c r="I297" s="292"/>
      <c r="J297" s="292"/>
      <c r="K297" s="292"/>
      <c r="L297" s="295" t="str">
        <f t="shared" si="3"/>
        <v/>
      </c>
      <c r="M297" s="296"/>
      <c r="N297" s="297"/>
      <c r="O297" s="298"/>
      <c r="P297" s="298"/>
      <c r="Q297" s="298"/>
      <c r="R297" s="296"/>
      <c r="S297" s="296"/>
      <c r="T297" s="296"/>
      <c r="U297" s="292"/>
      <c r="V297" s="292"/>
      <c r="W297" s="292"/>
      <c r="X297" s="292"/>
      <c r="Y297" s="292"/>
      <c r="Z297" s="292"/>
      <c r="AA297" s="292"/>
      <c r="AB297" s="292"/>
      <c r="AC297" s="292"/>
      <c r="AD297" s="292"/>
    </row>
    <row r="298" ht="14.25" customHeight="1">
      <c r="A298" s="217"/>
      <c r="B298" s="217"/>
      <c r="C298" s="217"/>
      <c r="D298" s="217"/>
      <c r="E298" s="292"/>
      <c r="F298" s="294"/>
      <c r="G298" s="292"/>
      <c r="H298" s="292"/>
      <c r="I298" s="292"/>
      <c r="J298" s="292"/>
      <c r="K298" s="292"/>
      <c r="L298" s="295" t="str">
        <f t="shared" si="3"/>
        <v/>
      </c>
      <c r="M298" s="296"/>
      <c r="N298" s="297"/>
      <c r="O298" s="298"/>
      <c r="P298" s="298"/>
      <c r="Q298" s="298"/>
      <c r="R298" s="296"/>
      <c r="S298" s="296"/>
      <c r="T298" s="296"/>
      <c r="U298" s="292"/>
      <c r="V298" s="292"/>
      <c r="W298" s="292"/>
      <c r="X298" s="292"/>
      <c r="Y298" s="292"/>
      <c r="Z298" s="292"/>
      <c r="AA298" s="292"/>
      <c r="AB298" s="292"/>
      <c r="AC298" s="292"/>
      <c r="AD298" s="292"/>
    </row>
    <row r="299" ht="14.25" customHeight="1">
      <c r="A299" s="217"/>
      <c r="B299" s="217"/>
      <c r="C299" s="217"/>
      <c r="D299" s="217"/>
      <c r="E299" s="292"/>
      <c r="F299" s="294"/>
      <c r="G299" s="292"/>
      <c r="H299" s="292"/>
      <c r="I299" s="292"/>
      <c r="J299" s="292"/>
      <c r="K299" s="292"/>
      <c r="L299" s="295" t="str">
        <f t="shared" si="3"/>
        <v/>
      </c>
      <c r="M299" s="296"/>
      <c r="N299" s="297"/>
      <c r="O299" s="298"/>
      <c r="P299" s="298"/>
      <c r="Q299" s="298"/>
      <c r="R299" s="296"/>
      <c r="S299" s="296"/>
      <c r="T299" s="296"/>
      <c r="U299" s="292"/>
      <c r="V299" s="292"/>
      <c r="W299" s="292"/>
      <c r="X299" s="292"/>
      <c r="Y299" s="292"/>
      <c r="Z299" s="292"/>
      <c r="AA299" s="292"/>
      <c r="AB299" s="292"/>
      <c r="AC299" s="292"/>
      <c r="AD299" s="292"/>
    </row>
    <row r="300" ht="14.25" customHeight="1">
      <c r="A300" s="217"/>
      <c r="B300" s="217"/>
      <c r="C300" s="217"/>
      <c r="D300" s="217"/>
      <c r="E300" s="292"/>
      <c r="F300" s="294"/>
      <c r="G300" s="292"/>
      <c r="H300" s="292"/>
      <c r="I300" s="292"/>
      <c r="J300" s="292"/>
      <c r="K300" s="292"/>
      <c r="L300" s="295" t="str">
        <f t="shared" si="3"/>
        <v/>
      </c>
      <c r="M300" s="296"/>
      <c r="N300" s="297"/>
      <c r="O300" s="298"/>
      <c r="P300" s="298"/>
      <c r="Q300" s="298"/>
      <c r="R300" s="296"/>
      <c r="S300" s="296"/>
      <c r="T300" s="296"/>
      <c r="U300" s="292"/>
      <c r="V300" s="292"/>
      <c r="W300" s="292"/>
      <c r="X300" s="292"/>
      <c r="Y300" s="292"/>
      <c r="Z300" s="292"/>
      <c r="AA300" s="292"/>
      <c r="AB300" s="292"/>
      <c r="AC300" s="292"/>
      <c r="AD300" s="292"/>
    </row>
    <row r="301" ht="14.25" customHeight="1">
      <c r="A301" s="217"/>
      <c r="B301" s="217"/>
      <c r="C301" s="217"/>
      <c r="D301" s="217"/>
      <c r="E301" s="292"/>
      <c r="F301" s="294"/>
      <c r="G301" s="292"/>
      <c r="H301" s="292"/>
      <c r="I301" s="292"/>
      <c r="J301" s="292"/>
      <c r="K301" s="292"/>
      <c r="L301" s="295" t="str">
        <f t="shared" si="3"/>
        <v/>
      </c>
      <c r="M301" s="296"/>
      <c r="N301" s="297"/>
      <c r="O301" s="298"/>
      <c r="P301" s="298"/>
      <c r="Q301" s="298"/>
      <c r="R301" s="296"/>
      <c r="S301" s="296"/>
      <c r="T301" s="296"/>
      <c r="U301" s="292"/>
      <c r="V301" s="292"/>
      <c r="W301" s="292"/>
      <c r="X301" s="292"/>
      <c r="Y301" s="292"/>
      <c r="Z301" s="292"/>
      <c r="AA301" s="292"/>
      <c r="AB301" s="292"/>
      <c r="AC301" s="292"/>
      <c r="AD301" s="292"/>
    </row>
    <row r="302" ht="14.25" customHeight="1">
      <c r="A302" s="217"/>
      <c r="B302" s="217"/>
      <c r="C302" s="217"/>
      <c r="D302" s="217"/>
      <c r="E302" s="292"/>
      <c r="F302" s="294"/>
      <c r="G302" s="292"/>
      <c r="H302" s="292"/>
      <c r="I302" s="292"/>
      <c r="J302" s="292"/>
      <c r="K302" s="292"/>
      <c r="L302" s="295" t="str">
        <f t="shared" si="3"/>
        <v/>
      </c>
      <c r="M302" s="296"/>
      <c r="N302" s="297"/>
      <c r="O302" s="298"/>
      <c r="P302" s="298"/>
      <c r="Q302" s="298"/>
      <c r="R302" s="296"/>
      <c r="S302" s="296"/>
      <c r="T302" s="296"/>
      <c r="U302" s="292"/>
      <c r="V302" s="292"/>
      <c r="W302" s="292"/>
      <c r="X302" s="292"/>
      <c r="Y302" s="292"/>
      <c r="Z302" s="292"/>
      <c r="AA302" s="292"/>
      <c r="AB302" s="292"/>
      <c r="AC302" s="292"/>
      <c r="AD302" s="292"/>
    </row>
    <row r="303" ht="14.25" customHeight="1">
      <c r="A303" s="217"/>
      <c r="B303" s="217"/>
      <c r="C303" s="217"/>
      <c r="D303" s="217"/>
      <c r="E303" s="292"/>
      <c r="F303" s="294"/>
      <c r="G303" s="292"/>
      <c r="H303" s="292"/>
      <c r="I303" s="292"/>
      <c r="J303" s="292"/>
      <c r="K303" s="292"/>
      <c r="L303" s="295" t="str">
        <f t="shared" si="3"/>
        <v/>
      </c>
      <c r="M303" s="296"/>
      <c r="N303" s="297"/>
      <c r="O303" s="298"/>
      <c r="P303" s="298"/>
      <c r="Q303" s="298"/>
      <c r="R303" s="296"/>
      <c r="S303" s="296"/>
      <c r="T303" s="296"/>
      <c r="U303" s="292"/>
      <c r="V303" s="292"/>
      <c r="W303" s="292"/>
      <c r="X303" s="292"/>
      <c r="Y303" s="292"/>
      <c r="Z303" s="292"/>
      <c r="AA303" s="292"/>
      <c r="AB303" s="292"/>
      <c r="AC303" s="292"/>
      <c r="AD303" s="292"/>
    </row>
    <row r="304" ht="14.25" customHeight="1">
      <c r="A304" s="217"/>
      <c r="B304" s="217"/>
      <c r="C304" s="217"/>
      <c r="D304" s="217"/>
      <c r="E304" s="292"/>
      <c r="F304" s="294"/>
      <c r="G304" s="292"/>
      <c r="H304" s="292"/>
      <c r="I304" s="292"/>
      <c r="J304" s="292"/>
      <c r="K304" s="292"/>
      <c r="L304" s="295" t="str">
        <f t="shared" si="3"/>
        <v/>
      </c>
      <c r="M304" s="296"/>
      <c r="N304" s="297"/>
      <c r="O304" s="298"/>
      <c r="P304" s="298"/>
      <c r="Q304" s="298"/>
      <c r="R304" s="296"/>
      <c r="S304" s="296"/>
      <c r="T304" s="296"/>
      <c r="U304" s="292"/>
      <c r="V304" s="292"/>
      <c r="W304" s="292"/>
      <c r="X304" s="292"/>
      <c r="Y304" s="292"/>
      <c r="Z304" s="292"/>
      <c r="AA304" s="292"/>
      <c r="AB304" s="292"/>
      <c r="AC304" s="292"/>
      <c r="AD304" s="292"/>
    </row>
    <row r="305" ht="14.25" customHeight="1">
      <c r="A305" s="217"/>
      <c r="B305" s="217"/>
      <c r="C305" s="217"/>
      <c r="D305" s="217"/>
      <c r="E305" s="292"/>
      <c r="F305" s="294"/>
      <c r="G305" s="292"/>
      <c r="H305" s="292"/>
      <c r="I305" s="292"/>
      <c r="J305" s="292"/>
      <c r="K305" s="292"/>
      <c r="L305" s="295" t="str">
        <f t="shared" si="3"/>
        <v/>
      </c>
      <c r="M305" s="296"/>
      <c r="N305" s="297"/>
      <c r="O305" s="298"/>
      <c r="P305" s="298"/>
      <c r="Q305" s="298"/>
      <c r="R305" s="296"/>
      <c r="S305" s="296"/>
      <c r="T305" s="296"/>
      <c r="U305" s="292"/>
      <c r="V305" s="292"/>
      <c r="W305" s="292"/>
      <c r="X305" s="292"/>
      <c r="Y305" s="292"/>
      <c r="Z305" s="292"/>
      <c r="AA305" s="292"/>
      <c r="AB305" s="292"/>
      <c r="AC305" s="292"/>
      <c r="AD305" s="292"/>
    </row>
    <row r="306" ht="14.25" customHeight="1">
      <c r="A306" s="217"/>
      <c r="B306" s="217"/>
      <c r="C306" s="217"/>
      <c r="D306" s="217"/>
      <c r="E306" s="292"/>
      <c r="F306" s="294"/>
      <c r="G306" s="292"/>
      <c r="H306" s="292"/>
      <c r="I306" s="292"/>
      <c r="J306" s="292"/>
      <c r="K306" s="292"/>
      <c r="L306" s="295" t="str">
        <f t="shared" si="3"/>
        <v/>
      </c>
      <c r="M306" s="296"/>
      <c r="N306" s="297"/>
      <c r="O306" s="298"/>
      <c r="P306" s="298"/>
      <c r="Q306" s="298"/>
      <c r="R306" s="296"/>
      <c r="S306" s="296"/>
      <c r="T306" s="296"/>
      <c r="U306" s="292"/>
      <c r="V306" s="292"/>
      <c r="W306" s="292"/>
      <c r="X306" s="292"/>
      <c r="Y306" s="292"/>
      <c r="Z306" s="292"/>
      <c r="AA306" s="292"/>
      <c r="AB306" s="292"/>
      <c r="AC306" s="292"/>
      <c r="AD306" s="292"/>
    </row>
    <row r="307" ht="14.25" customHeight="1">
      <c r="A307" s="217"/>
      <c r="B307" s="217"/>
      <c r="C307" s="217"/>
      <c r="D307" s="217"/>
      <c r="E307" s="292"/>
      <c r="F307" s="294"/>
      <c r="G307" s="292"/>
      <c r="H307" s="292"/>
      <c r="I307" s="292"/>
      <c r="J307" s="292"/>
      <c r="K307" s="292"/>
      <c r="L307" s="295" t="str">
        <f t="shared" si="3"/>
        <v/>
      </c>
      <c r="M307" s="296"/>
      <c r="N307" s="297"/>
      <c r="O307" s="298"/>
      <c r="P307" s="298"/>
      <c r="Q307" s="298"/>
      <c r="R307" s="296"/>
      <c r="S307" s="296"/>
      <c r="T307" s="296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</row>
    <row r="308" ht="14.25" customHeight="1">
      <c r="A308" s="217"/>
      <c r="B308" s="217"/>
      <c r="C308" s="217"/>
      <c r="D308" s="217"/>
      <c r="E308" s="292"/>
      <c r="F308" s="294"/>
      <c r="G308" s="292"/>
      <c r="H308" s="292"/>
      <c r="I308" s="292"/>
      <c r="J308" s="292"/>
      <c r="K308" s="292"/>
      <c r="L308" s="295" t="str">
        <f t="shared" si="3"/>
        <v/>
      </c>
      <c r="M308" s="296"/>
      <c r="N308" s="297"/>
      <c r="O308" s="298"/>
      <c r="P308" s="298"/>
      <c r="Q308" s="298"/>
      <c r="R308" s="296"/>
      <c r="S308" s="296"/>
      <c r="T308" s="296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</row>
    <row r="309" ht="14.25" customHeight="1">
      <c r="A309" s="217"/>
      <c r="B309" s="217"/>
      <c r="C309" s="217"/>
      <c r="D309" s="217"/>
      <c r="E309" s="292"/>
      <c r="F309" s="294"/>
      <c r="G309" s="292"/>
      <c r="H309" s="292"/>
      <c r="I309" s="292"/>
      <c r="J309" s="292"/>
      <c r="K309" s="292"/>
      <c r="L309" s="295" t="str">
        <f t="shared" si="3"/>
        <v/>
      </c>
      <c r="M309" s="296"/>
      <c r="N309" s="297"/>
      <c r="O309" s="298"/>
      <c r="P309" s="298"/>
      <c r="Q309" s="298"/>
      <c r="R309" s="296"/>
      <c r="S309" s="296"/>
      <c r="T309" s="296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</row>
    <row r="310" ht="14.25" customHeight="1">
      <c r="A310" s="217"/>
      <c r="B310" s="217"/>
      <c r="C310" s="217"/>
      <c r="D310" s="217"/>
      <c r="E310" s="292"/>
      <c r="F310" s="294"/>
      <c r="G310" s="292"/>
      <c r="H310" s="292"/>
      <c r="I310" s="292"/>
      <c r="J310" s="292"/>
      <c r="K310" s="292"/>
      <c r="L310" s="295" t="str">
        <f t="shared" si="3"/>
        <v/>
      </c>
      <c r="M310" s="296"/>
      <c r="N310" s="297"/>
      <c r="O310" s="298"/>
      <c r="P310" s="298"/>
      <c r="Q310" s="298"/>
      <c r="R310" s="296"/>
      <c r="S310" s="296"/>
      <c r="T310" s="296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</row>
    <row r="311" ht="14.25" customHeight="1">
      <c r="A311" s="217"/>
      <c r="B311" s="217"/>
      <c r="C311" s="217"/>
      <c r="D311" s="217"/>
      <c r="E311" s="292"/>
      <c r="F311" s="294"/>
      <c r="G311" s="292"/>
      <c r="H311" s="292"/>
      <c r="I311" s="292"/>
      <c r="J311" s="292"/>
      <c r="K311" s="292"/>
      <c r="L311" s="295" t="str">
        <f t="shared" si="3"/>
        <v/>
      </c>
      <c r="M311" s="296"/>
      <c r="N311" s="297"/>
      <c r="O311" s="298"/>
      <c r="P311" s="298"/>
      <c r="Q311" s="298"/>
      <c r="R311" s="296"/>
      <c r="S311" s="296"/>
      <c r="T311" s="296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</row>
    <row r="312" ht="14.25" customHeight="1">
      <c r="A312" s="217"/>
      <c r="B312" s="217"/>
      <c r="C312" s="217"/>
      <c r="D312" s="217"/>
      <c r="E312" s="292"/>
      <c r="F312" s="294"/>
      <c r="G312" s="292"/>
      <c r="H312" s="292"/>
      <c r="I312" s="292"/>
      <c r="J312" s="292"/>
      <c r="K312" s="292"/>
      <c r="L312" s="295" t="str">
        <f t="shared" si="3"/>
        <v/>
      </c>
      <c r="M312" s="296"/>
      <c r="N312" s="297"/>
      <c r="O312" s="298"/>
      <c r="P312" s="298"/>
      <c r="Q312" s="298"/>
      <c r="R312" s="296"/>
      <c r="S312" s="296"/>
      <c r="T312" s="296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</row>
    <row r="313" ht="14.25" customHeight="1">
      <c r="A313" s="217"/>
      <c r="B313" s="217"/>
      <c r="C313" s="217"/>
      <c r="D313" s="217"/>
      <c r="E313" s="292"/>
      <c r="F313" s="294"/>
      <c r="G313" s="292"/>
      <c r="H313" s="292"/>
      <c r="I313" s="292"/>
      <c r="J313" s="292"/>
      <c r="K313" s="292"/>
      <c r="L313" s="295" t="str">
        <f t="shared" si="3"/>
        <v/>
      </c>
      <c r="M313" s="296"/>
      <c r="N313" s="297"/>
      <c r="O313" s="298"/>
      <c r="P313" s="298"/>
      <c r="Q313" s="298"/>
      <c r="R313" s="296"/>
      <c r="S313" s="296"/>
      <c r="T313" s="296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</row>
    <row r="314" ht="14.25" customHeight="1">
      <c r="A314" s="217"/>
      <c r="B314" s="217"/>
      <c r="C314" s="217"/>
      <c r="D314" s="217"/>
      <c r="E314" s="292"/>
      <c r="F314" s="294"/>
      <c r="G314" s="292"/>
      <c r="H314" s="292"/>
      <c r="I314" s="292"/>
      <c r="J314" s="292"/>
      <c r="K314" s="292"/>
      <c r="L314" s="295" t="str">
        <f t="shared" si="3"/>
        <v/>
      </c>
      <c r="M314" s="296"/>
      <c r="N314" s="297"/>
      <c r="O314" s="298"/>
      <c r="P314" s="298"/>
      <c r="Q314" s="298"/>
      <c r="R314" s="296"/>
      <c r="S314" s="296"/>
      <c r="T314" s="296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</row>
    <row r="315" ht="14.25" customHeight="1">
      <c r="A315" s="217"/>
      <c r="B315" s="217"/>
      <c r="C315" s="217"/>
      <c r="D315" s="217"/>
      <c r="E315" s="292"/>
      <c r="F315" s="294"/>
      <c r="G315" s="292"/>
      <c r="H315" s="292"/>
      <c r="I315" s="292"/>
      <c r="J315" s="292"/>
      <c r="K315" s="292"/>
      <c r="L315" s="295" t="str">
        <f t="shared" si="3"/>
        <v/>
      </c>
      <c r="M315" s="296"/>
      <c r="N315" s="297"/>
      <c r="O315" s="298"/>
      <c r="P315" s="298"/>
      <c r="Q315" s="298"/>
      <c r="R315" s="296"/>
      <c r="S315" s="296"/>
      <c r="T315" s="296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</row>
    <row r="316" ht="14.25" customHeight="1">
      <c r="A316" s="217"/>
      <c r="B316" s="217"/>
      <c r="C316" s="217"/>
      <c r="D316" s="217"/>
      <c r="E316" s="292"/>
      <c r="F316" s="294"/>
      <c r="G316" s="292"/>
      <c r="H316" s="292"/>
      <c r="I316" s="292"/>
      <c r="J316" s="292"/>
      <c r="K316" s="292"/>
      <c r="L316" s="295" t="str">
        <f t="shared" si="3"/>
        <v/>
      </c>
      <c r="M316" s="296"/>
      <c r="N316" s="297"/>
      <c r="O316" s="298"/>
      <c r="P316" s="298"/>
      <c r="Q316" s="298"/>
      <c r="R316" s="296"/>
      <c r="S316" s="296"/>
      <c r="T316" s="296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</row>
    <row r="317" ht="14.25" customHeight="1">
      <c r="A317" s="217"/>
      <c r="B317" s="217"/>
      <c r="C317" s="217"/>
      <c r="D317" s="217"/>
      <c r="E317" s="292"/>
      <c r="F317" s="294"/>
      <c r="G317" s="292"/>
      <c r="H317" s="292"/>
      <c r="I317" s="292"/>
      <c r="J317" s="292"/>
      <c r="K317" s="292"/>
      <c r="L317" s="295" t="str">
        <f t="shared" si="3"/>
        <v/>
      </c>
      <c r="M317" s="296"/>
      <c r="N317" s="297"/>
      <c r="O317" s="298"/>
      <c r="P317" s="298"/>
      <c r="Q317" s="298"/>
      <c r="R317" s="296"/>
      <c r="S317" s="296"/>
      <c r="T317" s="296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</row>
    <row r="318" ht="14.25" customHeight="1">
      <c r="A318" s="217"/>
      <c r="B318" s="217"/>
      <c r="C318" s="217"/>
      <c r="D318" s="217"/>
      <c r="E318" s="292"/>
      <c r="F318" s="294"/>
      <c r="G318" s="292"/>
      <c r="H318" s="292"/>
      <c r="I318" s="292"/>
      <c r="J318" s="292"/>
      <c r="K318" s="292"/>
      <c r="L318" s="295" t="str">
        <f t="shared" si="3"/>
        <v/>
      </c>
      <c r="M318" s="296"/>
      <c r="N318" s="297"/>
      <c r="O318" s="298"/>
      <c r="P318" s="298"/>
      <c r="Q318" s="298"/>
      <c r="R318" s="296"/>
      <c r="S318" s="296"/>
      <c r="T318" s="296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</row>
    <row r="319" ht="14.25" customHeight="1">
      <c r="A319" s="217"/>
      <c r="B319" s="217"/>
      <c r="C319" s="217"/>
      <c r="D319" s="217"/>
      <c r="E319" s="292"/>
      <c r="F319" s="294"/>
      <c r="G319" s="292"/>
      <c r="H319" s="292"/>
      <c r="I319" s="292"/>
      <c r="J319" s="292"/>
      <c r="K319" s="292"/>
      <c r="L319" s="295" t="str">
        <f t="shared" si="3"/>
        <v/>
      </c>
      <c r="M319" s="296"/>
      <c r="N319" s="297"/>
      <c r="O319" s="298"/>
      <c r="P319" s="298"/>
      <c r="Q319" s="298"/>
      <c r="R319" s="296"/>
      <c r="S319" s="296"/>
      <c r="T319" s="296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</row>
    <row r="320" ht="14.25" customHeight="1">
      <c r="A320" s="217"/>
      <c r="B320" s="217"/>
      <c r="C320" s="217"/>
      <c r="D320" s="217"/>
      <c r="E320" s="292"/>
      <c r="F320" s="294"/>
      <c r="G320" s="292"/>
      <c r="H320" s="292"/>
      <c r="I320" s="292"/>
      <c r="J320" s="292"/>
      <c r="K320" s="292"/>
      <c r="L320" s="295" t="str">
        <f t="shared" si="3"/>
        <v/>
      </c>
      <c r="M320" s="296"/>
      <c r="N320" s="297"/>
      <c r="O320" s="298"/>
      <c r="P320" s="298"/>
      <c r="Q320" s="298"/>
      <c r="R320" s="296"/>
      <c r="S320" s="296"/>
      <c r="T320" s="296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</row>
    <row r="321" ht="14.25" customHeight="1">
      <c r="A321" s="217"/>
      <c r="B321" s="217"/>
      <c r="C321" s="217"/>
      <c r="D321" s="217"/>
      <c r="E321" s="292"/>
      <c r="F321" s="294"/>
      <c r="G321" s="292"/>
      <c r="H321" s="292"/>
      <c r="I321" s="292"/>
      <c r="J321" s="292"/>
      <c r="K321" s="292"/>
      <c r="L321" s="295" t="str">
        <f t="shared" si="3"/>
        <v/>
      </c>
      <c r="M321" s="296"/>
      <c r="N321" s="297"/>
      <c r="O321" s="298"/>
      <c r="P321" s="298"/>
      <c r="Q321" s="298"/>
      <c r="R321" s="296"/>
      <c r="S321" s="296"/>
      <c r="T321" s="296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</row>
    <row r="322" ht="14.25" customHeight="1">
      <c r="A322" s="217"/>
      <c r="B322" s="217"/>
      <c r="C322" s="217"/>
      <c r="D322" s="217"/>
      <c r="E322" s="292"/>
      <c r="F322" s="294"/>
      <c r="G322" s="292"/>
      <c r="H322" s="292"/>
      <c r="I322" s="292"/>
      <c r="J322" s="292"/>
      <c r="K322" s="292"/>
      <c r="L322" s="295" t="str">
        <f t="shared" si="3"/>
        <v/>
      </c>
      <c r="M322" s="296"/>
      <c r="N322" s="297"/>
      <c r="O322" s="298"/>
      <c r="P322" s="298"/>
      <c r="Q322" s="298"/>
      <c r="R322" s="296"/>
      <c r="S322" s="296"/>
      <c r="T322" s="296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</row>
    <row r="323" ht="14.25" customHeight="1">
      <c r="A323" s="217"/>
      <c r="B323" s="217"/>
      <c r="C323" s="217"/>
      <c r="D323" s="217"/>
      <c r="E323" s="292"/>
      <c r="F323" s="294"/>
      <c r="G323" s="292"/>
      <c r="H323" s="292"/>
      <c r="I323" s="292"/>
      <c r="J323" s="292"/>
      <c r="K323" s="292"/>
      <c r="L323" s="295" t="str">
        <f t="shared" si="3"/>
        <v/>
      </c>
      <c r="M323" s="296"/>
      <c r="N323" s="297"/>
      <c r="O323" s="298"/>
      <c r="P323" s="298"/>
      <c r="Q323" s="298"/>
      <c r="R323" s="296"/>
      <c r="S323" s="296"/>
      <c r="T323" s="296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</row>
    <row r="324" ht="14.25" customHeight="1">
      <c r="A324" s="217"/>
      <c r="B324" s="217"/>
      <c r="C324" s="217"/>
      <c r="D324" s="217"/>
      <c r="E324" s="292"/>
      <c r="F324" s="294"/>
      <c r="G324" s="292"/>
      <c r="H324" s="292"/>
      <c r="I324" s="292"/>
      <c r="J324" s="292"/>
      <c r="K324" s="292"/>
      <c r="L324" s="295" t="str">
        <f t="shared" si="3"/>
        <v/>
      </c>
      <c r="M324" s="296"/>
      <c r="N324" s="297"/>
      <c r="O324" s="298"/>
      <c r="P324" s="298"/>
      <c r="Q324" s="298"/>
      <c r="R324" s="296"/>
      <c r="S324" s="296"/>
      <c r="T324" s="296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</row>
    <row r="325" ht="14.25" customHeight="1">
      <c r="A325" s="217"/>
      <c r="B325" s="217"/>
      <c r="C325" s="217"/>
      <c r="D325" s="217"/>
      <c r="E325" s="292"/>
      <c r="F325" s="294"/>
      <c r="G325" s="292"/>
      <c r="H325" s="292"/>
      <c r="I325" s="292"/>
      <c r="J325" s="292"/>
      <c r="K325" s="292"/>
      <c r="L325" s="295" t="str">
        <f t="shared" si="3"/>
        <v/>
      </c>
      <c r="M325" s="296"/>
      <c r="N325" s="297"/>
      <c r="O325" s="298"/>
      <c r="P325" s="298"/>
      <c r="Q325" s="298"/>
      <c r="R325" s="296"/>
      <c r="S325" s="296"/>
      <c r="T325" s="296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</row>
    <row r="326" ht="14.25" customHeight="1">
      <c r="A326" s="217"/>
      <c r="B326" s="217"/>
      <c r="C326" s="217"/>
      <c r="D326" s="217"/>
      <c r="E326" s="292"/>
      <c r="F326" s="294"/>
      <c r="G326" s="292"/>
      <c r="H326" s="292"/>
      <c r="I326" s="292"/>
      <c r="J326" s="292"/>
      <c r="K326" s="292"/>
      <c r="L326" s="295" t="str">
        <f t="shared" si="3"/>
        <v/>
      </c>
      <c r="M326" s="296"/>
      <c r="N326" s="297"/>
      <c r="O326" s="298"/>
      <c r="P326" s="298"/>
      <c r="Q326" s="298"/>
      <c r="R326" s="296"/>
      <c r="S326" s="296"/>
      <c r="T326" s="296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</row>
    <row r="327" ht="14.25" customHeight="1">
      <c r="A327" s="217"/>
      <c r="B327" s="217"/>
      <c r="C327" s="217"/>
      <c r="D327" s="217"/>
      <c r="E327" s="292"/>
      <c r="F327" s="294"/>
      <c r="G327" s="292"/>
      <c r="H327" s="292"/>
      <c r="I327" s="292"/>
      <c r="J327" s="292"/>
      <c r="K327" s="292"/>
      <c r="L327" s="295" t="str">
        <f t="shared" si="3"/>
        <v/>
      </c>
      <c r="M327" s="296"/>
      <c r="N327" s="297"/>
      <c r="O327" s="298"/>
      <c r="P327" s="298"/>
      <c r="Q327" s="298"/>
      <c r="R327" s="296"/>
      <c r="S327" s="296"/>
      <c r="T327" s="296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</row>
    <row r="328" ht="14.25" customHeight="1">
      <c r="A328" s="217"/>
      <c r="B328" s="217"/>
      <c r="C328" s="217"/>
      <c r="D328" s="217"/>
      <c r="E328" s="292"/>
      <c r="F328" s="294"/>
      <c r="G328" s="292"/>
      <c r="H328" s="292"/>
      <c r="I328" s="292"/>
      <c r="J328" s="292"/>
      <c r="K328" s="292"/>
      <c r="L328" s="295" t="str">
        <f t="shared" si="3"/>
        <v/>
      </c>
      <c r="M328" s="296"/>
      <c r="N328" s="297"/>
      <c r="O328" s="298"/>
      <c r="P328" s="298"/>
      <c r="Q328" s="298"/>
      <c r="R328" s="296"/>
      <c r="S328" s="296"/>
      <c r="T328" s="296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</row>
    <row r="329" ht="14.25" customHeight="1">
      <c r="A329" s="217"/>
      <c r="B329" s="217"/>
      <c r="C329" s="217"/>
      <c r="D329" s="217"/>
      <c r="E329" s="292"/>
      <c r="F329" s="294"/>
      <c r="G329" s="292"/>
      <c r="H329" s="292"/>
      <c r="I329" s="292"/>
      <c r="J329" s="292"/>
      <c r="K329" s="292"/>
      <c r="L329" s="295" t="str">
        <f t="shared" si="3"/>
        <v/>
      </c>
      <c r="M329" s="296"/>
      <c r="N329" s="297"/>
      <c r="O329" s="298"/>
      <c r="P329" s="298"/>
      <c r="Q329" s="298"/>
      <c r="R329" s="296"/>
      <c r="S329" s="296"/>
      <c r="T329" s="296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</row>
    <row r="330" ht="14.25" customHeight="1">
      <c r="A330" s="217"/>
      <c r="B330" s="217"/>
      <c r="C330" s="217"/>
      <c r="D330" s="217"/>
      <c r="E330" s="292"/>
      <c r="F330" s="294"/>
      <c r="G330" s="292"/>
      <c r="H330" s="292"/>
      <c r="I330" s="292"/>
      <c r="J330" s="292"/>
      <c r="K330" s="292"/>
      <c r="L330" s="295" t="str">
        <f t="shared" si="3"/>
        <v/>
      </c>
      <c r="M330" s="296"/>
      <c r="N330" s="297"/>
      <c r="O330" s="298"/>
      <c r="P330" s="298"/>
      <c r="Q330" s="298"/>
      <c r="R330" s="296"/>
      <c r="S330" s="296"/>
      <c r="T330" s="296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</row>
    <row r="331" ht="14.25" customHeight="1">
      <c r="A331" s="217"/>
      <c r="B331" s="217"/>
      <c r="C331" s="217"/>
      <c r="D331" s="217"/>
      <c r="E331" s="292"/>
      <c r="F331" s="294"/>
      <c r="G331" s="292"/>
      <c r="H331" s="292"/>
      <c r="I331" s="292"/>
      <c r="J331" s="292"/>
      <c r="K331" s="292"/>
      <c r="L331" s="295" t="str">
        <f t="shared" si="3"/>
        <v/>
      </c>
      <c r="M331" s="296"/>
      <c r="N331" s="297"/>
      <c r="O331" s="298"/>
      <c r="P331" s="298"/>
      <c r="Q331" s="298"/>
      <c r="R331" s="296"/>
      <c r="S331" s="296"/>
      <c r="T331" s="296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</row>
    <row r="332" ht="14.25" customHeight="1">
      <c r="A332" s="217"/>
      <c r="B332" s="217"/>
      <c r="C332" s="217"/>
      <c r="D332" s="217"/>
      <c r="E332" s="292"/>
      <c r="F332" s="294"/>
      <c r="G332" s="292"/>
      <c r="H332" s="292"/>
      <c r="I332" s="292"/>
      <c r="J332" s="292"/>
      <c r="K332" s="292"/>
      <c r="L332" s="295" t="str">
        <f t="shared" si="3"/>
        <v/>
      </c>
      <c r="M332" s="296"/>
      <c r="N332" s="297"/>
      <c r="O332" s="298"/>
      <c r="P332" s="298"/>
      <c r="Q332" s="298"/>
      <c r="R332" s="296"/>
      <c r="S332" s="296"/>
      <c r="T332" s="296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</row>
    <row r="333" ht="14.25" customHeight="1">
      <c r="A333" s="217"/>
      <c r="B333" s="217"/>
      <c r="C333" s="217"/>
      <c r="D333" s="217"/>
      <c r="E333" s="292"/>
      <c r="F333" s="294"/>
      <c r="G333" s="292"/>
      <c r="H333" s="292"/>
      <c r="I333" s="292"/>
      <c r="J333" s="292"/>
      <c r="K333" s="292"/>
      <c r="L333" s="295" t="str">
        <f t="shared" si="3"/>
        <v/>
      </c>
      <c r="M333" s="296"/>
      <c r="N333" s="297"/>
      <c r="O333" s="298"/>
      <c r="P333" s="298"/>
      <c r="Q333" s="298"/>
      <c r="R333" s="296"/>
      <c r="S333" s="296"/>
      <c r="T333" s="296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</row>
    <row r="334" ht="14.25" customHeight="1">
      <c r="A334" s="217"/>
      <c r="B334" s="217"/>
      <c r="C334" s="217"/>
      <c r="D334" s="217"/>
      <c r="E334" s="292"/>
      <c r="F334" s="294"/>
      <c r="G334" s="292"/>
      <c r="H334" s="292"/>
      <c r="I334" s="292"/>
      <c r="J334" s="292"/>
      <c r="K334" s="292"/>
      <c r="L334" s="295" t="str">
        <f t="shared" si="3"/>
        <v/>
      </c>
      <c r="M334" s="296"/>
      <c r="N334" s="297"/>
      <c r="O334" s="298"/>
      <c r="P334" s="298"/>
      <c r="Q334" s="298"/>
      <c r="R334" s="296"/>
      <c r="S334" s="296"/>
      <c r="T334" s="296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</row>
    <row r="335" ht="14.25" customHeight="1">
      <c r="A335" s="217"/>
      <c r="B335" s="217"/>
      <c r="C335" s="217"/>
      <c r="D335" s="217"/>
      <c r="E335" s="292"/>
      <c r="F335" s="294"/>
      <c r="G335" s="292"/>
      <c r="H335" s="292"/>
      <c r="I335" s="292"/>
      <c r="J335" s="292"/>
      <c r="K335" s="292"/>
      <c r="L335" s="295" t="str">
        <f t="shared" si="3"/>
        <v/>
      </c>
      <c r="M335" s="296"/>
      <c r="N335" s="297"/>
      <c r="O335" s="298"/>
      <c r="P335" s="298"/>
      <c r="Q335" s="298"/>
      <c r="R335" s="296"/>
      <c r="S335" s="296"/>
      <c r="T335" s="296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</row>
    <row r="336" ht="14.25" customHeight="1">
      <c r="A336" s="217"/>
      <c r="B336" s="217"/>
      <c r="C336" s="217"/>
      <c r="D336" s="217"/>
      <c r="E336" s="292"/>
      <c r="F336" s="294"/>
      <c r="G336" s="292"/>
      <c r="H336" s="292"/>
      <c r="I336" s="292"/>
      <c r="J336" s="292"/>
      <c r="K336" s="292"/>
      <c r="L336" s="295" t="str">
        <f t="shared" si="3"/>
        <v/>
      </c>
      <c r="M336" s="296"/>
      <c r="N336" s="297"/>
      <c r="O336" s="298"/>
      <c r="P336" s="298"/>
      <c r="Q336" s="298"/>
      <c r="R336" s="296"/>
      <c r="S336" s="296"/>
      <c r="T336" s="296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</row>
    <row r="337" ht="14.25" customHeight="1">
      <c r="A337" s="217"/>
      <c r="B337" s="217"/>
      <c r="C337" s="217"/>
      <c r="D337" s="217"/>
      <c r="E337" s="292"/>
      <c r="F337" s="294"/>
      <c r="G337" s="292"/>
      <c r="H337" s="292"/>
      <c r="I337" s="292"/>
      <c r="J337" s="292"/>
      <c r="K337" s="292"/>
      <c r="L337" s="295" t="str">
        <f t="shared" si="3"/>
        <v/>
      </c>
      <c r="M337" s="296"/>
      <c r="N337" s="297"/>
      <c r="O337" s="298"/>
      <c r="P337" s="298"/>
      <c r="Q337" s="298"/>
      <c r="R337" s="296"/>
      <c r="S337" s="296"/>
      <c r="T337" s="296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</row>
    <row r="338" ht="14.25" customHeight="1">
      <c r="A338" s="217"/>
      <c r="B338" s="217"/>
      <c r="C338" s="217"/>
      <c r="D338" s="217"/>
      <c r="E338" s="292"/>
      <c r="F338" s="294"/>
      <c r="G338" s="292"/>
      <c r="H338" s="292"/>
      <c r="I338" s="292"/>
      <c r="J338" s="292"/>
      <c r="K338" s="292"/>
      <c r="L338" s="295" t="str">
        <f t="shared" si="3"/>
        <v/>
      </c>
      <c r="M338" s="296"/>
      <c r="N338" s="297"/>
      <c r="O338" s="298"/>
      <c r="P338" s="298"/>
      <c r="Q338" s="298"/>
      <c r="R338" s="296"/>
      <c r="S338" s="296"/>
      <c r="T338" s="296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</row>
    <row r="339" ht="14.25" customHeight="1">
      <c r="A339" s="217"/>
      <c r="B339" s="217"/>
      <c r="C339" s="217"/>
      <c r="D339" s="217"/>
      <c r="E339" s="292"/>
      <c r="F339" s="294"/>
      <c r="G339" s="292"/>
      <c r="H339" s="292"/>
      <c r="I339" s="292"/>
      <c r="J339" s="292"/>
      <c r="K339" s="292"/>
      <c r="L339" s="295" t="str">
        <f t="shared" si="3"/>
        <v/>
      </c>
      <c r="M339" s="296"/>
      <c r="N339" s="297"/>
      <c r="O339" s="298"/>
      <c r="P339" s="298"/>
      <c r="Q339" s="298"/>
      <c r="R339" s="296"/>
      <c r="S339" s="296"/>
      <c r="T339" s="296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</row>
    <row r="340" ht="14.25" customHeight="1">
      <c r="A340" s="217"/>
      <c r="B340" s="217"/>
      <c r="C340" s="217"/>
      <c r="D340" s="217"/>
      <c r="E340" s="292"/>
      <c r="F340" s="294"/>
      <c r="G340" s="292"/>
      <c r="H340" s="292"/>
      <c r="I340" s="292"/>
      <c r="J340" s="292"/>
      <c r="K340" s="292"/>
      <c r="L340" s="295" t="str">
        <f t="shared" si="3"/>
        <v/>
      </c>
      <c r="M340" s="296"/>
      <c r="N340" s="297"/>
      <c r="O340" s="298"/>
      <c r="P340" s="298"/>
      <c r="Q340" s="298"/>
      <c r="R340" s="296"/>
      <c r="S340" s="296"/>
      <c r="T340" s="296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</row>
    <row r="341" ht="14.25" customHeight="1">
      <c r="A341" s="266"/>
      <c r="B341" s="266"/>
      <c r="C341" s="266"/>
      <c r="D341" s="266"/>
      <c r="E341" s="268"/>
      <c r="F341" s="291"/>
      <c r="G341" s="268"/>
      <c r="H341" s="268"/>
      <c r="I341" s="268"/>
      <c r="J341" s="268"/>
      <c r="K341" s="268"/>
      <c r="L341" s="288" t="str">
        <f t="shared" si="3"/>
        <v/>
      </c>
      <c r="M341" s="278"/>
      <c r="N341" s="290"/>
      <c r="O341" s="276"/>
      <c r="P341" s="276"/>
      <c r="Q341" s="276"/>
      <c r="R341" s="278"/>
      <c r="S341" s="278"/>
      <c r="T341" s="278"/>
      <c r="U341" s="279"/>
      <c r="V341" s="279"/>
      <c r="W341" s="279"/>
      <c r="X341" s="279"/>
      <c r="Y341" s="279"/>
      <c r="Z341" s="282"/>
      <c r="AA341" s="282"/>
      <c r="AB341" s="282"/>
      <c r="AC341" s="284"/>
      <c r="AD341" s="284"/>
    </row>
    <row r="342" ht="14.25" customHeight="1">
      <c r="A342" s="266"/>
      <c r="B342" s="266"/>
      <c r="C342" s="266"/>
      <c r="D342" s="266"/>
      <c r="E342" s="268"/>
      <c r="F342" s="291"/>
      <c r="G342" s="268"/>
      <c r="H342" s="268"/>
      <c r="I342" s="268"/>
      <c r="J342" s="268"/>
      <c r="K342" s="268"/>
      <c r="L342" s="288" t="str">
        <f t="shared" si="3"/>
        <v/>
      </c>
      <c r="M342" s="278"/>
      <c r="N342" s="290"/>
      <c r="O342" s="276"/>
      <c r="P342" s="276"/>
      <c r="Q342" s="276"/>
      <c r="R342" s="278"/>
      <c r="S342" s="278"/>
      <c r="T342" s="278"/>
      <c r="U342" s="279"/>
      <c r="V342" s="279"/>
      <c r="W342" s="279"/>
      <c r="X342" s="279"/>
      <c r="Y342" s="279"/>
      <c r="Z342" s="282"/>
      <c r="AA342" s="282"/>
      <c r="AB342" s="282"/>
      <c r="AC342" s="284"/>
      <c r="AD342" s="284"/>
    </row>
    <row r="343" ht="14.25" customHeight="1">
      <c r="A343" s="266"/>
      <c r="B343" s="266"/>
      <c r="C343" s="266"/>
      <c r="D343" s="266"/>
      <c r="E343" s="268"/>
      <c r="F343" s="291"/>
      <c r="G343" s="268"/>
      <c r="H343" s="268"/>
      <c r="I343" s="268"/>
      <c r="J343" s="268"/>
      <c r="K343" s="268"/>
      <c r="L343" s="288" t="str">
        <f t="shared" si="3"/>
        <v/>
      </c>
      <c r="M343" s="278"/>
      <c r="N343" s="290"/>
      <c r="O343" s="276"/>
      <c r="P343" s="276"/>
      <c r="Q343" s="276"/>
      <c r="R343" s="278"/>
      <c r="S343" s="278"/>
      <c r="T343" s="278"/>
      <c r="U343" s="279"/>
      <c r="V343" s="279"/>
      <c r="W343" s="279"/>
      <c r="X343" s="279"/>
      <c r="Y343" s="279"/>
      <c r="Z343" s="282"/>
      <c r="AA343" s="282"/>
      <c r="AB343" s="282"/>
      <c r="AC343" s="284"/>
      <c r="AD343" s="284"/>
    </row>
    <row r="344" ht="14.25" customHeight="1">
      <c r="A344" s="266"/>
      <c r="B344" s="266"/>
      <c r="C344" s="266"/>
      <c r="D344" s="266"/>
      <c r="E344" s="268"/>
      <c r="F344" s="291"/>
      <c r="G344" s="268"/>
      <c r="H344" s="268"/>
      <c r="I344" s="268"/>
      <c r="J344" s="268"/>
      <c r="K344" s="268"/>
      <c r="L344" s="288" t="str">
        <f t="shared" si="3"/>
        <v/>
      </c>
      <c r="M344" s="278"/>
      <c r="N344" s="290"/>
      <c r="O344" s="276"/>
      <c r="P344" s="276"/>
      <c r="Q344" s="276"/>
      <c r="R344" s="278"/>
      <c r="S344" s="278"/>
      <c r="T344" s="278"/>
      <c r="U344" s="279"/>
      <c r="V344" s="279"/>
      <c r="W344" s="279"/>
      <c r="X344" s="279"/>
      <c r="Y344" s="279"/>
      <c r="Z344" s="282"/>
      <c r="AA344" s="282"/>
      <c r="AB344" s="282"/>
      <c r="AC344" s="284"/>
      <c r="AD344" s="284"/>
    </row>
    <row r="345" ht="14.25" customHeight="1">
      <c r="A345" s="266"/>
      <c r="B345" s="266"/>
      <c r="C345" s="266"/>
      <c r="D345" s="266"/>
      <c r="E345" s="268"/>
      <c r="F345" s="291"/>
      <c r="G345" s="268"/>
      <c r="H345" s="268"/>
      <c r="I345" s="268"/>
      <c r="J345" s="268"/>
      <c r="K345" s="268"/>
      <c r="L345" s="288" t="str">
        <f t="shared" si="3"/>
        <v/>
      </c>
      <c r="M345" s="278"/>
      <c r="N345" s="290"/>
      <c r="O345" s="276"/>
      <c r="P345" s="276"/>
      <c r="Q345" s="276"/>
      <c r="R345" s="278"/>
      <c r="S345" s="278"/>
      <c r="T345" s="278"/>
      <c r="U345" s="279"/>
      <c r="V345" s="279"/>
      <c r="W345" s="279"/>
      <c r="X345" s="279"/>
      <c r="Y345" s="279"/>
      <c r="Z345" s="282"/>
      <c r="AA345" s="282"/>
      <c r="AB345" s="282"/>
      <c r="AC345" s="284"/>
      <c r="AD345" s="284"/>
    </row>
    <row r="346" ht="14.25" customHeight="1">
      <c r="A346" s="266"/>
      <c r="B346" s="266"/>
      <c r="C346" s="266"/>
      <c r="D346" s="266"/>
      <c r="E346" s="268"/>
      <c r="F346" s="291"/>
      <c r="G346" s="268"/>
      <c r="H346" s="268"/>
      <c r="I346" s="268"/>
      <c r="J346" s="268"/>
      <c r="K346" s="268"/>
      <c r="L346" s="288" t="str">
        <f t="shared" si="3"/>
        <v/>
      </c>
      <c r="M346" s="278"/>
      <c r="N346" s="290"/>
      <c r="O346" s="276"/>
      <c r="P346" s="276"/>
      <c r="Q346" s="276"/>
      <c r="R346" s="278"/>
      <c r="S346" s="278"/>
      <c r="T346" s="278"/>
      <c r="U346" s="279"/>
      <c r="V346" s="279"/>
      <c r="W346" s="279"/>
      <c r="X346" s="279"/>
      <c r="Y346" s="279"/>
      <c r="Z346" s="282"/>
      <c r="AA346" s="282"/>
      <c r="AB346" s="282"/>
      <c r="AC346" s="284"/>
      <c r="AD346" s="284"/>
    </row>
    <row r="347" ht="14.25" customHeight="1">
      <c r="A347" s="266"/>
      <c r="B347" s="266"/>
      <c r="C347" s="266"/>
      <c r="D347" s="266"/>
      <c r="E347" s="268"/>
      <c r="F347" s="291"/>
      <c r="G347" s="268"/>
      <c r="H347" s="268"/>
      <c r="I347" s="268"/>
      <c r="J347" s="268"/>
      <c r="K347" s="268"/>
      <c r="L347" s="288" t="str">
        <f t="shared" si="3"/>
        <v/>
      </c>
      <c r="M347" s="278"/>
      <c r="N347" s="290"/>
      <c r="O347" s="276"/>
      <c r="P347" s="276"/>
      <c r="Q347" s="276"/>
      <c r="R347" s="278"/>
      <c r="S347" s="278"/>
      <c r="T347" s="278"/>
      <c r="U347" s="279"/>
      <c r="V347" s="279"/>
      <c r="W347" s="279"/>
      <c r="X347" s="279"/>
      <c r="Y347" s="279"/>
      <c r="Z347" s="282"/>
      <c r="AA347" s="282"/>
      <c r="AB347" s="282"/>
      <c r="AC347" s="284"/>
      <c r="AD347" s="284"/>
    </row>
    <row r="348" ht="14.25" customHeight="1">
      <c r="A348" s="266"/>
      <c r="B348" s="266"/>
      <c r="C348" s="266"/>
      <c r="D348" s="266"/>
      <c r="E348" s="268"/>
      <c r="F348" s="291"/>
      <c r="G348" s="268"/>
      <c r="H348" s="268"/>
      <c r="I348" s="268"/>
      <c r="J348" s="268"/>
      <c r="K348" s="268"/>
      <c r="L348" s="288" t="str">
        <f t="shared" si="3"/>
        <v/>
      </c>
      <c r="M348" s="278"/>
      <c r="N348" s="290"/>
      <c r="O348" s="276"/>
      <c r="P348" s="276"/>
      <c r="Q348" s="276"/>
      <c r="R348" s="278"/>
      <c r="S348" s="278"/>
      <c r="T348" s="278"/>
      <c r="U348" s="279"/>
      <c r="V348" s="279"/>
      <c r="W348" s="279"/>
      <c r="X348" s="279"/>
      <c r="Y348" s="279"/>
      <c r="Z348" s="282"/>
      <c r="AA348" s="282"/>
      <c r="AB348" s="282"/>
      <c r="AC348" s="284"/>
      <c r="AD348" s="284"/>
    </row>
    <row r="349" ht="14.25" customHeight="1">
      <c r="A349" s="266"/>
      <c r="B349" s="266"/>
      <c r="C349" s="266"/>
      <c r="D349" s="266"/>
      <c r="E349" s="268"/>
      <c r="F349" s="291"/>
      <c r="G349" s="268"/>
      <c r="H349" s="268"/>
      <c r="I349" s="268"/>
      <c r="J349" s="268"/>
      <c r="K349" s="268"/>
      <c r="L349" s="288" t="str">
        <f t="shared" si="3"/>
        <v/>
      </c>
      <c r="M349" s="278"/>
      <c r="N349" s="290"/>
      <c r="O349" s="276"/>
      <c r="P349" s="276"/>
      <c r="Q349" s="276"/>
      <c r="R349" s="278"/>
      <c r="S349" s="278"/>
      <c r="T349" s="278"/>
      <c r="U349" s="279"/>
      <c r="V349" s="279"/>
      <c r="W349" s="279"/>
      <c r="X349" s="279"/>
      <c r="Y349" s="279"/>
      <c r="Z349" s="282"/>
      <c r="AA349" s="282"/>
      <c r="AB349" s="282"/>
      <c r="AC349" s="284"/>
      <c r="AD349" s="284"/>
    </row>
    <row r="350" ht="14.25" customHeight="1">
      <c r="A350" s="266"/>
      <c r="B350" s="266"/>
      <c r="C350" s="266"/>
      <c r="D350" s="266"/>
      <c r="E350" s="268"/>
      <c r="F350" s="291"/>
      <c r="G350" s="268"/>
      <c r="H350" s="268"/>
      <c r="I350" s="268"/>
      <c r="J350" s="268"/>
      <c r="K350" s="268"/>
      <c r="L350" s="288" t="str">
        <f t="shared" si="3"/>
        <v/>
      </c>
      <c r="M350" s="278"/>
      <c r="N350" s="290"/>
      <c r="O350" s="276"/>
      <c r="P350" s="276"/>
      <c r="Q350" s="276"/>
      <c r="R350" s="278"/>
      <c r="S350" s="278"/>
      <c r="T350" s="278"/>
      <c r="U350" s="279"/>
      <c r="V350" s="279"/>
      <c r="W350" s="279"/>
      <c r="X350" s="279"/>
      <c r="Y350" s="279"/>
      <c r="Z350" s="282"/>
      <c r="AA350" s="282"/>
      <c r="AB350" s="282"/>
      <c r="AC350" s="284"/>
      <c r="AD350" s="284"/>
    </row>
    <row r="351" ht="14.25" customHeight="1">
      <c r="A351" s="266"/>
      <c r="B351" s="266"/>
      <c r="C351" s="266"/>
      <c r="D351" s="266"/>
      <c r="E351" s="268"/>
      <c r="F351" s="291"/>
      <c r="G351" s="268"/>
      <c r="H351" s="268"/>
      <c r="I351" s="268"/>
      <c r="J351" s="268"/>
      <c r="K351" s="268"/>
      <c r="L351" s="288" t="str">
        <f t="shared" si="3"/>
        <v/>
      </c>
      <c r="M351" s="278"/>
      <c r="N351" s="290"/>
      <c r="O351" s="276"/>
      <c r="P351" s="276"/>
      <c r="Q351" s="276"/>
      <c r="R351" s="278"/>
      <c r="S351" s="278"/>
      <c r="T351" s="278"/>
      <c r="U351" s="279"/>
      <c r="V351" s="279"/>
      <c r="W351" s="279"/>
      <c r="X351" s="279"/>
      <c r="Y351" s="279"/>
      <c r="Z351" s="282"/>
      <c r="AA351" s="282"/>
      <c r="AB351" s="282"/>
      <c r="AC351" s="284"/>
      <c r="AD351" s="284"/>
    </row>
    <row r="352" ht="14.25" customHeight="1">
      <c r="A352" s="266"/>
      <c r="B352" s="266"/>
      <c r="C352" s="266"/>
      <c r="D352" s="266"/>
      <c r="E352" s="268"/>
      <c r="F352" s="291"/>
      <c r="G352" s="268"/>
      <c r="H352" s="268"/>
      <c r="I352" s="268"/>
      <c r="J352" s="268"/>
      <c r="K352" s="268"/>
      <c r="L352" s="288" t="str">
        <f t="shared" si="3"/>
        <v/>
      </c>
      <c r="M352" s="278"/>
      <c r="N352" s="290"/>
      <c r="O352" s="276"/>
      <c r="P352" s="276"/>
      <c r="Q352" s="276"/>
      <c r="R352" s="278"/>
      <c r="S352" s="278"/>
      <c r="T352" s="278"/>
      <c r="U352" s="279"/>
      <c r="V352" s="279"/>
      <c r="W352" s="279"/>
      <c r="X352" s="279"/>
      <c r="Y352" s="279"/>
      <c r="Z352" s="282"/>
      <c r="AA352" s="282"/>
      <c r="AB352" s="282"/>
      <c r="AC352" s="284"/>
      <c r="AD352" s="284"/>
    </row>
    <row r="353" ht="14.25" customHeight="1">
      <c r="A353" s="266"/>
      <c r="B353" s="266"/>
      <c r="C353" s="266"/>
      <c r="D353" s="266"/>
      <c r="E353" s="268"/>
      <c r="F353" s="291"/>
      <c r="G353" s="268"/>
      <c r="H353" s="268"/>
      <c r="I353" s="268"/>
      <c r="J353" s="268"/>
      <c r="K353" s="268"/>
      <c r="L353" s="288" t="str">
        <f t="shared" si="3"/>
        <v/>
      </c>
      <c r="M353" s="278"/>
      <c r="N353" s="290"/>
      <c r="O353" s="276"/>
      <c r="P353" s="276"/>
      <c r="Q353" s="276"/>
      <c r="R353" s="278"/>
      <c r="S353" s="278"/>
      <c r="T353" s="278"/>
      <c r="U353" s="279"/>
      <c r="V353" s="279"/>
      <c r="W353" s="279"/>
      <c r="X353" s="279"/>
      <c r="Y353" s="279"/>
      <c r="Z353" s="282"/>
      <c r="AA353" s="282"/>
      <c r="AB353" s="282"/>
      <c r="AC353" s="284"/>
      <c r="AD353" s="284"/>
    </row>
    <row r="354" ht="14.25" customHeight="1">
      <c r="A354" s="266"/>
      <c r="B354" s="266"/>
      <c r="C354" s="266"/>
      <c r="D354" s="266"/>
      <c r="E354" s="268"/>
      <c r="F354" s="291"/>
      <c r="G354" s="268"/>
      <c r="H354" s="268"/>
      <c r="I354" s="268"/>
      <c r="J354" s="268"/>
      <c r="K354" s="268"/>
      <c r="L354" s="288" t="str">
        <f t="shared" si="3"/>
        <v/>
      </c>
      <c r="M354" s="278"/>
      <c r="N354" s="290"/>
      <c r="O354" s="276"/>
      <c r="P354" s="276"/>
      <c r="Q354" s="276"/>
      <c r="R354" s="278"/>
      <c r="S354" s="278"/>
      <c r="T354" s="278"/>
      <c r="U354" s="279"/>
      <c r="V354" s="279"/>
      <c r="W354" s="279"/>
      <c r="X354" s="279"/>
      <c r="Y354" s="279"/>
      <c r="Z354" s="282"/>
      <c r="AA354" s="282"/>
      <c r="AB354" s="282"/>
      <c r="AC354" s="284"/>
      <c r="AD354" s="284"/>
    </row>
    <row r="355" ht="14.25" customHeight="1">
      <c r="A355" s="266"/>
      <c r="B355" s="266"/>
      <c r="C355" s="266"/>
      <c r="D355" s="266"/>
      <c r="E355" s="268"/>
      <c r="F355" s="291"/>
      <c r="G355" s="268"/>
      <c r="H355" s="268"/>
      <c r="I355" s="268"/>
      <c r="J355" s="268"/>
      <c r="K355" s="268"/>
      <c r="L355" s="288" t="str">
        <f t="shared" si="3"/>
        <v/>
      </c>
      <c r="M355" s="278"/>
      <c r="N355" s="290"/>
      <c r="O355" s="276"/>
      <c r="P355" s="276"/>
      <c r="Q355" s="276"/>
      <c r="R355" s="278"/>
      <c r="S355" s="278"/>
      <c r="T355" s="278"/>
      <c r="U355" s="279"/>
      <c r="V355" s="279"/>
      <c r="W355" s="279"/>
      <c r="X355" s="279"/>
      <c r="Y355" s="279"/>
      <c r="Z355" s="282"/>
      <c r="AA355" s="282"/>
      <c r="AB355" s="282"/>
      <c r="AC355" s="284"/>
      <c r="AD355" s="284"/>
    </row>
    <row r="356" ht="14.25" customHeight="1">
      <c r="A356" s="266"/>
      <c r="B356" s="266"/>
      <c r="C356" s="266"/>
      <c r="D356" s="266"/>
      <c r="E356" s="268"/>
      <c r="F356" s="291"/>
      <c r="G356" s="268"/>
      <c r="H356" s="268"/>
      <c r="I356" s="268"/>
      <c r="J356" s="268"/>
      <c r="K356" s="268"/>
      <c r="L356" s="288" t="str">
        <f t="shared" si="3"/>
        <v/>
      </c>
      <c r="M356" s="278"/>
      <c r="N356" s="290"/>
      <c r="O356" s="276"/>
      <c r="P356" s="276"/>
      <c r="Q356" s="276"/>
      <c r="R356" s="278"/>
      <c r="S356" s="278"/>
      <c r="T356" s="278"/>
      <c r="U356" s="279"/>
      <c r="V356" s="279"/>
      <c r="W356" s="279"/>
      <c r="X356" s="279"/>
      <c r="Y356" s="279"/>
      <c r="Z356" s="282"/>
      <c r="AA356" s="282"/>
      <c r="AB356" s="282"/>
      <c r="AC356" s="284"/>
      <c r="AD356" s="284"/>
    </row>
    <row r="357" ht="14.25" customHeight="1">
      <c r="A357" s="266"/>
      <c r="B357" s="266"/>
      <c r="C357" s="266"/>
      <c r="D357" s="266"/>
      <c r="E357" s="268"/>
      <c r="F357" s="291"/>
      <c r="G357" s="268"/>
      <c r="H357" s="268"/>
      <c r="I357" s="268"/>
      <c r="J357" s="268"/>
      <c r="K357" s="268"/>
      <c r="L357" s="288" t="str">
        <f t="shared" si="3"/>
        <v/>
      </c>
      <c r="M357" s="278"/>
      <c r="N357" s="290"/>
      <c r="O357" s="276"/>
      <c r="P357" s="276"/>
      <c r="Q357" s="276"/>
      <c r="R357" s="278"/>
      <c r="S357" s="278"/>
      <c r="T357" s="278"/>
      <c r="U357" s="279"/>
      <c r="V357" s="279"/>
      <c r="W357" s="279"/>
      <c r="X357" s="279"/>
      <c r="Y357" s="279"/>
      <c r="Z357" s="282"/>
      <c r="AA357" s="282"/>
      <c r="AB357" s="282"/>
      <c r="AC357" s="284"/>
      <c r="AD357" s="284"/>
    </row>
    <row r="358" ht="14.25" customHeight="1">
      <c r="A358" s="266"/>
      <c r="B358" s="266"/>
      <c r="C358" s="266"/>
      <c r="D358" s="266"/>
      <c r="E358" s="268"/>
      <c r="F358" s="291"/>
      <c r="G358" s="268"/>
      <c r="H358" s="268"/>
      <c r="I358" s="268"/>
      <c r="J358" s="268"/>
      <c r="K358" s="268"/>
      <c r="L358" s="288" t="str">
        <f t="shared" si="3"/>
        <v/>
      </c>
      <c r="M358" s="278"/>
      <c r="N358" s="290"/>
      <c r="O358" s="276"/>
      <c r="P358" s="276"/>
      <c r="Q358" s="276"/>
      <c r="R358" s="278"/>
      <c r="S358" s="278"/>
      <c r="T358" s="278"/>
      <c r="U358" s="279"/>
      <c r="V358" s="279"/>
      <c r="W358" s="279"/>
      <c r="X358" s="279"/>
      <c r="Y358" s="279"/>
      <c r="Z358" s="282"/>
      <c r="AA358" s="282"/>
      <c r="AB358" s="282"/>
      <c r="AC358" s="284"/>
      <c r="AD358" s="284"/>
    </row>
    <row r="359" ht="14.25" customHeight="1">
      <c r="A359" s="266"/>
      <c r="B359" s="266"/>
      <c r="C359" s="266"/>
      <c r="D359" s="266"/>
      <c r="E359" s="268"/>
      <c r="F359" s="291"/>
      <c r="G359" s="268"/>
      <c r="H359" s="268"/>
      <c r="I359" s="268"/>
      <c r="J359" s="268"/>
      <c r="K359" s="268"/>
      <c r="L359" s="288" t="str">
        <f t="shared" si="3"/>
        <v/>
      </c>
      <c r="M359" s="278"/>
      <c r="N359" s="290"/>
      <c r="O359" s="276"/>
      <c r="P359" s="276"/>
      <c r="Q359" s="276"/>
      <c r="R359" s="278"/>
      <c r="S359" s="278"/>
      <c r="T359" s="278"/>
      <c r="U359" s="279"/>
      <c r="V359" s="279"/>
      <c r="W359" s="279"/>
      <c r="X359" s="279"/>
      <c r="Y359" s="279"/>
      <c r="Z359" s="282"/>
      <c r="AA359" s="282"/>
      <c r="AB359" s="282"/>
      <c r="AC359" s="284"/>
      <c r="AD359" s="284"/>
    </row>
    <row r="360" ht="14.25" customHeight="1">
      <c r="A360" s="266"/>
      <c r="B360" s="266"/>
      <c r="C360" s="266"/>
      <c r="D360" s="266"/>
      <c r="E360" s="268"/>
      <c r="F360" s="291"/>
      <c r="G360" s="268"/>
      <c r="H360" s="268"/>
      <c r="I360" s="268"/>
      <c r="J360" s="268"/>
      <c r="K360" s="268"/>
      <c r="L360" s="288" t="str">
        <f t="shared" si="3"/>
        <v/>
      </c>
      <c r="M360" s="278"/>
      <c r="N360" s="290"/>
      <c r="O360" s="276"/>
      <c r="P360" s="276"/>
      <c r="Q360" s="276"/>
      <c r="R360" s="278"/>
      <c r="S360" s="278"/>
      <c r="T360" s="278"/>
      <c r="U360" s="279"/>
      <c r="V360" s="279"/>
      <c r="W360" s="279"/>
      <c r="X360" s="279"/>
      <c r="Y360" s="279"/>
      <c r="Z360" s="282"/>
      <c r="AA360" s="282"/>
      <c r="AB360" s="282"/>
      <c r="AC360" s="284"/>
      <c r="AD360" s="284"/>
    </row>
    <row r="361" ht="14.25" customHeight="1">
      <c r="A361" s="266"/>
      <c r="B361" s="266"/>
      <c r="C361" s="266"/>
      <c r="D361" s="266"/>
      <c r="E361" s="268"/>
      <c r="F361" s="291"/>
      <c r="G361" s="268"/>
      <c r="H361" s="268"/>
      <c r="I361" s="268"/>
      <c r="J361" s="268"/>
      <c r="K361" s="268"/>
      <c r="L361" s="288" t="str">
        <f t="shared" si="3"/>
        <v/>
      </c>
      <c r="M361" s="278"/>
      <c r="N361" s="290"/>
      <c r="O361" s="276"/>
      <c r="P361" s="276"/>
      <c r="Q361" s="276"/>
      <c r="R361" s="278"/>
      <c r="S361" s="278"/>
      <c r="T361" s="278"/>
      <c r="U361" s="279"/>
      <c r="V361" s="279"/>
      <c r="W361" s="279"/>
      <c r="X361" s="279"/>
      <c r="Y361" s="279"/>
      <c r="Z361" s="282"/>
      <c r="AA361" s="282"/>
      <c r="AB361" s="282"/>
      <c r="AC361" s="284"/>
      <c r="AD361" s="284"/>
    </row>
    <row r="362" ht="14.25" customHeight="1">
      <c r="A362" s="266"/>
      <c r="B362" s="266"/>
      <c r="C362" s="266"/>
      <c r="D362" s="266"/>
      <c r="E362" s="268"/>
      <c r="F362" s="291"/>
      <c r="G362" s="268"/>
      <c r="H362" s="268"/>
      <c r="I362" s="268"/>
      <c r="J362" s="268"/>
      <c r="K362" s="268"/>
      <c r="L362" s="288" t="str">
        <f t="shared" si="3"/>
        <v/>
      </c>
      <c r="M362" s="278"/>
      <c r="N362" s="290"/>
      <c r="O362" s="276"/>
      <c r="P362" s="276"/>
      <c r="Q362" s="276"/>
      <c r="R362" s="278"/>
      <c r="S362" s="278"/>
      <c r="T362" s="278"/>
      <c r="U362" s="279"/>
      <c r="V362" s="279"/>
      <c r="W362" s="279"/>
      <c r="X362" s="279"/>
      <c r="Y362" s="279"/>
      <c r="Z362" s="282"/>
      <c r="AA362" s="282"/>
      <c r="AB362" s="282"/>
      <c r="AC362" s="284"/>
      <c r="AD362" s="284"/>
    </row>
    <row r="363" ht="14.25" customHeight="1">
      <c r="A363" s="266"/>
      <c r="B363" s="266"/>
      <c r="C363" s="266"/>
      <c r="D363" s="266"/>
      <c r="E363" s="268"/>
      <c r="F363" s="291"/>
      <c r="G363" s="268"/>
      <c r="H363" s="268"/>
      <c r="I363" s="268"/>
      <c r="J363" s="268"/>
      <c r="K363" s="268"/>
      <c r="L363" s="288" t="str">
        <f t="shared" si="3"/>
        <v/>
      </c>
      <c r="M363" s="278"/>
      <c r="N363" s="290"/>
      <c r="O363" s="276"/>
      <c r="P363" s="276"/>
      <c r="Q363" s="276"/>
      <c r="R363" s="278"/>
      <c r="S363" s="278"/>
      <c r="T363" s="278"/>
      <c r="U363" s="279"/>
      <c r="V363" s="279"/>
      <c r="W363" s="279"/>
      <c r="X363" s="279"/>
      <c r="Y363" s="279"/>
      <c r="Z363" s="282"/>
      <c r="AA363" s="282"/>
      <c r="AB363" s="282"/>
      <c r="AC363" s="284"/>
      <c r="AD363" s="284"/>
    </row>
    <row r="364" ht="14.25" customHeight="1">
      <c r="A364" s="266"/>
      <c r="B364" s="266"/>
      <c r="C364" s="266"/>
      <c r="D364" s="266"/>
      <c r="E364" s="268"/>
      <c r="F364" s="291"/>
      <c r="G364" s="268"/>
      <c r="H364" s="268"/>
      <c r="I364" s="268"/>
      <c r="J364" s="268"/>
      <c r="K364" s="268"/>
      <c r="L364" s="288" t="str">
        <f t="shared" si="3"/>
        <v/>
      </c>
      <c r="M364" s="278"/>
      <c r="N364" s="290"/>
      <c r="O364" s="276"/>
      <c r="P364" s="276"/>
      <c r="Q364" s="276"/>
      <c r="R364" s="278"/>
      <c r="S364" s="278"/>
      <c r="T364" s="278"/>
      <c r="U364" s="279"/>
      <c r="V364" s="279"/>
      <c r="W364" s="279"/>
      <c r="X364" s="279"/>
      <c r="Y364" s="279"/>
      <c r="Z364" s="282"/>
      <c r="AA364" s="282"/>
      <c r="AB364" s="282"/>
      <c r="AC364" s="284"/>
      <c r="AD364" s="284"/>
    </row>
    <row r="365" ht="14.25" customHeight="1">
      <c r="A365" s="266"/>
      <c r="B365" s="266"/>
      <c r="C365" s="266"/>
      <c r="D365" s="266"/>
      <c r="E365" s="268"/>
      <c r="F365" s="291"/>
      <c r="G365" s="268"/>
      <c r="H365" s="268"/>
      <c r="I365" s="268"/>
      <c r="J365" s="268"/>
      <c r="K365" s="268"/>
      <c r="L365" s="288" t="str">
        <f t="shared" si="3"/>
        <v/>
      </c>
      <c r="M365" s="278"/>
      <c r="N365" s="290"/>
      <c r="O365" s="276"/>
      <c r="P365" s="276"/>
      <c r="Q365" s="276"/>
      <c r="R365" s="278"/>
      <c r="S365" s="278"/>
      <c r="T365" s="278"/>
      <c r="U365" s="279"/>
      <c r="V365" s="279"/>
      <c r="W365" s="279"/>
      <c r="X365" s="279"/>
      <c r="Y365" s="279"/>
      <c r="Z365" s="282"/>
      <c r="AA365" s="282"/>
      <c r="AB365" s="282"/>
      <c r="AC365" s="284"/>
      <c r="AD365" s="284"/>
    </row>
    <row r="366" ht="14.25" customHeight="1">
      <c r="A366" s="266"/>
      <c r="B366" s="266"/>
      <c r="C366" s="266"/>
      <c r="D366" s="266"/>
      <c r="E366" s="268"/>
      <c r="F366" s="291"/>
      <c r="G366" s="268"/>
      <c r="H366" s="268"/>
      <c r="I366" s="268"/>
      <c r="J366" s="268"/>
      <c r="K366" s="268"/>
      <c r="L366" s="288" t="str">
        <f t="shared" si="3"/>
        <v/>
      </c>
      <c r="M366" s="278"/>
      <c r="N366" s="290"/>
      <c r="O366" s="276"/>
      <c r="P366" s="276"/>
      <c r="Q366" s="276"/>
      <c r="R366" s="278"/>
      <c r="S366" s="278"/>
      <c r="T366" s="278"/>
      <c r="U366" s="279"/>
      <c r="V366" s="279"/>
      <c r="W366" s="279"/>
      <c r="X366" s="279"/>
      <c r="Y366" s="279"/>
      <c r="Z366" s="282"/>
      <c r="AA366" s="282"/>
      <c r="AB366" s="282"/>
      <c r="AC366" s="284"/>
      <c r="AD366" s="284"/>
    </row>
    <row r="367" ht="14.25" customHeight="1">
      <c r="A367" s="266"/>
      <c r="B367" s="266"/>
      <c r="C367" s="266"/>
      <c r="D367" s="266"/>
      <c r="E367" s="268"/>
      <c r="F367" s="291"/>
      <c r="G367" s="268"/>
      <c r="H367" s="268"/>
      <c r="I367" s="268"/>
      <c r="J367" s="268"/>
      <c r="K367" s="268"/>
      <c r="L367" s="288" t="str">
        <f t="shared" si="3"/>
        <v/>
      </c>
      <c r="M367" s="278"/>
      <c r="N367" s="290"/>
      <c r="O367" s="276"/>
      <c r="P367" s="276"/>
      <c r="Q367" s="276"/>
      <c r="R367" s="278"/>
      <c r="S367" s="278"/>
      <c r="T367" s="278"/>
      <c r="U367" s="279"/>
      <c r="V367" s="279"/>
      <c r="W367" s="279"/>
      <c r="X367" s="279"/>
      <c r="Y367" s="279"/>
      <c r="Z367" s="282"/>
      <c r="AA367" s="282"/>
      <c r="AB367" s="282"/>
      <c r="AC367" s="284"/>
      <c r="AD367" s="284"/>
    </row>
    <row r="368" ht="14.25" customHeight="1">
      <c r="A368" s="266"/>
      <c r="B368" s="266"/>
      <c r="C368" s="266"/>
      <c r="D368" s="266"/>
      <c r="E368" s="268"/>
      <c r="F368" s="291"/>
      <c r="G368" s="268"/>
      <c r="H368" s="268"/>
      <c r="I368" s="268"/>
      <c r="J368" s="268"/>
      <c r="K368" s="268"/>
      <c r="L368" s="288" t="str">
        <f t="shared" si="3"/>
        <v/>
      </c>
      <c r="M368" s="278"/>
      <c r="N368" s="290"/>
      <c r="O368" s="276"/>
      <c r="P368" s="276"/>
      <c r="Q368" s="276"/>
      <c r="R368" s="278"/>
      <c r="S368" s="278"/>
      <c r="T368" s="278"/>
      <c r="U368" s="279"/>
      <c r="V368" s="279"/>
      <c r="W368" s="279"/>
      <c r="X368" s="279"/>
      <c r="Y368" s="279"/>
      <c r="Z368" s="282"/>
      <c r="AA368" s="282"/>
      <c r="AB368" s="282"/>
      <c r="AC368" s="284"/>
      <c r="AD368" s="284"/>
    </row>
    <row r="369" ht="14.25" customHeight="1">
      <c r="A369" s="266"/>
      <c r="B369" s="266"/>
      <c r="C369" s="266"/>
      <c r="D369" s="266"/>
      <c r="E369" s="268"/>
      <c r="F369" s="291"/>
      <c r="G369" s="268"/>
      <c r="H369" s="268"/>
      <c r="I369" s="268"/>
      <c r="J369" s="268"/>
      <c r="K369" s="268"/>
      <c r="L369" s="288" t="str">
        <f t="shared" si="3"/>
        <v/>
      </c>
      <c r="M369" s="278"/>
      <c r="N369" s="290"/>
      <c r="O369" s="276"/>
      <c r="P369" s="276"/>
      <c r="Q369" s="276"/>
      <c r="R369" s="278"/>
      <c r="S369" s="278"/>
      <c r="T369" s="278"/>
      <c r="U369" s="279"/>
      <c r="V369" s="279"/>
      <c r="W369" s="279"/>
      <c r="X369" s="279"/>
      <c r="Y369" s="279"/>
      <c r="Z369" s="282"/>
      <c r="AA369" s="282"/>
      <c r="AB369" s="282"/>
      <c r="AC369" s="284"/>
      <c r="AD369" s="284"/>
    </row>
    <row r="370" ht="14.25" customHeight="1">
      <c r="A370" s="266"/>
      <c r="B370" s="266"/>
      <c r="C370" s="266"/>
      <c r="D370" s="266"/>
      <c r="E370" s="268"/>
      <c r="F370" s="291"/>
      <c r="G370" s="268"/>
      <c r="H370" s="268"/>
      <c r="I370" s="268"/>
      <c r="J370" s="268"/>
      <c r="K370" s="268"/>
      <c r="L370" s="288" t="str">
        <f t="shared" si="3"/>
        <v/>
      </c>
      <c r="M370" s="278"/>
      <c r="N370" s="290"/>
      <c r="O370" s="276"/>
      <c r="P370" s="276"/>
      <c r="Q370" s="276"/>
      <c r="R370" s="278"/>
      <c r="S370" s="278"/>
      <c r="T370" s="278"/>
      <c r="U370" s="279"/>
      <c r="V370" s="279"/>
      <c r="W370" s="279"/>
      <c r="X370" s="279"/>
      <c r="Y370" s="279"/>
      <c r="Z370" s="282"/>
      <c r="AA370" s="282"/>
      <c r="AB370" s="282"/>
      <c r="AC370" s="284"/>
      <c r="AD370" s="284"/>
    </row>
    <row r="371" ht="14.25" customHeight="1">
      <c r="A371" s="266"/>
      <c r="B371" s="266"/>
      <c r="C371" s="266"/>
      <c r="D371" s="266"/>
      <c r="E371" s="268"/>
      <c r="F371" s="291"/>
      <c r="G371" s="268"/>
      <c r="H371" s="268"/>
      <c r="I371" s="268"/>
      <c r="J371" s="268"/>
      <c r="K371" s="268"/>
      <c r="L371" s="288" t="str">
        <f t="shared" si="3"/>
        <v/>
      </c>
      <c r="M371" s="278"/>
      <c r="N371" s="290"/>
      <c r="O371" s="276"/>
      <c r="P371" s="276"/>
      <c r="Q371" s="276"/>
      <c r="R371" s="278"/>
      <c r="S371" s="278"/>
      <c r="T371" s="278"/>
      <c r="U371" s="279"/>
      <c r="V371" s="279"/>
      <c r="W371" s="279"/>
      <c r="X371" s="279"/>
      <c r="Y371" s="279"/>
      <c r="Z371" s="282"/>
      <c r="AA371" s="282"/>
      <c r="AB371" s="282"/>
      <c r="AC371" s="284"/>
      <c r="AD371" s="284"/>
    </row>
    <row r="372" ht="14.25" customHeight="1">
      <c r="A372" s="266"/>
      <c r="B372" s="266"/>
      <c r="C372" s="266"/>
      <c r="D372" s="266"/>
      <c r="E372" s="268"/>
      <c r="F372" s="291"/>
      <c r="G372" s="268"/>
      <c r="H372" s="268"/>
      <c r="I372" s="268"/>
      <c r="J372" s="268"/>
      <c r="K372" s="268"/>
      <c r="L372" s="288" t="str">
        <f t="shared" si="3"/>
        <v/>
      </c>
      <c r="M372" s="278"/>
      <c r="N372" s="290"/>
      <c r="O372" s="276"/>
      <c r="P372" s="276"/>
      <c r="Q372" s="276"/>
      <c r="R372" s="278"/>
      <c r="S372" s="278"/>
      <c r="T372" s="278"/>
      <c r="U372" s="279"/>
      <c r="V372" s="279"/>
      <c r="W372" s="279"/>
      <c r="X372" s="279"/>
      <c r="Y372" s="279"/>
      <c r="Z372" s="282"/>
      <c r="AA372" s="282"/>
      <c r="AB372" s="282"/>
      <c r="AC372" s="284"/>
      <c r="AD372" s="284"/>
    </row>
    <row r="373" ht="14.25" customHeight="1">
      <c r="A373" s="266"/>
      <c r="B373" s="266"/>
      <c r="C373" s="266"/>
      <c r="D373" s="266"/>
      <c r="E373" s="268"/>
      <c r="F373" s="291"/>
      <c r="G373" s="268"/>
      <c r="H373" s="268"/>
      <c r="I373" s="268"/>
      <c r="J373" s="268"/>
      <c r="K373" s="268"/>
      <c r="L373" s="288" t="str">
        <f t="shared" si="3"/>
        <v/>
      </c>
      <c r="M373" s="278"/>
      <c r="N373" s="290"/>
      <c r="O373" s="276"/>
      <c r="P373" s="276"/>
      <c r="Q373" s="276"/>
      <c r="R373" s="278"/>
      <c r="S373" s="278"/>
      <c r="T373" s="278"/>
      <c r="U373" s="279"/>
      <c r="V373" s="279"/>
      <c r="W373" s="279"/>
      <c r="X373" s="279"/>
      <c r="Y373" s="279"/>
      <c r="Z373" s="282"/>
      <c r="AA373" s="282"/>
      <c r="AB373" s="282"/>
      <c r="AC373" s="284"/>
      <c r="AD373" s="284"/>
    </row>
    <row r="374" ht="14.25" customHeight="1">
      <c r="A374" s="266"/>
      <c r="B374" s="266"/>
      <c r="C374" s="266"/>
      <c r="D374" s="266"/>
      <c r="E374" s="268"/>
      <c r="F374" s="291"/>
      <c r="G374" s="268"/>
      <c r="H374" s="268"/>
      <c r="I374" s="268"/>
      <c r="J374" s="268"/>
      <c r="K374" s="268"/>
      <c r="L374" s="288" t="str">
        <f t="shared" si="3"/>
        <v/>
      </c>
      <c r="M374" s="278"/>
      <c r="N374" s="290"/>
      <c r="O374" s="276"/>
      <c r="P374" s="276"/>
      <c r="Q374" s="276"/>
      <c r="R374" s="278"/>
      <c r="S374" s="278"/>
      <c r="T374" s="278"/>
      <c r="U374" s="279"/>
      <c r="V374" s="279"/>
      <c r="W374" s="279"/>
      <c r="X374" s="279"/>
      <c r="Y374" s="279"/>
      <c r="Z374" s="282"/>
      <c r="AA374" s="282"/>
      <c r="AB374" s="282"/>
      <c r="AC374" s="284"/>
      <c r="AD374" s="284"/>
    </row>
    <row r="375" ht="14.25" customHeight="1">
      <c r="A375" s="266"/>
      <c r="B375" s="266"/>
      <c r="C375" s="266"/>
      <c r="D375" s="266"/>
      <c r="E375" s="268"/>
      <c r="F375" s="291"/>
      <c r="G375" s="268"/>
      <c r="H375" s="268"/>
      <c r="I375" s="268"/>
      <c r="J375" s="268"/>
      <c r="K375" s="268"/>
      <c r="L375" s="288" t="str">
        <f t="shared" si="3"/>
        <v/>
      </c>
      <c r="M375" s="278"/>
      <c r="N375" s="290"/>
      <c r="O375" s="276"/>
      <c r="P375" s="276"/>
      <c r="Q375" s="276"/>
      <c r="R375" s="278"/>
      <c r="S375" s="278"/>
      <c r="T375" s="278"/>
      <c r="U375" s="279"/>
      <c r="V375" s="279"/>
      <c r="W375" s="279"/>
      <c r="X375" s="279"/>
      <c r="Y375" s="279"/>
      <c r="Z375" s="282"/>
      <c r="AA375" s="282"/>
      <c r="AB375" s="282"/>
      <c r="AC375" s="284"/>
      <c r="AD375" s="284"/>
    </row>
    <row r="376" ht="14.25" customHeight="1">
      <c r="A376" s="266"/>
      <c r="B376" s="266"/>
      <c r="C376" s="266"/>
      <c r="D376" s="266"/>
      <c r="E376" s="268"/>
      <c r="F376" s="291"/>
      <c r="G376" s="268"/>
      <c r="H376" s="268"/>
      <c r="I376" s="268"/>
      <c r="J376" s="268"/>
      <c r="K376" s="268"/>
      <c r="L376" s="288" t="str">
        <f t="shared" si="3"/>
        <v/>
      </c>
      <c r="M376" s="278"/>
      <c r="N376" s="290"/>
      <c r="O376" s="276"/>
      <c r="P376" s="276"/>
      <c r="Q376" s="276"/>
      <c r="R376" s="278"/>
      <c r="S376" s="278"/>
      <c r="T376" s="278"/>
      <c r="U376" s="279"/>
      <c r="V376" s="279"/>
      <c r="W376" s="279"/>
      <c r="X376" s="279"/>
      <c r="Y376" s="279"/>
      <c r="Z376" s="282"/>
      <c r="AA376" s="282"/>
      <c r="AB376" s="282"/>
      <c r="AC376" s="284"/>
      <c r="AD376" s="284"/>
    </row>
    <row r="377" ht="14.25" customHeight="1">
      <c r="A377" s="266"/>
      <c r="B377" s="266"/>
      <c r="C377" s="266"/>
      <c r="D377" s="266"/>
      <c r="E377" s="268"/>
      <c r="F377" s="291"/>
      <c r="G377" s="268"/>
      <c r="H377" s="268"/>
      <c r="I377" s="268"/>
      <c r="J377" s="268"/>
      <c r="K377" s="268"/>
      <c r="L377" s="288" t="str">
        <f t="shared" si="3"/>
        <v/>
      </c>
      <c r="M377" s="278"/>
      <c r="N377" s="290"/>
      <c r="O377" s="276"/>
      <c r="P377" s="276"/>
      <c r="Q377" s="276"/>
      <c r="R377" s="278"/>
      <c r="S377" s="278"/>
      <c r="T377" s="278"/>
      <c r="U377" s="279"/>
      <c r="V377" s="279"/>
      <c r="W377" s="279"/>
      <c r="X377" s="279"/>
      <c r="Y377" s="279"/>
      <c r="Z377" s="282"/>
      <c r="AA377" s="282"/>
      <c r="AB377" s="282"/>
      <c r="AC377" s="284"/>
      <c r="AD377" s="284"/>
    </row>
    <row r="378" ht="14.25" customHeight="1">
      <c r="A378" s="266"/>
      <c r="B378" s="266"/>
      <c r="C378" s="266"/>
      <c r="D378" s="266"/>
      <c r="E378" s="268"/>
      <c r="F378" s="291"/>
      <c r="G378" s="268"/>
      <c r="H378" s="268"/>
      <c r="I378" s="268"/>
      <c r="J378" s="268"/>
      <c r="K378" s="268"/>
      <c r="L378" s="288" t="str">
        <f t="shared" si="3"/>
        <v/>
      </c>
      <c r="M378" s="278"/>
      <c r="N378" s="290"/>
      <c r="O378" s="276"/>
      <c r="P378" s="276"/>
      <c r="Q378" s="276"/>
      <c r="R378" s="278"/>
      <c r="S378" s="278"/>
      <c r="T378" s="278"/>
      <c r="U378" s="279"/>
      <c r="V378" s="279"/>
      <c r="W378" s="279"/>
      <c r="X378" s="279"/>
      <c r="Y378" s="279"/>
      <c r="Z378" s="282"/>
      <c r="AA378" s="282"/>
      <c r="AB378" s="282"/>
      <c r="AC378" s="284"/>
      <c r="AD378" s="284"/>
    </row>
    <row r="379" ht="14.25" customHeight="1">
      <c r="A379" s="266"/>
      <c r="B379" s="266"/>
      <c r="C379" s="266"/>
      <c r="D379" s="266"/>
      <c r="E379" s="268"/>
      <c r="F379" s="291"/>
      <c r="G379" s="268"/>
      <c r="H379" s="268"/>
      <c r="I379" s="268"/>
      <c r="J379" s="268"/>
      <c r="K379" s="268"/>
      <c r="L379" s="288" t="str">
        <f t="shared" si="3"/>
        <v/>
      </c>
      <c r="M379" s="278"/>
      <c r="N379" s="290"/>
      <c r="O379" s="276"/>
      <c r="P379" s="276"/>
      <c r="Q379" s="276"/>
      <c r="R379" s="278"/>
      <c r="S379" s="278"/>
      <c r="T379" s="278"/>
      <c r="U379" s="279"/>
      <c r="V379" s="279"/>
      <c r="W379" s="279"/>
      <c r="X379" s="279"/>
      <c r="Y379" s="279"/>
      <c r="Z379" s="282"/>
      <c r="AA379" s="282"/>
      <c r="AB379" s="282"/>
      <c r="AC379" s="284"/>
      <c r="AD379" s="284"/>
    </row>
    <row r="380" ht="14.25" customHeight="1">
      <c r="A380" s="266"/>
      <c r="B380" s="266"/>
      <c r="C380" s="266"/>
      <c r="D380" s="266"/>
      <c r="E380" s="268"/>
      <c r="F380" s="291"/>
      <c r="G380" s="268"/>
      <c r="H380" s="268"/>
      <c r="I380" s="268"/>
      <c r="J380" s="268"/>
      <c r="K380" s="268"/>
      <c r="L380" s="288" t="str">
        <f t="shared" si="3"/>
        <v/>
      </c>
      <c r="M380" s="278"/>
      <c r="N380" s="290"/>
      <c r="O380" s="276"/>
      <c r="P380" s="276"/>
      <c r="Q380" s="276"/>
      <c r="R380" s="278"/>
      <c r="S380" s="278"/>
      <c r="T380" s="278"/>
      <c r="U380" s="279"/>
      <c r="V380" s="279"/>
      <c r="W380" s="279"/>
      <c r="X380" s="279"/>
      <c r="Y380" s="279"/>
      <c r="Z380" s="282"/>
      <c r="AA380" s="282"/>
      <c r="AB380" s="282"/>
      <c r="AC380" s="284"/>
      <c r="AD380" s="284"/>
    </row>
    <row r="381" ht="14.25" customHeight="1">
      <c r="A381" s="266"/>
      <c r="B381" s="266"/>
      <c r="C381" s="266"/>
      <c r="D381" s="266"/>
      <c r="E381" s="268"/>
      <c r="F381" s="291"/>
      <c r="G381" s="268"/>
      <c r="H381" s="268"/>
      <c r="I381" s="268"/>
      <c r="J381" s="268"/>
      <c r="K381" s="268"/>
      <c r="L381" s="288" t="str">
        <f t="shared" si="3"/>
        <v/>
      </c>
      <c r="M381" s="278"/>
      <c r="N381" s="290"/>
      <c r="O381" s="276"/>
      <c r="P381" s="276"/>
      <c r="Q381" s="276"/>
      <c r="R381" s="278"/>
      <c r="S381" s="278"/>
      <c r="T381" s="278"/>
      <c r="U381" s="279"/>
      <c r="V381" s="279"/>
      <c r="W381" s="279"/>
      <c r="X381" s="279"/>
      <c r="Y381" s="279"/>
      <c r="Z381" s="282"/>
      <c r="AA381" s="282"/>
      <c r="AB381" s="282"/>
      <c r="AC381" s="284"/>
      <c r="AD381" s="284"/>
    </row>
    <row r="382" ht="14.25" customHeight="1">
      <c r="A382" s="266"/>
      <c r="B382" s="266"/>
      <c r="C382" s="266"/>
      <c r="D382" s="266"/>
      <c r="E382" s="268"/>
      <c r="F382" s="291"/>
      <c r="G382" s="268"/>
      <c r="H382" s="268"/>
      <c r="I382" s="268"/>
      <c r="J382" s="268"/>
      <c r="K382" s="268"/>
      <c r="L382" s="288" t="str">
        <f t="shared" si="3"/>
        <v/>
      </c>
      <c r="M382" s="278"/>
      <c r="N382" s="290"/>
      <c r="O382" s="276"/>
      <c r="P382" s="276"/>
      <c r="Q382" s="276"/>
      <c r="R382" s="278"/>
      <c r="S382" s="278"/>
      <c r="T382" s="278"/>
      <c r="U382" s="279"/>
      <c r="V382" s="279"/>
      <c r="W382" s="279"/>
      <c r="X382" s="279"/>
      <c r="Y382" s="279"/>
      <c r="Z382" s="282"/>
      <c r="AA382" s="282"/>
      <c r="AB382" s="282"/>
      <c r="AC382" s="284"/>
      <c r="AD382" s="284"/>
    </row>
    <row r="383" ht="14.25" customHeight="1">
      <c r="A383" s="266"/>
      <c r="B383" s="266"/>
      <c r="C383" s="266"/>
      <c r="D383" s="266"/>
      <c r="E383" s="268"/>
      <c r="F383" s="291"/>
      <c r="G383" s="268"/>
      <c r="H383" s="268"/>
      <c r="I383" s="268"/>
      <c r="J383" s="268"/>
      <c r="K383" s="268"/>
      <c r="L383" s="288" t="str">
        <f t="shared" si="3"/>
        <v/>
      </c>
      <c r="M383" s="278"/>
      <c r="N383" s="290"/>
      <c r="O383" s="276"/>
      <c r="P383" s="276"/>
      <c r="Q383" s="276"/>
      <c r="R383" s="278"/>
      <c r="S383" s="278"/>
      <c r="T383" s="278"/>
      <c r="U383" s="279"/>
      <c r="V383" s="279"/>
      <c r="W383" s="279"/>
      <c r="X383" s="279"/>
      <c r="Y383" s="279"/>
      <c r="Z383" s="282"/>
      <c r="AA383" s="282"/>
      <c r="AB383" s="282"/>
      <c r="AC383" s="284"/>
      <c r="AD383" s="284"/>
    </row>
    <row r="384" ht="14.25" customHeight="1">
      <c r="A384" s="266"/>
      <c r="B384" s="266"/>
      <c r="C384" s="266"/>
      <c r="D384" s="266"/>
      <c r="E384" s="268"/>
      <c r="F384" s="291"/>
      <c r="G384" s="268"/>
      <c r="H384" s="268"/>
      <c r="I384" s="268"/>
      <c r="J384" s="268"/>
      <c r="K384" s="268"/>
      <c r="L384" s="288" t="str">
        <f t="shared" si="3"/>
        <v/>
      </c>
      <c r="M384" s="278"/>
      <c r="N384" s="290"/>
      <c r="O384" s="276"/>
      <c r="P384" s="276"/>
      <c r="Q384" s="276"/>
      <c r="R384" s="278"/>
      <c r="S384" s="278"/>
      <c r="T384" s="278"/>
      <c r="U384" s="279"/>
      <c r="V384" s="279"/>
      <c r="W384" s="279"/>
      <c r="X384" s="279"/>
      <c r="Y384" s="279"/>
      <c r="Z384" s="282"/>
      <c r="AA384" s="282"/>
      <c r="AB384" s="282"/>
      <c r="AC384" s="284"/>
      <c r="AD384" s="284"/>
    </row>
    <row r="385" ht="14.25" customHeight="1">
      <c r="A385" s="266"/>
      <c r="B385" s="266"/>
      <c r="C385" s="266"/>
      <c r="D385" s="266"/>
      <c r="E385" s="268"/>
      <c r="F385" s="291"/>
      <c r="G385" s="268"/>
      <c r="H385" s="268"/>
      <c r="I385" s="268"/>
      <c r="J385" s="268"/>
      <c r="K385" s="268"/>
      <c r="L385" s="288" t="str">
        <f t="shared" si="3"/>
        <v/>
      </c>
      <c r="M385" s="278"/>
      <c r="N385" s="290"/>
      <c r="O385" s="276"/>
      <c r="P385" s="276"/>
      <c r="Q385" s="276"/>
      <c r="R385" s="278"/>
      <c r="S385" s="278"/>
      <c r="T385" s="278"/>
      <c r="U385" s="279"/>
      <c r="V385" s="279"/>
      <c r="W385" s="279"/>
      <c r="X385" s="279"/>
      <c r="Y385" s="279"/>
      <c r="Z385" s="282"/>
      <c r="AA385" s="282"/>
      <c r="AB385" s="282"/>
      <c r="AC385" s="284"/>
      <c r="AD385" s="284"/>
    </row>
    <row r="386" ht="14.25" customHeight="1">
      <c r="A386" s="266"/>
      <c r="B386" s="266"/>
      <c r="C386" s="266"/>
      <c r="D386" s="266"/>
      <c r="E386" s="268"/>
      <c r="F386" s="291"/>
      <c r="G386" s="268"/>
      <c r="H386" s="268"/>
      <c r="I386" s="268"/>
      <c r="J386" s="268"/>
      <c r="K386" s="268"/>
      <c r="L386" s="288" t="str">
        <f t="shared" si="3"/>
        <v/>
      </c>
      <c r="M386" s="278"/>
      <c r="N386" s="290"/>
      <c r="O386" s="276"/>
      <c r="P386" s="276"/>
      <c r="Q386" s="276"/>
      <c r="R386" s="278"/>
      <c r="S386" s="278"/>
      <c r="T386" s="278"/>
      <c r="U386" s="279"/>
      <c r="V386" s="279"/>
      <c r="W386" s="279"/>
      <c r="X386" s="279"/>
      <c r="Y386" s="279"/>
      <c r="Z386" s="282"/>
      <c r="AA386" s="282"/>
      <c r="AB386" s="282"/>
      <c r="AC386" s="284"/>
      <c r="AD386" s="284"/>
    </row>
    <row r="387" ht="14.25" customHeight="1">
      <c r="A387" s="266"/>
      <c r="B387" s="266"/>
      <c r="C387" s="266"/>
      <c r="D387" s="266"/>
      <c r="E387" s="268"/>
      <c r="F387" s="291"/>
      <c r="G387" s="268"/>
      <c r="H387" s="268"/>
      <c r="I387" s="268"/>
      <c r="J387" s="268"/>
      <c r="K387" s="268"/>
      <c r="L387" s="288" t="str">
        <f t="shared" si="3"/>
        <v/>
      </c>
      <c r="M387" s="278"/>
      <c r="N387" s="290"/>
      <c r="O387" s="276"/>
      <c r="P387" s="276"/>
      <c r="Q387" s="276"/>
      <c r="R387" s="278"/>
      <c r="S387" s="278"/>
      <c r="T387" s="278"/>
      <c r="U387" s="279"/>
      <c r="V387" s="279"/>
      <c r="W387" s="279"/>
      <c r="X387" s="279"/>
      <c r="Y387" s="279"/>
      <c r="Z387" s="282"/>
      <c r="AA387" s="282"/>
      <c r="AB387" s="282"/>
      <c r="AC387" s="284"/>
      <c r="AD387" s="284"/>
    </row>
    <row r="388" ht="14.25" customHeight="1">
      <c r="A388" s="266"/>
      <c r="B388" s="266"/>
      <c r="C388" s="266"/>
      <c r="D388" s="266"/>
      <c r="E388" s="268"/>
      <c r="F388" s="291"/>
      <c r="G388" s="268"/>
      <c r="H388" s="268"/>
      <c r="I388" s="268"/>
      <c r="J388" s="268"/>
      <c r="K388" s="268"/>
      <c r="L388" s="288" t="str">
        <f t="shared" si="3"/>
        <v/>
      </c>
      <c r="M388" s="278"/>
      <c r="N388" s="290"/>
      <c r="O388" s="276"/>
      <c r="P388" s="276"/>
      <c r="Q388" s="276"/>
      <c r="R388" s="278"/>
      <c r="S388" s="278"/>
      <c r="T388" s="278"/>
      <c r="U388" s="279"/>
      <c r="V388" s="279"/>
      <c r="W388" s="279"/>
      <c r="X388" s="279"/>
      <c r="Y388" s="279"/>
      <c r="Z388" s="282"/>
      <c r="AA388" s="282"/>
      <c r="AB388" s="282"/>
      <c r="AC388" s="284"/>
      <c r="AD388" s="284"/>
    </row>
    <row r="389" ht="14.25" customHeight="1">
      <c r="A389" s="266"/>
      <c r="B389" s="266"/>
      <c r="C389" s="266"/>
      <c r="D389" s="266"/>
      <c r="E389" s="268"/>
      <c r="F389" s="291"/>
      <c r="G389" s="268"/>
      <c r="H389" s="268"/>
      <c r="I389" s="268"/>
      <c r="J389" s="268"/>
      <c r="K389" s="268"/>
      <c r="L389" s="288" t="str">
        <f t="shared" si="3"/>
        <v/>
      </c>
      <c r="M389" s="278"/>
      <c r="N389" s="290"/>
      <c r="O389" s="276"/>
      <c r="P389" s="276"/>
      <c r="Q389" s="276"/>
      <c r="R389" s="278"/>
      <c r="S389" s="278"/>
      <c r="T389" s="278"/>
      <c r="U389" s="279"/>
      <c r="V389" s="279"/>
      <c r="W389" s="279"/>
      <c r="X389" s="279"/>
      <c r="Y389" s="279"/>
      <c r="Z389" s="282"/>
      <c r="AA389" s="282"/>
      <c r="AB389" s="282"/>
      <c r="AC389" s="284"/>
      <c r="AD389" s="284"/>
    </row>
    <row r="390" ht="14.25" customHeight="1">
      <c r="A390" s="266"/>
      <c r="B390" s="266"/>
      <c r="C390" s="266"/>
      <c r="D390" s="266"/>
      <c r="E390" s="268"/>
      <c r="F390" s="291"/>
      <c r="G390" s="268"/>
      <c r="H390" s="268"/>
      <c r="I390" s="268"/>
      <c r="J390" s="268"/>
      <c r="K390" s="268"/>
      <c r="L390" s="288" t="str">
        <f t="shared" si="3"/>
        <v/>
      </c>
      <c r="M390" s="278"/>
      <c r="N390" s="290"/>
      <c r="O390" s="276"/>
      <c r="P390" s="276"/>
      <c r="Q390" s="276"/>
      <c r="R390" s="278"/>
      <c r="S390" s="278"/>
      <c r="T390" s="278"/>
      <c r="U390" s="279"/>
      <c r="V390" s="279"/>
      <c r="W390" s="279"/>
      <c r="X390" s="279"/>
      <c r="Y390" s="279"/>
      <c r="Z390" s="282"/>
      <c r="AA390" s="282"/>
      <c r="AB390" s="282"/>
      <c r="AC390" s="284"/>
      <c r="AD390" s="284"/>
    </row>
    <row r="391" ht="14.25" customHeight="1">
      <c r="A391" s="266"/>
      <c r="B391" s="266"/>
      <c r="C391" s="266"/>
      <c r="D391" s="266"/>
      <c r="E391" s="268"/>
      <c r="F391" s="291"/>
      <c r="G391" s="268"/>
      <c r="H391" s="268"/>
      <c r="I391" s="268"/>
      <c r="J391" s="268"/>
      <c r="K391" s="268"/>
      <c r="L391" s="288" t="str">
        <f t="shared" si="3"/>
        <v/>
      </c>
      <c r="M391" s="278"/>
      <c r="N391" s="290"/>
      <c r="O391" s="276"/>
      <c r="P391" s="276"/>
      <c r="Q391" s="276"/>
      <c r="R391" s="278"/>
      <c r="S391" s="278"/>
      <c r="T391" s="278"/>
      <c r="U391" s="279"/>
      <c r="V391" s="279"/>
      <c r="W391" s="279"/>
      <c r="X391" s="279"/>
      <c r="Y391" s="279"/>
      <c r="Z391" s="282"/>
      <c r="AA391" s="282"/>
      <c r="AB391" s="282"/>
      <c r="AC391" s="284"/>
      <c r="AD391" s="284"/>
    </row>
    <row r="392" ht="14.25" customHeight="1">
      <c r="A392" s="266"/>
      <c r="B392" s="266"/>
      <c r="C392" s="266"/>
      <c r="D392" s="266"/>
      <c r="E392" s="268"/>
      <c r="F392" s="291"/>
      <c r="G392" s="268"/>
      <c r="H392" s="268"/>
      <c r="I392" s="268"/>
      <c r="J392" s="268"/>
      <c r="K392" s="268"/>
      <c r="L392" s="288" t="str">
        <f t="shared" si="3"/>
        <v/>
      </c>
      <c r="M392" s="278"/>
      <c r="N392" s="290"/>
      <c r="O392" s="276"/>
      <c r="P392" s="276"/>
      <c r="Q392" s="276"/>
      <c r="R392" s="278"/>
      <c r="S392" s="278"/>
      <c r="T392" s="278"/>
      <c r="U392" s="279"/>
      <c r="V392" s="279"/>
      <c r="W392" s="279"/>
      <c r="X392" s="279"/>
      <c r="Y392" s="279"/>
      <c r="Z392" s="282"/>
      <c r="AA392" s="282"/>
      <c r="AB392" s="282"/>
      <c r="AC392" s="284"/>
      <c r="AD392" s="284"/>
    </row>
    <row r="393" ht="14.25" customHeight="1">
      <c r="A393" s="266"/>
      <c r="B393" s="266"/>
      <c r="C393" s="266"/>
      <c r="D393" s="266"/>
      <c r="E393" s="268"/>
      <c r="F393" s="291"/>
      <c r="G393" s="268"/>
      <c r="H393" s="268"/>
      <c r="I393" s="268"/>
      <c r="J393" s="268"/>
      <c r="K393" s="268"/>
      <c r="L393" s="288" t="str">
        <f t="shared" si="3"/>
        <v/>
      </c>
      <c r="M393" s="278"/>
      <c r="N393" s="290"/>
      <c r="O393" s="276"/>
      <c r="P393" s="276"/>
      <c r="Q393" s="276"/>
      <c r="R393" s="278"/>
      <c r="S393" s="278"/>
      <c r="T393" s="278"/>
      <c r="U393" s="279"/>
      <c r="V393" s="279"/>
      <c r="W393" s="279"/>
      <c r="X393" s="279"/>
      <c r="Y393" s="279"/>
      <c r="Z393" s="282"/>
      <c r="AA393" s="282"/>
      <c r="AB393" s="282"/>
      <c r="AC393" s="284"/>
      <c r="AD393" s="284"/>
    </row>
    <row r="394" ht="14.25" customHeight="1">
      <c r="A394" s="266"/>
      <c r="B394" s="266"/>
      <c r="C394" s="266"/>
      <c r="D394" s="266"/>
      <c r="E394" s="268"/>
      <c r="F394" s="291"/>
      <c r="G394" s="268"/>
      <c r="H394" s="268"/>
      <c r="I394" s="268"/>
      <c r="J394" s="268"/>
      <c r="K394" s="268"/>
      <c r="L394" s="288" t="str">
        <f t="shared" si="3"/>
        <v/>
      </c>
      <c r="M394" s="278"/>
      <c r="N394" s="290"/>
      <c r="O394" s="276"/>
      <c r="P394" s="276"/>
      <c r="Q394" s="276"/>
      <c r="R394" s="278"/>
      <c r="S394" s="278"/>
      <c r="T394" s="278"/>
      <c r="U394" s="279"/>
      <c r="V394" s="279"/>
      <c r="W394" s="279"/>
      <c r="X394" s="279"/>
      <c r="Y394" s="279"/>
      <c r="Z394" s="282"/>
      <c r="AA394" s="282"/>
      <c r="AB394" s="282"/>
      <c r="AC394" s="284"/>
      <c r="AD394" s="284"/>
    </row>
    <row r="395" ht="14.25" customHeight="1">
      <c r="A395" s="266"/>
      <c r="B395" s="266"/>
      <c r="C395" s="266"/>
      <c r="D395" s="266"/>
      <c r="E395" s="268"/>
      <c r="F395" s="291"/>
      <c r="G395" s="268"/>
      <c r="H395" s="268"/>
      <c r="I395" s="268"/>
      <c r="J395" s="268"/>
      <c r="K395" s="268"/>
      <c r="L395" s="288" t="str">
        <f t="shared" si="3"/>
        <v/>
      </c>
      <c r="M395" s="278"/>
      <c r="N395" s="290"/>
      <c r="O395" s="276"/>
      <c r="P395" s="276"/>
      <c r="Q395" s="276"/>
      <c r="R395" s="278"/>
      <c r="S395" s="278"/>
      <c r="T395" s="278"/>
      <c r="U395" s="279"/>
      <c r="V395" s="279"/>
      <c r="W395" s="279"/>
      <c r="X395" s="279"/>
      <c r="Y395" s="279"/>
      <c r="Z395" s="282"/>
      <c r="AA395" s="282"/>
      <c r="AB395" s="282"/>
      <c r="AC395" s="284"/>
      <c r="AD395" s="284"/>
    </row>
    <row r="396" ht="14.25" customHeight="1">
      <c r="A396" s="266"/>
      <c r="B396" s="266"/>
      <c r="C396" s="266"/>
      <c r="D396" s="266"/>
      <c r="E396" s="268"/>
      <c r="F396" s="291"/>
      <c r="G396" s="268"/>
      <c r="H396" s="268"/>
      <c r="I396" s="268"/>
      <c r="J396" s="268"/>
      <c r="K396" s="268"/>
      <c r="L396" s="288" t="str">
        <f t="shared" si="3"/>
        <v/>
      </c>
      <c r="M396" s="278"/>
      <c r="N396" s="290"/>
      <c r="O396" s="276"/>
      <c r="P396" s="276"/>
      <c r="Q396" s="276"/>
      <c r="R396" s="278"/>
      <c r="S396" s="278"/>
      <c r="T396" s="278"/>
      <c r="U396" s="279"/>
      <c r="V396" s="279"/>
      <c r="W396" s="279"/>
      <c r="X396" s="279"/>
      <c r="Y396" s="279"/>
      <c r="Z396" s="282"/>
      <c r="AA396" s="282"/>
      <c r="AB396" s="282"/>
      <c r="AC396" s="284"/>
      <c r="AD396" s="284"/>
    </row>
    <row r="397" ht="14.25" customHeight="1">
      <c r="A397" s="266"/>
      <c r="B397" s="266"/>
      <c r="C397" s="266"/>
      <c r="D397" s="266"/>
      <c r="E397" s="268"/>
      <c r="F397" s="291"/>
      <c r="G397" s="268"/>
      <c r="H397" s="268"/>
      <c r="I397" s="268"/>
      <c r="J397" s="268"/>
      <c r="K397" s="268"/>
      <c r="L397" s="288" t="str">
        <f t="shared" si="3"/>
        <v/>
      </c>
      <c r="M397" s="278"/>
      <c r="N397" s="290"/>
      <c r="O397" s="276"/>
      <c r="P397" s="276"/>
      <c r="Q397" s="276"/>
      <c r="R397" s="278"/>
      <c r="S397" s="278"/>
      <c r="T397" s="278"/>
      <c r="U397" s="279"/>
      <c r="V397" s="279"/>
      <c r="W397" s="279"/>
      <c r="X397" s="279"/>
      <c r="Y397" s="279"/>
      <c r="Z397" s="282"/>
      <c r="AA397" s="282"/>
      <c r="AB397" s="282"/>
      <c r="AC397" s="284"/>
      <c r="AD397" s="284"/>
    </row>
    <row r="398" ht="14.25" customHeight="1">
      <c r="A398" s="266"/>
      <c r="B398" s="266"/>
      <c r="C398" s="266"/>
      <c r="D398" s="266"/>
      <c r="E398" s="268"/>
      <c r="F398" s="291"/>
      <c r="G398" s="268"/>
      <c r="H398" s="268"/>
      <c r="I398" s="268"/>
      <c r="J398" s="268"/>
      <c r="K398" s="268"/>
      <c r="L398" s="288" t="str">
        <f t="shared" si="3"/>
        <v/>
      </c>
      <c r="M398" s="278"/>
      <c r="N398" s="290"/>
      <c r="O398" s="276"/>
      <c r="P398" s="276"/>
      <c r="Q398" s="276"/>
      <c r="R398" s="278"/>
      <c r="S398" s="278"/>
      <c r="T398" s="278"/>
      <c r="U398" s="279"/>
      <c r="V398" s="279"/>
      <c r="W398" s="279"/>
      <c r="X398" s="279"/>
      <c r="Y398" s="279"/>
      <c r="Z398" s="282"/>
      <c r="AA398" s="282"/>
      <c r="AB398" s="282"/>
      <c r="AC398" s="284"/>
      <c r="AD398" s="284"/>
    </row>
    <row r="399" ht="14.25" customHeight="1">
      <c r="A399" s="266"/>
      <c r="B399" s="266"/>
      <c r="C399" s="266"/>
      <c r="D399" s="266"/>
      <c r="E399" s="268"/>
      <c r="F399" s="291"/>
      <c r="G399" s="268"/>
      <c r="H399" s="268"/>
      <c r="I399" s="268"/>
      <c r="J399" s="268"/>
      <c r="K399" s="268"/>
      <c r="L399" s="288" t="str">
        <f t="shared" si="3"/>
        <v/>
      </c>
      <c r="M399" s="278"/>
      <c r="N399" s="290"/>
      <c r="O399" s="276"/>
      <c r="P399" s="276"/>
      <c r="Q399" s="276"/>
      <c r="R399" s="278"/>
      <c r="S399" s="278"/>
      <c r="T399" s="278"/>
      <c r="U399" s="279"/>
      <c r="V399" s="279"/>
      <c r="W399" s="279"/>
      <c r="X399" s="279"/>
      <c r="Y399" s="279"/>
      <c r="Z399" s="282"/>
      <c r="AA399" s="282"/>
      <c r="AB399" s="282"/>
      <c r="AC399" s="284"/>
      <c r="AD399" s="284"/>
    </row>
    <row r="400" ht="14.25" customHeight="1">
      <c r="A400" s="266"/>
      <c r="B400" s="266"/>
      <c r="C400" s="266"/>
      <c r="D400" s="266"/>
      <c r="E400" s="268"/>
      <c r="F400" s="291"/>
      <c r="G400" s="268"/>
      <c r="H400" s="268"/>
      <c r="I400" s="268"/>
      <c r="J400" s="268"/>
      <c r="K400" s="268"/>
      <c r="L400" s="288" t="str">
        <f t="shared" si="3"/>
        <v/>
      </c>
      <c r="M400" s="278"/>
      <c r="N400" s="290"/>
      <c r="O400" s="276"/>
      <c r="P400" s="276"/>
      <c r="Q400" s="276"/>
      <c r="R400" s="278"/>
      <c r="S400" s="278"/>
      <c r="T400" s="278"/>
      <c r="U400" s="279"/>
      <c r="V400" s="279"/>
      <c r="W400" s="279"/>
      <c r="X400" s="279"/>
      <c r="Y400" s="279"/>
      <c r="Z400" s="282"/>
      <c r="AA400" s="282"/>
      <c r="AB400" s="282"/>
      <c r="AC400" s="284"/>
      <c r="AD400" s="284"/>
    </row>
    <row r="401" ht="14.25" customHeight="1">
      <c r="A401" s="266"/>
      <c r="B401" s="266"/>
      <c r="C401" s="266"/>
      <c r="D401" s="266"/>
      <c r="E401" s="268"/>
      <c r="F401" s="291"/>
      <c r="G401" s="268"/>
      <c r="H401" s="268"/>
      <c r="I401" s="268"/>
      <c r="J401" s="268"/>
      <c r="K401" s="268"/>
      <c r="L401" s="288" t="str">
        <f t="shared" si="3"/>
        <v/>
      </c>
      <c r="M401" s="278"/>
      <c r="N401" s="290"/>
      <c r="O401" s="276"/>
      <c r="P401" s="276"/>
      <c r="Q401" s="276"/>
      <c r="R401" s="278"/>
      <c r="S401" s="278"/>
      <c r="T401" s="278"/>
      <c r="U401" s="279"/>
      <c r="V401" s="279"/>
      <c r="W401" s="279"/>
      <c r="X401" s="279"/>
      <c r="Y401" s="279"/>
      <c r="Z401" s="282"/>
      <c r="AA401" s="282"/>
      <c r="AB401" s="282"/>
      <c r="AC401" s="284"/>
      <c r="AD401" s="284"/>
    </row>
    <row r="402" ht="14.25" customHeight="1">
      <c r="A402" s="266"/>
      <c r="B402" s="266"/>
      <c r="C402" s="266"/>
      <c r="D402" s="266"/>
      <c r="E402" s="268"/>
      <c r="F402" s="291"/>
      <c r="G402" s="268"/>
      <c r="H402" s="268"/>
      <c r="I402" s="268"/>
      <c r="J402" s="268"/>
      <c r="K402" s="268"/>
      <c r="L402" s="288" t="str">
        <f t="shared" si="3"/>
        <v/>
      </c>
      <c r="M402" s="278"/>
      <c r="N402" s="290"/>
      <c r="O402" s="276"/>
      <c r="P402" s="276"/>
      <c r="Q402" s="276"/>
      <c r="R402" s="278"/>
      <c r="S402" s="278"/>
      <c r="T402" s="278"/>
      <c r="U402" s="279"/>
      <c r="V402" s="279"/>
      <c r="W402" s="279"/>
      <c r="X402" s="279"/>
      <c r="Y402" s="279"/>
      <c r="Z402" s="282"/>
      <c r="AA402" s="282"/>
      <c r="AB402" s="282"/>
      <c r="AC402" s="284"/>
      <c r="AD402" s="284"/>
    </row>
    <row r="403" ht="14.25" customHeight="1">
      <c r="A403" s="266"/>
      <c r="B403" s="266"/>
      <c r="C403" s="266"/>
      <c r="D403" s="266"/>
      <c r="E403" s="268"/>
      <c r="F403" s="291"/>
      <c r="G403" s="268"/>
      <c r="H403" s="268"/>
      <c r="I403" s="268"/>
      <c r="J403" s="268"/>
      <c r="K403" s="268"/>
      <c r="L403" s="288" t="str">
        <f t="shared" si="3"/>
        <v/>
      </c>
      <c r="M403" s="278"/>
      <c r="N403" s="290"/>
      <c r="O403" s="276"/>
      <c r="P403" s="276"/>
      <c r="Q403" s="276"/>
      <c r="R403" s="278"/>
      <c r="S403" s="278"/>
      <c r="T403" s="278"/>
      <c r="U403" s="279"/>
      <c r="V403" s="279"/>
      <c r="W403" s="279"/>
      <c r="X403" s="279"/>
      <c r="Y403" s="279"/>
      <c r="Z403" s="282"/>
      <c r="AA403" s="282"/>
      <c r="AB403" s="282"/>
      <c r="AC403" s="284"/>
      <c r="AD403" s="284"/>
    </row>
    <row r="404" ht="14.25" customHeight="1">
      <c r="A404" s="266"/>
      <c r="B404" s="266"/>
      <c r="C404" s="266"/>
      <c r="D404" s="266"/>
      <c r="E404" s="268"/>
      <c r="F404" s="291"/>
      <c r="G404" s="268"/>
      <c r="H404" s="268"/>
      <c r="I404" s="268"/>
      <c r="J404" s="268"/>
      <c r="K404" s="268"/>
      <c r="L404" s="288" t="str">
        <f t="shared" si="3"/>
        <v/>
      </c>
      <c r="M404" s="278"/>
      <c r="N404" s="290"/>
      <c r="O404" s="276"/>
      <c r="P404" s="276"/>
      <c r="Q404" s="276"/>
      <c r="R404" s="278"/>
      <c r="S404" s="278"/>
      <c r="T404" s="278"/>
      <c r="U404" s="279"/>
      <c r="V404" s="279"/>
      <c r="W404" s="279"/>
      <c r="X404" s="279"/>
      <c r="Y404" s="279"/>
      <c r="Z404" s="282"/>
      <c r="AA404" s="282"/>
      <c r="AB404" s="282"/>
      <c r="AC404" s="284"/>
      <c r="AD404" s="284"/>
    </row>
    <row r="405" ht="14.25" customHeight="1">
      <c r="A405" s="266"/>
      <c r="B405" s="266"/>
      <c r="C405" s="266"/>
      <c r="D405" s="266"/>
      <c r="E405" s="268"/>
      <c r="F405" s="291"/>
      <c r="G405" s="268"/>
      <c r="H405" s="268"/>
      <c r="I405" s="268"/>
      <c r="J405" s="268"/>
      <c r="K405" s="268"/>
      <c r="L405" s="288" t="str">
        <f t="shared" si="3"/>
        <v/>
      </c>
      <c r="M405" s="278"/>
      <c r="N405" s="290"/>
      <c r="O405" s="276"/>
      <c r="P405" s="276"/>
      <c r="Q405" s="276"/>
      <c r="R405" s="278"/>
      <c r="S405" s="278"/>
      <c r="T405" s="278"/>
      <c r="U405" s="279"/>
      <c r="V405" s="279"/>
      <c r="W405" s="279"/>
      <c r="X405" s="279"/>
      <c r="Y405" s="279"/>
      <c r="Z405" s="282"/>
      <c r="AA405" s="282"/>
      <c r="AB405" s="282"/>
      <c r="AC405" s="284"/>
      <c r="AD405" s="284"/>
    </row>
    <row r="406" ht="14.25" customHeight="1">
      <c r="A406" s="266"/>
      <c r="B406" s="266"/>
      <c r="C406" s="266"/>
      <c r="D406" s="266"/>
      <c r="E406" s="268"/>
      <c r="F406" s="291"/>
      <c r="G406" s="268"/>
      <c r="H406" s="268"/>
      <c r="I406" s="268"/>
      <c r="J406" s="268"/>
      <c r="K406" s="268"/>
      <c r="L406" s="288" t="str">
        <f t="shared" si="3"/>
        <v/>
      </c>
      <c r="M406" s="278"/>
      <c r="N406" s="290"/>
      <c r="O406" s="276"/>
      <c r="P406" s="276"/>
      <c r="Q406" s="276"/>
      <c r="R406" s="278"/>
      <c r="S406" s="278"/>
      <c r="T406" s="278"/>
      <c r="U406" s="279"/>
      <c r="V406" s="279"/>
      <c r="W406" s="279"/>
      <c r="X406" s="279"/>
      <c r="Y406" s="279"/>
      <c r="Z406" s="282"/>
      <c r="AA406" s="282"/>
      <c r="AB406" s="282"/>
      <c r="AC406" s="284"/>
      <c r="AD406" s="284"/>
    </row>
    <row r="407" ht="14.25" customHeight="1">
      <c r="A407" s="266"/>
      <c r="B407" s="266"/>
      <c r="C407" s="266"/>
      <c r="D407" s="266"/>
      <c r="E407" s="268"/>
      <c r="F407" s="291"/>
      <c r="G407" s="268"/>
      <c r="H407" s="268"/>
      <c r="I407" s="268"/>
      <c r="J407" s="268"/>
      <c r="K407" s="268"/>
      <c r="L407" s="288" t="str">
        <f t="shared" si="3"/>
        <v/>
      </c>
      <c r="M407" s="278"/>
      <c r="N407" s="290"/>
      <c r="O407" s="276"/>
      <c r="P407" s="276"/>
      <c r="Q407" s="276"/>
      <c r="R407" s="278"/>
      <c r="S407" s="278"/>
      <c r="T407" s="278"/>
      <c r="U407" s="279"/>
      <c r="V407" s="279"/>
      <c r="W407" s="279"/>
      <c r="X407" s="279"/>
      <c r="Y407" s="279"/>
      <c r="Z407" s="282"/>
      <c r="AA407" s="282"/>
      <c r="AB407" s="282"/>
      <c r="AC407" s="284"/>
      <c r="AD407" s="284"/>
    </row>
    <row r="408" ht="14.25" customHeight="1">
      <c r="A408" s="266"/>
      <c r="B408" s="266"/>
      <c r="C408" s="266"/>
      <c r="D408" s="266"/>
      <c r="E408" s="268"/>
      <c r="F408" s="291"/>
      <c r="G408" s="268"/>
      <c r="H408" s="268"/>
      <c r="I408" s="268"/>
      <c r="J408" s="268"/>
      <c r="K408" s="268"/>
      <c r="L408" s="288" t="str">
        <f t="shared" si="3"/>
        <v/>
      </c>
      <c r="M408" s="278"/>
      <c r="N408" s="290"/>
      <c r="O408" s="276"/>
      <c r="P408" s="276"/>
      <c r="Q408" s="276"/>
      <c r="R408" s="278"/>
      <c r="S408" s="278"/>
      <c r="T408" s="278"/>
      <c r="U408" s="279"/>
      <c r="V408" s="279"/>
      <c r="W408" s="279"/>
      <c r="X408" s="279"/>
      <c r="Y408" s="279"/>
      <c r="Z408" s="282"/>
      <c r="AA408" s="282"/>
      <c r="AB408" s="282"/>
      <c r="AC408" s="284"/>
      <c r="AD408" s="284"/>
    </row>
    <row r="409" ht="14.25" customHeight="1">
      <c r="A409" s="266"/>
      <c r="B409" s="266"/>
      <c r="C409" s="266"/>
      <c r="D409" s="266"/>
      <c r="E409" s="268"/>
      <c r="F409" s="291"/>
      <c r="G409" s="268"/>
      <c r="H409" s="268"/>
      <c r="I409" s="268"/>
      <c r="J409" s="268"/>
      <c r="K409" s="268"/>
      <c r="L409" s="288" t="str">
        <f t="shared" si="3"/>
        <v/>
      </c>
      <c r="M409" s="278"/>
      <c r="N409" s="290"/>
      <c r="O409" s="276"/>
      <c r="P409" s="276"/>
      <c r="Q409" s="276"/>
      <c r="R409" s="278"/>
      <c r="S409" s="278"/>
      <c r="T409" s="278"/>
      <c r="U409" s="279"/>
      <c r="V409" s="279"/>
      <c r="W409" s="279"/>
      <c r="X409" s="279"/>
      <c r="Y409" s="279"/>
      <c r="Z409" s="282"/>
      <c r="AA409" s="282"/>
      <c r="AB409" s="282"/>
      <c r="AC409" s="284"/>
      <c r="AD409" s="284"/>
    </row>
    <row r="410" ht="14.25" customHeight="1">
      <c r="A410" s="266"/>
      <c r="B410" s="266"/>
      <c r="C410" s="266"/>
      <c r="D410" s="266"/>
      <c r="E410" s="268"/>
      <c r="F410" s="291"/>
      <c r="G410" s="268"/>
      <c r="H410" s="268"/>
      <c r="I410" s="268"/>
      <c r="J410" s="268"/>
      <c r="K410" s="268"/>
      <c r="L410" s="288" t="str">
        <f t="shared" si="3"/>
        <v/>
      </c>
      <c r="M410" s="278"/>
      <c r="N410" s="290"/>
      <c r="O410" s="276"/>
      <c r="P410" s="276"/>
      <c r="Q410" s="276"/>
      <c r="R410" s="278"/>
      <c r="S410" s="278"/>
      <c r="T410" s="278"/>
      <c r="U410" s="279"/>
      <c r="V410" s="279"/>
      <c r="W410" s="279"/>
      <c r="X410" s="279"/>
      <c r="Y410" s="279"/>
      <c r="Z410" s="282"/>
      <c r="AA410" s="282"/>
      <c r="AB410" s="282"/>
      <c r="AC410" s="284"/>
      <c r="AD410" s="284"/>
    </row>
    <row r="411" ht="14.25" customHeight="1">
      <c r="A411" s="266"/>
      <c r="B411" s="266"/>
      <c r="C411" s="266"/>
      <c r="D411" s="266"/>
      <c r="E411" s="268"/>
      <c r="F411" s="291"/>
      <c r="G411" s="268"/>
      <c r="H411" s="268"/>
      <c r="I411" s="268"/>
      <c r="J411" s="268"/>
      <c r="K411" s="268"/>
      <c r="L411" s="288" t="str">
        <f t="shared" si="3"/>
        <v/>
      </c>
      <c r="M411" s="278"/>
      <c r="N411" s="290"/>
      <c r="O411" s="276"/>
      <c r="P411" s="276"/>
      <c r="Q411" s="276"/>
      <c r="R411" s="278"/>
      <c r="S411" s="278"/>
      <c r="T411" s="278"/>
      <c r="U411" s="279"/>
      <c r="V411" s="279"/>
      <c r="W411" s="279"/>
      <c r="X411" s="279"/>
      <c r="Y411" s="279"/>
      <c r="Z411" s="282"/>
      <c r="AA411" s="282"/>
      <c r="AB411" s="282"/>
      <c r="AC411" s="284"/>
      <c r="AD411" s="284"/>
    </row>
    <row r="412" ht="14.25" customHeight="1">
      <c r="A412" s="266"/>
      <c r="B412" s="266"/>
      <c r="C412" s="266"/>
      <c r="D412" s="266"/>
      <c r="E412" s="268"/>
      <c r="F412" s="291"/>
      <c r="G412" s="268"/>
      <c r="H412" s="268"/>
      <c r="I412" s="268"/>
      <c r="J412" s="268"/>
      <c r="K412" s="268"/>
      <c r="L412" s="288" t="str">
        <f t="shared" si="3"/>
        <v/>
      </c>
      <c r="M412" s="278"/>
      <c r="N412" s="290"/>
      <c r="O412" s="276"/>
      <c r="P412" s="276"/>
      <c r="Q412" s="276"/>
      <c r="R412" s="278"/>
      <c r="S412" s="278"/>
      <c r="T412" s="278"/>
      <c r="U412" s="279"/>
      <c r="V412" s="279"/>
      <c r="W412" s="279"/>
      <c r="X412" s="279"/>
      <c r="Y412" s="279"/>
      <c r="Z412" s="282"/>
      <c r="AA412" s="282"/>
      <c r="AB412" s="282"/>
      <c r="AC412" s="284"/>
      <c r="AD412" s="284"/>
    </row>
    <row r="413" ht="14.25" customHeight="1">
      <c r="A413" s="266"/>
      <c r="B413" s="266"/>
      <c r="C413" s="266"/>
      <c r="D413" s="266"/>
      <c r="E413" s="268"/>
      <c r="F413" s="291"/>
      <c r="G413" s="268"/>
      <c r="H413" s="268"/>
      <c r="I413" s="268"/>
      <c r="J413" s="268"/>
      <c r="K413" s="268"/>
      <c r="L413" s="288" t="str">
        <f t="shared" si="3"/>
        <v/>
      </c>
      <c r="M413" s="278"/>
      <c r="N413" s="290"/>
      <c r="O413" s="276"/>
      <c r="P413" s="276"/>
      <c r="Q413" s="276"/>
      <c r="R413" s="278"/>
      <c r="S413" s="278"/>
      <c r="T413" s="278"/>
      <c r="U413" s="279"/>
      <c r="V413" s="279"/>
      <c r="W413" s="279"/>
      <c r="X413" s="279"/>
      <c r="Y413" s="279"/>
      <c r="Z413" s="282"/>
      <c r="AA413" s="282"/>
      <c r="AB413" s="282"/>
      <c r="AC413" s="284"/>
      <c r="AD413" s="284"/>
    </row>
    <row r="414" ht="14.25" customHeight="1">
      <c r="A414" s="266"/>
      <c r="B414" s="266"/>
      <c r="C414" s="266"/>
      <c r="D414" s="266"/>
      <c r="E414" s="268"/>
      <c r="F414" s="291"/>
      <c r="G414" s="268"/>
      <c r="H414" s="268"/>
      <c r="I414" s="268"/>
      <c r="J414" s="268"/>
      <c r="K414" s="268"/>
      <c r="L414" s="288" t="str">
        <f t="shared" si="3"/>
        <v/>
      </c>
      <c r="M414" s="278"/>
      <c r="N414" s="290"/>
      <c r="O414" s="276"/>
      <c r="P414" s="276"/>
      <c r="Q414" s="276"/>
      <c r="R414" s="278"/>
      <c r="S414" s="278"/>
      <c r="T414" s="278"/>
      <c r="U414" s="279"/>
      <c r="V414" s="279"/>
      <c r="W414" s="279"/>
      <c r="X414" s="279"/>
      <c r="Y414" s="279"/>
      <c r="Z414" s="282"/>
      <c r="AA414" s="282"/>
      <c r="AB414" s="282"/>
      <c r="AC414" s="284"/>
      <c r="AD414" s="284"/>
    </row>
    <row r="415" ht="14.25" customHeight="1">
      <c r="A415" s="266"/>
      <c r="B415" s="266"/>
      <c r="C415" s="266"/>
      <c r="D415" s="266"/>
      <c r="E415" s="268"/>
      <c r="F415" s="291"/>
      <c r="G415" s="268"/>
      <c r="H415" s="268"/>
      <c r="I415" s="268"/>
      <c r="J415" s="268"/>
      <c r="K415" s="268"/>
      <c r="L415" s="288" t="str">
        <f t="shared" si="3"/>
        <v/>
      </c>
      <c r="M415" s="278"/>
      <c r="N415" s="290"/>
      <c r="O415" s="276"/>
      <c r="P415" s="276"/>
      <c r="Q415" s="276"/>
      <c r="R415" s="278"/>
      <c r="S415" s="278"/>
      <c r="T415" s="278"/>
      <c r="U415" s="279"/>
      <c r="V415" s="279"/>
      <c r="W415" s="279"/>
      <c r="X415" s="279"/>
      <c r="Y415" s="279"/>
      <c r="Z415" s="282"/>
      <c r="AA415" s="282"/>
      <c r="AB415" s="282"/>
      <c r="AC415" s="284"/>
      <c r="AD415" s="284"/>
    </row>
    <row r="416" ht="14.25" customHeight="1">
      <c r="A416" s="266"/>
      <c r="B416" s="266"/>
      <c r="C416" s="266"/>
      <c r="D416" s="266"/>
      <c r="E416" s="268"/>
      <c r="F416" s="291"/>
      <c r="G416" s="268"/>
      <c r="H416" s="268"/>
      <c r="I416" s="268"/>
      <c r="J416" s="268"/>
      <c r="K416" s="268"/>
      <c r="L416" s="288" t="str">
        <f t="shared" si="3"/>
        <v/>
      </c>
      <c r="M416" s="278"/>
      <c r="N416" s="290"/>
      <c r="O416" s="276"/>
      <c r="P416" s="276"/>
      <c r="Q416" s="276"/>
      <c r="R416" s="278"/>
      <c r="S416" s="278"/>
      <c r="T416" s="278"/>
      <c r="U416" s="279"/>
      <c r="V416" s="279"/>
      <c r="W416" s="279"/>
      <c r="X416" s="279"/>
      <c r="Y416" s="279"/>
      <c r="Z416" s="282"/>
      <c r="AA416" s="282"/>
      <c r="AB416" s="282"/>
      <c r="AC416" s="284"/>
      <c r="AD416" s="284"/>
    </row>
    <row r="417" ht="14.25" customHeight="1">
      <c r="A417" s="266"/>
      <c r="B417" s="266"/>
      <c r="C417" s="266"/>
      <c r="D417" s="266"/>
      <c r="E417" s="268"/>
      <c r="F417" s="291"/>
      <c r="G417" s="268"/>
      <c r="H417" s="268"/>
      <c r="I417" s="268"/>
      <c r="J417" s="268"/>
      <c r="K417" s="268"/>
      <c r="L417" s="288" t="str">
        <f t="shared" si="3"/>
        <v/>
      </c>
      <c r="M417" s="278"/>
      <c r="N417" s="290"/>
      <c r="O417" s="276"/>
      <c r="P417" s="276"/>
      <c r="Q417" s="276"/>
      <c r="R417" s="278"/>
      <c r="S417" s="278"/>
      <c r="T417" s="278"/>
      <c r="U417" s="279"/>
      <c r="V417" s="279"/>
      <c r="W417" s="279"/>
      <c r="X417" s="279"/>
      <c r="Y417" s="279"/>
      <c r="Z417" s="282"/>
      <c r="AA417" s="282"/>
      <c r="AB417" s="282"/>
      <c r="AC417" s="284"/>
      <c r="AD417" s="284"/>
    </row>
    <row r="418" ht="14.25" customHeight="1">
      <c r="A418" s="266"/>
      <c r="B418" s="266"/>
      <c r="C418" s="266"/>
      <c r="D418" s="266"/>
      <c r="E418" s="268"/>
      <c r="F418" s="291"/>
      <c r="G418" s="268"/>
      <c r="H418" s="268"/>
      <c r="I418" s="268"/>
      <c r="J418" s="268"/>
      <c r="K418" s="268"/>
      <c r="L418" s="288" t="str">
        <f t="shared" si="3"/>
        <v/>
      </c>
      <c r="M418" s="278"/>
      <c r="N418" s="290"/>
      <c r="O418" s="276"/>
      <c r="P418" s="276"/>
      <c r="Q418" s="276"/>
      <c r="R418" s="278"/>
      <c r="S418" s="278"/>
      <c r="T418" s="278"/>
      <c r="U418" s="279"/>
      <c r="V418" s="279"/>
      <c r="W418" s="279"/>
      <c r="X418" s="279"/>
      <c r="Y418" s="279"/>
      <c r="Z418" s="282"/>
      <c r="AA418" s="282"/>
      <c r="AB418" s="282"/>
      <c r="AC418" s="284"/>
      <c r="AD418" s="284"/>
    </row>
    <row r="419" ht="14.25" customHeight="1">
      <c r="A419" s="266"/>
      <c r="B419" s="266"/>
      <c r="C419" s="266"/>
      <c r="D419" s="266"/>
      <c r="E419" s="268"/>
      <c r="F419" s="291"/>
      <c r="G419" s="268"/>
      <c r="H419" s="268"/>
      <c r="I419" s="268"/>
      <c r="J419" s="268"/>
      <c r="K419" s="268"/>
      <c r="L419" s="288" t="str">
        <f t="shared" si="3"/>
        <v/>
      </c>
      <c r="M419" s="278"/>
      <c r="N419" s="290"/>
      <c r="O419" s="276"/>
      <c r="P419" s="276"/>
      <c r="Q419" s="276"/>
      <c r="R419" s="278"/>
      <c r="S419" s="278"/>
      <c r="T419" s="278"/>
      <c r="U419" s="279"/>
      <c r="V419" s="279"/>
      <c r="W419" s="279"/>
      <c r="X419" s="279"/>
      <c r="Y419" s="279"/>
      <c r="Z419" s="282"/>
      <c r="AA419" s="282"/>
      <c r="AB419" s="282"/>
      <c r="AC419" s="284"/>
      <c r="AD419" s="284"/>
    </row>
    <row r="420" ht="14.25" customHeight="1">
      <c r="A420" s="266"/>
      <c r="B420" s="266"/>
      <c r="C420" s="266"/>
      <c r="D420" s="266"/>
      <c r="E420" s="268"/>
      <c r="F420" s="291"/>
      <c r="G420" s="268"/>
      <c r="H420" s="268"/>
      <c r="I420" s="268"/>
      <c r="J420" s="268"/>
      <c r="K420" s="268"/>
      <c r="L420" s="288" t="str">
        <f t="shared" si="3"/>
        <v/>
      </c>
      <c r="M420" s="278"/>
      <c r="N420" s="290"/>
      <c r="O420" s="276"/>
      <c r="P420" s="276"/>
      <c r="Q420" s="276"/>
      <c r="R420" s="278"/>
      <c r="S420" s="278"/>
      <c r="T420" s="278"/>
      <c r="U420" s="279"/>
      <c r="V420" s="279"/>
      <c r="W420" s="279"/>
      <c r="X420" s="279"/>
      <c r="Y420" s="279"/>
      <c r="Z420" s="282"/>
      <c r="AA420" s="282"/>
      <c r="AB420" s="282"/>
      <c r="AC420" s="284"/>
      <c r="AD420" s="284"/>
    </row>
    <row r="421" ht="14.25" customHeight="1">
      <c r="A421" s="266"/>
      <c r="B421" s="266"/>
      <c r="C421" s="266"/>
      <c r="D421" s="266"/>
      <c r="E421" s="268"/>
      <c r="F421" s="291"/>
      <c r="G421" s="268"/>
      <c r="H421" s="268"/>
      <c r="I421" s="268"/>
      <c r="J421" s="268"/>
      <c r="K421" s="268"/>
      <c r="L421" s="288" t="str">
        <f t="shared" si="3"/>
        <v/>
      </c>
      <c r="M421" s="278"/>
      <c r="N421" s="290"/>
      <c r="O421" s="276"/>
      <c r="P421" s="276"/>
      <c r="Q421" s="276"/>
      <c r="R421" s="278"/>
      <c r="S421" s="278"/>
      <c r="T421" s="278"/>
      <c r="U421" s="279"/>
      <c r="V421" s="279"/>
      <c r="W421" s="279"/>
      <c r="X421" s="279"/>
      <c r="Y421" s="279"/>
      <c r="Z421" s="282"/>
      <c r="AA421" s="282"/>
      <c r="AB421" s="282"/>
      <c r="AC421" s="284"/>
      <c r="AD421" s="284"/>
    </row>
    <row r="422" ht="14.25" customHeight="1">
      <c r="A422" s="266"/>
      <c r="B422" s="266"/>
      <c r="C422" s="266"/>
      <c r="D422" s="266"/>
      <c r="E422" s="268"/>
      <c r="F422" s="291"/>
      <c r="G422" s="268"/>
      <c r="H422" s="268"/>
      <c r="I422" s="268"/>
      <c r="J422" s="268"/>
      <c r="K422" s="268"/>
      <c r="L422" s="288" t="str">
        <f t="shared" si="3"/>
        <v/>
      </c>
      <c r="M422" s="278"/>
      <c r="N422" s="290"/>
      <c r="O422" s="276"/>
      <c r="P422" s="276"/>
      <c r="Q422" s="276"/>
      <c r="R422" s="278"/>
      <c r="S422" s="278"/>
      <c r="T422" s="278"/>
      <c r="U422" s="279"/>
      <c r="V422" s="279"/>
      <c r="W422" s="279"/>
      <c r="X422" s="279"/>
      <c r="Y422" s="279"/>
      <c r="Z422" s="282"/>
      <c r="AA422" s="282"/>
      <c r="AB422" s="282"/>
      <c r="AC422" s="284"/>
      <c r="AD422" s="284"/>
    </row>
    <row r="423" ht="14.25" customHeight="1">
      <c r="A423" s="266"/>
      <c r="B423" s="266"/>
      <c r="C423" s="266"/>
      <c r="D423" s="266"/>
      <c r="E423" s="268"/>
      <c r="F423" s="291"/>
      <c r="G423" s="268"/>
      <c r="H423" s="268"/>
      <c r="I423" s="268"/>
      <c r="J423" s="268"/>
      <c r="K423" s="268"/>
      <c r="L423" s="288" t="str">
        <f t="shared" si="3"/>
        <v/>
      </c>
      <c r="M423" s="278"/>
      <c r="N423" s="290"/>
      <c r="O423" s="276"/>
      <c r="P423" s="276"/>
      <c r="Q423" s="276"/>
      <c r="R423" s="278"/>
      <c r="S423" s="278"/>
      <c r="T423" s="278"/>
      <c r="U423" s="279"/>
      <c r="V423" s="279"/>
      <c r="W423" s="279"/>
      <c r="X423" s="279"/>
      <c r="Y423" s="279"/>
      <c r="Z423" s="282"/>
      <c r="AA423" s="282"/>
      <c r="AB423" s="282"/>
      <c r="AC423" s="284"/>
      <c r="AD423" s="284"/>
    </row>
    <row r="424" ht="14.25" customHeight="1">
      <c r="A424" s="266"/>
      <c r="B424" s="266"/>
      <c r="C424" s="266"/>
      <c r="D424" s="266"/>
      <c r="E424" s="268"/>
      <c r="F424" s="291"/>
      <c r="G424" s="268"/>
      <c r="H424" s="268"/>
      <c r="I424" s="268"/>
      <c r="J424" s="268"/>
      <c r="K424" s="268"/>
      <c r="L424" s="288" t="str">
        <f t="shared" si="3"/>
        <v/>
      </c>
      <c r="M424" s="278"/>
      <c r="N424" s="290"/>
      <c r="O424" s="276"/>
      <c r="P424" s="276"/>
      <c r="Q424" s="276"/>
      <c r="R424" s="278"/>
      <c r="S424" s="278"/>
      <c r="T424" s="278"/>
      <c r="U424" s="279"/>
      <c r="V424" s="279"/>
      <c r="W424" s="279"/>
      <c r="X424" s="279"/>
      <c r="Y424" s="279"/>
      <c r="Z424" s="282"/>
      <c r="AA424" s="282"/>
      <c r="AB424" s="282"/>
      <c r="AC424" s="284"/>
      <c r="AD424" s="284"/>
    </row>
    <row r="425" ht="14.25" customHeight="1">
      <c r="A425" s="266"/>
      <c r="B425" s="266"/>
      <c r="C425" s="266"/>
      <c r="D425" s="266"/>
      <c r="E425" s="268"/>
      <c r="F425" s="291"/>
      <c r="G425" s="268"/>
      <c r="H425" s="268"/>
      <c r="I425" s="268"/>
      <c r="J425" s="268"/>
      <c r="K425" s="268"/>
      <c r="L425" s="288" t="str">
        <f t="shared" si="3"/>
        <v/>
      </c>
      <c r="M425" s="278"/>
      <c r="N425" s="290"/>
      <c r="O425" s="276"/>
      <c r="P425" s="276"/>
      <c r="Q425" s="276"/>
      <c r="R425" s="278"/>
      <c r="S425" s="278"/>
      <c r="T425" s="278"/>
      <c r="U425" s="279"/>
      <c r="V425" s="279"/>
      <c r="W425" s="279"/>
      <c r="X425" s="279"/>
      <c r="Y425" s="279"/>
      <c r="Z425" s="282"/>
      <c r="AA425" s="282"/>
      <c r="AB425" s="282"/>
      <c r="AC425" s="284"/>
      <c r="AD425" s="284"/>
    </row>
    <row r="426" ht="14.25" customHeight="1">
      <c r="A426" s="266"/>
      <c r="B426" s="266"/>
      <c r="C426" s="266"/>
      <c r="D426" s="266"/>
      <c r="E426" s="268"/>
      <c r="F426" s="291"/>
      <c r="G426" s="268"/>
      <c r="H426" s="268"/>
      <c r="I426" s="268"/>
      <c r="J426" s="268"/>
      <c r="K426" s="268"/>
      <c r="L426" s="288" t="str">
        <f t="shared" si="3"/>
        <v/>
      </c>
      <c r="M426" s="278"/>
      <c r="N426" s="290"/>
      <c r="O426" s="276"/>
      <c r="P426" s="276"/>
      <c r="Q426" s="276"/>
      <c r="R426" s="278"/>
      <c r="S426" s="278"/>
      <c r="T426" s="278"/>
      <c r="U426" s="279"/>
      <c r="V426" s="279"/>
      <c r="W426" s="279"/>
      <c r="X426" s="279"/>
      <c r="Y426" s="279"/>
      <c r="Z426" s="282"/>
      <c r="AA426" s="282"/>
      <c r="AB426" s="282"/>
      <c r="AC426" s="284"/>
      <c r="AD426" s="284"/>
    </row>
    <row r="427" ht="14.25" customHeight="1">
      <c r="A427" s="266"/>
      <c r="B427" s="266"/>
      <c r="C427" s="266"/>
      <c r="D427" s="266"/>
      <c r="E427" s="268"/>
      <c r="F427" s="291"/>
      <c r="G427" s="268"/>
      <c r="H427" s="268"/>
      <c r="I427" s="268"/>
      <c r="J427" s="268"/>
      <c r="K427" s="268"/>
      <c r="L427" s="288" t="str">
        <f t="shared" si="3"/>
        <v/>
      </c>
      <c r="M427" s="278"/>
      <c r="N427" s="290"/>
      <c r="O427" s="276"/>
      <c r="P427" s="276"/>
      <c r="Q427" s="276"/>
      <c r="R427" s="278"/>
      <c r="S427" s="278"/>
      <c r="T427" s="278"/>
      <c r="U427" s="279"/>
      <c r="V427" s="279"/>
      <c r="W427" s="279"/>
      <c r="X427" s="279"/>
      <c r="Y427" s="279"/>
      <c r="Z427" s="282"/>
      <c r="AA427" s="282"/>
      <c r="AB427" s="282"/>
      <c r="AC427" s="284"/>
      <c r="AD427" s="284"/>
    </row>
    <row r="428" ht="14.25" customHeight="1">
      <c r="A428" s="266"/>
      <c r="B428" s="266"/>
      <c r="C428" s="266"/>
      <c r="D428" s="266"/>
      <c r="E428" s="268"/>
      <c r="F428" s="291"/>
      <c r="G428" s="268"/>
      <c r="H428" s="268"/>
      <c r="I428" s="268"/>
      <c r="J428" s="268"/>
      <c r="K428" s="268"/>
      <c r="L428" s="288" t="str">
        <f t="shared" si="3"/>
        <v/>
      </c>
      <c r="M428" s="278"/>
      <c r="N428" s="290"/>
      <c r="O428" s="276"/>
      <c r="P428" s="276"/>
      <c r="Q428" s="276"/>
      <c r="R428" s="278"/>
      <c r="S428" s="278"/>
      <c r="T428" s="278"/>
      <c r="U428" s="279"/>
      <c r="V428" s="279"/>
      <c r="W428" s="279"/>
      <c r="X428" s="279"/>
      <c r="Y428" s="279"/>
      <c r="Z428" s="282"/>
      <c r="AA428" s="282"/>
      <c r="AB428" s="282"/>
      <c r="AC428" s="284"/>
      <c r="AD428" s="284"/>
    </row>
    <row r="429" ht="14.25" customHeight="1">
      <c r="A429" s="266"/>
      <c r="B429" s="266"/>
      <c r="C429" s="266"/>
      <c r="D429" s="266"/>
      <c r="E429" s="268"/>
      <c r="F429" s="291"/>
      <c r="G429" s="268"/>
      <c r="H429" s="268"/>
      <c r="I429" s="268"/>
      <c r="J429" s="268"/>
      <c r="K429" s="268"/>
      <c r="L429" s="288" t="str">
        <f t="shared" si="3"/>
        <v/>
      </c>
      <c r="M429" s="278"/>
      <c r="N429" s="290"/>
      <c r="O429" s="276"/>
      <c r="P429" s="276"/>
      <c r="Q429" s="276"/>
      <c r="R429" s="278"/>
      <c r="S429" s="278"/>
      <c r="T429" s="278"/>
      <c r="U429" s="279"/>
      <c r="V429" s="279"/>
      <c r="W429" s="279"/>
      <c r="X429" s="279"/>
      <c r="Y429" s="279"/>
      <c r="Z429" s="282"/>
      <c r="AA429" s="282"/>
      <c r="AB429" s="282"/>
      <c r="AC429" s="284"/>
      <c r="AD429" s="284"/>
    </row>
    <row r="430" ht="14.25" customHeight="1">
      <c r="A430" s="266"/>
      <c r="B430" s="266"/>
      <c r="C430" s="266"/>
      <c r="D430" s="266"/>
      <c r="E430" s="268"/>
      <c r="F430" s="291"/>
      <c r="G430" s="268"/>
      <c r="H430" s="268"/>
      <c r="I430" s="268"/>
      <c r="J430" s="268"/>
      <c r="K430" s="268"/>
      <c r="L430" s="288" t="str">
        <f t="shared" si="3"/>
        <v/>
      </c>
      <c r="M430" s="278"/>
      <c r="N430" s="290"/>
      <c r="O430" s="276"/>
      <c r="P430" s="276"/>
      <c r="Q430" s="276"/>
      <c r="R430" s="278"/>
      <c r="S430" s="278"/>
      <c r="T430" s="278"/>
      <c r="U430" s="279"/>
      <c r="V430" s="279"/>
      <c r="W430" s="279"/>
      <c r="X430" s="279"/>
      <c r="Y430" s="279"/>
      <c r="Z430" s="282"/>
      <c r="AA430" s="282"/>
      <c r="AB430" s="282"/>
      <c r="AC430" s="284"/>
      <c r="AD430" s="284"/>
    </row>
    <row r="431" ht="14.25" customHeight="1">
      <c r="A431" s="266"/>
      <c r="B431" s="266"/>
      <c r="C431" s="266"/>
      <c r="D431" s="266"/>
      <c r="E431" s="268"/>
      <c r="F431" s="291"/>
      <c r="G431" s="268"/>
      <c r="H431" s="268"/>
      <c r="I431" s="268"/>
      <c r="J431" s="268"/>
      <c r="K431" s="268"/>
      <c r="L431" s="288" t="str">
        <f t="shared" si="3"/>
        <v/>
      </c>
      <c r="M431" s="278"/>
      <c r="N431" s="290"/>
      <c r="O431" s="276"/>
      <c r="P431" s="276"/>
      <c r="Q431" s="276"/>
      <c r="R431" s="278"/>
      <c r="S431" s="278"/>
      <c r="T431" s="278"/>
      <c r="U431" s="279"/>
      <c r="V431" s="279"/>
      <c r="W431" s="279"/>
      <c r="X431" s="279"/>
      <c r="Y431" s="279"/>
      <c r="Z431" s="282"/>
      <c r="AA431" s="282"/>
      <c r="AB431" s="282"/>
      <c r="AC431" s="284"/>
      <c r="AD431" s="284"/>
    </row>
    <row r="432" ht="14.25" customHeight="1">
      <c r="A432" s="266"/>
      <c r="B432" s="266"/>
      <c r="C432" s="266"/>
      <c r="D432" s="266"/>
      <c r="E432" s="268"/>
      <c r="F432" s="291"/>
      <c r="G432" s="268"/>
      <c r="H432" s="268"/>
      <c r="I432" s="268"/>
      <c r="J432" s="268"/>
      <c r="K432" s="268"/>
      <c r="L432" s="288" t="str">
        <f t="shared" si="3"/>
        <v/>
      </c>
      <c r="M432" s="278"/>
      <c r="N432" s="290"/>
      <c r="O432" s="276"/>
      <c r="P432" s="276"/>
      <c r="Q432" s="276"/>
      <c r="R432" s="278"/>
      <c r="S432" s="278"/>
      <c r="T432" s="278"/>
      <c r="U432" s="279"/>
      <c r="V432" s="279"/>
      <c r="W432" s="279"/>
      <c r="X432" s="279"/>
      <c r="Y432" s="279"/>
      <c r="Z432" s="282"/>
      <c r="AA432" s="282"/>
      <c r="AB432" s="282"/>
      <c r="AC432" s="284"/>
      <c r="AD432" s="284"/>
    </row>
    <row r="433" ht="14.25" customHeight="1">
      <c r="A433" s="266"/>
      <c r="B433" s="266"/>
      <c r="C433" s="266"/>
      <c r="D433" s="266"/>
      <c r="E433" s="268"/>
      <c r="F433" s="291"/>
      <c r="G433" s="268"/>
      <c r="H433" s="268"/>
      <c r="I433" s="268"/>
      <c r="J433" s="268"/>
      <c r="K433" s="268"/>
      <c r="L433" s="288" t="str">
        <f t="shared" si="3"/>
        <v/>
      </c>
      <c r="M433" s="278"/>
      <c r="N433" s="290"/>
      <c r="O433" s="276"/>
      <c r="P433" s="276"/>
      <c r="Q433" s="276"/>
      <c r="R433" s="278"/>
      <c r="S433" s="278"/>
      <c r="T433" s="278"/>
      <c r="U433" s="279"/>
      <c r="V433" s="279"/>
      <c r="W433" s="279"/>
      <c r="X433" s="279"/>
      <c r="Y433" s="279"/>
      <c r="Z433" s="282"/>
      <c r="AA433" s="282"/>
      <c r="AB433" s="282"/>
      <c r="AC433" s="284"/>
      <c r="AD433" s="284"/>
    </row>
    <row r="434" ht="14.25" customHeight="1">
      <c r="A434" s="266"/>
      <c r="B434" s="266"/>
      <c r="C434" s="266"/>
      <c r="D434" s="266"/>
      <c r="E434" s="268"/>
      <c r="F434" s="291"/>
      <c r="G434" s="268"/>
      <c r="H434" s="268"/>
      <c r="I434" s="268"/>
      <c r="J434" s="268"/>
      <c r="K434" s="268"/>
      <c r="L434" s="288" t="str">
        <f t="shared" si="3"/>
        <v/>
      </c>
      <c r="M434" s="278"/>
      <c r="N434" s="290"/>
      <c r="O434" s="276"/>
      <c r="P434" s="276"/>
      <c r="Q434" s="276"/>
      <c r="R434" s="278"/>
      <c r="S434" s="278"/>
      <c r="T434" s="278"/>
      <c r="U434" s="279"/>
      <c r="V434" s="279"/>
      <c r="W434" s="279"/>
      <c r="X434" s="279"/>
      <c r="Y434" s="279"/>
      <c r="Z434" s="282"/>
      <c r="AA434" s="282"/>
      <c r="AB434" s="282"/>
      <c r="AC434" s="284"/>
      <c r="AD434" s="284"/>
    </row>
    <row r="435" ht="14.25" customHeight="1">
      <c r="A435" s="266"/>
      <c r="B435" s="266"/>
      <c r="C435" s="266"/>
      <c r="D435" s="266"/>
      <c r="E435" s="268"/>
      <c r="F435" s="291"/>
      <c r="G435" s="268"/>
      <c r="H435" s="268"/>
      <c r="I435" s="268"/>
      <c r="J435" s="268"/>
      <c r="K435" s="268"/>
      <c r="L435" s="288" t="str">
        <f t="shared" si="3"/>
        <v/>
      </c>
      <c r="M435" s="278"/>
      <c r="N435" s="290"/>
      <c r="O435" s="276"/>
      <c r="P435" s="276"/>
      <c r="Q435" s="276"/>
      <c r="R435" s="278"/>
      <c r="S435" s="278"/>
      <c r="T435" s="278"/>
      <c r="U435" s="279"/>
      <c r="V435" s="279"/>
      <c r="W435" s="279"/>
      <c r="X435" s="279"/>
      <c r="Y435" s="279"/>
      <c r="Z435" s="282"/>
      <c r="AA435" s="282"/>
      <c r="AB435" s="282"/>
      <c r="AC435" s="284"/>
      <c r="AD435" s="284"/>
    </row>
    <row r="436" ht="14.25" customHeight="1">
      <c r="A436" s="266"/>
      <c r="B436" s="266"/>
      <c r="C436" s="266"/>
      <c r="D436" s="266"/>
      <c r="E436" s="268"/>
      <c r="F436" s="291"/>
      <c r="G436" s="268"/>
      <c r="H436" s="268"/>
      <c r="I436" s="268"/>
      <c r="J436" s="268"/>
      <c r="K436" s="268"/>
      <c r="L436" s="288" t="str">
        <f t="shared" si="3"/>
        <v/>
      </c>
      <c r="M436" s="278"/>
      <c r="N436" s="290"/>
      <c r="O436" s="276"/>
      <c r="P436" s="276"/>
      <c r="Q436" s="276"/>
      <c r="R436" s="278"/>
      <c r="S436" s="278"/>
      <c r="T436" s="278"/>
      <c r="U436" s="279"/>
      <c r="V436" s="279"/>
      <c r="W436" s="279"/>
      <c r="X436" s="279"/>
      <c r="Y436" s="279"/>
      <c r="Z436" s="282"/>
      <c r="AA436" s="282"/>
      <c r="AB436" s="282"/>
      <c r="AC436" s="284"/>
      <c r="AD436" s="284"/>
    </row>
    <row r="437" ht="14.25" customHeight="1">
      <c r="A437" s="266"/>
      <c r="B437" s="266"/>
      <c r="C437" s="266"/>
      <c r="D437" s="266"/>
      <c r="E437" s="268"/>
      <c r="F437" s="291"/>
      <c r="G437" s="268"/>
      <c r="H437" s="268"/>
      <c r="I437" s="268"/>
      <c r="J437" s="268"/>
      <c r="K437" s="268"/>
      <c r="L437" s="288" t="str">
        <f t="shared" si="3"/>
        <v/>
      </c>
      <c r="M437" s="278"/>
      <c r="N437" s="290"/>
      <c r="O437" s="276"/>
      <c r="P437" s="276"/>
      <c r="Q437" s="276"/>
      <c r="R437" s="278"/>
      <c r="S437" s="278"/>
      <c r="T437" s="278"/>
      <c r="U437" s="279"/>
      <c r="V437" s="279"/>
      <c r="W437" s="279"/>
      <c r="X437" s="279"/>
      <c r="Y437" s="279"/>
      <c r="Z437" s="282"/>
      <c r="AA437" s="282"/>
      <c r="AB437" s="282"/>
      <c r="AC437" s="284"/>
      <c r="AD437" s="284"/>
    </row>
    <row r="438" ht="14.25" customHeight="1">
      <c r="A438" s="266"/>
      <c r="B438" s="266"/>
      <c r="C438" s="266"/>
      <c r="D438" s="266"/>
      <c r="E438" s="268"/>
      <c r="F438" s="291"/>
      <c r="G438" s="268"/>
      <c r="H438" s="268"/>
      <c r="I438" s="268"/>
      <c r="J438" s="268"/>
      <c r="K438" s="268"/>
      <c r="L438" s="288" t="str">
        <f t="shared" si="3"/>
        <v/>
      </c>
      <c r="M438" s="278"/>
      <c r="N438" s="290"/>
      <c r="O438" s="276"/>
      <c r="P438" s="276"/>
      <c r="Q438" s="276"/>
      <c r="R438" s="278"/>
      <c r="S438" s="278"/>
      <c r="T438" s="278"/>
      <c r="U438" s="279"/>
      <c r="V438" s="279"/>
      <c r="W438" s="279"/>
      <c r="X438" s="279"/>
      <c r="Y438" s="279"/>
      <c r="Z438" s="282"/>
      <c r="AA438" s="282"/>
      <c r="AB438" s="282"/>
      <c r="AC438" s="284"/>
      <c r="AD438" s="284"/>
    </row>
    <row r="439" ht="14.25" customHeight="1">
      <c r="A439" s="266"/>
      <c r="B439" s="266"/>
      <c r="C439" s="266"/>
      <c r="D439" s="266"/>
      <c r="E439" s="268"/>
      <c r="F439" s="291"/>
      <c r="G439" s="268"/>
      <c r="H439" s="268"/>
      <c r="I439" s="268"/>
      <c r="J439" s="268"/>
      <c r="K439" s="268"/>
      <c r="L439" s="288" t="str">
        <f t="shared" si="3"/>
        <v/>
      </c>
      <c r="M439" s="278"/>
      <c r="N439" s="290"/>
      <c r="O439" s="276"/>
      <c r="P439" s="276"/>
      <c r="Q439" s="276"/>
      <c r="R439" s="278"/>
      <c r="S439" s="278"/>
      <c r="T439" s="278"/>
      <c r="U439" s="279"/>
      <c r="V439" s="279"/>
      <c r="W439" s="279"/>
      <c r="X439" s="279"/>
      <c r="Y439" s="279"/>
      <c r="Z439" s="282"/>
      <c r="AA439" s="282"/>
      <c r="AB439" s="282"/>
      <c r="AC439" s="284"/>
      <c r="AD439" s="284"/>
    </row>
    <row r="440" ht="14.25" customHeight="1">
      <c r="A440" s="266"/>
      <c r="B440" s="266"/>
      <c r="C440" s="266"/>
      <c r="D440" s="266"/>
      <c r="E440" s="268"/>
      <c r="F440" s="291"/>
      <c r="G440" s="268"/>
      <c r="H440" s="268"/>
      <c r="I440" s="268"/>
      <c r="J440" s="268"/>
      <c r="K440" s="268"/>
      <c r="L440" s="288" t="str">
        <f t="shared" si="3"/>
        <v/>
      </c>
      <c r="M440" s="278"/>
      <c r="N440" s="290"/>
      <c r="O440" s="276"/>
      <c r="P440" s="276"/>
      <c r="Q440" s="276"/>
      <c r="R440" s="278"/>
      <c r="S440" s="278"/>
      <c r="T440" s="278"/>
      <c r="U440" s="279"/>
      <c r="V440" s="279"/>
      <c r="W440" s="279"/>
      <c r="X440" s="279"/>
      <c r="Y440" s="279"/>
      <c r="Z440" s="282"/>
      <c r="AA440" s="282"/>
      <c r="AB440" s="282"/>
      <c r="AC440" s="284"/>
      <c r="AD440" s="284"/>
    </row>
    <row r="441" ht="14.25" customHeight="1">
      <c r="A441" s="266"/>
      <c r="B441" s="266"/>
      <c r="C441" s="266"/>
      <c r="D441" s="266"/>
      <c r="E441" s="268"/>
      <c r="F441" s="291"/>
      <c r="G441" s="268"/>
      <c r="H441" s="268"/>
      <c r="I441" s="268"/>
      <c r="J441" s="268"/>
      <c r="K441" s="268"/>
      <c r="L441" s="288" t="str">
        <f t="shared" si="3"/>
        <v/>
      </c>
      <c r="M441" s="278"/>
      <c r="N441" s="290"/>
      <c r="O441" s="276"/>
      <c r="P441" s="276"/>
      <c r="Q441" s="276"/>
      <c r="R441" s="278"/>
      <c r="S441" s="278"/>
      <c r="T441" s="278"/>
      <c r="U441" s="279"/>
      <c r="V441" s="279"/>
      <c r="W441" s="279"/>
      <c r="X441" s="279"/>
      <c r="Y441" s="279"/>
      <c r="Z441" s="282"/>
      <c r="AA441" s="282"/>
      <c r="AB441" s="282"/>
      <c r="AC441" s="284"/>
      <c r="AD441" s="284"/>
    </row>
    <row r="442" ht="14.25" customHeight="1">
      <c r="A442" s="266"/>
      <c r="B442" s="266"/>
      <c r="C442" s="266"/>
      <c r="D442" s="266"/>
      <c r="E442" s="268"/>
      <c r="F442" s="291"/>
      <c r="G442" s="268"/>
      <c r="H442" s="268"/>
      <c r="I442" s="268"/>
      <c r="J442" s="268"/>
      <c r="K442" s="268"/>
      <c r="L442" s="288" t="str">
        <f t="shared" si="3"/>
        <v/>
      </c>
      <c r="M442" s="278"/>
      <c r="N442" s="290"/>
      <c r="O442" s="276"/>
      <c r="P442" s="276"/>
      <c r="Q442" s="276"/>
      <c r="R442" s="278"/>
      <c r="S442" s="278"/>
      <c r="T442" s="278"/>
      <c r="U442" s="279"/>
      <c r="V442" s="279"/>
      <c r="W442" s="279"/>
      <c r="X442" s="279"/>
      <c r="Y442" s="279"/>
      <c r="Z442" s="282"/>
      <c r="AA442" s="282"/>
      <c r="AB442" s="282"/>
      <c r="AC442" s="284"/>
      <c r="AD442" s="284"/>
    </row>
    <row r="443" ht="14.25" customHeight="1">
      <c r="A443" s="266"/>
      <c r="B443" s="266"/>
      <c r="C443" s="266"/>
      <c r="D443" s="266"/>
      <c r="E443" s="268"/>
      <c r="F443" s="291"/>
      <c r="G443" s="268"/>
      <c r="H443" s="268"/>
      <c r="I443" s="268"/>
      <c r="J443" s="268"/>
      <c r="K443" s="268"/>
      <c r="L443" s="288" t="str">
        <f t="shared" si="3"/>
        <v/>
      </c>
      <c r="M443" s="278"/>
      <c r="N443" s="290"/>
      <c r="O443" s="276"/>
      <c r="P443" s="276"/>
      <c r="Q443" s="276"/>
      <c r="R443" s="278"/>
      <c r="S443" s="278"/>
      <c r="T443" s="278"/>
      <c r="U443" s="279"/>
      <c r="V443" s="279"/>
      <c r="W443" s="279"/>
      <c r="X443" s="279"/>
      <c r="Y443" s="279"/>
      <c r="Z443" s="282"/>
      <c r="AA443" s="282"/>
      <c r="AB443" s="282"/>
      <c r="AC443" s="284"/>
      <c r="AD443" s="284"/>
    </row>
    <row r="444" ht="14.25" customHeight="1">
      <c r="A444" s="266"/>
      <c r="B444" s="266"/>
      <c r="C444" s="266"/>
      <c r="D444" s="266"/>
      <c r="E444" s="268"/>
      <c r="F444" s="291"/>
      <c r="G444" s="268"/>
      <c r="H444" s="268"/>
      <c r="I444" s="268"/>
      <c r="J444" s="268"/>
      <c r="K444" s="268"/>
      <c r="L444" s="288" t="str">
        <f t="shared" si="3"/>
        <v/>
      </c>
      <c r="M444" s="278"/>
      <c r="N444" s="290"/>
      <c r="O444" s="276"/>
      <c r="P444" s="276"/>
      <c r="Q444" s="276"/>
      <c r="R444" s="278"/>
      <c r="S444" s="278"/>
      <c r="T444" s="278"/>
      <c r="U444" s="279"/>
      <c r="V444" s="279"/>
      <c r="W444" s="279"/>
      <c r="X444" s="279"/>
      <c r="Y444" s="279"/>
      <c r="Z444" s="282"/>
      <c r="AA444" s="282"/>
      <c r="AB444" s="282"/>
      <c r="AC444" s="284"/>
      <c r="AD444" s="284"/>
    </row>
    <row r="445" ht="14.25" customHeight="1">
      <c r="A445" s="266"/>
      <c r="B445" s="266"/>
      <c r="C445" s="266"/>
      <c r="D445" s="266"/>
      <c r="E445" s="268"/>
      <c r="F445" s="291"/>
      <c r="G445" s="268"/>
      <c r="H445" s="268"/>
      <c r="I445" s="268"/>
      <c r="J445" s="268"/>
      <c r="K445" s="268"/>
      <c r="L445" s="288" t="str">
        <f t="shared" si="3"/>
        <v/>
      </c>
      <c r="M445" s="278"/>
      <c r="N445" s="290"/>
      <c r="O445" s="276"/>
      <c r="P445" s="276"/>
      <c r="Q445" s="276"/>
      <c r="R445" s="278"/>
      <c r="S445" s="278"/>
      <c r="T445" s="278"/>
      <c r="U445" s="279"/>
      <c r="V445" s="279"/>
      <c r="W445" s="279"/>
      <c r="X445" s="279"/>
      <c r="Y445" s="279"/>
      <c r="Z445" s="282"/>
      <c r="AA445" s="282"/>
      <c r="AB445" s="282"/>
      <c r="AC445" s="284"/>
      <c r="AD445" s="284"/>
    </row>
    <row r="446" ht="14.25" customHeight="1">
      <c r="A446" s="266"/>
      <c r="B446" s="266"/>
      <c r="C446" s="266"/>
      <c r="D446" s="266"/>
      <c r="E446" s="268"/>
      <c r="F446" s="291"/>
      <c r="G446" s="268"/>
      <c r="H446" s="268"/>
      <c r="I446" s="268"/>
      <c r="J446" s="268"/>
      <c r="K446" s="268"/>
      <c r="L446" s="288" t="str">
        <f t="shared" si="3"/>
        <v/>
      </c>
      <c r="M446" s="278"/>
      <c r="N446" s="290"/>
      <c r="O446" s="276"/>
      <c r="P446" s="276"/>
      <c r="Q446" s="276"/>
      <c r="R446" s="278"/>
      <c r="S446" s="278"/>
      <c r="T446" s="278"/>
      <c r="U446" s="279"/>
      <c r="V446" s="279"/>
      <c r="W446" s="279"/>
      <c r="X446" s="279"/>
      <c r="Y446" s="279"/>
      <c r="Z446" s="282"/>
      <c r="AA446" s="282"/>
      <c r="AB446" s="282"/>
      <c r="AC446" s="284"/>
      <c r="AD446" s="284"/>
    </row>
    <row r="447" ht="14.25" customHeight="1">
      <c r="A447" s="266"/>
      <c r="B447" s="266"/>
      <c r="C447" s="266"/>
      <c r="D447" s="266"/>
      <c r="E447" s="268"/>
      <c r="F447" s="291"/>
      <c r="G447" s="268"/>
      <c r="H447" s="268"/>
      <c r="I447" s="268"/>
      <c r="J447" s="268"/>
      <c r="K447" s="268"/>
      <c r="L447" s="288" t="str">
        <f t="shared" si="3"/>
        <v/>
      </c>
      <c r="M447" s="278"/>
      <c r="N447" s="290"/>
      <c r="O447" s="276"/>
      <c r="P447" s="276"/>
      <c r="Q447" s="276"/>
      <c r="R447" s="278"/>
      <c r="S447" s="278"/>
      <c r="T447" s="278"/>
      <c r="U447" s="279"/>
      <c r="V447" s="279"/>
      <c r="W447" s="279"/>
      <c r="X447" s="279"/>
      <c r="Y447" s="279"/>
      <c r="Z447" s="282"/>
      <c r="AA447" s="282"/>
      <c r="AB447" s="282"/>
      <c r="AC447" s="284"/>
      <c r="AD447" s="284"/>
    </row>
    <row r="448" ht="14.25" customHeight="1">
      <c r="A448" s="266"/>
      <c r="B448" s="266"/>
      <c r="C448" s="266"/>
      <c r="D448" s="266"/>
      <c r="E448" s="268"/>
      <c r="F448" s="291"/>
      <c r="G448" s="268"/>
      <c r="H448" s="268"/>
      <c r="I448" s="268"/>
      <c r="J448" s="268"/>
      <c r="K448" s="268"/>
      <c r="L448" s="288" t="str">
        <f t="shared" si="3"/>
        <v/>
      </c>
      <c r="M448" s="278"/>
      <c r="N448" s="290"/>
      <c r="O448" s="276"/>
      <c r="P448" s="276"/>
      <c r="Q448" s="276"/>
      <c r="R448" s="278"/>
      <c r="S448" s="278"/>
      <c r="T448" s="278"/>
      <c r="U448" s="279"/>
      <c r="V448" s="279"/>
      <c r="W448" s="279"/>
      <c r="X448" s="279"/>
      <c r="Y448" s="279"/>
      <c r="Z448" s="282"/>
      <c r="AA448" s="282"/>
      <c r="AB448" s="282"/>
      <c r="AC448" s="284"/>
      <c r="AD448" s="284"/>
    </row>
    <row r="449" ht="14.25" customHeight="1">
      <c r="A449" s="266"/>
      <c r="B449" s="266"/>
      <c r="C449" s="266"/>
      <c r="D449" s="266"/>
      <c r="E449" s="268"/>
      <c r="F449" s="291"/>
      <c r="G449" s="268"/>
      <c r="H449" s="268"/>
      <c r="I449" s="268"/>
      <c r="J449" s="268"/>
      <c r="K449" s="268"/>
      <c r="L449" s="288" t="str">
        <f t="shared" si="3"/>
        <v/>
      </c>
      <c r="M449" s="278"/>
      <c r="N449" s="290"/>
      <c r="O449" s="276"/>
      <c r="P449" s="276"/>
      <c r="Q449" s="276"/>
      <c r="R449" s="278"/>
      <c r="S449" s="278"/>
      <c r="T449" s="278"/>
      <c r="U449" s="279"/>
      <c r="V449" s="279"/>
      <c r="W449" s="279"/>
      <c r="X449" s="279"/>
      <c r="Y449" s="279"/>
      <c r="Z449" s="282"/>
      <c r="AA449" s="282"/>
      <c r="AB449" s="282"/>
      <c r="AC449" s="284"/>
      <c r="AD449" s="284"/>
    </row>
    <row r="450" ht="14.25" customHeight="1">
      <c r="A450" s="266"/>
      <c r="B450" s="266"/>
      <c r="C450" s="266"/>
      <c r="D450" s="266"/>
      <c r="E450" s="268"/>
      <c r="F450" s="291"/>
      <c r="G450" s="268"/>
      <c r="H450" s="268"/>
      <c r="I450" s="268"/>
      <c r="J450" s="268"/>
      <c r="K450" s="268"/>
      <c r="L450" s="288" t="str">
        <f t="shared" si="3"/>
        <v/>
      </c>
      <c r="M450" s="278"/>
      <c r="N450" s="290"/>
      <c r="O450" s="276"/>
      <c r="P450" s="276"/>
      <c r="Q450" s="276"/>
      <c r="R450" s="278"/>
      <c r="S450" s="278"/>
      <c r="T450" s="278"/>
      <c r="U450" s="279"/>
      <c r="V450" s="279"/>
      <c r="W450" s="279"/>
      <c r="X450" s="279"/>
      <c r="Y450" s="279"/>
      <c r="Z450" s="282"/>
      <c r="AA450" s="282"/>
      <c r="AB450" s="282"/>
      <c r="AC450" s="284"/>
      <c r="AD450" s="284"/>
    </row>
    <row r="451" ht="14.25" customHeight="1">
      <c r="A451" s="266"/>
      <c r="B451" s="266"/>
      <c r="C451" s="266"/>
      <c r="D451" s="266"/>
      <c r="E451" s="268"/>
      <c r="F451" s="291"/>
      <c r="G451" s="268"/>
      <c r="H451" s="268"/>
      <c r="I451" s="268"/>
      <c r="J451" s="268"/>
      <c r="K451" s="268"/>
      <c r="L451" s="288" t="str">
        <f t="shared" si="3"/>
        <v/>
      </c>
      <c r="M451" s="278"/>
      <c r="N451" s="290"/>
      <c r="O451" s="276"/>
      <c r="P451" s="276"/>
      <c r="Q451" s="276"/>
      <c r="R451" s="278"/>
      <c r="S451" s="278"/>
      <c r="T451" s="278"/>
      <c r="U451" s="279"/>
      <c r="V451" s="279"/>
      <c r="W451" s="279"/>
      <c r="X451" s="279"/>
      <c r="Y451" s="279"/>
      <c r="Z451" s="282"/>
      <c r="AA451" s="282"/>
      <c r="AB451" s="282"/>
      <c r="AC451" s="284"/>
      <c r="AD451" s="284"/>
    </row>
    <row r="452" ht="14.25" customHeight="1">
      <c r="A452" s="266"/>
      <c r="B452" s="266"/>
      <c r="C452" s="266"/>
      <c r="D452" s="266"/>
      <c r="E452" s="268"/>
      <c r="F452" s="291"/>
      <c r="G452" s="268"/>
      <c r="H452" s="268"/>
      <c r="I452" s="268"/>
      <c r="J452" s="268"/>
      <c r="K452" s="268"/>
      <c r="L452" s="288" t="str">
        <f t="shared" si="3"/>
        <v/>
      </c>
      <c r="M452" s="278"/>
      <c r="N452" s="290"/>
      <c r="O452" s="276"/>
      <c r="P452" s="276"/>
      <c r="Q452" s="276"/>
      <c r="R452" s="278"/>
      <c r="S452" s="278"/>
      <c r="T452" s="278"/>
      <c r="U452" s="279"/>
      <c r="V452" s="279"/>
      <c r="W452" s="279"/>
      <c r="X452" s="279"/>
      <c r="Y452" s="279"/>
      <c r="Z452" s="282"/>
      <c r="AA452" s="282"/>
      <c r="AB452" s="282"/>
      <c r="AC452" s="284"/>
      <c r="AD452" s="284"/>
    </row>
    <row r="453" ht="14.25" customHeight="1">
      <c r="A453" s="265"/>
      <c r="B453" s="266" t="s">
        <v>1685</v>
      </c>
      <c r="C453" s="266"/>
      <c r="D453" s="266" t="s">
        <v>1686</v>
      </c>
      <c r="E453" s="292"/>
      <c r="F453" s="294" t="s">
        <v>1687</v>
      </c>
      <c r="G453" s="292"/>
      <c r="H453" s="292"/>
      <c r="I453" s="292"/>
      <c r="J453" s="292"/>
      <c r="K453" s="292"/>
      <c r="L453" s="295" t="str">
        <f t="shared" si="3"/>
        <v/>
      </c>
      <c r="M453" s="296"/>
      <c r="N453" s="297"/>
      <c r="O453" s="298"/>
      <c r="P453" s="298"/>
      <c r="Q453" s="298"/>
      <c r="R453" s="296"/>
      <c r="S453" s="296"/>
      <c r="T453" s="296"/>
      <c r="U453" s="292"/>
      <c r="V453" s="292"/>
      <c r="W453" s="292"/>
      <c r="X453" s="292"/>
      <c r="Y453" s="292"/>
      <c r="Z453" s="292"/>
      <c r="AA453" s="292"/>
      <c r="AB453" s="292"/>
      <c r="AC453" s="292"/>
      <c r="AD453" s="292"/>
    </row>
    <row r="454" ht="14.25" customHeight="1">
      <c r="A454" s="265">
        <v>44545.0</v>
      </c>
      <c r="B454" s="266" t="s">
        <v>1500</v>
      </c>
      <c r="C454" s="266" t="s">
        <v>1642</v>
      </c>
      <c r="D454" s="266" t="s">
        <v>1543</v>
      </c>
      <c r="E454" s="292"/>
      <c r="F454" s="291" t="s">
        <v>1643</v>
      </c>
      <c r="G454" s="268" t="s">
        <v>1463</v>
      </c>
      <c r="H454" s="270">
        <v>0.01252314814814815</v>
      </c>
      <c r="I454" s="271">
        <v>44545.85115740741</v>
      </c>
      <c r="J454" s="268"/>
      <c r="K454" s="271">
        <v>44547.28865740741</v>
      </c>
      <c r="L454" s="288"/>
      <c r="M454" s="278" t="s">
        <v>1644</v>
      </c>
      <c r="N454" s="290"/>
      <c r="O454" s="276"/>
      <c r="P454" s="276"/>
      <c r="Q454" s="276"/>
      <c r="R454" s="278"/>
      <c r="S454" s="278"/>
      <c r="T454" s="278"/>
      <c r="U454" s="279"/>
      <c r="V454" s="279"/>
      <c r="W454" s="280"/>
      <c r="X454" s="281"/>
      <c r="Y454" s="279"/>
      <c r="Z454" s="282"/>
      <c r="AA454" s="282"/>
      <c r="AB454" s="283"/>
      <c r="AC454" s="284"/>
      <c r="AD454" s="284"/>
    </row>
    <row r="455" ht="14.25" customHeight="1">
      <c r="A455" s="265">
        <v>44545.0</v>
      </c>
      <c r="B455" s="266" t="s">
        <v>1500</v>
      </c>
      <c r="C455" s="266" t="s">
        <v>1642</v>
      </c>
      <c r="D455" s="266" t="s">
        <v>1543</v>
      </c>
      <c r="E455" s="292"/>
      <c r="F455" s="291" t="s">
        <v>1645</v>
      </c>
      <c r="G455" s="268" t="s">
        <v>1463</v>
      </c>
      <c r="H455" s="270">
        <v>0.007395833333333334</v>
      </c>
      <c r="I455" s="271">
        <v>44545.849340277775</v>
      </c>
      <c r="J455" s="268"/>
      <c r="K455" s="271">
        <v>44547.28969907408</v>
      </c>
      <c r="L455" s="288"/>
      <c r="M455" s="278" t="s">
        <v>1646</v>
      </c>
      <c r="N455" s="290"/>
      <c r="O455" s="276"/>
      <c r="P455" s="276"/>
      <c r="Q455" s="276"/>
      <c r="R455" s="278"/>
      <c r="S455" s="278"/>
      <c r="T455" s="278"/>
      <c r="U455" s="279"/>
      <c r="V455" s="279"/>
      <c r="W455" s="280"/>
      <c r="X455" s="281"/>
      <c r="Y455" s="279"/>
      <c r="Z455" s="282"/>
      <c r="AA455" s="282"/>
      <c r="AB455" s="283"/>
      <c r="AC455" s="284"/>
      <c r="AD455" s="284"/>
    </row>
    <row r="456" ht="14.25" customHeight="1">
      <c r="A456" s="265">
        <v>44545.0</v>
      </c>
      <c r="B456" s="266" t="s">
        <v>1500</v>
      </c>
      <c r="C456" s="266" t="s">
        <v>1642</v>
      </c>
      <c r="D456" s="266" t="s">
        <v>1543</v>
      </c>
      <c r="E456" s="292"/>
      <c r="F456" s="291" t="s">
        <v>1647</v>
      </c>
      <c r="G456" s="268" t="s">
        <v>1463</v>
      </c>
      <c r="H456" s="270">
        <v>0.004155092592592593</v>
      </c>
      <c r="I456" s="271">
        <v>44545.84824074074</v>
      </c>
      <c r="J456" s="268"/>
      <c r="K456" s="271">
        <v>44547.28957175926</v>
      </c>
      <c r="L456" s="288"/>
      <c r="M456" s="278" t="s">
        <v>1648</v>
      </c>
      <c r="N456" s="290"/>
      <c r="O456" s="276"/>
      <c r="P456" s="276"/>
      <c r="Q456" s="276"/>
      <c r="R456" s="278"/>
      <c r="S456" s="278"/>
      <c r="T456" s="278"/>
      <c r="U456" s="279"/>
      <c r="V456" s="279"/>
      <c r="W456" s="280"/>
      <c r="X456" s="281"/>
      <c r="Y456" s="279"/>
      <c r="Z456" s="282"/>
      <c r="AA456" s="282"/>
      <c r="AB456" s="283"/>
      <c r="AC456" s="284"/>
      <c r="AD456" s="284"/>
    </row>
    <row r="457" ht="14.25" customHeight="1">
      <c r="A457" s="265">
        <v>44545.0</v>
      </c>
      <c r="B457" s="266" t="s">
        <v>1500</v>
      </c>
      <c r="C457" s="266" t="s">
        <v>1642</v>
      </c>
      <c r="D457" s="266" t="s">
        <v>1543</v>
      </c>
      <c r="E457" s="292"/>
      <c r="F457" s="291" t="s">
        <v>1649</v>
      </c>
      <c r="G457" s="268" t="s">
        <v>1463</v>
      </c>
      <c r="H457" s="270">
        <v>0.004513888888888889</v>
      </c>
      <c r="I457" s="271">
        <v>44545.848229166666</v>
      </c>
      <c r="J457" s="268"/>
      <c r="K457" s="271">
        <v>44547.29010416667</v>
      </c>
      <c r="L457" s="288"/>
      <c r="M457" s="278" t="s">
        <v>1650</v>
      </c>
      <c r="N457" s="290"/>
      <c r="O457" s="276"/>
      <c r="P457" s="276"/>
      <c r="Q457" s="276"/>
      <c r="R457" s="278"/>
      <c r="S457" s="278"/>
      <c r="T457" s="278"/>
      <c r="U457" s="279"/>
      <c r="V457" s="279"/>
      <c r="W457" s="280"/>
      <c r="X457" s="281"/>
      <c r="Y457" s="279"/>
      <c r="Z457" s="282"/>
      <c r="AA457" s="282"/>
      <c r="AB457" s="283"/>
      <c r="AC457" s="284"/>
      <c r="AD457" s="284"/>
    </row>
    <row r="458" ht="14.25" customHeight="1">
      <c r="A458" s="265">
        <v>44545.0</v>
      </c>
      <c r="B458" s="266" t="s">
        <v>1500</v>
      </c>
      <c r="C458" s="266" t="s">
        <v>1642</v>
      </c>
      <c r="D458" s="266" t="s">
        <v>1543</v>
      </c>
      <c r="E458" s="292"/>
      <c r="F458" s="291" t="s">
        <v>1651</v>
      </c>
      <c r="G458" s="268" t="s">
        <v>1463</v>
      </c>
      <c r="H458" s="270">
        <v>0.0010069444444444444</v>
      </c>
      <c r="I458" s="271">
        <v>44545.84496527778</v>
      </c>
      <c r="J458" s="268"/>
      <c r="K458" s="271">
        <v>44547.29053240741</v>
      </c>
      <c r="L458" s="288"/>
      <c r="M458" s="278" t="s">
        <v>1652</v>
      </c>
      <c r="N458" s="290"/>
      <c r="O458" s="276"/>
      <c r="P458" s="276"/>
      <c r="Q458" s="276"/>
      <c r="R458" s="278"/>
      <c r="S458" s="278"/>
      <c r="T458" s="278"/>
      <c r="U458" s="279"/>
      <c r="V458" s="279"/>
      <c r="W458" s="280"/>
      <c r="X458" s="281"/>
      <c r="Y458" s="279"/>
      <c r="Z458" s="282"/>
      <c r="AA458" s="282"/>
      <c r="AB458" s="283"/>
      <c r="AC458" s="284"/>
      <c r="AD458" s="284"/>
    </row>
    <row r="459" ht="14.25" customHeight="1">
      <c r="A459" s="265">
        <v>44545.0</v>
      </c>
      <c r="B459" s="266" t="s">
        <v>1500</v>
      </c>
      <c r="C459" s="266" t="s">
        <v>1642</v>
      </c>
      <c r="D459" s="266" t="s">
        <v>1543</v>
      </c>
      <c r="E459" s="292"/>
      <c r="F459" s="291" t="s">
        <v>1653</v>
      </c>
      <c r="G459" s="268" t="s">
        <v>1463</v>
      </c>
      <c r="H459" s="270">
        <v>8.449074074074075E-4</v>
      </c>
      <c r="I459" s="271">
        <v>44545.84496527778</v>
      </c>
      <c r="J459" s="268"/>
      <c r="K459" s="271">
        <v>44547.29659722222</v>
      </c>
      <c r="L459" s="288"/>
      <c r="M459" s="278" t="s">
        <v>1654</v>
      </c>
      <c r="N459" s="290"/>
      <c r="O459" s="276"/>
      <c r="P459" s="276"/>
      <c r="Q459" s="276"/>
      <c r="R459" s="278"/>
      <c r="S459" s="278"/>
      <c r="T459" s="278"/>
      <c r="U459" s="279"/>
      <c r="V459" s="279"/>
      <c r="W459" s="280"/>
      <c r="X459" s="281"/>
      <c r="Y459" s="279"/>
      <c r="Z459" s="282"/>
      <c r="AA459" s="282"/>
      <c r="AB459" s="283"/>
      <c r="AC459" s="284"/>
      <c r="AD459" s="284"/>
    </row>
  </sheetData>
  <autoFilter ref="$A$2:$CN$459"/>
  <mergeCells count="5">
    <mergeCell ref="A1:D1"/>
    <mergeCell ref="E1:T1"/>
    <mergeCell ref="U1:X1"/>
    <mergeCell ref="Z1:AB1"/>
    <mergeCell ref="AC1:AD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 outlineLevelCol="1"/>
  <cols>
    <col customWidth="1" min="1" max="1" width="20.0"/>
    <col customWidth="1" min="2" max="2" width="15.29"/>
    <col customWidth="1" min="3" max="3" width="16.57"/>
    <col customWidth="1" min="4" max="4" width="16.29"/>
    <col customWidth="1" hidden="1" min="5" max="5" width="23.86"/>
    <col customWidth="1" min="6" max="6" width="63.14"/>
    <col customWidth="1" hidden="1" min="7" max="7" width="27.71"/>
    <col customWidth="1" min="8" max="8" width="22.14"/>
    <col customWidth="1" min="9" max="9" width="33.57"/>
    <col customWidth="1" hidden="1" min="10" max="10" width="18.43"/>
    <col customWidth="1" min="11" max="11" width="36.57"/>
    <col customWidth="1" hidden="1" min="12" max="12" width="56.43"/>
    <col customWidth="1" min="13" max="13" width="41.14"/>
    <col customWidth="1" hidden="1" min="14" max="14" width="32.86" outlineLevel="1"/>
    <col customWidth="1" hidden="1" min="15" max="16" width="49.86" outlineLevel="1"/>
    <col customWidth="1" hidden="1" min="17" max="19" width="32.86" outlineLevel="1"/>
    <col customWidth="1" hidden="1" min="20" max="20" width="32.86"/>
    <col customWidth="1" min="21" max="21" width="15.43"/>
    <col customWidth="1" min="22" max="22" width="14.71"/>
    <col customWidth="1" min="23" max="23" width="18.43"/>
    <col customWidth="1" min="24" max="24" width="26.57"/>
    <col customWidth="1" min="25" max="25" width="15.71"/>
    <col customWidth="1" min="26" max="26" width="16.57"/>
    <col customWidth="1" min="27" max="27" width="27.29"/>
    <col customWidth="1" min="28" max="28" width="29.43"/>
    <col customWidth="1" hidden="1" min="29" max="29" width="13.86"/>
    <col customWidth="1" min="30" max="30" width="29.71"/>
    <col customWidth="1" min="31" max="92" width="9.14"/>
  </cols>
  <sheetData>
    <row r="1" ht="12.75" hidden="1" customHeight="1">
      <c r="A1" s="244"/>
      <c r="B1" s="245"/>
      <c r="C1" s="245"/>
      <c r="D1" s="246"/>
      <c r="E1" s="247" t="s">
        <v>1470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9"/>
      <c r="U1" s="250" t="s">
        <v>28</v>
      </c>
      <c r="V1" s="251"/>
      <c r="W1" s="251"/>
      <c r="X1" s="252"/>
      <c r="Y1" s="253"/>
      <c r="Z1" s="254" t="s">
        <v>1471</v>
      </c>
      <c r="AA1" s="248"/>
      <c r="AB1" s="249"/>
      <c r="AC1" s="255" t="s">
        <v>1472</v>
      </c>
      <c r="AD1" s="249"/>
    </row>
    <row r="2" ht="19.5" customHeight="1">
      <c r="A2" s="256" t="s">
        <v>1473</v>
      </c>
      <c r="B2" s="256" t="s">
        <v>1474</v>
      </c>
      <c r="C2" s="256" t="s">
        <v>1475</v>
      </c>
      <c r="D2" s="256" t="s">
        <v>1448</v>
      </c>
      <c r="E2" s="257" t="s">
        <v>1476</v>
      </c>
      <c r="F2" s="258" t="s">
        <v>1477</v>
      </c>
      <c r="G2" s="258" t="s">
        <v>1478</v>
      </c>
      <c r="H2" s="258" t="s">
        <v>1479</v>
      </c>
      <c r="I2" s="258" t="s">
        <v>1480</v>
      </c>
      <c r="J2" s="258" t="s">
        <v>1481</v>
      </c>
      <c r="K2" s="258" t="s">
        <v>1482</v>
      </c>
      <c r="L2" s="258" t="s">
        <v>1483</v>
      </c>
      <c r="M2" s="259" t="s">
        <v>1484</v>
      </c>
      <c r="N2" s="260" t="s">
        <v>1485</v>
      </c>
      <c r="O2" s="261" t="s">
        <v>1486</v>
      </c>
      <c r="P2" s="261" t="s">
        <v>1487</v>
      </c>
      <c r="Q2" s="262" t="s">
        <v>1488</v>
      </c>
      <c r="R2" s="262" t="s">
        <v>1489</v>
      </c>
      <c r="S2" s="262" t="s">
        <v>1490</v>
      </c>
      <c r="T2" s="262" t="s">
        <v>1491</v>
      </c>
      <c r="U2" s="15" t="s">
        <v>1492</v>
      </c>
      <c r="V2" s="15" t="s">
        <v>1493</v>
      </c>
      <c r="W2" s="15" t="s">
        <v>1494</v>
      </c>
      <c r="X2" s="15" t="s">
        <v>1495</v>
      </c>
      <c r="Y2" s="15" t="s">
        <v>1496</v>
      </c>
      <c r="Z2" s="263" t="s">
        <v>1497</v>
      </c>
      <c r="AA2" s="263" t="s">
        <v>1498</v>
      </c>
      <c r="AB2" s="263" t="s">
        <v>1499</v>
      </c>
      <c r="AC2" s="264" t="s">
        <v>1493</v>
      </c>
      <c r="AD2" s="264" t="s">
        <v>1494</v>
      </c>
    </row>
    <row r="3" ht="14.25" customHeight="1">
      <c r="A3" s="265">
        <v>43831.0</v>
      </c>
      <c r="B3" s="266" t="s">
        <v>1688</v>
      </c>
      <c r="C3" s="266"/>
      <c r="D3" s="266" t="s">
        <v>1689</v>
      </c>
      <c r="E3" s="268" t="s">
        <v>28</v>
      </c>
      <c r="F3" s="291" t="s">
        <v>1690</v>
      </c>
      <c r="G3" s="268" t="s">
        <v>1463</v>
      </c>
      <c r="H3" s="270">
        <v>0.034722222222222224</v>
      </c>
      <c r="I3" s="271">
        <v>44105.572916666664</v>
      </c>
      <c r="J3" s="268" t="s">
        <v>1691</v>
      </c>
      <c r="K3" s="271">
        <v>44105.58472222222</v>
      </c>
      <c r="L3" s="271" t="str">
        <f>K3-I3</f>
        <v>12/30/99 0:17</v>
      </c>
      <c r="M3" s="278" t="s">
        <v>1692</v>
      </c>
      <c r="N3" s="290"/>
      <c r="O3" s="276"/>
      <c r="P3" s="276"/>
      <c r="Q3" s="278"/>
      <c r="R3" s="278"/>
      <c r="S3" s="278"/>
      <c r="T3" s="278"/>
      <c r="U3" s="279" t="s">
        <v>1688</v>
      </c>
      <c r="V3" s="279" t="s">
        <v>1688</v>
      </c>
      <c r="W3" s="280">
        <v>44106.0</v>
      </c>
      <c r="X3" s="281">
        <v>0.17708333333333334</v>
      </c>
      <c r="Y3" s="281" t="s">
        <v>1693</v>
      </c>
      <c r="Z3" s="282" t="s">
        <v>1694</v>
      </c>
      <c r="AA3" s="282" t="s">
        <v>1695</v>
      </c>
      <c r="AB3" s="283">
        <v>44107.0</v>
      </c>
      <c r="AC3" s="284"/>
      <c r="AD3" s="284"/>
    </row>
    <row r="4" ht="14.25" customHeight="1">
      <c r="A4" s="265">
        <v>43391.0</v>
      </c>
      <c r="B4" s="266" t="s">
        <v>1500</v>
      </c>
      <c r="C4" s="266" t="s">
        <v>1696</v>
      </c>
      <c r="D4" s="266" t="s">
        <v>1543</v>
      </c>
      <c r="E4" s="268"/>
      <c r="F4" s="291" t="s">
        <v>1697</v>
      </c>
      <c r="G4" s="268"/>
      <c r="H4" s="270">
        <v>0.0012037037037037038</v>
      </c>
      <c r="I4" s="271">
        <v>44204.39166666667</v>
      </c>
      <c r="J4" s="268"/>
      <c r="K4" s="271">
        <v>44204.721608796295</v>
      </c>
      <c r="L4" s="271"/>
      <c r="M4" s="278" t="s">
        <v>1698</v>
      </c>
      <c r="N4" s="290"/>
      <c r="O4" s="276"/>
      <c r="P4" s="276"/>
      <c r="Q4" s="278"/>
      <c r="R4" s="278"/>
      <c r="S4" s="278"/>
      <c r="T4" s="278"/>
      <c r="U4" s="279"/>
      <c r="V4" s="279" t="s">
        <v>1500</v>
      </c>
      <c r="W4" s="280">
        <v>44207.0</v>
      </c>
      <c r="X4" s="281">
        <v>0.020833333333333332</v>
      </c>
      <c r="Y4" s="281" t="s">
        <v>28</v>
      </c>
      <c r="Z4" s="282" t="s">
        <v>53</v>
      </c>
      <c r="AA4" s="282">
        <v>6316466.0</v>
      </c>
      <c r="AB4" s="283">
        <v>44210.0</v>
      </c>
      <c r="AC4" s="284"/>
      <c r="AD4" s="284"/>
    </row>
    <row r="5" ht="14.25" customHeight="1">
      <c r="A5" s="265">
        <v>44038.0</v>
      </c>
      <c r="B5" s="266" t="s">
        <v>1500</v>
      </c>
      <c r="C5" s="266" t="s">
        <v>1696</v>
      </c>
      <c r="D5" s="266" t="s">
        <v>1543</v>
      </c>
      <c r="E5" s="268"/>
      <c r="F5" s="291" t="s">
        <v>1699</v>
      </c>
      <c r="G5" s="268" t="s">
        <v>1700</v>
      </c>
      <c r="H5" s="270">
        <v>7.87037037037037E-4</v>
      </c>
      <c r="I5" s="271">
        <v>44189.708333333336</v>
      </c>
      <c r="J5" s="268"/>
      <c r="K5" s="271">
        <v>44189.711643518516</v>
      </c>
      <c r="L5" s="271"/>
      <c r="M5" s="278" t="s">
        <v>1701</v>
      </c>
      <c r="N5" s="290"/>
      <c r="O5" s="276"/>
      <c r="P5" s="276"/>
      <c r="Q5" s="278"/>
      <c r="R5" s="278"/>
      <c r="S5" s="278"/>
      <c r="T5" s="278"/>
      <c r="U5" s="279"/>
      <c r="V5" s="279" t="s">
        <v>1500</v>
      </c>
      <c r="W5" s="280">
        <v>44203.0</v>
      </c>
      <c r="X5" s="281">
        <v>0.020833333333333332</v>
      </c>
      <c r="Y5" s="281" t="s">
        <v>1693</v>
      </c>
      <c r="Z5" s="282" t="s">
        <v>53</v>
      </c>
      <c r="AA5" s="282">
        <v>6311801.0</v>
      </c>
      <c r="AB5" s="283">
        <v>44194.0</v>
      </c>
      <c r="AC5" s="284"/>
      <c r="AD5" s="284"/>
    </row>
    <row r="6" ht="14.25" customHeight="1">
      <c r="A6" s="265">
        <v>44038.0</v>
      </c>
      <c r="B6" s="266" t="s">
        <v>1500</v>
      </c>
      <c r="C6" s="266" t="s">
        <v>1696</v>
      </c>
      <c r="D6" s="266" t="s">
        <v>1543</v>
      </c>
      <c r="E6" s="268"/>
      <c r="F6" s="291" t="s">
        <v>1702</v>
      </c>
      <c r="G6" s="268" t="s">
        <v>1700</v>
      </c>
      <c r="H6" s="270">
        <v>0.004016203703703703</v>
      </c>
      <c r="I6" s="271">
        <v>44189.708333333336</v>
      </c>
      <c r="J6" s="268"/>
      <c r="K6" s="271">
        <v>44189.674259259256</v>
      </c>
      <c r="L6" s="271"/>
      <c r="M6" s="278" t="s">
        <v>1703</v>
      </c>
      <c r="N6" s="290"/>
      <c r="O6" s="276"/>
      <c r="P6" s="276"/>
      <c r="Q6" s="278"/>
      <c r="R6" s="278"/>
      <c r="S6" s="278"/>
      <c r="T6" s="278"/>
      <c r="U6" s="279"/>
      <c r="V6" s="279" t="s">
        <v>1500</v>
      </c>
      <c r="W6" s="280">
        <v>44203.0</v>
      </c>
      <c r="X6" s="281">
        <v>0.020833333333333332</v>
      </c>
      <c r="Y6" s="281" t="s">
        <v>1693</v>
      </c>
      <c r="Z6" s="282" t="s">
        <v>53</v>
      </c>
      <c r="AA6" s="282">
        <v>6311802.0</v>
      </c>
      <c r="AB6" s="283">
        <v>44194.0</v>
      </c>
      <c r="AC6" s="284"/>
      <c r="AD6" s="284"/>
    </row>
    <row r="7" ht="14.25" customHeight="1">
      <c r="A7" s="265">
        <v>44039.0</v>
      </c>
      <c r="B7" s="266" t="s">
        <v>1500</v>
      </c>
      <c r="C7" s="266" t="s">
        <v>1696</v>
      </c>
      <c r="D7" s="266" t="s">
        <v>1543</v>
      </c>
      <c r="E7" s="268"/>
      <c r="F7" s="291" t="s">
        <v>1704</v>
      </c>
      <c r="G7" s="268" t="s">
        <v>1700</v>
      </c>
      <c r="H7" s="270">
        <v>0.0025578703703703705</v>
      </c>
      <c r="I7" s="271">
        <v>44189.708333333336</v>
      </c>
      <c r="J7" s="268"/>
      <c r="K7" s="271">
        <v>44189.673101851855</v>
      </c>
      <c r="L7" s="271"/>
      <c r="M7" s="278" t="s">
        <v>1705</v>
      </c>
      <c r="N7" s="290"/>
      <c r="O7" s="276"/>
      <c r="P7" s="276"/>
      <c r="Q7" s="278"/>
      <c r="R7" s="278"/>
      <c r="S7" s="278"/>
      <c r="T7" s="278"/>
      <c r="U7" s="279"/>
      <c r="V7" s="279" t="s">
        <v>1500</v>
      </c>
      <c r="W7" s="280">
        <v>44203.0</v>
      </c>
      <c r="X7" s="281">
        <v>0.020833333333333332</v>
      </c>
      <c r="Y7" s="281" t="s">
        <v>1693</v>
      </c>
      <c r="Z7" s="282" t="s">
        <v>53</v>
      </c>
      <c r="AA7" s="282">
        <v>6311803.0</v>
      </c>
      <c r="AB7" s="283">
        <v>44194.0</v>
      </c>
      <c r="AC7" s="284"/>
      <c r="AD7" s="284"/>
    </row>
    <row r="8" ht="14.25" customHeight="1">
      <c r="A8" s="265">
        <v>44039.0</v>
      </c>
      <c r="B8" s="266" t="s">
        <v>1500</v>
      </c>
      <c r="C8" s="266" t="s">
        <v>1696</v>
      </c>
      <c r="D8" s="266" t="s">
        <v>1543</v>
      </c>
      <c r="E8" s="268"/>
      <c r="F8" s="291" t="s">
        <v>1706</v>
      </c>
      <c r="G8" s="268" t="s">
        <v>1700</v>
      </c>
      <c r="H8" s="270">
        <v>0.0017245370370370372</v>
      </c>
      <c r="I8" s="271">
        <v>44189.708333333336</v>
      </c>
      <c r="J8" s="268"/>
      <c r="K8" s="271">
        <v>44189.67288194445</v>
      </c>
      <c r="L8" s="271"/>
      <c r="M8" s="278" t="s">
        <v>1707</v>
      </c>
      <c r="N8" s="290"/>
      <c r="O8" s="276"/>
      <c r="P8" s="276"/>
      <c r="Q8" s="278"/>
      <c r="R8" s="278"/>
      <c r="S8" s="278"/>
      <c r="T8" s="278"/>
      <c r="U8" s="279"/>
      <c r="V8" s="279" t="s">
        <v>1500</v>
      </c>
      <c r="W8" s="280">
        <v>44203.0</v>
      </c>
      <c r="X8" s="281">
        <v>0.020833333333333332</v>
      </c>
      <c r="Y8" s="281" t="s">
        <v>1693</v>
      </c>
      <c r="Z8" s="282" t="s">
        <v>53</v>
      </c>
      <c r="AA8" s="282">
        <v>6311804.0</v>
      </c>
      <c r="AB8" s="283">
        <v>44194.0</v>
      </c>
      <c r="AC8" s="284"/>
      <c r="AD8" s="284"/>
    </row>
    <row r="9" ht="14.25" customHeight="1">
      <c r="A9" s="265">
        <v>44042.0</v>
      </c>
      <c r="B9" s="266" t="s">
        <v>1500</v>
      </c>
      <c r="C9" s="266" t="s">
        <v>1696</v>
      </c>
      <c r="D9" s="266" t="s">
        <v>1543</v>
      </c>
      <c r="E9" s="268"/>
      <c r="F9" s="291" t="s">
        <v>1708</v>
      </c>
      <c r="G9" s="268" t="s">
        <v>1700</v>
      </c>
      <c r="H9" s="270">
        <v>8.796296296296296E-4</v>
      </c>
      <c r="I9" s="271">
        <v>44189.708333333336</v>
      </c>
      <c r="J9" s="268"/>
      <c r="K9" s="271">
        <v>44189.6700462963</v>
      </c>
      <c r="L9" s="271"/>
      <c r="M9" s="278" t="s">
        <v>1709</v>
      </c>
      <c r="N9" s="290"/>
      <c r="O9" s="276"/>
      <c r="P9" s="276"/>
      <c r="Q9" s="278"/>
      <c r="R9" s="278"/>
      <c r="S9" s="278"/>
      <c r="T9" s="278"/>
      <c r="U9" s="279"/>
      <c r="V9" s="279" t="s">
        <v>1500</v>
      </c>
      <c r="W9" s="280">
        <v>44203.0</v>
      </c>
      <c r="X9" s="281">
        <v>0.020833333333333332</v>
      </c>
      <c r="Y9" s="281" t="s">
        <v>1693</v>
      </c>
      <c r="Z9" s="282" t="s">
        <v>53</v>
      </c>
      <c r="AA9" s="282">
        <v>6311805.0</v>
      </c>
      <c r="AB9" s="283">
        <v>44194.0</v>
      </c>
      <c r="AC9" s="284"/>
      <c r="AD9" s="284"/>
    </row>
    <row r="10" ht="14.25" customHeight="1">
      <c r="A10" s="265">
        <v>44042.0</v>
      </c>
      <c r="B10" s="266" t="s">
        <v>1500</v>
      </c>
      <c r="C10" s="266" t="s">
        <v>1696</v>
      </c>
      <c r="D10" s="266" t="s">
        <v>1543</v>
      </c>
      <c r="E10" s="268"/>
      <c r="F10" s="291" t="s">
        <v>1710</v>
      </c>
      <c r="G10" s="268" t="s">
        <v>1700</v>
      </c>
      <c r="H10" s="270">
        <v>0.002685185185185185</v>
      </c>
      <c r="I10" s="271">
        <v>44189.708333333336</v>
      </c>
      <c r="J10" s="268"/>
      <c r="K10" s="271">
        <v>44189.673171296294</v>
      </c>
      <c r="L10" s="271"/>
      <c r="M10" s="278" t="s">
        <v>1711</v>
      </c>
      <c r="N10" s="290"/>
      <c r="O10" s="276"/>
      <c r="P10" s="276"/>
      <c r="Q10" s="278"/>
      <c r="R10" s="278"/>
      <c r="S10" s="278"/>
      <c r="T10" s="278"/>
      <c r="U10" s="279"/>
      <c r="V10" s="279" t="s">
        <v>1500</v>
      </c>
      <c r="W10" s="280">
        <v>44203.0</v>
      </c>
      <c r="X10" s="281">
        <v>0.020833333333333332</v>
      </c>
      <c r="Y10" s="281" t="s">
        <v>1693</v>
      </c>
      <c r="Z10" s="282" t="s">
        <v>53</v>
      </c>
      <c r="AA10" s="282">
        <v>6311806.0</v>
      </c>
      <c r="AB10" s="283">
        <v>44194.0</v>
      </c>
      <c r="AC10" s="284"/>
      <c r="AD10" s="284"/>
    </row>
    <row r="11" ht="14.25" customHeight="1">
      <c r="A11" s="265">
        <v>44042.0</v>
      </c>
      <c r="B11" s="266" t="s">
        <v>1500</v>
      </c>
      <c r="C11" s="266" t="s">
        <v>1696</v>
      </c>
      <c r="D11" s="266" t="s">
        <v>1543</v>
      </c>
      <c r="E11" s="268"/>
      <c r="F11" s="291" t="s">
        <v>1712</v>
      </c>
      <c r="G11" s="268" t="s">
        <v>1700</v>
      </c>
      <c r="H11" s="270">
        <v>0.003310185185185185</v>
      </c>
      <c r="I11" s="271">
        <v>44189.708333333336</v>
      </c>
      <c r="J11" s="268"/>
      <c r="K11" s="271">
        <v>44189.76729166666</v>
      </c>
      <c r="L11" s="271"/>
      <c r="M11" s="278" t="s">
        <v>1713</v>
      </c>
      <c r="N11" s="290"/>
      <c r="O11" s="276"/>
      <c r="P11" s="276"/>
      <c r="Q11" s="278"/>
      <c r="R11" s="278"/>
      <c r="S11" s="278"/>
      <c r="T11" s="278"/>
      <c r="U11" s="279"/>
      <c r="V11" s="279" t="s">
        <v>1570</v>
      </c>
      <c r="W11" s="280">
        <v>44206.0</v>
      </c>
      <c r="X11" s="281">
        <v>0.010416666666666666</v>
      </c>
      <c r="Y11" s="281" t="s">
        <v>1693</v>
      </c>
      <c r="Z11" s="282" t="s">
        <v>53</v>
      </c>
      <c r="AA11" s="282">
        <v>6311807.0</v>
      </c>
      <c r="AB11" s="283">
        <v>44194.0</v>
      </c>
      <c r="AC11" s="284"/>
      <c r="AD11" s="284"/>
    </row>
    <row r="12" ht="14.25" customHeight="1">
      <c r="A12" s="265">
        <v>44043.0</v>
      </c>
      <c r="B12" s="266" t="s">
        <v>1500</v>
      </c>
      <c r="C12" s="266" t="s">
        <v>1696</v>
      </c>
      <c r="D12" s="266" t="s">
        <v>1543</v>
      </c>
      <c r="E12" s="268"/>
      <c r="F12" s="291" t="s">
        <v>1714</v>
      </c>
      <c r="G12" s="268" t="s">
        <v>1700</v>
      </c>
      <c r="H12" s="270">
        <v>0.0014930555555555556</v>
      </c>
      <c r="I12" s="271">
        <v>44189.708333333336</v>
      </c>
      <c r="J12" s="268"/>
      <c r="K12" s="271">
        <v>44189.67138888889</v>
      </c>
      <c r="L12" s="271"/>
      <c r="M12" s="278" t="s">
        <v>1715</v>
      </c>
      <c r="N12" s="290"/>
      <c r="O12" s="276"/>
      <c r="P12" s="276"/>
      <c r="Q12" s="278"/>
      <c r="R12" s="278"/>
      <c r="S12" s="278"/>
      <c r="T12" s="278"/>
      <c r="U12" s="279"/>
      <c r="V12" s="279" t="s">
        <v>1570</v>
      </c>
      <c r="W12" s="280">
        <v>44206.0</v>
      </c>
      <c r="X12" s="281">
        <v>0.010416666666666666</v>
      </c>
      <c r="Y12" s="281" t="s">
        <v>1693</v>
      </c>
      <c r="Z12" s="282" t="s">
        <v>53</v>
      </c>
      <c r="AA12" s="282">
        <v>6311808.0</v>
      </c>
      <c r="AB12" s="283">
        <v>44194.0</v>
      </c>
      <c r="AC12" s="284"/>
      <c r="AD12" s="284"/>
    </row>
    <row r="13" ht="14.25" customHeight="1">
      <c r="A13" s="265">
        <v>44043.0</v>
      </c>
      <c r="B13" s="266" t="s">
        <v>1500</v>
      </c>
      <c r="C13" s="266" t="s">
        <v>1696</v>
      </c>
      <c r="D13" s="266" t="s">
        <v>1543</v>
      </c>
      <c r="E13" s="268"/>
      <c r="F13" s="291" t="s">
        <v>1716</v>
      </c>
      <c r="G13" s="268" t="s">
        <v>1700</v>
      </c>
      <c r="H13" s="270">
        <v>0.004583333333333333</v>
      </c>
      <c r="I13" s="271">
        <v>44189.708333333336</v>
      </c>
      <c r="J13" s="268"/>
      <c r="K13" s="271">
        <v>44189.674629629626</v>
      </c>
      <c r="L13" s="271"/>
      <c r="M13" s="278" t="s">
        <v>1717</v>
      </c>
      <c r="N13" s="290"/>
      <c r="O13" s="276"/>
      <c r="P13" s="276"/>
      <c r="Q13" s="278"/>
      <c r="R13" s="278"/>
      <c r="S13" s="278"/>
      <c r="T13" s="278"/>
      <c r="U13" s="279"/>
      <c r="V13" s="279" t="s">
        <v>1570</v>
      </c>
      <c r="W13" s="280">
        <v>44206.0</v>
      </c>
      <c r="X13" s="281">
        <v>0.010416666666666666</v>
      </c>
      <c r="Y13" s="281" t="s">
        <v>1693</v>
      </c>
      <c r="Z13" s="282" t="s">
        <v>53</v>
      </c>
      <c r="AA13" s="282">
        <v>6311809.0</v>
      </c>
      <c r="AB13" s="283">
        <v>44194.0</v>
      </c>
      <c r="AC13" s="284"/>
      <c r="AD13" s="284"/>
    </row>
    <row r="14" ht="14.25" customHeight="1">
      <c r="A14" s="265">
        <v>44103.0</v>
      </c>
      <c r="B14" s="266" t="s">
        <v>1718</v>
      </c>
      <c r="C14" s="266" t="s">
        <v>1450</v>
      </c>
      <c r="D14" s="266" t="s">
        <v>1543</v>
      </c>
      <c r="E14" s="268" t="s">
        <v>1719</v>
      </c>
      <c r="F14" s="291" t="s">
        <v>1720</v>
      </c>
      <c r="G14" s="268" t="s">
        <v>1700</v>
      </c>
      <c r="H14" s="270">
        <v>0.005011574074074074</v>
      </c>
      <c r="I14" s="299">
        <v>44117.49236111111</v>
      </c>
      <c r="J14" s="268"/>
      <c r="K14" s="271">
        <v>44117.498240740744</v>
      </c>
      <c r="L14" s="271" t="str">
        <f t="shared" ref="L14:L15" si="1">K14-I14</f>
        <v>12/30/99 0:08</v>
      </c>
      <c r="M14" s="272" t="s">
        <v>1721</v>
      </c>
      <c r="N14" s="300"/>
      <c r="O14" s="301"/>
      <c r="P14" s="301"/>
      <c r="Q14" s="272"/>
      <c r="R14" s="272"/>
      <c r="S14" s="272"/>
      <c r="T14" s="272"/>
      <c r="U14" s="279"/>
      <c r="V14" s="279" t="s">
        <v>1722</v>
      </c>
      <c r="W14" s="280">
        <v>44118.0</v>
      </c>
      <c r="X14" s="281">
        <v>0.003472222222222222</v>
      </c>
      <c r="Y14" s="281" t="s">
        <v>1693</v>
      </c>
      <c r="Z14" s="282" t="s">
        <v>1694</v>
      </c>
      <c r="AA14" s="282">
        <v>6275169.0</v>
      </c>
      <c r="AB14" s="283">
        <v>44126.0</v>
      </c>
      <c r="AC14" s="284"/>
      <c r="AD14" s="284"/>
    </row>
    <row r="15" ht="14.25" customHeight="1">
      <c r="A15" s="265">
        <v>44104.0</v>
      </c>
      <c r="B15" s="266" t="s">
        <v>1718</v>
      </c>
      <c r="C15" s="266" t="s">
        <v>1450</v>
      </c>
      <c r="D15" s="266" t="s">
        <v>1543</v>
      </c>
      <c r="E15" s="268"/>
      <c r="F15" s="291" t="s">
        <v>1723</v>
      </c>
      <c r="G15" s="268" t="s">
        <v>1700</v>
      </c>
      <c r="H15" s="270">
        <v>0.0010416666666666667</v>
      </c>
      <c r="I15" s="271">
        <v>44117.5625</v>
      </c>
      <c r="J15" s="268"/>
      <c r="K15" s="271">
        <v>44117.568333333336</v>
      </c>
      <c r="L15" s="271" t="str">
        <f t="shared" si="1"/>
        <v>12/30/99 0:08</v>
      </c>
      <c r="M15" s="278" t="s">
        <v>1724</v>
      </c>
      <c r="N15" s="290"/>
      <c r="O15" s="276"/>
      <c r="P15" s="276"/>
      <c r="Q15" s="278"/>
      <c r="R15" s="278"/>
      <c r="S15" s="278"/>
      <c r="T15" s="278"/>
      <c r="U15" s="279"/>
      <c r="V15" s="279" t="s">
        <v>1722</v>
      </c>
      <c r="W15" s="280">
        <v>44118.0</v>
      </c>
      <c r="X15" s="281">
        <v>0.003472222222222222</v>
      </c>
      <c r="Y15" s="281" t="s">
        <v>1693</v>
      </c>
      <c r="Z15" s="282" t="s">
        <v>1694</v>
      </c>
      <c r="AA15" s="282">
        <v>6275170.0</v>
      </c>
      <c r="AB15" s="283">
        <v>44126.0</v>
      </c>
      <c r="AC15" s="284"/>
      <c r="AD15" s="284"/>
    </row>
    <row r="16" ht="14.25" customHeight="1">
      <c r="A16" s="265">
        <v>44105.0</v>
      </c>
      <c r="B16" s="266" t="s">
        <v>1718</v>
      </c>
      <c r="C16" s="266"/>
      <c r="D16" s="266" t="s">
        <v>1543</v>
      </c>
      <c r="E16" s="268"/>
      <c r="F16" s="291" t="s">
        <v>1725</v>
      </c>
      <c r="G16" s="268" t="s">
        <v>1700</v>
      </c>
      <c r="H16" s="270">
        <v>0.002488425925925926</v>
      </c>
      <c r="I16" s="271">
        <v>44105.53611111111</v>
      </c>
      <c r="J16" s="268"/>
      <c r="K16" s="271">
        <v>44132.53872685185</v>
      </c>
      <c r="L16" s="271"/>
      <c r="M16" s="278" t="s">
        <v>1726</v>
      </c>
      <c r="N16" s="290"/>
      <c r="O16" s="276"/>
      <c r="P16" s="276"/>
      <c r="Q16" s="278"/>
      <c r="R16" s="278"/>
      <c r="S16" s="278"/>
      <c r="T16" s="278"/>
      <c r="U16" s="279"/>
      <c r="V16" s="279" t="s">
        <v>1718</v>
      </c>
      <c r="W16" s="280">
        <v>44133.0</v>
      </c>
      <c r="X16" s="281">
        <v>0.004861111111111111</v>
      </c>
      <c r="Y16" s="281" t="s">
        <v>1693</v>
      </c>
      <c r="Z16" s="282" t="s">
        <v>1694</v>
      </c>
      <c r="AA16" s="282">
        <v>6279262.0</v>
      </c>
      <c r="AB16" s="283">
        <v>44134.0</v>
      </c>
      <c r="AC16" s="284"/>
      <c r="AD16" s="284"/>
    </row>
    <row r="17" ht="14.25" customHeight="1">
      <c r="A17" s="265">
        <v>44109.0</v>
      </c>
      <c r="B17" s="266" t="s">
        <v>1718</v>
      </c>
      <c r="C17" s="266" t="s">
        <v>1450</v>
      </c>
      <c r="D17" s="266" t="s">
        <v>1543</v>
      </c>
      <c r="E17" s="268"/>
      <c r="F17" s="291" t="s">
        <v>1727</v>
      </c>
      <c r="G17" s="268" t="s">
        <v>1700</v>
      </c>
      <c r="H17" s="270">
        <v>0.0026504629629629625</v>
      </c>
      <c r="I17" s="271">
        <v>44117.50833333333</v>
      </c>
      <c r="J17" s="268"/>
      <c r="K17" s="271">
        <v>44117.846597222226</v>
      </c>
      <c r="L17" s="271" t="str">
        <f t="shared" ref="L17:L37" si="2">K17-I17</f>
        <v>12/30/99 8:07</v>
      </c>
      <c r="M17" s="278" t="s">
        <v>1728</v>
      </c>
      <c r="N17" s="290"/>
      <c r="O17" s="276"/>
      <c r="P17" s="276"/>
      <c r="Q17" s="278"/>
      <c r="R17" s="278"/>
      <c r="S17" s="278"/>
      <c r="T17" s="278"/>
      <c r="U17" s="279"/>
      <c r="V17" s="279" t="s">
        <v>1722</v>
      </c>
      <c r="W17" s="280">
        <v>44118.0</v>
      </c>
      <c r="X17" s="281">
        <v>0.003472222222222222</v>
      </c>
      <c r="Y17" s="281" t="s">
        <v>1693</v>
      </c>
      <c r="Z17" s="282" t="s">
        <v>1694</v>
      </c>
      <c r="AA17" s="282">
        <v>6275171.0</v>
      </c>
      <c r="AB17" s="283">
        <v>44126.0</v>
      </c>
      <c r="AC17" s="284"/>
      <c r="AD17" s="284"/>
    </row>
    <row r="18" ht="14.25" customHeight="1">
      <c r="A18" s="265">
        <v>44110.0</v>
      </c>
      <c r="B18" s="266" t="s">
        <v>1718</v>
      </c>
      <c r="C18" s="266" t="s">
        <v>1686</v>
      </c>
      <c r="D18" s="266" t="s">
        <v>1543</v>
      </c>
      <c r="E18" s="268"/>
      <c r="F18" s="291" t="s">
        <v>1729</v>
      </c>
      <c r="G18" s="268" t="s">
        <v>1700</v>
      </c>
      <c r="H18" s="270">
        <v>5.092592592592592E-4</v>
      </c>
      <c r="I18" s="271">
        <v>44118.415972222225</v>
      </c>
      <c r="J18" s="268"/>
      <c r="K18" s="271">
        <v>44118.418020833335</v>
      </c>
      <c r="L18" s="271" t="str">
        <f t="shared" si="2"/>
        <v>12/30/99 0:02</v>
      </c>
      <c r="M18" s="278" t="s">
        <v>1730</v>
      </c>
      <c r="N18" s="290"/>
      <c r="O18" s="276"/>
      <c r="P18" s="276"/>
      <c r="Q18" s="278"/>
      <c r="R18" s="278"/>
      <c r="S18" s="278"/>
      <c r="T18" s="278"/>
      <c r="U18" s="279"/>
      <c r="V18" s="279" t="s">
        <v>1722</v>
      </c>
      <c r="W18" s="280">
        <v>44118.0</v>
      </c>
      <c r="X18" s="281">
        <v>0.003472222222222222</v>
      </c>
      <c r="Y18" s="281" t="s">
        <v>1693</v>
      </c>
      <c r="Z18" s="282" t="s">
        <v>1694</v>
      </c>
      <c r="AA18" s="282">
        <v>6275172.0</v>
      </c>
      <c r="AB18" s="283">
        <v>44126.0</v>
      </c>
      <c r="AC18" s="284"/>
      <c r="AD18" s="284"/>
    </row>
    <row r="19" ht="14.25" customHeight="1">
      <c r="A19" s="265">
        <v>44111.0</v>
      </c>
      <c r="B19" s="266" t="s">
        <v>1500</v>
      </c>
      <c r="C19" s="266"/>
      <c r="D19" s="266" t="s">
        <v>1452</v>
      </c>
      <c r="E19" s="268"/>
      <c r="F19" s="291" t="s">
        <v>1731</v>
      </c>
      <c r="G19" s="268" t="s">
        <v>1463</v>
      </c>
      <c r="H19" s="288">
        <v>0.007939814814814814</v>
      </c>
      <c r="I19" s="271">
        <v>44111.586805555555</v>
      </c>
      <c r="J19" s="268" t="s">
        <v>1499</v>
      </c>
      <c r="K19" s="271">
        <v>44111.649305555555</v>
      </c>
      <c r="L19" s="271" t="str">
        <f t="shared" si="2"/>
        <v>12/30/99 1:30</v>
      </c>
      <c r="M19" s="278" t="s">
        <v>1732</v>
      </c>
      <c r="N19" s="290"/>
      <c r="O19" s="276"/>
      <c r="P19" s="276"/>
      <c r="Q19" s="278"/>
      <c r="R19" s="278"/>
      <c r="S19" s="278"/>
      <c r="T19" s="278"/>
      <c r="U19" s="279"/>
      <c r="V19" s="279" t="s">
        <v>1733</v>
      </c>
      <c r="W19" s="280">
        <v>44119.0</v>
      </c>
      <c r="X19" s="281">
        <v>0.08333333333333333</v>
      </c>
      <c r="Y19" s="281" t="s">
        <v>1693</v>
      </c>
      <c r="Z19" s="282" t="s">
        <v>1694</v>
      </c>
      <c r="AA19" s="282" t="s">
        <v>1734</v>
      </c>
      <c r="AB19" s="283">
        <v>44144.0</v>
      </c>
      <c r="AC19" s="284"/>
      <c r="AD19" s="284"/>
    </row>
    <row r="20" ht="14.25" customHeight="1">
      <c r="A20" s="265">
        <v>44111.0</v>
      </c>
      <c r="B20" s="266" t="s">
        <v>1500</v>
      </c>
      <c r="C20" s="266"/>
      <c r="D20" s="266" t="s">
        <v>1450</v>
      </c>
      <c r="E20" s="268"/>
      <c r="F20" s="291" t="s">
        <v>1735</v>
      </c>
      <c r="G20" s="268" t="s">
        <v>1463</v>
      </c>
      <c r="H20" s="288">
        <v>0.0991435185185185</v>
      </c>
      <c r="I20" s="271">
        <v>44112.39166666667</v>
      </c>
      <c r="J20" s="268" t="s">
        <v>2</v>
      </c>
      <c r="K20" s="271">
        <v>44112.44671296296</v>
      </c>
      <c r="L20" s="271" t="str">
        <f t="shared" si="2"/>
        <v>12/30/99 1:19</v>
      </c>
      <c r="M20" s="278" t="s">
        <v>1736</v>
      </c>
      <c r="N20" s="290"/>
      <c r="O20" s="276"/>
      <c r="P20" s="276"/>
      <c r="Q20" s="278"/>
      <c r="R20" s="278"/>
      <c r="S20" s="278"/>
      <c r="T20" s="278"/>
      <c r="U20" s="279"/>
      <c r="V20" s="279" t="s">
        <v>1570</v>
      </c>
      <c r="W20" s="280">
        <v>44112.0</v>
      </c>
      <c r="X20" s="281">
        <v>0.2916666666666667</v>
      </c>
      <c r="Y20" s="281" t="s">
        <v>1693</v>
      </c>
      <c r="Z20" s="282" t="s">
        <v>1694</v>
      </c>
      <c r="AA20" s="282" t="s">
        <v>1737</v>
      </c>
      <c r="AB20" s="283">
        <v>44127.0</v>
      </c>
      <c r="AC20" s="284"/>
      <c r="AD20" s="284"/>
    </row>
    <row r="21" ht="14.25" customHeight="1">
      <c r="A21" s="265">
        <v>44111.0</v>
      </c>
      <c r="B21" s="266" t="s">
        <v>1738</v>
      </c>
      <c r="C21" s="266" t="s">
        <v>1696</v>
      </c>
      <c r="D21" s="266" t="s">
        <v>1543</v>
      </c>
      <c r="E21" s="268"/>
      <c r="F21" s="291" t="s">
        <v>1739</v>
      </c>
      <c r="G21" s="268" t="s">
        <v>1463</v>
      </c>
      <c r="H21" s="288">
        <v>0.0021759259259259258</v>
      </c>
      <c r="I21" s="271">
        <v>44111.458333333336</v>
      </c>
      <c r="J21" s="268" t="s">
        <v>1740</v>
      </c>
      <c r="K21" s="271">
        <v>44111.47665509259</v>
      </c>
      <c r="L21" s="271" t="str">
        <f t="shared" si="2"/>
        <v>12/30/99 0:26</v>
      </c>
      <c r="M21" s="278" t="s">
        <v>1741</v>
      </c>
      <c r="N21" s="290"/>
      <c r="O21" s="276"/>
      <c r="P21" s="276"/>
      <c r="Q21" s="278"/>
      <c r="R21" s="278"/>
      <c r="S21" s="278"/>
      <c r="T21" s="278"/>
      <c r="U21" s="279"/>
      <c r="V21" s="279" t="s">
        <v>1738</v>
      </c>
      <c r="W21" s="280">
        <v>44111.0</v>
      </c>
      <c r="X21" s="281">
        <v>0.006944444444444444</v>
      </c>
      <c r="Y21" s="279" t="s">
        <v>1693</v>
      </c>
      <c r="Z21" s="282" t="s">
        <v>1694</v>
      </c>
      <c r="AA21" s="282">
        <v>6275165.0</v>
      </c>
      <c r="AB21" s="283">
        <v>44126.0</v>
      </c>
      <c r="AC21" s="284"/>
      <c r="AD21" s="284"/>
    </row>
    <row r="22" ht="14.25" customHeight="1">
      <c r="A22" s="265">
        <v>44111.0</v>
      </c>
      <c r="B22" s="266" t="s">
        <v>1500</v>
      </c>
      <c r="C22" s="266"/>
      <c r="D22" s="266" t="s">
        <v>1689</v>
      </c>
      <c r="E22" s="268" t="s">
        <v>1742</v>
      </c>
      <c r="F22" s="291" t="s">
        <v>1743</v>
      </c>
      <c r="G22" s="268" t="s">
        <v>1463</v>
      </c>
      <c r="H22" s="288">
        <v>0.03888888888888889</v>
      </c>
      <c r="I22" s="271">
        <v>44111.65902777778</v>
      </c>
      <c r="J22" s="268" t="s">
        <v>1744</v>
      </c>
      <c r="K22" s="271">
        <v>44111.7</v>
      </c>
      <c r="L22" s="271" t="str">
        <f t="shared" si="2"/>
        <v>12/30/99 0:59</v>
      </c>
      <c r="M22" s="272" t="s">
        <v>1745</v>
      </c>
      <c r="N22" s="300"/>
      <c r="O22" s="301"/>
      <c r="P22" s="301"/>
      <c r="Q22" s="272"/>
      <c r="R22" s="272"/>
      <c r="S22" s="272"/>
      <c r="T22" s="272"/>
      <c r="U22" s="279"/>
      <c r="V22" s="279" t="s">
        <v>1746</v>
      </c>
      <c r="W22" s="280">
        <v>44113.0</v>
      </c>
      <c r="X22" s="279"/>
      <c r="Y22" s="279" t="s">
        <v>1693</v>
      </c>
      <c r="Z22" s="282" t="s">
        <v>1694</v>
      </c>
      <c r="AA22" s="282" t="s">
        <v>1747</v>
      </c>
      <c r="AB22" s="283">
        <v>44125.0</v>
      </c>
      <c r="AC22" s="284"/>
      <c r="AD22" s="284"/>
    </row>
    <row r="23" ht="14.25" customHeight="1">
      <c r="A23" s="265">
        <v>44111.0</v>
      </c>
      <c r="B23" s="266" t="s">
        <v>1500</v>
      </c>
      <c r="C23" s="266"/>
      <c r="D23" s="266" t="s">
        <v>1748</v>
      </c>
      <c r="E23" s="268"/>
      <c r="F23" s="291" t="s">
        <v>1749</v>
      </c>
      <c r="G23" s="268" t="s">
        <v>1463</v>
      </c>
      <c r="H23" s="288">
        <v>0.019212962962962963</v>
      </c>
      <c r="I23" s="271">
        <v>44111.90972222222</v>
      </c>
      <c r="J23" s="268" t="s">
        <v>2</v>
      </c>
      <c r="K23" s="271">
        <v>44111.924479166664</v>
      </c>
      <c r="L23" s="271" t="str">
        <f t="shared" si="2"/>
        <v>12/30/99 0:21</v>
      </c>
      <c r="M23" s="272" t="s">
        <v>1750</v>
      </c>
      <c r="N23" s="300"/>
      <c r="O23" s="301"/>
      <c r="P23" s="301"/>
      <c r="Q23" s="272"/>
      <c r="R23" s="272"/>
      <c r="S23" s="272"/>
      <c r="T23" s="272"/>
      <c r="U23" s="279"/>
      <c r="V23" s="279" t="s">
        <v>1722</v>
      </c>
      <c r="W23" s="280">
        <v>44112.0</v>
      </c>
      <c r="X23" s="281">
        <v>0.20833333333333334</v>
      </c>
      <c r="Y23" s="281" t="s">
        <v>1693</v>
      </c>
      <c r="Z23" s="282" t="s">
        <v>1694</v>
      </c>
      <c r="AA23" s="282" t="s">
        <v>1751</v>
      </c>
      <c r="AB23" s="283">
        <v>44118.0</v>
      </c>
      <c r="AC23" s="284"/>
      <c r="AD23" s="284"/>
    </row>
    <row r="24" ht="14.25" customHeight="1">
      <c r="A24" s="265">
        <v>44112.0</v>
      </c>
      <c r="B24" s="266" t="s">
        <v>1500</v>
      </c>
      <c r="C24" s="266"/>
      <c r="D24" s="266" t="s">
        <v>1452</v>
      </c>
      <c r="E24" s="268" t="s">
        <v>1752</v>
      </c>
      <c r="F24" s="269" t="s">
        <v>1753</v>
      </c>
      <c r="G24" s="268" t="s">
        <v>1463</v>
      </c>
      <c r="H24" s="288">
        <v>0.0016203703703703703</v>
      </c>
      <c r="I24" s="271">
        <v>44112.60555555556</v>
      </c>
      <c r="J24" s="268" t="s">
        <v>1754</v>
      </c>
      <c r="K24" s="271">
        <v>44113.31408564815</v>
      </c>
      <c r="L24" s="271" t="str">
        <f t="shared" si="2"/>
        <v>12/30/99 17:00</v>
      </c>
      <c r="M24" s="272" t="s">
        <v>1755</v>
      </c>
      <c r="N24" s="300"/>
      <c r="O24" s="301"/>
      <c r="P24" s="301"/>
      <c r="Q24" s="272"/>
      <c r="R24" s="272"/>
      <c r="S24" s="272"/>
      <c r="T24" s="272"/>
      <c r="U24" s="279"/>
      <c r="V24" s="279" t="s">
        <v>1718</v>
      </c>
      <c r="W24" s="280">
        <v>44127.0</v>
      </c>
      <c r="X24" s="281">
        <v>0.013888888888888888</v>
      </c>
      <c r="Y24" s="281" t="s">
        <v>1693</v>
      </c>
      <c r="Z24" s="282" t="s">
        <v>1694</v>
      </c>
      <c r="AA24" s="282" t="s">
        <v>1756</v>
      </c>
      <c r="AB24" s="283">
        <v>44144.0</v>
      </c>
      <c r="AC24" s="284"/>
      <c r="AD24" s="284"/>
    </row>
    <row r="25" ht="14.25" customHeight="1">
      <c r="A25" s="265">
        <v>44112.0</v>
      </c>
      <c r="B25" s="266" t="s">
        <v>1500</v>
      </c>
      <c r="C25" s="266"/>
      <c r="D25" s="266" t="s">
        <v>1450</v>
      </c>
      <c r="E25" s="268"/>
      <c r="F25" s="291" t="s">
        <v>1757</v>
      </c>
      <c r="G25" s="268" t="s">
        <v>1463</v>
      </c>
      <c r="H25" s="288">
        <v>0.09912037037037037</v>
      </c>
      <c r="I25" s="271">
        <v>44112.60555555556</v>
      </c>
      <c r="J25" s="268" t="s">
        <v>1499</v>
      </c>
      <c r="K25" s="271">
        <v>44112.85600694444</v>
      </c>
      <c r="L25" s="271" t="str">
        <f t="shared" si="2"/>
        <v>12/30/99 6:00</v>
      </c>
      <c r="M25" s="278" t="s">
        <v>1758</v>
      </c>
      <c r="N25" s="290"/>
      <c r="O25" s="276"/>
      <c r="P25" s="276"/>
      <c r="Q25" s="278"/>
      <c r="R25" s="278"/>
      <c r="S25" s="278"/>
      <c r="T25" s="278"/>
      <c r="U25" s="279"/>
      <c r="V25" s="279" t="s">
        <v>1570</v>
      </c>
      <c r="W25" s="280">
        <v>44113.0</v>
      </c>
      <c r="X25" s="281">
        <v>0.2916666666666667</v>
      </c>
      <c r="Y25" s="281" t="s">
        <v>1693</v>
      </c>
      <c r="Z25" s="282" t="s">
        <v>1694</v>
      </c>
      <c r="AA25" s="282" t="s">
        <v>1759</v>
      </c>
      <c r="AB25" s="283">
        <v>44112.0</v>
      </c>
      <c r="AC25" s="284"/>
      <c r="AD25" s="284"/>
    </row>
    <row r="26" ht="14.25" customHeight="1">
      <c r="A26" s="265">
        <v>44112.0</v>
      </c>
      <c r="B26" s="266" t="s">
        <v>1738</v>
      </c>
      <c r="C26" s="266" t="s">
        <v>1450</v>
      </c>
      <c r="D26" s="266" t="s">
        <v>1543</v>
      </c>
      <c r="E26" s="268"/>
      <c r="F26" s="291" t="s">
        <v>1760</v>
      </c>
      <c r="G26" s="268" t="s">
        <v>1463</v>
      </c>
      <c r="H26" s="288">
        <v>0.0043287037037037035</v>
      </c>
      <c r="I26" s="271">
        <v>44112.34583333333</v>
      </c>
      <c r="J26" s="268" t="s">
        <v>1754</v>
      </c>
      <c r="K26" s="271">
        <v>44112.35177083333</v>
      </c>
      <c r="L26" s="271" t="str">
        <f t="shared" si="2"/>
        <v>12/30/99 0:08</v>
      </c>
      <c r="M26" s="278" t="s">
        <v>1761</v>
      </c>
      <c r="N26" s="290"/>
      <c r="O26" s="276"/>
      <c r="P26" s="276"/>
      <c r="Q26" s="278"/>
      <c r="R26" s="278"/>
      <c r="S26" s="278"/>
      <c r="T26" s="278"/>
      <c r="U26" s="279"/>
      <c r="V26" s="279" t="s">
        <v>1738</v>
      </c>
      <c r="W26" s="280">
        <v>44112.0</v>
      </c>
      <c r="X26" s="281">
        <v>0.006944444444444444</v>
      </c>
      <c r="Y26" s="279" t="s">
        <v>1693</v>
      </c>
      <c r="Z26" s="282" t="s">
        <v>1694</v>
      </c>
      <c r="AA26" s="282">
        <v>6275166.0</v>
      </c>
      <c r="AB26" s="283">
        <v>44126.0</v>
      </c>
      <c r="AC26" s="284"/>
      <c r="AD26" s="284"/>
    </row>
    <row r="27" ht="14.25" customHeight="1">
      <c r="A27" s="265">
        <v>44112.0</v>
      </c>
      <c r="B27" s="266" t="s">
        <v>1500</v>
      </c>
      <c r="C27" s="266"/>
      <c r="D27" s="266" t="s">
        <v>1689</v>
      </c>
      <c r="E27" s="268"/>
      <c r="F27" s="291" t="s">
        <v>1762</v>
      </c>
      <c r="G27" s="268" t="s">
        <v>1463</v>
      </c>
      <c r="H27" s="288">
        <v>0.03681712962962963</v>
      </c>
      <c r="I27" s="271">
        <v>44112.6375</v>
      </c>
      <c r="J27" s="268" t="s">
        <v>1744</v>
      </c>
      <c r="K27" s="271">
        <v>44112.65146990741</v>
      </c>
      <c r="L27" s="271" t="str">
        <f t="shared" si="2"/>
        <v>12/30/99 0:20</v>
      </c>
      <c r="M27" s="278" t="s">
        <v>1763</v>
      </c>
      <c r="N27" s="290"/>
      <c r="O27" s="276"/>
      <c r="P27" s="276"/>
      <c r="Q27" s="278"/>
      <c r="R27" s="278"/>
      <c r="S27" s="278"/>
      <c r="T27" s="278"/>
      <c r="U27" s="279"/>
      <c r="V27" s="279" t="s">
        <v>1738</v>
      </c>
      <c r="W27" s="280">
        <v>44117.0</v>
      </c>
      <c r="X27" s="281">
        <v>0.2916666666666667</v>
      </c>
      <c r="Y27" s="281" t="s">
        <v>1693</v>
      </c>
      <c r="Z27" s="282" t="s">
        <v>1694</v>
      </c>
      <c r="AA27" s="282" t="s">
        <v>1764</v>
      </c>
      <c r="AB27" s="283">
        <v>44118.0</v>
      </c>
      <c r="AC27" s="284"/>
      <c r="AD27" s="284"/>
    </row>
    <row r="28" ht="14.25" customHeight="1">
      <c r="A28" s="265">
        <v>44112.0</v>
      </c>
      <c r="B28" s="266" t="s">
        <v>1500</v>
      </c>
      <c r="C28" s="266"/>
      <c r="D28" s="266" t="s">
        <v>1748</v>
      </c>
      <c r="E28" s="268"/>
      <c r="F28" s="291" t="s">
        <v>1765</v>
      </c>
      <c r="G28" s="268" t="s">
        <v>1463</v>
      </c>
      <c r="H28" s="288">
        <v>0.02070601851851852</v>
      </c>
      <c r="I28" s="271">
        <v>44112.84444444445</v>
      </c>
      <c r="J28" s="268" t="s">
        <v>1744</v>
      </c>
      <c r="K28" s="271">
        <v>44112.860138888886</v>
      </c>
      <c r="L28" s="271" t="str">
        <f t="shared" si="2"/>
        <v>12/30/99 0:22</v>
      </c>
      <c r="M28" s="278" t="s">
        <v>1766</v>
      </c>
      <c r="N28" s="290"/>
      <c r="O28" s="276"/>
      <c r="P28" s="276"/>
      <c r="Q28" s="278"/>
      <c r="R28" s="278"/>
      <c r="S28" s="278"/>
      <c r="T28" s="278"/>
      <c r="U28" s="279"/>
      <c r="V28" s="279" t="s">
        <v>1733</v>
      </c>
      <c r="W28" s="280">
        <v>44117.0</v>
      </c>
      <c r="X28" s="281">
        <v>0.20833333333333334</v>
      </c>
      <c r="Y28" s="281" t="s">
        <v>1693</v>
      </c>
      <c r="Z28" s="282" t="s">
        <v>1694</v>
      </c>
      <c r="AA28" s="282" t="s">
        <v>1767</v>
      </c>
      <c r="AB28" s="283">
        <v>44118.0</v>
      </c>
      <c r="AC28" s="284"/>
      <c r="AD28" s="284"/>
    </row>
    <row r="29" ht="14.25" customHeight="1">
      <c r="A29" s="265">
        <v>44113.0</v>
      </c>
      <c r="B29" s="266" t="s">
        <v>1500</v>
      </c>
      <c r="C29" s="266"/>
      <c r="D29" s="266" t="s">
        <v>1452</v>
      </c>
      <c r="E29" s="268"/>
      <c r="F29" s="291" t="s">
        <v>1768</v>
      </c>
      <c r="G29" s="268" t="s">
        <v>1463</v>
      </c>
      <c r="H29" s="288">
        <v>0.006307870370370371</v>
      </c>
      <c r="I29" s="271">
        <v>44113.40833333333</v>
      </c>
      <c r="J29" s="268" t="s">
        <v>1754</v>
      </c>
      <c r="K29" s="271">
        <v>44113.416921296295</v>
      </c>
      <c r="L29" s="271" t="str">
        <f t="shared" si="2"/>
        <v>12/30/99 0:12</v>
      </c>
      <c r="M29" s="278" t="s">
        <v>1769</v>
      </c>
      <c r="N29" s="290"/>
      <c r="O29" s="276"/>
      <c r="P29" s="276"/>
      <c r="Q29" s="278"/>
      <c r="R29" s="278"/>
      <c r="S29" s="278"/>
      <c r="T29" s="278"/>
      <c r="U29" s="279"/>
      <c r="V29" s="279" t="s">
        <v>1733</v>
      </c>
      <c r="W29" s="280">
        <v>44118.0</v>
      </c>
      <c r="X29" s="281">
        <v>0.10416666666666667</v>
      </c>
      <c r="Y29" s="281" t="s">
        <v>1693</v>
      </c>
      <c r="Z29" s="282" t="s">
        <v>1694</v>
      </c>
      <c r="AA29" s="282" t="s">
        <v>1770</v>
      </c>
      <c r="AB29" s="283">
        <v>44144.0</v>
      </c>
      <c r="AC29" s="284"/>
      <c r="AD29" s="284"/>
    </row>
    <row r="30" ht="14.25" customHeight="1">
      <c r="A30" s="265">
        <v>44113.0</v>
      </c>
      <c r="B30" s="266" t="s">
        <v>1500</v>
      </c>
      <c r="C30" s="266"/>
      <c r="D30" s="266" t="s">
        <v>1450</v>
      </c>
      <c r="E30" s="268"/>
      <c r="F30" s="291" t="s">
        <v>1771</v>
      </c>
      <c r="G30" s="268" t="s">
        <v>1463</v>
      </c>
      <c r="H30" s="288">
        <v>0.09447916666666667</v>
      </c>
      <c r="I30" s="271">
        <v>44113.39861111111</v>
      </c>
      <c r="J30" s="268" t="s">
        <v>1744</v>
      </c>
      <c r="K30" s="271">
        <v>44113.001284722224</v>
      </c>
      <c r="L30" s="271" t="str">
        <f t="shared" si="2"/>
        <v>12/29/99 14:27</v>
      </c>
      <c r="M30" s="278" t="s">
        <v>1758</v>
      </c>
      <c r="N30" s="290"/>
      <c r="O30" s="276"/>
      <c r="P30" s="276"/>
      <c r="Q30" s="278"/>
      <c r="R30" s="278"/>
      <c r="S30" s="278"/>
      <c r="T30" s="278"/>
      <c r="U30" s="279"/>
      <c r="V30" s="279" t="s">
        <v>1772</v>
      </c>
      <c r="W30" s="279" t="s">
        <v>1773</v>
      </c>
      <c r="X30" s="281">
        <v>0.5833333333333334</v>
      </c>
      <c r="Y30" s="281" t="s">
        <v>1693</v>
      </c>
      <c r="Z30" s="282" t="s">
        <v>1694</v>
      </c>
      <c r="AA30" s="282" t="s">
        <v>1771</v>
      </c>
      <c r="AB30" s="283">
        <v>44113.0</v>
      </c>
      <c r="AC30" s="284"/>
      <c r="AD30" s="284"/>
    </row>
    <row r="31" ht="14.25" customHeight="1">
      <c r="A31" s="265">
        <v>44113.0</v>
      </c>
      <c r="B31" s="266" t="s">
        <v>1738</v>
      </c>
      <c r="C31" s="266" t="s">
        <v>1450</v>
      </c>
      <c r="D31" s="266" t="s">
        <v>1543</v>
      </c>
      <c r="E31" s="268"/>
      <c r="F31" s="291" t="s">
        <v>1774</v>
      </c>
      <c r="G31" s="268" t="s">
        <v>1700</v>
      </c>
      <c r="H31" s="288">
        <v>0.0020370370370370373</v>
      </c>
      <c r="I31" s="271">
        <v>44113.354166666664</v>
      </c>
      <c r="J31" s="268" t="s">
        <v>1754</v>
      </c>
      <c r="K31" s="271">
        <v>44113.347662037035</v>
      </c>
      <c r="L31" s="271" t="str">
        <f t="shared" si="2"/>
        <v>12/29/99 23:50</v>
      </c>
      <c r="M31" s="278" t="s">
        <v>1775</v>
      </c>
      <c r="N31" s="290"/>
      <c r="O31" s="276"/>
      <c r="P31" s="276"/>
      <c r="Q31" s="278"/>
      <c r="R31" s="278"/>
      <c r="S31" s="278"/>
      <c r="T31" s="278"/>
      <c r="U31" s="279"/>
      <c r="V31" s="279" t="s">
        <v>1738</v>
      </c>
      <c r="W31" s="280">
        <v>44113.0</v>
      </c>
      <c r="X31" s="281">
        <v>0.006944444444444444</v>
      </c>
      <c r="Y31" s="279" t="s">
        <v>1693</v>
      </c>
      <c r="Z31" s="282" t="s">
        <v>1694</v>
      </c>
      <c r="AA31" s="282">
        <v>6275167.0</v>
      </c>
      <c r="AB31" s="283">
        <v>44126.0</v>
      </c>
      <c r="AC31" s="284"/>
      <c r="AD31" s="284"/>
    </row>
    <row r="32" ht="14.25" customHeight="1">
      <c r="A32" s="265">
        <v>44113.0</v>
      </c>
      <c r="B32" s="266" t="s">
        <v>1738</v>
      </c>
      <c r="C32" s="266" t="s">
        <v>1450</v>
      </c>
      <c r="D32" s="266" t="s">
        <v>1543</v>
      </c>
      <c r="E32" s="268"/>
      <c r="F32" s="291" t="s">
        <v>1776</v>
      </c>
      <c r="G32" s="268" t="s">
        <v>1700</v>
      </c>
      <c r="H32" s="288">
        <v>0.0042592592592592595</v>
      </c>
      <c r="I32" s="271">
        <v>44113.479166666664</v>
      </c>
      <c r="J32" s="268" t="s">
        <v>1754</v>
      </c>
      <c r="K32" s="271">
        <v>44113.47238425926</v>
      </c>
      <c r="L32" s="271" t="str">
        <f t="shared" si="2"/>
        <v>12/29/99 23:50</v>
      </c>
      <c r="M32" s="278" t="s">
        <v>1777</v>
      </c>
      <c r="N32" s="290"/>
      <c r="O32" s="276"/>
      <c r="P32" s="276"/>
      <c r="Q32" s="278"/>
      <c r="R32" s="278"/>
      <c r="S32" s="278"/>
      <c r="T32" s="278"/>
      <c r="U32" s="279"/>
      <c r="V32" s="279" t="s">
        <v>1738</v>
      </c>
      <c r="W32" s="280">
        <v>44113.0</v>
      </c>
      <c r="X32" s="281">
        <v>0.006944444444444444</v>
      </c>
      <c r="Y32" s="279" t="s">
        <v>1693</v>
      </c>
      <c r="Z32" s="282" t="s">
        <v>1694</v>
      </c>
      <c r="AA32" s="282">
        <v>6275168.0</v>
      </c>
      <c r="AB32" s="283">
        <v>44126.0</v>
      </c>
      <c r="AC32" s="284"/>
      <c r="AD32" s="284"/>
    </row>
    <row r="33" ht="14.25" customHeight="1">
      <c r="A33" s="265">
        <v>44113.0</v>
      </c>
      <c r="B33" s="266" t="s">
        <v>1500</v>
      </c>
      <c r="C33" s="266"/>
      <c r="D33" s="266" t="s">
        <v>1543</v>
      </c>
      <c r="E33" s="268"/>
      <c r="F33" s="291" t="s">
        <v>1778</v>
      </c>
      <c r="G33" s="268" t="s">
        <v>1463</v>
      </c>
      <c r="H33" s="270">
        <v>0.0019560185185185184</v>
      </c>
      <c r="I33" s="271">
        <v>44123.57777777778</v>
      </c>
      <c r="J33" s="268"/>
      <c r="K33" s="271">
        <v>44123.582094907404</v>
      </c>
      <c r="L33" s="271" t="str">
        <f t="shared" si="2"/>
        <v>12/30/99 0:06</v>
      </c>
      <c r="M33" s="278" t="s">
        <v>1779</v>
      </c>
      <c r="N33" s="290"/>
      <c r="O33" s="276"/>
      <c r="P33" s="276"/>
      <c r="Q33" s="278"/>
      <c r="R33" s="278"/>
      <c r="S33" s="278"/>
      <c r="T33" s="278"/>
      <c r="U33" s="279"/>
      <c r="V33" s="279" t="s">
        <v>1722</v>
      </c>
      <c r="W33" s="280">
        <v>44125.0</v>
      </c>
      <c r="X33" s="281">
        <v>0.006944444444444444</v>
      </c>
      <c r="Y33" s="281" t="s">
        <v>1693</v>
      </c>
      <c r="Z33" s="282" t="s">
        <v>1694</v>
      </c>
      <c r="AA33" s="282">
        <v>6275392.0</v>
      </c>
      <c r="AB33" s="283">
        <v>44134.0</v>
      </c>
      <c r="AC33" s="284"/>
      <c r="AD33" s="284"/>
    </row>
    <row r="34" ht="14.25" customHeight="1">
      <c r="A34" s="265">
        <v>44113.0</v>
      </c>
      <c r="B34" s="266" t="s">
        <v>1722</v>
      </c>
      <c r="C34" s="266"/>
      <c r="D34" s="266" t="s">
        <v>1689</v>
      </c>
      <c r="E34" s="268" t="s">
        <v>1780</v>
      </c>
      <c r="F34" s="291" t="s">
        <v>1781</v>
      </c>
      <c r="G34" s="268" t="s">
        <v>1463</v>
      </c>
      <c r="H34" s="288">
        <v>0.02952546296296296</v>
      </c>
      <c r="I34" s="271">
        <v>44120.51875</v>
      </c>
      <c r="J34" s="268" t="s">
        <v>1754</v>
      </c>
      <c r="K34" s="271">
        <v>44120.53895833333</v>
      </c>
      <c r="L34" s="271" t="str">
        <f t="shared" si="2"/>
        <v>12/30/99 0:29</v>
      </c>
      <c r="M34" s="278" t="s">
        <v>1782</v>
      </c>
      <c r="N34" s="290"/>
      <c r="O34" s="276"/>
      <c r="P34" s="276"/>
      <c r="Q34" s="278"/>
      <c r="R34" s="278"/>
      <c r="S34" s="278"/>
      <c r="T34" s="278"/>
      <c r="U34" s="279"/>
      <c r="V34" s="279" t="s">
        <v>1783</v>
      </c>
      <c r="W34" s="280" t="s">
        <v>1784</v>
      </c>
      <c r="X34" s="281">
        <v>0.3333333333333333</v>
      </c>
      <c r="Y34" s="281" t="s">
        <v>1693</v>
      </c>
      <c r="Z34" s="282" t="s">
        <v>1694</v>
      </c>
      <c r="AA34" s="282" t="s">
        <v>1785</v>
      </c>
      <c r="AB34" s="283">
        <v>44120.0</v>
      </c>
      <c r="AC34" s="284"/>
      <c r="AD34" s="284"/>
    </row>
    <row r="35" ht="14.25" customHeight="1">
      <c r="A35" s="265">
        <v>44113.0</v>
      </c>
      <c r="B35" s="266" t="s">
        <v>1722</v>
      </c>
      <c r="C35" s="266"/>
      <c r="D35" s="266" t="s">
        <v>1748</v>
      </c>
      <c r="E35" s="268"/>
      <c r="F35" s="291" t="s">
        <v>1786</v>
      </c>
      <c r="G35" s="268" t="s">
        <v>1463</v>
      </c>
      <c r="H35" s="288">
        <v>0.017731481481481483</v>
      </c>
      <c r="I35" s="271">
        <v>44120.51944444444</v>
      </c>
      <c r="J35" s="268" t="s">
        <v>1754</v>
      </c>
      <c r="K35" s="271">
        <v>44120.536678240744</v>
      </c>
      <c r="L35" s="271" t="str">
        <f t="shared" si="2"/>
        <v>12/30/99 0:24</v>
      </c>
      <c r="M35" s="278" t="s">
        <v>1787</v>
      </c>
      <c r="N35" s="290"/>
      <c r="O35" s="276"/>
      <c r="P35" s="276"/>
      <c r="Q35" s="278"/>
      <c r="R35" s="278"/>
      <c r="S35" s="278"/>
      <c r="T35" s="278"/>
      <c r="U35" s="279"/>
      <c r="V35" s="279" t="s">
        <v>1718</v>
      </c>
      <c r="W35" s="280">
        <v>44124.0</v>
      </c>
      <c r="X35" s="281">
        <v>0.20833333333333334</v>
      </c>
      <c r="Y35" s="281" t="s">
        <v>1693</v>
      </c>
      <c r="Z35" s="282" t="s">
        <v>1694</v>
      </c>
      <c r="AA35" s="282" t="s">
        <v>1788</v>
      </c>
      <c r="AB35" s="283">
        <v>44120.0</v>
      </c>
      <c r="AC35" s="284"/>
      <c r="AD35" s="284"/>
    </row>
    <row r="36" ht="14.25" customHeight="1">
      <c r="A36" s="265">
        <v>44114.0</v>
      </c>
      <c r="B36" s="266" t="s">
        <v>1718</v>
      </c>
      <c r="C36" s="266"/>
      <c r="D36" s="266" t="s">
        <v>1689</v>
      </c>
      <c r="E36" s="268" t="s">
        <v>1780</v>
      </c>
      <c r="F36" s="291" t="s">
        <v>1789</v>
      </c>
      <c r="G36" s="268" t="s">
        <v>1700</v>
      </c>
      <c r="H36" s="270">
        <v>0.0275</v>
      </c>
      <c r="I36" s="271">
        <v>44120.52291666667</v>
      </c>
      <c r="J36" s="268"/>
      <c r="K36" s="271">
        <v>44120.5462962963</v>
      </c>
      <c r="L36" s="271" t="str">
        <f t="shared" si="2"/>
        <v>12/30/99 0:33</v>
      </c>
      <c r="M36" s="272" t="s">
        <v>1790</v>
      </c>
      <c r="N36" s="300"/>
      <c r="O36" s="301"/>
      <c r="P36" s="301"/>
      <c r="Q36" s="272"/>
      <c r="R36" s="272"/>
      <c r="S36" s="272"/>
      <c r="T36" s="272"/>
      <c r="U36" s="279"/>
      <c r="V36" s="279" t="s">
        <v>1783</v>
      </c>
      <c r="W36" s="280" t="s">
        <v>1791</v>
      </c>
      <c r="X36" s="281">
        <v>0.25</v>
      </c>
      <c r="Y36" s="281" t="s">
        <v>1693</v>
      </c>
      <c r="Z36" s="282" t="s">
        <v>1694</v>
      </c>
      <c r="AA36" s="282" t="s">
        <v>1792</v>
      </c>
      <c r="AB36" s="283">
        <v>44120.0</v>
      </c>
      <c r="AC36" s="284"/>
      <c r="AD36" s="284"/>
    </row>
    <row r="37" ht="14.25" customHeight="1">
      <c r="A37" s="265">
        <v>44114.0</v>
      </c>
      <c r="B37" s="266" t="s">
        <v>1746</v>
      </c>
      <c r="C37" s="266"/>
      <c r="D37" s="266" t="s">
        <v>1748</v>
      </c>
      <c r="E37" s="268"/>
      <c r="F37" s="291" t="s">
        <v>1793</v>
      </c>
      <c r="G37" s="268" t="s">
        <v>1700</v>
      </c>
      <c r="H37" s="270">
        <v>0.013993055555555555</v>
      </c>
      <c r="I37" s="302">
        <v>44114.85277777778</v>
      </c>
      <c r="J37" s="268"/>
      <c r="K37" s="271">
        <v>44116.597766203704</v>
      </c>
      <c r="L37" s="271" t="str">
        <f t="shared" si="2"/>
        <v>12/31/99 17:52</v>
      </c>
      <c r="M37" s="303" t="s">
        <v>1794</v>
      </c>
      <c r="N37" s="304"/>
      <c r="O37" s="305"/>
      <c r="P37" s="305"/>
      <c r="Q37" s="303"/>
      <c r="R37" s="303"/>
      <c r="S37" s="303"/>
      <c r="T37" s="303"/>
      <c r="U37" s="279"/>
      <c r="V37" s="279" t="s">
        <v>1733</v>
      </c>
      <c r="W37" s="280">
        <v>44119.0</v>
      </c>
      <c r="X37" s="281">
        <v>0.14583333333333334</v>
      </c>
      <c r="Y37" s="281" t="s">
        <v>1693</v>
      </c>
      <c r="Z37" s="282" t="s">
        <v>1694</v>
      </c>
      <c r="AA37" s="282" t="s">
        <v>1795</v>
      </c>
      <c r="AB37" s="283">
        <v>44118.0</v>
      </c>
      <c r="AC37" s="284"/>
      <c r="AD37" s="284"/>
    </row>
    <row r="38" ht="14.25" customHeight="1">
      <c r="A38" s="265">
        <v>44115.0</v>
      </c>
      <c r="B38" s="266" t="s">
        <v>1500</v>
      </c>
      <c r="C38" s="266"/>
      <c r="D38" s="266" t="s">
        <v>1796</v>
      </c>
      <c r="E38" s="268"/>
      <c r="F38" s="291" t="s">
        <v>1797</v>
      </c>
      <c r="G38" s="268" t="s">
        <v>1463</v>
      </c>
      <c r="H38" s="270">
        <v>0.01734953703703704</v>
      </c>
      <c r="I38" s="302">
        <v>44123.40277777778</v>
      </c>
      <c r="J38" s="268"/>
      <c r="K38" s="271">
        <v>44123.416180555556</v>
      </c>
      <c r="L38" s="271"/>
      <c r="M38" s="272" t="s">
        <v>1798</v>
      </c>
      <c r="N38" s="300"/>
      <c r="O38" s="301"/>
      <c r="P38" s="301"/>
      <c r="Q38" s="272"/>
      <c r="R38" s="272"/>
      <c r="S38" s="272"/>
      <c r="T38" s="272"/>
      <c r="U38" s="279"/>
      <c r="V38" s="279" t="s">
        <v>1718</v>
      </c>
      <c r="W38" s="280">
        <v>44130.0</v>
      </c>
      <c r="X38" s="281">
        <v>0.027777777777777776</v>
      </c>
      <c r="Y38" s="281" t="s">
        <v>1693</v>
      </c>
      <c r="Z38" s="282" t="s">
        <v>1694</v>
      </c>
      <c r="AA38" s="282" t="s">
        <v>1799</v>
      </c>
      <c r="AB38" s="283">
        <v>44126.0</v>
      </c>
      <c r="AC38" s="284"/>
      <c r="AD38" s="284"/>
    </row>
    <row r="39" ht="14.25" customHeight="1">
      <c r="A39" s="265">
        <v>44116.0</v>
      </c>
      <c r="B39" s="266" t="s">
        <v>1718</v>
      </c>
      <c r="C39" s="266"/>
      <c r="D39" s="266" t="s">
        <v>1452</v>
      </c>
      <c r="E39" s="268" t="s">
        <v>1752</v>
      </c>
      <c r="F39" s="269" t="s">
        <v>1800</v>
      </c>
      <c r="G39" s="268" t="s">
        <v>1700</v>
      </c>
      <c r="H39" s="270">
        <v>0.007129629629629631</v>
      </c>
      <c r="I39" s="271">
        <v>44130.72222222222</v>
      </c>
      <c r="J39" s="268"/>
      <c r="K39" s="271">
        <v>44130.94458333333</v>
      </c>
      <c r="L39" s="271" t="str">
        <f t="shared" ref="L39:L53" si="3">K39-I39</f>
        <v>12/30/99 5:20</v>
      </c>
      <c r="M39" s="272" t="s">
        <v>1801</v>
      </c>
      <c r="N39" s="306"/>
      <c r="O39" s="274"/>
      <c r="P39" s="274"/>
      <c r="Q39" s="307"/>
      <c r="R39" s="307"/>
      <c r="S39" s="307"/>
      <c r="T39" s="307"/>
      <c r="U39" s="279"/>
      <c r="V39" s="279" t="s">
        <v>1500</v>
      </c>
      <c r="W39" s="280">
        <v>44133.0</v>
      </c>
      <c r="X39" s="281">
        <v>0.020833333333333332</v>
      </c>
      <c r="Y39" s="279" t="s">
        <v>1693</v>
      </c>
      <c r="Z39" s="282" t="s">
        <v>1694</v>
      </c>
      <c r="AA39" s="282" t="s">
        <v>1802</v>
      </c>
      <c r="AB39" s="283">
        <v>44144.0</v>
      </c>
      <c r="AC39" s="284"/>
      <c r="AD39" s="284"/>
    </row>
    <row r="40" ht="14.25" customHeight="1">
      <c r="A40" s="265">
        <v>44116.0</v>
      </c>
      <c r="B40" s="266" t="s">
        <v>1570</v>
      </c>
      <c r="C40" s="266"/>
      <c r="D40" s="266" t="s">
        <v>1450</v>
      </c>
      <c r="E40" s="268" t="s">
        <v>1742</v>
      </c>
      <c r="F40" s="291" t="s">
        <v>1803</v>
      </c>
      <c r="G40" s="268" t="s">
        <v>1700</v>
      </c>
      <c r="H40" s="270">
        <v>0.09582175925925925</v>
      </c>
      <c r="I40" s="271">
        <v>44116.489583333336</v>
      </c>
      <c r="J40" s="268"/>
      <c r="K40" s="271">
        <v>44116.58819444444</v>
      </c>
      <c r="L40" s="271" t="str">
        <f t="shared" si="3"/>
        <v>12/30/99 2:22</v>
      </c>
      <c r="M40" s="272" t="s">
        <v>1804</v>
      </c>
      <c r="N40" s="300"/>
      <c r="O40" s="301"/>
      <c r="P40" s="301"/>
      <c r="Q40" s="272"/>
      <c r="R40" s="272"/>
      <c r="S40" s="272"/>
      <c r="T40" s="272"/>
      <c r="U40" s="279"/>
      <c r="V40" s="308" t="s">
        <v>1570</v>
      </c>
      <c r="W40" s="309">
        <v>44132.0</v>
      </c>
      <c r="X40" s="310">
        <v>0.2916666666666667</v>
      </c>
      <c r="Y40" s="281" t="s">
        <v>1693</v>
      </c>
      <c r="Z40" s="282" t="s">
        <v>1694</v>
      </c>
      <c r="AA40" s="282" t="s">
        <v>1805</v>
      </c>
      <c r="AB40" s="283">
        <v>44119.0</v>
      </c>
      <c r="AC40" s="284"/>
      <c r="AD40" s="284"/>
    </row>
    <row r="41" ht="14.25" customHeight="1">
      <c r="A41" s="265">
        <v>44116.0</v>
      </c>
      <c r="B41" s="266" t="s">
        <v>1570</v>
      </c>
      <c r="C41" s="266"/>
      <c r="D41" s="266" t="s">
        <v>1689</v>
      </c>
      <c r="E41" s="268" t="s">
        <v>1742</v>
      </c>
      <c r="F41" s="291" t="s">
        <v>1806</v>
      </c>
      <c r="G41" s="268" t="s">
        <v>1700</v>
      </c>
      <c r="H41" s="270">
        <v>0.028912037037037038</v>
      </c>
      <c r="I41" s="271">
        <v>44116.756944444445</v>
      </c>
      <c r="J41" s="268"/>
      <c r="K41" s="271">
        <v>44116.78082175926</v>
      </c>
      <c r="L41" s="271" t="str">
        <f t="shared" si="3"/>
        <v>12/30/99 0:34</v>
      </c>
      <c r="M41" s="272" t="s">
        <v>1807</v>
      </c>
      <c r="N41" s="300"/>
      <c r="O41" s="301"/>
      <c r="P41" s="301"/>
      <c r="Q41" s="272"/>
      <c r="R41" s="272"/>
      <c r="S41" s="272"/>
      <c r="T41" s="272"/>
      <c r="U41" s="279"/>
      <c r="V41" s="279" t="s">
        <v>1738</v>
      </c>
      <c r="W41" s="280">
        <v>44118.0</v>
      </c>
      <c r="X41" s="281">
        <v>0.2916666666666667</v>
      </c>
      <c r="Y41" s="281" t="s">
        <v>1693</v>
      </c>
      <c r="Z41" s="282" t="s">
        <v>1694</v>
      </c>
      <c r="AA41" s="282" t="s">
        <v>1808</v>
      </c>
      <c r="AB41" s="283">
        <v>44118.0</v>
      </c>
      <c r="AC41" s="284"/>
      <c r="AD41" s="284"/>
    </row>
    <row r="42" ht="14.25" customHeight="1">
      <c r="A42" s="265">
        <v>44116.0</v>
      </c>
      <c r="B42" s="266" t="s">
        <v>1733</v>
      </c>
      <c r="C42" s="266"/>
      <c r="D42" s="266" t="s">
        <v>1748</v>
      </c>
      <c r="E42" s="268"/>
      <c r="F42" s="291" t="s">
        <v>1809</v>
      </c>
      <c r="G42" s="268" t="s">
        <v>1700</v>
      </c>
      <c r="H42" s="270">
        <v>0.01675925925925926</v>
      </c>
      <c r="I42" s="299">
        <v>44116.854166666664</v>
      </c>
      <c r="J42" s="268"/>
      <c r="K42" s="271">
        <v>44116.86111111111</v>
      </c>
      <c r="L42" s="271" t="str">
        <f t="shared" si="3"/>
        <v>12/30/99 0:10</v>
      </c>
      <c r="M42" s="311" t="s">
        <v>1810</v>
      </c>
      <c r="N42" s="312"/>
      <c r="O42" s="313"/>
      <c r="P42" s="313"/>
      <c r="Q42" s="314"/>
      <c r="R42" s="311"/>
      <c r="S42" s="311"/>
      <c r="T42" s="311"/>
      <c r="U42" s="279"/>
      <c r="V42" s="279" t="s">
        <v>1733</v>
      </c>
      <c r="W42" s="280">
        <v>44118.0</v>
      </c>
      <c r="X42" s="281">
        <v>0.20833333333333334</v>
      </c>
      <c r="Y42" s="281" t="s">
        <v>1693</v>
      </c>
      <c r="Z42" s="282" t="s">
        <v>1694</v>
      </c>
      <c r="AA42" s="282" t="s">
        <v>1811</v>
      </c>
      <c r="AB42" s="283">
        <v>44120.0</v>
      </c>
      <c r="AC42" s="284"/>
      <c r="AD42" s="284"/>
    </row>
    <row r="43" ht="14.25" customHeight="1">
      <c r="A43" s="265">
        <v>44117.0</v>
      </c>
      <c r="B43" s="266" t="s">
        <v>1733</v>
      </c>
      <c r="C43" s="266"/>
      <c r="D43" s="266" t="s">
        <v>1452</v>
      </c>
      <c r="E43" s="268"/>
      <c r="F43" s="291" t="s">
        <v>1812</v>
      </c>
      <c r="G43" s="268" t="s">
        <v>1700</v>
      </c>
      <c r="H43" s="270">
        <v>0.011111111111111112</v>
      </c>
      <c r="I43" s="271" t="s">
        <v>1813</v>
      </c>
      <c r="J43" s="268"/>
      <c r="K43" s="271">
        <v>44117.57361111111</v>
      </c>
      <c r="L43" s="271" t="str">
        <f t="shared" si="3"/>
        <v>#VALUE!</v>
      </c>
      <c r="M43" s="278" t="s">
        <v>1814</v>
      </c>
      <c r="N43" s="290"/>
      <c r="O43" s="276"/>
      <c r="P43" s="276"/>
      <c r="Q43" s="268"/>
      <c r="R43" s="278"/>
      <c r="S43" s="278"/>
      <c r="T43" s="278"/>
      <c r="U43" s="279"/>
      <c r="V43" s="279" t="s">
        <v>1733</v>
      </c>
      <c r="W43" s="280">
        <v>44120.0</v>
      </c>
      <c r="X43" s="281">
        <v>0.14583333333333334</v>
      </c>
      <c r="Y43" s="281" t="s">
        <v>1693</v>
      </c>
      <c r="Z43" s="282" t="s">
        <v>1694</v>
      </c>
      <c r="AA43" s="282" t="s">
        <v>1815</v>
      </c>
      <c r="AB43" s="283">
        <v>44144.0</v>
      </c>
      <c r="AC43" s="284"/>
      <c r="AD43" s="284"/>
    </row>
    <row r="44" ht="14.25" customHeight="1">
      <c r="A44" s="265">
        <v>44117.0</v>
      </c>
      <c r="B44" s="266" t="s">
        <v>1772</v>
      </c>
      <c r="C44" s="266"/>
      <c r="D44" s="266" t="s">
        <v>1450</v>
      </c>
      <c r="E44" s="268"/>
      <c r="F44" s="291" t="s">
        <v>1816</v>
      </c>
      <c r="G44" s="268" t="s">
        <v>1463</v>
      </c>
      <c r="H44" s="270">
        <v>0.09306712962962964</v>
      </c>
      <c r="I44" s="271">
        <v>44117.444444444445</v>
      </c>
      <c r="J44" s="268"/>
      <c r="K44" s="271">
        <v>44117.626388888886</v>
      </c>
      <c r="L44" s="271" t="str">
        <f t="shared" si="3"/>
        <v>12/30/99 4:22</v>
      </c>
      <c r="M44" s="307" t="s">
        <v>1817</v>
      </c>
      <c r="N44" s="273">
        <v>44146.49097222222</v>
      </c>
      <c r="O44" s="275" t="s">
        <v>1818</v>
      </c>
      <c r="P44" s="275"/>
      <c r="Q44" s="268" t="s">
        <v>1819</v>
      </c>
      <c r="R44" s="278"/>
      <c r="S44" s="278"/>
      <c r="T44" s="315" t="s">
        <v>1820</v>
      </c>
      <c r="U44" s="279"/>
      <c r="V44" s="279" t="s">
        <v>1772</v>
      </c>
      <c r="W44" s="280">
        <v>44120.0</v>
      </c>
      <c r="X44" s="281">
        <v>0.0062499999999999995</v>
      </c>
      <c r="Y44" s="281" t="s">
        <v>1693</v>
      </c>
      <c r="Z44" s="282" t="s">
        <v>1694</v>
      </c>
      <c r="AA44" s="293" t="s">
        <v>1821</v>
      </c>
      <c r="AB44" s="283">
        <v>44148.0</v>
      </c>
      <c r="AC44" s="284"/>
      <c r="AD44" s="284"/>
    </row>
    <row r="45" ht="14.25" customHeight="1">
      <c r="A45" s="265">
        <v>44117.0</v>
      </c>
      <c r="B45" s="266" t="s">
        <v>1500</v>
      </c>
      <c r="C45" s="266"/>
      <c r="D45" s="266" t="s">
        <v>1543</v>
      </c>
      <c r="E45" s="268"/>
      <c r="F45" s="291" t="s">
        <v>1822</v>
      </c>
      <c r="G45" s="268" t="s">
        <v>1463</v>
      </c>
      <c r="H45" s="270">
        <v>6.944444444444445E-4</v>
      </c>
      <c r="I45" s="271">
        <v>44123.618055555555</v>
      </c>
      <c r="J45" s="268"/>
      <c r="K45" s="271">
        <v>44123.620046296295</v>
      </c>
      <c r="L45" s="271" t="str">
        <f t="shared" si="3"/>
        <v>12/30/99 0:02</v>
      </c>
      <c r="M45" s="278" t="s">
        <v>1823</v>
      </c>
      <c r="N45" s="290"/>
      <c r="O45" s="276"/>
      <c r="P45" s="276"/>
      <c r="Q45" s="268"/>
      <c r="R45" s="278"/>
      <c r="S45" s="278"/>
      <c r="T45" s="278"/>
      <c r="U45" s="279"/>
      <c r="V45" s="279" t="s">
        <v>1824</v>
      </c>
      <c r="W45" s="280">
        <v>44126.0</v>
      </c>
      <c r="X45" s="281">
        <v>0.01513888888888889</v>
      </c>
      <c r="Y45" s="281" t="s">
        <v>1693</v>
      </c>
      <c r="Z45" s="282" t="s">
        <v>1694</v>
      </c>
      <c r="AA45" s="293">
        <v>6275393.0</v>
      </c>
      <c r="AB45" s="283">
        <v>44134.0</v>
      </c>
      <c r="AC45" s="284"/>
      <c r="AD45" s="284"/>
    </row>
    <row r="46" ht="14.25" customHeight="1">
      <c r="A46" s="265">
        <v>44117.0</v>
      </c>
      <c r="B46" s="266" t="s">
        <v>1738</v>
      </c>
      <c r="C46" s="266"/>
      <c r="D46" s="266" t="s">
        <v>1689</v>
      </c>
      <c r="E46" s="268"/>
      <c r="F46" s="291" t="s">
        <v>1825</v>
      </c>
      <c r="G46" s="268" t="s">
        <v>1700</v>
      </c>
      <c r="H46" s="270">
        <v>0.029212962962962965</v>
      </c>
      <c r="I46" s="271">
        <v>44117.64722222222</v>
      </c>
      <c r="J46" s="268"/>
      <c r="K46" s="271">
        <v>44117.66763888889</v>
      </c>
      <c r="L46" s="271" t="str">
        <f t="shared" si="3"/>
        <v>12/30/99 0:29</v>
      </c>
      <c r="M46" s="272" t="s">
        <v>1826</v>
      </c>
      <c r="N46" s="300"/>
      <c r="O46" s="301"/>
      <c r="P46" s="301"/>
      <c r="Q46" s="316"/>
      <c r="R46" s="272"/>
      <c r="S46" s="272"/>
      <c r="T46" s="272"/>
      <c r="U46" s="279"/>
      <c r="V46" s="279" t="s">
        <v>1738</v>
      </c>
      <c r="W46" s="280">
        <v>44120.0</v>
      </c>
      <c r="X46" s="281">
        <v>0.25</v>
      </c>
      <c r="Y46" s="281" t="s">
        <v>1693</v>
      </c>
      <c r="Z46" s="282" t="s">
        <v>1694</v>
      </c>
      <c r="AA46" s="282" t="s">
        <v>1827</v>
      </c>
      <c r="AB46" s="283">
        <v>44118.0</v>
      </c>
      <c r="AC46" s="284"/>
      <c r="AD46" s="284"/>
    </row>
    <row r="47" ht="14.25" customHeight="1">
      <c r="A47" s="265">
        <v>44117.0</v>
      </c>
      <c r="B47" s="266" t="s">
        <v>1733</v>
      </c>
      <c r="C47" s="266"/>
      <c r="D47" s="266" t="s">
        <v>1748</v>
      </c>
      <c r="E47" s="268"/>
      <c r="F47" s="291" t="s">
        <v>1828</v>
      </c>
      <c r="G47" s="268" t="s">
        <v>1700</v>
      </c>
      <c r="H47" s="270">
        <v>0.01716435185185185</v>
      </c>
      <c r="I47" s="271">
        <v>44117.84027777778</v>
      </c>
      <c r="J47" s="268"/>
      <c r="K47" s="271">
        <v>44117.85625</v>
      </c>
      <c r="L47" s="271" t="str">
        <f t="shared" si="3"/>
        <v>12/30/99 0:23</v>
      </c>
      <c r="M47" s="278" t="s">
        <v>1829</v>
      </c>
      <c r="N47" s="290"/>
      <c r="O47" s="276"/>
      <c r="P47" s="276"/>
      <c r="Q47" s="268"/>
      <c r="R47" s="278"/>
      <c r="S47" s="278"/>
      <c r="T47" s="278"/>
      <c r="U47" s="279"/>
      <c r="V47" s="279" t="s">
        <v>1733</v>
      </c>
      <c r="W47" s="280">
        <v>44120.0</v>
      </c>
      <c r="X47" s="281">
        <v>0.22916666666666666</v>
      </c>
      <c r="Y47" s="281" t="s">
        <v>1693</v>
      </c>
      <c r="Z47" s="282" t="s">
        <v>1694</v>
      </c>
      <c r="AA47" s="282" t="s">
        <v>1830</v>
      </c>
      <c r="AB47" s="283">
        <v>44118.0</v>
      </c>
      <c r="AC47" s="284"/>
      <c r="AD47" s="284"/>
    </row>
    <row r="48" ht="14.25" customHeight="1">
      <c r="A48" s="265">
        <v>44117.0</v>
      </c>
      <c r="B48" s="266" t="s">
        <v>1738</v>
      </c>
      <c r="C48" s="266"/>
      <c r="D48" s="266" t="s">
        <v>1831</v>
      </c>
      <c r="E48" s="268"/>
      <c r="F48" s="291" t="s">
        <v>1832</v>
      </c>
      <c r="G48" s="268" t="s">
        <v>1463</v>
      </c>
      <c r="H48" s="270">
        <v>0.0025810185185185185</v>
      </c>
      <c r="I48" s="271">
        <v>44119.71944444445</v>
      </c>
      <c r="J48" s="268"/>
      <c r="K48" s="271">
        <v>44120.06527777778</v>
      </c>
      <c r="L48" s="271" t="str">
        <f t="shared" si="3"/>
        <v>12/30/99 8:18</v>
      </c>
      <c r="M48" s="278" t="s">
        <v>1833</v>
      </c>
      <c r="N48" s="290"/>
      <c r="O48" s="276"/>
      <c r="P48" s="276"/>
      <c r="Q48" s="268"/>
      <c r="R48" s="278"/>
      <c r="S48" s="278"/>
      <c r="T48" s="278"/>
      <c r="U48" s="279"/>
      <c r="V48" s="279" t="s">
        <v>1738</v>
      </c>
      <c r="W48" s="280">
        <v>44120.0</v>
      </c>
      <c r="X48" s="281">
        <v>0.006944444444444444</v>
      </c>
      <c r="Y48" s="281" t="s">
        <v>1693</v>
      </c>
      <c r="Z48" s="282" t="s">
        <v>1694</v>
      </c>
      <c r="AA48" s="293">
        <v>6275388.0</v>
      </c>
      <c r="AB48" s="283">
        <v>44133.0</v>
      </c>
      <c r="AC48" s="284"/>
      <c r="AD48" s="284"/>
    </row>
    <row r="49" ht="14.25" customHeight="1">
      <c r="A49" s="285">
        <v>44118.0</v>
      </c>
      <c r="B49" s="266" t="s">
        <v>1733</v>
      </c>
      <c r="C49" s="266"/>
      <c r="D49" s="266" t="s">
        <v>1452</v>
      </c>
      <c r="E49" s="268" t="s">
        <v>1752</v>
      </c>
      <c r="F49" s="291" t="s">
        <v>1834</v>
      </c>
      <c r="G49" s="268" t="s">
        <v>1700</v>
      </c>
      <c r="H49" s="270">
        <v>0.008263888888888888</v>
      </c>
      <c r="I49" s="271">
        <v>44118.438888888886</v>
      </c>
      <c r="J49" s="268"/>
      <c r="K49" s="271">
        <v>44118.45277777778</v>
      </c>
      <c r="L49" s="271" t="str">
        <f t="shared" si="3"/>
        <v>12/30/99 0:20</v>
      </c>
      <c r="M49" s="272" t="s">
        <v>1835</v>
      </c>
      <c r="N49" s="300"/>
      <c r="O49" s="317"/>
      <c r="P49" s="317"/>
      <c r="Q49" s="316"/>
      <c r="R49" s="272"/>
      <c r="S49" s="272"/>
      <c r="T49" s="272"/>
      <c r="U49" s="279"/>
      <c r="V49" s="279" t="s">
        <v>1746</v>
      </c>
      <c r="W49" s="280">
        <v>44140.0</v>
      </c>
      <c r="X49" s="281">
        <v>0.052083333333333336</v>
      </c>
      <c r="Y49" s="279" t="s">
        <v>1693</v>
      </c>
      <c r="Z49" s="282" t="s">
        <v>1694</v>
      </c>
      <c r="AA49" s="282" t="s">
        <v>1836</v>
      </c>
      <c r="AB49" s="283">
        <v>44144.0</v>
      </c>
      <c r="AC49" s="284"/>
      <c r="AD49" s="284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  <c r="BA49" s="318"/>
      <c r="BB49" s="318"/>
      <c r="BC49" s="318"/>
      <c r="BD49" s="318"/>
      <c r="BE49" s="318"/>
      <c r="BF49" s="318"/>
      <c r="BG49" s="318"/>
      <c r="BH49" s="318"/>
      <c r="BI49" s="318"/>
      <c r="BJ49" s="318"/>
      <c r="BK49" s="318"/>
      <c r="BL49" s="318"/>
      <c r="BM49" s="318"/>
      <c r="BN49" s="318"/>
      <c r="BO49" s="318"/>
      <c r="BP49" s="318"/>
      <c r="BQ49" s="318"/>
      <c r="BR49" s="318"/>
      <c r="BS49" s="318"/>
      <c r="BT49" s="318"/>
      <c r="BU49" s="318"/>
      <c r="BV49" s="318"/>
      <c r="BW49" s="318"/>
      <c r="BX49" s="318"/>
      <c r="BY49" s="318"/>
      <c r="BZ49" s="318"/>
      <c r="CA49" s="318"/>
      <c r="CB49" s="318"/>
      <c r="CC49" s="318"/>
      <c r="CD49" s="318"/>
      <c r="CE49" s="318"/>
      <c r="CF49" s="318"/>
      <c r="CG49" s="318"/>
      <c r="CH49" s="318"/>
      <c r="CI49" s="318"/>
      <c r="CJ49" s="318"/>
      <c r="CK49" s="318"/>
      <c r="CL49" s="318"/>
      <c r="CM49" s="318"/>
      <c r="CN49" s="318"/>
    </row>
    <row r="50" ht="14.25" customHeight="1">
      <c r="A50" s="265">
        <v>44118.0</v>
      </c>
      <c r="B50" s="266" t="s">
        <v>1772</v>
      </c>
      <c r="C50" s="266"/>
      <c r="D50" s="266" t="s">
        <v>1450</v>
      </c>
      <c r="E50" s="268"/>
      <c r="F50" s="291" t="s">
        <v>1837</v>
      </c>
      <c r="G50" s="268" t="s">
        <v>1463</v>
      </c>
      <c r="H50" s="270">
        <v>0.09427083333333335</v>
      </c>
      <c r="I50" s="271">
        <v>44120.6125</v>
      </c>
      <c r="J50" s="268"/>
      <c r="K50" s="271">
        <v>44120.67013888889</v>
      </c>
      <c r="L50" s="271" t="str">
        <f t="shared" si="3"/>
        <v>12/30/99 1:23</v>
      </c>
      <c r="M50" s="278" t="s">
        <v>1838</v>
      </c>
      <c r="N50" s="290"/>
      <c r="O50" s="275"/>
      <c r="P50" s="275"/>
      <c r="Q50" s="268"/>
      <c r="R50" s="278"/>
      <c r="S50" s="278"/>
      <c r="T50" s="278"/>
      <c r="U50" s="279"/>
      <c r="V50" s="279" t="s">
        <v>1685</v>
      </c>
      <c r="W50" s="280" t="s">
        <v>1839</v>
      </c>
      <c r="X50" s="281">
        <v>0.4166666666666667</v>
      </c>
      <c r="Y50" s="281" t="s">
        <v>1693</v>
      </c>
      <c r="Z50" s="282" t="s">
        <v>1694</v>
      </c>
      <c r="AA50" s="282" t="s">
        <v>1840</v>
      </c>
      <c r="AB50" s="283">
        <v>44126.0</v>
      </c>
      <c r="AC50" s="284"/>
      <c r="AD50" s="284"/>
    </row>
    <row r="51" ht="14.25" customHeight="1">
      <c r="A51" s="265">
        <v>44118.0</v>
      </c>
      <c r="B51" s="266" t="s">
        <v>1500</v>
      </c>
      <c r="C51" s="266"/>
      <c r="D51" s="266" t="s">
        <v>1543</v>
      </c>
      <c r="E51" s="268"/>
      <c r="F51" s="269" t="s">
        <v>1841</v>
      </c>
      <c r="G51" s="268" t="s">
        <v>1463</v>
      </c>
      <c r="H51" s="270">
        <v>0.0012731481481481483</v>
      </c>
      <c r="I51" s="271">
        <v>44130.708333333336</v>
      </c>
      <c r="J51" s="268"/>
      <c r="K51" s="271">
        <v>44127.393645833334</v>
      </c>
      <c r="L51" s="271" t="str">
        <f t="shared" si="3"/>
        <v>12/26/99 16:26</v>
      </c>
      <c r="M51" s="272" t="s">
        <v>1842</v>
      </c>
      <c r="N51" s="319">
        <v>44132.83194444444</v>
      </c>
      <c r="O51" s="317" t="s">
        <v>1843</v>
      </c>
      <c r="P51" s="317"/>
      <c r="Q51" s="316" t="s">
        <v>1844</v>
      </c>
      <c r="R51" s="320">
        <v>44132.83415509259</v>
      </c>
      <c r="S51" s="321">
        <v>0.0020833333333333333</v>
      </c>
      <c r="T51" s="316"/>
      <c r="U51" s="279"/>
      <c r="V51" s="279" t="s">
        <v>1824</v>
      </c>
      <c r="W51" s="280">
        <v>44133.0</v>
      </c>
      <c r="X51" s="281">
        <v>0.02488425925925926</v>
      </c>
      <c r="Y51" s="279" t="s">
        <v>1693</v>
      </c>
      <c r="Z51" s="282" t="s">
        <v>1694</v>
      </c>
      <c r="AA51" s="282">
        <v>6279263.0</v>
      </c>
      <c r="AB51" s="283">
        <v>44134.0</v>
      </c>
      <c r="AC51" s="284"/>
      <c r="AD51" s="284"/>
    </row>
    <row r="52" ht="14.25" customHeight="1">
      <c r="A52" s="265">
        <v>44118.0</v>
      </c>
      <c r="B52" s="266" t="s">
        <v>1738</v>
      </c>
      <c r="C52" s="266"/>
      <c r="D52" s="266" t="s">
        <v>1689</v>
      </c>
      <c r="E52" s="268" t="s">
        <v>1845</v>
      </c>
      <c r="F52" s="291" t="s">
        <v>1846</v>
      </c>
      <c r="G52" s="268" t="s">
        <v>1847</v>
      </c>
      <c r="H52" s="270">
        <v>0.029791666666666664</v>
      </c>
      <c r="I52" s="271">
        <v>44130.71527777778</v>
      </c>
      <c r="J52" s="268"/>
      <c r="K52" s="271"/>
      <c r="L52" s="271" t="str">
        <f t="shared" si="3"/>
        <v>3/3/79 6:50</v>
      </c>
      <c r="M52" s="272" t="s">
        <v>1848</v>
      </c>
      <c r="N52" s="306"/>
      <c r="O52" s="322"/>
      <c r="P52" s="322"/>
      <c r="Q52" s="323"/>
      <c r="R52" s="307"/>
      <c r="S52" s="307"/>
      <c r="T52" s="307"/>
      <c r="U52" s="279"/>
      <c r="V52" s="279" t="s">
        <v>1738</v>
      </c>
      <c r="W52" s="280">
        <v>44131.0</v>
      </c>
      <c r="X52" s="281">
        <v>0.20833333333333334</v>
      </c>
      <c r="Y52" s="279" t="s">
        <v>1693</v>
      </c>
      <c r="Z52" s="282" t="s">
        <v>1694</v>
      </c>
      <c r="AA52" s="282" t="s">
        <v>1849</v>
      </c>
      <c r="AB52" s="283">
        <v>44130.0</v>
      </c>
      <c r="AC52" s="284"/>
      <c r="AD52" s="284"/>
    </row>
    <row r="53" ht="14.25" customHeight="1">
      <c r="A53" s="265">
        <v>44118.0</v>
      </c>
      <c r="B53" s="266" t="s">
        <v>1733</v>
      </c>
      <c r="C53" s="266"/>
      <c r="D53" s="266" t="s">
        <v>1748</v>
      </c>
      <c r="E53" s="268"/>
      <c r="F53" s="291" t="s">
        <v>1850</v>
      </c>
      <c r="G53" s="268" t="s">
        <v>1847</v>
      </c>
      <c r="H53" s="270">
        <v>0.012534722222222223</v>
      </c>
      <c r="I53" s="271">
        <v>44118.850694444445</v>
      </c>
      <c r="J53" s="268"/>
      <c r="K53" s="271">
        <v>44118.85763888889</v>
      </c>
      <c r="L53" s="271" t="str">
        <f t="shared" si="3"/>
        <v>12/30/99 0:10</v>
      </c>
      <c r="M53" s="278" t="s">
        <v>1851</v>
      </c>
      <c r="N53" s="290"/>
      <c r="O53" s="275"/>
      <c r="P53" s="275"/>
      <c r="Q53" s="268"/>
      <c r="R53" s="278"/>
      <c r="S53" s="278"/>
      <c r="T53" s="278"/>
      <c r="U53" s="279"/>
      <c r="V53" s="279" t="s">
        <v>1718</v>
      </c>
      <c r="W53" s="280">
        <v>44123.0</v>
      </c>
      <c r="X53" s="281">
        <v>0.20833333333333334</v>
      </c>
      <c r="Y53" s="281" t="s">
        <v>1693</v>
      </c>
      <c r="Z53" s="282" t="s">
        <v>1694</v>
      </c>
      <c r="AA53" s="282" t="s">
        <v>1852</v>
      </c>
      <c r="AB53" s="283">
        <v>44120.0</v>
      </c>
      <c r="AC53" s="284"/>
      <c r="AD53" s="284"/>
    </row>
    <row r="54" ht="14.25" customHeight="1">
      <c r="A54" s="265">
        <v>44118.0</v>
      </c>
      <c r="B54" s="266" t="s">
        <v>1783</v>
      </c>
      <c r="C54" s="266"/>
      <c r="D54" s="266" t="s">
        <v>1831</v>
      </c>
      <c r="E54" s="268"/>
      <c r="F54" s="291" t="s">
        <v>1853</v>
      </c>
      <c r="G54" s="268" t="s">
        <v>1847</v>
      </c>
      <c r="H54" s="270">
        <v>0.0027199074074074074</v>
      </c>
      <c r="I54" s="302">
        <v>44126.5625</v>
      </c>
      <c r="J54" s="268"/>
      <c r="K54" s="271">
        <v>44126.585810185185</v>
      </c>
      <c r="L54" s="271"/>
      <c r="M54" s="272" t="s">
        <v>1854</v>
      </c>
      <c r="N54" s="306"/>
      <c r="O54" s="274"/>
      <c r="P54" s="274"/>
      <c r="Q54" s="323"/>
      <c r="R54" s="307"/>
      <c r="S54" s="307"/>
      <c r="T54" s="307"/>
      <c r="U54" s="279"/>
      <c r="V54" s="279" t="s">
        <v>1738</v>
      </c>
      <c r="W54" s="280">
        <v>44131.0</v>
      </c>
      <c r="X54" s="281">
        <v>0.006944444444444444</v>
      </c>
      <c r="Y54" s="281" t="s">
        <v>1693</v>
      </c>
      <c r="Z54" s="282" t="s">
        <v>1694</v>
      </c>
      <c r="AA54" s="293">
        <v>6275387.0</v>
      </c>
      <c r="AB54" s="283">
        <v>44133.0</v>
      </c>
      <c r="AC54" s="284"/>
      <c r="AD54" s="284"/>
    </row>
    <row r="55" ht="14.25" customHeight="1">
      <c r="A55" s="265">
        <v>44119.0</v>
      </c>
      <c r="B55" s="266" t="s">
        <v>1733</v>
      </c>
      <c r="C55" s="266"/>
      <c r="D55" s="266" t="s">
        <v>1452</v>
      </c>
      <c r="E55" s="268"/>
      <c r="F55" s="291" t="s">
        <v>1855</v>
      </c>
      <c r="G55" s="268" t="s">
        <v>1847</v>
      </c>
      <c r="H55" s="270">
        <v>0.005358796296296296</v>
      </c>
      <c r="I55" s="302">
        <v>44119.40972222222</v>
      </c>
      <c r="J55" s="268"/>
      <c r="K55" s="271">
        <v>44119.42152777778</v>
      </c>
      <c r="L55" s="271" t="str">
        <f t="shared" ref="L55:L69" si="4">K55-I55</f>
        <v>12/30/99 0:17</v>
      </c>
      <c r="M55" s="278" t="s">
        <v>1856</v>
      </c>
      <c r="N55" s="290"/>
      <c r="O55" s="276"/>
      <c r="P55" s="276"/>
      <c r="Q55" s="278"/>
      <c r="R55" s="278"/>
      <c r="S55" s="278"/>
      <c r="T55" s="278"/>
      <c r="U55" s="279"/>
      <c r="V55" s="279" t="s">
        <v>1722</v>
      </c>
      <c r="W55" s="280">
        <v>44123.0</v>
      </c>
      <c r="X55" s="281">
        <v>0.05555555555555555</v>
      </c>
      <c r="Y55" s="281" t="s">
        <v>1693</v>
      </c>
      <c r="Z55" s="282" t="s">
        <v>1694</v>
      </c>
      <c r="AA55" s="282" t="s">
        <v>1857</v>
      </c>
      <c r="AB55" s="283">
        <v>44144.0</v>
      </c>
      <c r="AC55" s="284"/>
      <c r="AD55" s="284"/>
    </row>
    <row r="56" ht="14.25" customHeight="1">
      <c r="A56" s="265">
        <v>44119.0</v>
      </c>
      <c r="B56" s="266" t="s">
        <v>1772</v>
      </c>
      <c r="C56" s="266"/>
      <c r="D56" s="266" t="s">
        <v>1450</v>
      </c>
      <c r="E56" s="268"/>
      <c r="F56" s="291" t="s">
        <v>1858</v>
      </c>
      <c r="G56" s="268" t="s">
        <v>1859</v>
      </c>
      <c r="H56" s="270">
        <v>0.09376157407407408</v>
      </c>
      <c r="I56" s="302">
        <v>44119.41805555556</v>
      </c>
      <c r="J56" s="268"/>
      <c r="K56" s="271">
        <v>44119.493055555555</v>
      </c>
      <c r="L56" s="271" t="str">
        <f t="shared" si="4"/>
        <v>12/30/99 1:48</v>
      </c>
      <c r="M56" s="278" t="s">
        <v>1860</v>
      </c>
      <c r="N56" s="290"/>
      <c r="O56" s="276"/>
      <c r="P56" s="276"/>
      <c r="Q56" s="278"/>
      <c r="R56" s="278"/>
      <c r="S56" s="278"/>
      <c r="T56" s="278"/>
      <c r="U56" s="279"/>
      <c r="V56" s="279" t="s">
        <v>1685</v>
      </c>
      <c r="W56" s="279" t="s">
        <v>1791</v>
      </c>
      <c r="X56" s="281">
        <v>0.375</v>
      </c>
      <c r="Y56" s="281" t="s">
        <v>1693</v>
      </c>
      <c r="Z56" s="282" t="s">
        <v>1694</v>
      </c>
      <c r="AA56" s="282" t="s">
        <v>1861</v>
      </c>
      <c r="AB56" s="283">
        <v>44126.0</v>
      </c>
      <c r="AC56" s="284"/>
      <c r="AD56" s="284"/>
    </row>
    <row r="57" ht="14.25" customHeight="1">
      <c r="A57" s="285">
        <v>44119.0</v>
      </c>
      <c r="B57" s="267" t="s">
        <v>1722</v>
      </c>
      <c r="C57" s="267" t="s">
        <v>1686</v>
      </c>
      <c r="D57" s="267" t="s">
        <v>1543</v>
      </c>
      <c r="E57" s="324"/>
      <c r="F57" s="269" t="s">
        <v>1862</v>
      </c>
      <c r="G57" s="316" t="s">
        <v>1847</v>
      </c>
      <c r="H57" s="321">
        <v>9.722222222222221E-4</v>
      </c>
      <c r="I57" s="325">
        <v>44119.36111111111</v>
      </c>
      <c r="J57" s="316"/>
      <c r="K57" s="320">
        <v>44119.36320601852</v>
      </c>
      <c r="L57" s="320" t="str">
        <f t="shared" si="4"/>
        <v>12/30/99 0:03</v>
      </c>
      <c r="M57" s="272" t="s">
        <v>1863</v>
      </c>
      <c r="N57" s="300"/>
      <c r="O57" s="301"/>
      <c r="P57" s="301"/>
      <c r="Q57" s="272"/>
      <c r="R57" s="272"/>
      <c r="S57" s="272"/>
      <c r="T57" s="272"/>
      <c r="U57" s="308"/>
      <c r="V57" s="308" t="s">
        <v>1722</v>
      </c>
      <c r="W57" s="309">
        <v>44119.0</v>
      </c>
      <c r="X57" s="310">
        <v>0.003472222222222222</v>
      </c>
      <c r="Y57" s="310" t="s">
        <v>1693</v>
      </c>
      <c r="Z57" s="293" t="s">
        <v>1694</v>
      </c>
      <c r="AA57" s="293">
        <v>6275173.0</v>
      </c>
      <c r="AB57" s="326">
        <v>44126.0</v>
      </c>
      <c r="AC57" s="327"/>
      <c r="AD57" s="327"/>
    </row>
    <row r="58" ht="14.25" customHeight="1">
      <c r="A58" s="265">
        <v>44119.0</v>
      </c>
      <c r="B58" s="266" t="s">
        <v>1718</v>
      </c>
      <c r="C58" s="266" t="s">
        <v>1455</v>
      </c>
      <c r="D58" s="266" t="s">
        <v>1543</v>
      </c>
      <c r="E58" s="268"/>
      <c r="F58" s="291" t="s">
        <v>1864</v>
      </c>
      <c r="G58" s="268" t="s">
        <v>1847</v>
      </c>
      <c r="H58" s="270">
        <v>0.0024074074074074076</v>
      </c>
      <c r="I58" s="302">
        <v>44119.37777777778</v>
      </c>
      <c r="J58" s="268"/>
      <c r="K58" s="271">
        <v>44119.38043981481</v>
      </c>
      <c r="L58" s="271" t="str">
        <f t="shared" si="4"/>
        <v>12/30/99 0:03</v>
      </c>
      <c r="M58" s="278" t="s">
        <v>1865</v>
      </c>
      <c r="N58" s="290"/>
      <c r="O58" s="276"/>
      <c r="P58" s="276"/>
      <c r="Q58" s="278"/>
      <c r="R58" s="278"/>
      <c r="S58" s="278"/>
      <c r="T58" s="278"/>
      <c r="U58" s="279"/>
      <c r="V58" s="279" t="s">
        <v>1722</v>
      </c>
      <c r="W58" s="280">
        <v>44119.0</v>
      </c>
      <c r="X58" s="281">
        <v>0.00636574074074074</v>
      </c>
      <c r="Y58" s="281" t="s">
        <v>1693</v>
      </c>
      <c r="Z58" s="282" t="s">
        <v>1694</v>
      </c>
      <c r="AA58" s="282">
        <v>6275174.0</v>
      </c>
      <c r="AB58" s="283">
        <v>44126.0</v>
      </c>
      <c r="AC58" s="284"/>
      <c r="AD58" s="284"/>
    </row>
    <row r="59" ht="14.25" customHeight="1">
      <c r="A59" s="265">
        <v>44119.0</v>
      </c>
      <c r="B59" s="266" t="s">
        <v>1738</v>
      </c>
      <c r="C59" s="266"/>
      <c r="D59" s="266" t="s">
        <v>1689</v>
      </c>
      <c r="E59" s="268"/>
      <c r="F59" s="291" t="s">
        <v>1866</v>
      </c>
      <c r="G59" s="268" t="s">
        <v>1847</v>
      </c>
      <c r="H59" s="270">
        <v>0.028125</v>
      </c>
      <c r="I59" s="271">
        <v>44119.58611111111</v>
      </c>
      <c r="J59" s="268"/>
      <c r="K59" s="271">
        <v>44119.626388888886</v>
      </c>
      <c r="L59" s="271" t="str">
        <f t="shared" si="4"/>
        <v>12/30/99 0:58</v>
      </c>
      <c r="M59" s="278" t="s">
        <v>1867</v>
      </c>
      <c r="N59" s="290"/>
      <c r="O59" s="276"/>
      <c r="P59" s="276"/>
      <c r="Q59" s="278"/>
      <c r="R59" s="278"/>
      <c r="S59" s="278"/>
      <c r="T59" s="278"/>
      <c r="U59" s="279"/>
      <c r="V59" s="279" t="s">
        <v>1783</v>
      </c>
      <c r="W59" s="280" t="s">
        <v>1868</v>
      </c>
      <c r="X59" s="281">
        <v>0.25</v>
      </c>
      <c r="Y59" s="281" t="s">
        <v>1693</v>
      </c>
      <c r="Z59" s="282" t="s">
        <v>1694</v>
      </c>
      <c r="AA59" s="282" t="s">
        <v>1869</v>
      </c>
      <c r="AB59" s="283">
        <v>44125.0</v>
      </c>
      <c r="AC59" s="284"/>
      <c r="AD59" s="284"/>
    </row>
    <row r="60" ht="14.25" customHeight="1">
      <c r="A60" s="265">
        <v>44119.0</v>
      </c>
      <c r="B60" s="266" t="s">
        <v>1733</v>
      </c>
      <c r="C60" s="266"/>
      <c r="D60" s="266" t="s">
        <v>1748</v>
      </c>
      <c r="E60" s="268"/>
      <c r="F60" s="291" t="s">
        <v>1870</v>
      </c>
      <c r="G60" s="268" t="s">
        <v>1847</v>
      </c>
      <c r="H60" s="270">
        <v>0.017314814814814814</v>
      </c>
      <c r="I60" s="299">
        <v>44119.85902777778</v>
      </c>
      <c r="J60" s="268"/>
      <c r="K60" s="271">
        <v>44119.86944444444</v>
      </c>
      <c r="L60" s="271" t="str">
        <f t="shared" si="4"/>
        <v>12/30/99 0:15</v>
      </c>
      <c r="M60" s="278" t="s">
        <v>1871</v>
      </c>
      <c r="N60" s="290"/>
      <c r="O60" s="276"/>
      <c r="P60" s="276"/>
      <c r="Q60" s="278"/>
      <c r="R60" s="278"/>
      <c r="S60" s="278"/>
      <c r="T60" s="278"/>
      <c r="U60" s="279"/>
      <c r="V60" s="279" t="s">
        <v>1718</v>
      </c>
      <c r="W60" s="280" t="s">
        <v>1872</v>
      </c>
      <c r="X60" s="281">
        <v>0.20833333333333334</v>
      </c>
      <c r="Y60" s="281" t="s">
        <v>1693</v>
      </c>
      <c r="Z60" s="282" t="s">
        <v>1694</v>
      </c>
      <c r="AA60" s="282" t="s">
        <v>1873</v>
      </c>
      <c r="AB60" s="283">
        <v>44125.0</v>
      </c>
      <c r="AC60" s="284"/>
      <c r="AD60" s="284"/>
    </row>
    <row r="61" ht="14.25" customHeight="1">
      <c r="A61" s="265">
        <v>44120.0</v>
      </c>
      <c r="B61" s="266" t="s">
        <v>1733</v>
      </c>
      <c r="C61" s="266"/>
      <c r="D61" s="266" t="s">
        <v>1452</v>
      </c>
      <c r="E61" s="268"/>
      <c r="F61" s="291" t="s">
        <v>1874</v>
      </c>
      <c r="G61" s="268" t="s">
        <v>1847</v>
      </c>
      <c r="H61" s="288">
        <v>0.006585648148148147</v>
      </c>
      <c r="I61" s="299">
        <v>44120.433333333334</v>
      </c>
      <c r="J61" s="268"/>
      <c r="K61" s="271">
        <v>44120.43819444445</v>
      </c>
      <c r="L61" s="271" t="str">
        <f t="shared" si="4"/>
        <v>12/30/99 0:07</v>
      </c>
      <c r="M61" s="278" t="s">
        <v>1875</v>
      </c>
      <c r="N61" s="290"/>
      <c r="O61" s="276"/>
      <c r="P61" s="276"/>
      <c r="Q61" s="278"/>
      <c r="R61" s="278"/>
      <c r="S61" s="278"/>
      <c r="T61" s="278"/>
      <c r="U61" s="279"/>
      <c r="V61" s="279" t="s">
        <v>1718</v>
      </c>
      <c r="W61" s="280">
        <v>44124.0</v>
      </c>
      <c r="X61" s="281">
        <v>0.08333333333333333</v>
      </c>
      <c r="Y61" s="281" t="s">
        <v>1693</v>
      </c>
      <c r="Z61" s="282" t="s">
        <v>1694</v>
      </c>
      <c r="AA61" s="282" t="s">
        <v>1876</v>
      </c>
      <c r="AB61" s="283">
        <v>44144.0</v>
      </c>
      <c r="AC61" s="284"/>
      <c r="AD61" s="284"/>
    </row>
    <row r="62" ht="14.25" customHeight="1">
      <c r="A62" s="265">
        <v>44120.0</v>
      </c>
      <c r="B62" s="266" t="s">
        <v>1772</v>
      </c>
      <c r="C62" s="266"/>
      <c r="D62" s="266" t="s">
        <v>1450</v>
      </c>
      <c r="E62" s="268" t="s">
        <v>1845</v>
      </c>
      <c r="F62" s="291" t="s">
        <v>1877</v>
      </c>
      <c r="G62" s="268" t="s">
        <v>1463</v>
      </c>
      <c r="H62" s="270">
        <v>0.0920949074074074</v>
      </c>
      <c r="I62" s="271">
        <v>44120.76527777778</v>
      </c>
      <c r="J62" s="268"/>
      <c r="K62" s="271">
        <v>44120.78472222222</v>
      </c>
      <c r="L62" s="271" t="str">
        <f t="shared" si="4"/>
        <v>12/30/99 0:28</v>
      </c>
      <c r="M62" s="278" t="s">
        <v>1878</v>
      </c>
      <c r="N62" s="290"/>
      <c r="O62" s="276"/>
      <c r="P62" s="276"/>
      <c r="Q62" s="278"/>
      <c r="R62" s="278"/>
      <c r="S62" s="278"/>
      <c r="T62" s="278"/>
      <c r="U62" s="279"/>
      <c r="V62" s="279" t="s">
        <v>1685</v>
      </c>
      <c r="W62" s="279" t="s">
        <v>1879</v>
      </c>
      <c r="X62" s="281">
        <v>0.375</v>
      </c>
      <c r="Y62" s="281" t="s">
        <v>1693</v>
      </c>
      <c r="Z62" s="282" t="s">
        <v>1694</v>
      </c>
      <c r="AA62" s="282" t="s">
        <v>1880</v>
      </c>
      <c r="AB62" s="283">
        <v>44127.0</v>
      </c>
      <c r="AC62" s="284"/>
      <c r="AD62" s="284"/>
    </row>
    <row r="63" ht="14.25" customHeight="1">
      <c r="A63" s="265">
        <v>44120.0</v>
      </c>
      <c r="B63" s="266" t="s">
        <v>1718</v>
      </c>
      <c r="C63" s="266" t="s">
        <v>1450</v>
      </c>
      <c r="D63" s="266" t="s">
        <v>1543</v>
      </c>
      <c r="E63" s="268"/>
      <c r="F63" s="291" t="s">
        <v>1881</v>
      </c>
      <c r="G63" s="268" t="s">
        <v>1847</v>
      </c>
      <c r="H63" s="270">
        <v>0.0051504629629629635</v>
      </c>
      <c r="I63" s="299">
        <v>44120.32152777778</v>
      </c>
      <c r="J63" s="268"/>
      <c r="K63" s="271">
        <v>44120.32640046296</v>
      </c>
      <c r="L63" s="271" t="str">
        <f t="shared" si="4"/>
        <v>12/30/99 0:07</v>
      </c>
      <c r="M63" s="278" t="s">
        <v>1882</v>
      </c>
      <c r="N63" s="290"/>
      <c r="O63" s="276"/>
      <c r="P63" s="276"/>
      <c r="Q63" s="278"/>
      <c r="R63" s="278"/>
      <c r="S63" s="278"/>
      <c r="T63" s="278"/>
      <c r="U63" s="279"/>
      <c r="V63" s="279" t="s">
        <v>1722</v>
      </c>
      <c r="W63" s="280">
        <v>44120.0</v>
      </c>
      <c r="X63" s="281">
        <v>0.003472222222222222</v>
      </c>
      <c r="Y63" s="281" t="s">
        <v>1693</v>
      </c>
      <c r="Z63" s="282" t="s">
        <v>1694</v>
      </c>
      <c r="AA63" s="282">
        <v>6275384.0</v>
      </c>
      <c r="AB63" s="283">
        <v>44127.0</v>
      </c>
      <c r="AC63" s="284"/>
      <c r="AD63" s="284"/>
    </row>
    <row r="64" ht="14.25" customHeight="1">
      <c r="A64" s="265">
        <v>44120.0</v>
      </c>
      <c r="B64" s="266" t="s">
        <v>1718</v>
      </c>
      <c r="C64" s="266"/>
      <c r="D64" s="266" t="s">
        <v>1543</v>
      </c>
      <c r="E64" s="268"/>
      <c r="F64" s="291" t="s">
        <v>1883</v>
      </c>
      <c r="G64" s="268" t="s">
        <v>1847</v>
      </c>
      <c r="H64" s="270">
        <v>0.002893518518518519</v>
      </c>
      <c r="I64" s="299">
        <v>44120.32708333333</v>
      </c>
      <c r="J64" s="268"/>
      <c r="K64" s="271">
        <v>44120.33012731482</v>
      </c>
      <c r="L64" s="271" t="str">
        <f t="shared" si="4"/>
        <v>12/30/99 0:04</v>
      </c>
      <c r="M64" s="278" t="s">
        <v>1884</v>
      </c>
      <c r="N64" s="290"/>
      <c r="O64" s="276"/>
      <c r="P64" s="276"/>
      <c r="Q64" s="278"/>
      <c r="R64" s="278"/>
      <c r="S64" s="278"/>
      <c r="T64" s="278"/>
      <c r="U64" s="279"/>
      <c r="V64" s="279" t="s">
        <v>1722</v>
      </c>
      <c r="W64" s="280">
        <v>44120.0</v>
      </c>
      <c r="X64" s="281">
        <v>0.003472222222222222</v>
      </c>
      <c r="Y64" s="281" t="s">
        <v>1693</v>
      </c>
      <c r="Z64" s="282" t="s">
        <v>1694</v>
      </c>
      <c r="AA64" s="282">
        <v>6275385.0</v>
      </c>
      <c r="AB64" s="283">
        <v>44127.0</v>
      </c>
      <c r="AC64" s="284"/>
      <c r="AD64" s="284"/>
    </row>
    <row r="65" ht="14.25" customHeight="1">
      <c r="A65" s="265">
        <v>44120.0</v>
      </c>
      <c r="B65" s="266" t="s">
        <v>1718</v>
      </c>
      <c r="C65" s="266"/>
      <c r="D65" s="266" t="s">
        <v>1543</v>
      </c>
      <c r="E65" s="268"/>
      <c r="F65" s="291" t="s">
        <v>1885</v>
      </c>
      <c r="G65" s="268" t="s">
        <v>1847</v>
      </c>
      <c r="H65" s="270">
        <v>0.001990740740740741</v>
      </c>
      <c r="I65" s="299">
        <v>44120.32986111111</v>
      </c>
      <c r="J65" s="268"/>
      <c r="K65" s="271">
        <v>44120.33232638889</v>
      </c>
      <c r="L65" s="271" t="str">
        <f t="shared" si="4"/>
        <v>12/30/99 0:03</v>
      </c>
      <c r="M65" s="278" t="s">
        <v>1886</v>
      </c>
      <c r="N65" s="290"/>
      <c r="O65" s="276"/>
      <c r="P65" s="276"/>
      <c r="Q65" s="278"/>
      <c r="R65" s="278"/>
      <c r="S65" s="278"/>
      <c r="T65" s="278"/>
      <c r="U65" s="279"/>
      <c r="V65" s="279" t="s">
        <v>1718</v>
      </c>
      <c r="W65" s="280">
        <v>44120.0</v>
      </c>
      <c r="X65" s="281">
        <v>0.003472222222222222</v>
      </c>
      <c r="Y65" s="281" t="s">
        <v>1693</v>
      </c>
      <c r="Z65" s="282" t="s">
        <v>1694</v>
      </c>
      <c r="AA65" s="282">
        <v>6275386.0</v>
      </c>
      <c r="AB65" s="283">
        <v>44127.0</v>
      </c>
      <c r="AC65" s="284"/>
      <c r="AD65" s="284"/>
    </row>
    <row r="66" ht="14.25" customHeight="1">
      <c r="A66" s="265">
        <v>44120.0</v>
      </c>
      <c r="B66" s="266" t="s">
        <v>1738</v>
      </c>
      <c r="C66" s="266"/>
      <c r="D66" s="266" t="s">
        <v>1689</v>
      </c>
      <c r="E66" s="268"/>
      <c r="F66" s="291" t="s">
        <v>1887</v>
      </c>
      <c r="G66" s="268" t="s">
        <v>1859</v>
      </c>
      <c r="H66" s="270">
        <v>0.02936342592592592</v>
      </c>
      <c r="I66" s="271">
        <v>44120.75763888889</v>
      </c>
      <c r="J66" s="268"/>
      <c r="K66" s="271">
        <v>44121.13263888889</v>
      </c>
      <c r="L66" s="271" t="str">
        <f t="shared" si="4"/>
        <v>12/30/99 9:00</v>
      </c>
      <c r="M66" s="278" t="s">
        <v>1888</v>
      </c>
      <c r="N66" s="290"/>
      <c r="O66" s="276"/>
      <c r="P66" s="276"/>
      <c r="Q66" s="278"/>
      <c r="R66" s="278"/>
      <c r="S66" s="278"/>
      <c r="T66" s="278"/>
      <c r="U66" s="279"/>
      <c r="V66" s="279" t="s">
        <v>1783</v>
      </c>
      <c r="W66" s="280" t="s">
        <v>1872</v>
      </c>
      <c r="X66" s="281">
        <v>0.22916666666666666</v>
      </c>
      <c r="Y66" s="281" t="s">
        <v>1693</v>
      </c>
      <c r="Z66" s="282" t="s">
        <v>1694</v>
      </c>
      <c r="AA66" s="282" t="s">
        <v>1889</v>
      </c>
      <c r="AB66" s="283">
        <v>44127.0</v>
      </c>
      <c r="AC66" s="284"/>
      <c r="AD66" s="284"/>
    </row>
    <row r="67" ht="14.25" customHeight="1">
      <c r="A67" s="265">
        <v>44120.0</v>
      </c>
      <c r="B67" s="266" t="s">
        <v>1733</v>
      </c>
      <c r="C67" s="266"/>
      <c r="D67" s="266" t="s">
        <v>1748</v>
      </c>
      <c r="E67" s="268"/>
      <c r="F67" s="291" t="s">
        <v>1890</v>
      </c>
      <c r="G67" s="268" t="s">
        <v>1859</v>
      </c>
      <c r="H67" s="270">
        <v>0.01719907407407407</v>
      </c>
      <c r="I67" s="271">
        <v>44120.84027777778</v>
      </c>
      <c r="J67" s="268"/>
      <c r="K67" s="271">
        <v>44120.85</v>
      </c>
      <c r="L67" s="271" t="str">
        <f t="shared" si="4"/>
        <v>12/30/99 0:14</v>
      </c>
      <c r="M67" s="278" t="s">
        <v>1891</v>
      </c>
      <c r="N67" s="290"/>
      <c r="O67" s="276"/>
      <c r="P67" s="276"/>
      <c r="Q67" s="278"/>
      <c r="R67" s="278"/>
      <c r="S67" s="278"/>
      <c r="T67" s="278"/>
      <c r="U67" s="279"/>
      <c r="V67" s="279" t="s">
        <v>1718</v>
      </c>
      <c r="W67" s="280">
        <v>44127.0</v>
      </c>
      <c r="X67" s="281">
        <v>0.16666666666666666</v>
      </c>
      <c r="Y67" s="281" t="s">
        <v>1693</v>
      </c>
      <c r="Z67" s="282" t="s">
        <v>1694</v>
      </c>
      <c r="AA67" s="282" t="s">
        <v>1892</v>
      </c>
      <c r="AB67" s="283">
        <v>44127.0</v>
      </c>
      <c r="AC67" s="284"/>
      <c r="AD67" s="284"/>
    </row>
    <row r="68" ht="14.25" customHeight="1">
      <c r="A68" s="265">
        <v>44121.0</v>
      </c>
      <c r="B68" s="266" t="s">
        <v>1685</v>
      </c>
      <c r="C68" s="266"/>
      <c r="D68" s="266" t="s">
        <v>1689</v>
      </c>
      <c r="E68" s="268"/>
      <c r="F68" s="291" t="s">
        <v>1893</v>
      </c>
      <c r="G68" s="268" t="s">
        <v>1859</v>
      </c>
      <c r="H68" s="270">
        <v>0.03037037037037037</v>
      </c>
      <c r="I68" s="271">
        <v>44130.833333333336</v>
      </c>
      <c r="J68" s="268"/>
      <c r="K68" s="271"/>
      <c r="L68" s="271" t="str">
        <f t="shared" si="4"/>
        <v>3/3/79 4:00</v>
      </c>
      <c r="M68" s="272" t="s">
        <v>1848</v>
      </c>
      <c r="N68" s="306"/>
      <c r="O68" s="322"/>
      <c r="P68" s="322"/>
      <c r="Q68" s="307"/>
      <c r="R68" s="307"/>
      <c r="S68" s="307"/>
      <c r="T68" s="307"/>
      <c r="U68" s="279"/>
      <c r="V68" s="279" t="s">
        <v>1894</v>
      </c>
      <c r="W68" s="280">
        <v>44132.0</v>
      </c>
      <c r="X68" s="281">
        <v>0.20833333333333334</v>
      </c>
      <c r="Y68" s="279" t="s">
        <v>1693</v>
      </c>
      <c r="Z68" s="282" t="s">
        <v>1694</v>
      </c>
      <c r="AA68" s="282" t="s">
        <v>1895</v>
      </c>
      <c r="AB68" s="326">
        <v>44130.0</v>
      </c>
      <c r="AC68" s="284"/>
      <c r="AD68" s="284"/>
    </row>
    <row r="69" ht="14.25" customHeight="1">
      <c r="A69" s="265">
        <v>44121.0</v>
      </c>
      <c r="B69" s="266" t="s">
        <v>1772</v>
      </c>
      <c r="C69" s="266"/>
      <c r="D69" s="266" t="s">
        <v>1748</v>
      </c>
      <c r="E69" s="268"/>
      <c r="F69" s="269" t="s">
        <v>1896</v>
      </c>
      <c r="G69" s="268" t="s">
        <v>1463</v>
      </c>
      <c r="H69" s="270">
        <v>0.015185185185185185</v>
      </c>
      <c r="I69" s="320">
        <v>44125.67083333333</v>
      </c>
      <c r="J69" s="268"/>
      <c r="K69" s="271">
        <v>44125.68193287037</v>
      </c>
      <c r="L69" s="271" t="str">
        <f t="shared" si="4"/>
        <v>12/30/99 0:15</v>
      </c>
      <c r="M69" s="272" t="s">
        <v>1897</v>
      </c>
      <c r="N69" s="300"/>
      <c r="O69" s="317"/>
      <c r="P69" s="317"/>
      <c r="Q69" s="272"/>
      <c r="R69" s="272"/>
      <c r="S69" s="272"/>
      <c r="T69" s="272"/>
      <c r="U69" s="279"/>
      <c r="V69" s="279" t="s">
        <v>1500</v>
      </c>
      <c r="W69" s="280">
        <v>44130.0</v>
      </c>
      <c r="X69" s="281">
        <v>0.1388888888888889</v>
      </c>
      <c r="Y69" s="279" t="s">
        <v>1693</v>
      </c>
      <c r="Z69" s="282" t="s">
        <v>1694</v>
      </c>
      <c r="AA69" s="282" t="s">
        <v>1898</v>
      </c>
      <c r="AB69" s="283">
        <v>44127.0</v>
      </c>
      <c r="AC69" s="284"/>
      <c r="AD69" s="284"/>
    </row>
    <row r="70" ht="14.25" customHeight="1">
      <c r="A70" s="265">
        <v>44122.0</v>
      </c>
      <c r="B70" s="266" t="s">
        <v>1500</v>
      </c>
      <c r="C70" s="266"/>
      <c r="D70" s="266" t="s">
        <v>1796</v>
      </c>
      <c r="E70" s="268"/>
      <c r="F70" s="291" t="s">
        <v>1899</v>
      </c>
      <c r="G70" s="268" t="s">
        <v>1463</v>
      </c>
      <c r="H70" s="270">
        <v>0.017280092592592593</v>
      </c>
      <c r="I70" s="271">
        <v>44123.40069444444</v>
      </c>
      <c r="J70" s="268"/>
      <c r="K70" s="271">
        <v>44123.41320601852</v>
      </c>
      <c r="L70" s="271"/>
      <c r="M70" s="278" t="s">
        <v>1900</v>
      </c>
      <c r="N70" s="290"/>
      <c r="O70" s="275"/>
      <c r="P70" s="275"/>
      <c r="Q70" s="278"/>
      <c r="R70" s="278"/>
      <c r="S70" s="278"/>
      <c r="T70" s="278"/>
      <c r="U70" s="279"/>
      <c r="V70" s="279" t="s">
        <v>1718</v>
      </c>
      <c r="W70" s="280">
        <v>44130.0</v>
      </c>
      <c r="X70" s="281">
        <v>0.041666666666666664</v>
      </c>
      <c r="Y70" s="281" t="s">
        <v>1693</v>
      </c>
      <c r="Z70" s="282" t="s">
        <v>1694</v>
      </c>
      <c r="AA70" s="282" t="s">
        <v>1901</v>
      </c>
      <c r="AB70" s="283">
        <v>44127.0</v>
      </c>
      <c r="AC70" s="284"/>
      <c r="AD70" s="284"/>
    </row>
    <row r="71" ht="14.25" customHeight="1">
      <c r="A71" s="265">
        <v>44123.0</v>
      </c>
      <c r="B71" s="266" t="s">
        <v>1722</v>
      </c>
      <c r="C71" s="266"/>
      <c r="D71" s="266" t="s">
        <v>1452</v>
      </c>
      <c r="E71" s="268"/>
      <c r="F71" s="291" t="s">
        <v>1902</v>
      </c>
      <c r="G71" s="268" t="s">
        <v>1463</v>
      </c>
      <c r="H71" s="270" t="s">
        <v>847</v>
      </c>
      <c r="I71" s="271">
        <v>44130.71041666667</v>
      </c>
      <c r="J71" s="268"/>
      <c r="K71" s="271">
        <v>44130.713368055556</v>
      </c>
      <c r="L71" s="271" t="str">
        <f t="shared" ref="L71:L91" si="5">K71-I71</f>
        <v>12/30/99 0:04</v>
      </c>
      <c r="M71" s="307" t="s">
        <v>1903</v>
      </c>
      <c r="N71" s="319">
        <v>44133.67445601852</v>
      </c>
      <c r="O71" s="328" t="s">
        <v>1904</v>
      </c>
      <c r="P71" s="328"/>
      <c r="Q71" s="316" t="s">
        <v>1844</v>
      </c>
      <c r="R71" s="320">
        <v>44133.67445601852</v>
      </c>
      <c r="S71" s="329"/>
      <c r="T71" s="330" t="s">
        <v>1905</v>
      </c>
      <c r="U71" s="279"/>
      <c r="V71" s="279" t="s">
        <v>1746</v>
      </c>
      <c r="W71" s="280">
        <v>44141.0</v>
      </c>
      <c r="X71" s="281">
        <v>0.0625</v>
      </c>
      <c r="Y71" s="279" t="s">
        <v>1693</v>
      </c>
      <c r="Z71" s="282" t="s">
        <v>1694</v>
      </c>
      <c r="AA71" s="282" t="s">
        <v>1906</v>
      </c>
      <c r="AB71" s="283">
        <v>44144.0</v>
      </c>
      <c r="AC71" s="284"/>
      <c r="AD71" s="284"/>
    </row>
    <row r="72" ht="14.25" customHeight="1">
      <c r="A72" s="265">
        <v>44123.0</v>
      </c>
      <c r="B72" s="266" t="s">
        <v>1685</v>
      </c>
      <c r="C72" s="266"/>
      <c r="D72" s="266" t="s">
        <v>1450</v>
      </c>
      <c r="E72" s="268"/>
      <c r="F72" s="291" t="s">
        <v>1907</v>
      </c>
      <c r="G72" s="268" t="s">
        <v>1859</v>
      </c>
      <c r="H72" s="270">
        <v>0.10263888888888889</v>
      </c>
      <c r="I72" s="271">
        <v>44124.427083333336</v>
      </c>
      <c r="J72" s="268"/>
      <c r="K72" s="271">
        <v>44124.498819444445</v>
      </c>
      <c r="L72" s="271" t="str">
        <f t="shared" si="5"/>
        <v>12/30/99 1:43</v>
      </c>
      <c r="M72" s="278" t="s">
        <v>1908</v>
      </c>
      <c r="N72" s="290"/>
      <c r="O72" s="275"/>
      <c r="P72" s="275"/>
      <c r="Q72" s="268"/>
      <c r="R72" s="278"/>
      <c r="S72" s="278"/>
      <c r="T72" s="278"/>
      <c r="U72" s="279"/>
      <c r="V72" s="279" t="s">
        <v>1570</v>
      </c>
      <c r="W72" s="280">
        <v>44130.0</v>
      </c>
      <c r="X72" s="281">
        <v>0.2916666666666667</v>
      </c>
      <c r="Y72" s="279" t="s">
        <v>1693</v>
      </c>
      <c r="Z72" s="282" t="s">
        <v>1694</v>
      </c>
      <c r="AA72" s="282" t="s">
        <v>1909</v>
      </c>
      <c r="AB72" s="283">
        <v>44127.0</v>
      </c>
      <c r="AC72" s="284"/>
      <c r="AD72" s="284"/>
    </row>
    <row r="73" ht="14.25" customHeight="1">
      <c r="A73" s="265">
        <v>44123.0</v>
      </c>
      <c r="B73" s="266" t="s">
        <v>1783</v>
      </c>
      <c r="C73" s="266"/>
      <c r="D73" s="266" t="s">
        <v>1689</v>
      </c>
      <c r="E73" s="268"/>
      <c r="F73" s="291" t="s">
        <v>1910</v>
      </c>
      <c r="G73" s="268" t="s">
        <v>1859</v>
      </c>
      <c r="H73" s="270">
        <v>0.02954861111111111</v>
      </c>
      <c r="I73" s="271">
        <v>44123.555555555555</v>
      </c>
      <c r="J73" s="268"/>
      <c r="K73" s="271">
        <v>44123.58819444444</v>
      </c>
      <c r="L73" s="271" t="str">
        <f t="shared" si="5"/>
        <v>12/30/99 0:47</v>
      </c>
      <c r="M73" s="278" t="s">
        <v>1911</v>
      </c>
      <c r="N73" s="290"/>
      <c r="O73" s="275"/>
      <c r="P73" s="275"/>
      <c r="Q73" s="268"/>
      <c r="R73" s="278"/>
      <c r="S73" s="278"/>
      <c r="T73" s="278"/>
      <c r="U73" s="279"/>
      <c r="V73" s="279" t="s">
        <v>1738</v>
      </c>
      <c r="W73" s="280">
        <v>44130.0</v>
      </c>
      <c r="X73" s="281">
        <v>0.20833333333333334</v>
      </c>
      <c r="Y73" s="279" t="s">
        <v>1693</v>
      </c>
      <c r="Z73" s="282" t="s">
        <v>1694</v>
      </c>
      <c r="AA73" s="282" t="s">
        <v>1912</v>
      </c>
      <c r="AB73" s="283">
        <v>44127.0</v>
      </c>
      <c r="AC73" s="284"/>
      <c r="AD73" s="284"/>
    </row>
    <row r="74" ht="14.25" customHeight="1">
      <c r="A74" s="265">
        <v>44123.0</v>
      </c>
      <c r="B74" s="266" t="s">
        <v>1718</v>
      </c>
      <c r="C74" s="266"/>
      <c r="D74" s="266" t="s">
        <v>1748</v>
      </c>
      <c r="E74" s="268"/>
      <c r="F74" s="291" t="s">
        <v>1913</v>
      </c>
      <c r="G74" s="268" t="s">
        <v>1463</v>
      </c>
      <c r="H74" s="270">
        <v>0.016875</v>
      </c>
      <c r="I74" s="271">
        <v>44123.82708333333</v>
      </c>
      <c r="J74" s="268"/>
      <c r="K74" s="271">
        <v>44123.840844907405</v>
      </c>
      <c r="L74" s="271" t="str">
        <f t="shared" si="5"/>
        <v>12/30/99 0:19</v>
      </c>
      <c r="M74" s="278" t="s">
        <v>1914</v>
      </c>
      <c r="N74" s="290"/>
      <c r="O74" s="276"/>
      <c r="P74" s="276"/>
      <c r="Q74" s="268"/>
      <c r="R74" s="278"/>
      <c r="S74" s="278"/>
      <c r="T74" s="278"/>
      <c r="U74" s="279"/>
      <c r="V74" s="279" t="s">
        <v>1500</v>
      </c>
      <c r="W74" s="280">
        <v>44131.0</v>
      </c>
      <c r="X74" s="281">
        <v>0.1111111111111111</v>
      </c>
      <c r="Y74" s="279" t="s">
        <v>1693</v>
      </c>
      <c r="Z74" s="282" t="s">
        <v>1694</v>
      </c>
      <c r="AA74" s="282" t="s">
        <v>1915</v>
      </c>
      <c r="AB74" s="283">
        <v>44127.0</v>
      </c>
      <c r="AC74" s="284"/>
      <c r="AD74" s="284"/>
    </row>
    <row r="75" ht="14.25" customHeight="1">
      <c r="A75" s="265">
        <v>44124.0</v>
      </c>
      <c r="B75" s="266" t="s">
        <v>1718</v>
      </c>
      <c r="C75" s="266"/>
      <c r="D75" s="266" t="s">
        <v>1452</v>
      </c>
      <c r="E75" s="268"/>
      <c r="F75" s="291" t="s">
        <v>1916</v>
      </c>
      <c r="G75" s="268" t="s">
        <v>1859</v>
      </c>
      <c r="H75" s="270">
        <v>0.009143518518518518</v>
      </c>
      <c r="I75" s="271">
        <v>44125.51666666667</v>
      </c>
      <c r="J75" s="268"/>
      <c r="K75" s="271">
        <v>44125.5278587963</v>
      </c>
      <c r="L75" s="271" t="str">
        <f t="shared" si="5"/>
        <v>12/30/99 0:16</v>
      </c>
      <c r="M75" s="278" t="s">
        <v>1917</v>
      </c>
      <c r="N75" s="290"/>
      <c r="O75" s="276"/>
      <c r="P75" s="276"/>
      <c r="Q75" s="268"/>
      <c r="R75" s="278"/>
      <c r="S75" s="278"/>
      <c r="T75" s="278"/>
      <c r="U75" s="279"/>
      <c r="V75" s="279" t="s">
        <v>1718</v>
      </c>
      <c r="W75" s="280">
        <v>44125.0</v>
      </c>
      <c r="X75" s="281">
        <v>0.125</v>
      </c>
      <c r="Y75" s="281" t="s">
        <v>1693</v>
      </c>
      <c r="Z75" s="282" t="s">
        <v>1694</v>
      </c>
      <c r="AA75" s="282" t="s">
        <v>1918</v>
      </c>
      <c r="AB75" s="283">
        <v>44144.0</v>
      </c>
      <c r="AC75" s="284"/>
      <c r="AD75" s="284"/>
    </row>
    <row r="76" ht="14.25" customHeight="1">
      <c r="A76" s="265">
        <v>44124.0</v>
      </c>
      <c r="B76" s="266" t="s">
        <v>1685</v>
      </c>
      <c r="C76" s="266"/>
      <c r="D76" s="266" t="s">
        <v>1450</v>
      </c>
      <c r="E76" s="268"/>
      <c r="F76" s="291" t="s">
        <v>1919</v>
      </c>
      <c r="G76" s="268" t="s">
        <v>1859</v>
      </c>
      <c r="H76" s="270">
        <v>0.09175925925925926</v>
      </c>
      <c r="I76" s="271">
        <v>44125.41527777778</v>
      </c>
      <c r="J76" s="268"/>
      <c r="K76" s="271">
        <v>44125.47210648148</v>
      </c>
      <c r="L76" s="271" t="str">
        <f t="shared" si="5"/>
        <v>12/30/99 1:21</v>
      </c>
      <c r="M76" s="278" t="s">
        <v>1920</v>
      </c>
      <c r="N76" s="290"/>
      <c r="O76" s="276"/>
      <c r="P76" s="276"/>
      <c r="Q76" s="268"/>
      <c r="R76" s="278"/>
      <c r="S76" s="278"/>
      <c r="T76" s="278"/>
      <c r="U76" s="279"/>
      <c r="V76" s="279" t="s">
        <v>1570</v>
      </c>
      <c r="W76" s="280">
        <v>44131.0</v>
      </c>
      <c r="X76" s="281">
        <v>0.2916666666666667</v>
      </c>
      <c r="Y76" s="279" t="s">
        <v>1693</v>
      </c>
      <c r="Z76" s="282" t="s">
        <v>1694</v>
      </c>
      <c r="AA76" s="282" t="s">
        <v>1921</v>
      </c>
      <c r="AB76" s="283">
        <v>44127.0</v>
      </c>
      <c r="AC76" s="284"/>
      <c r="AD76" s="284"/>
    </row>
    <row r="77" ht="14.25" customHeight="1">
      <c r="A77" s="265">
        <v>44124.0</v>
      </c>
      <c r="B77" s="266" t="s">
        <v>1500</v>
      </c>
      <c r="C77" s="266" t="s">
        <v>1450</v>
      </c>
      <c r="D77" s="266" t="s">
        <v>1543</v>
      </c>
      <c r="E77" s="268"/>
      <c r="F77" s="291" t="s">
        <v>1922</v>
      </c>
      <c r="G77" s="268" t="s">
        <v>1463</v>
      </c>
      <c r="H77" s="270">
        <v>0.004837962962962963</v>
      </c>
      <c r="I77" s="271">
        <v>44124.430555555555</v>
      </c>
      <c r="J77" s="268"/>
      <c r="K77" s="271">
        <v>44124.43819444445</v>
      </c>
      <c r="L77" s="271" t="str">
        <f t="shared" si="5"/>
        <v>12/30/99 0:11</v>
      </c>
      <c r="M77" s="278" t="s">
        <v>1923</v>
      </c>
      <c r="N77" s="290"/>
      <c r="O77" s="276"/>
      <c r="P77" s="276"/>
      <c r="Q77" s="268"/>
      <c r="R77" s="278"/>
      <c r="S77" s="278"/>
      <c r="T77" s="278"/>
      <c r="U77" s="279"/>
      <c r="V77" s="279" t="s">
        <v>1500</v>
      </c>
      <c r="W77" s="280">
        <v>44125.0</v>
      </c>
      <c r="X77" s="281">
        <v>0.008333333333333333</v>
      </c>
      <c r="Y77" s="281" t="s">
        <v>1693</v>
      </c>
      <c r="Z77" s="282" t="s">
        <v>1694</v>
      </c>
      <c r="AA77" s="293">
        <v>6275446.0</v>
      </c>
      <c r="AB77" s="283">
        <v>44134.0</v>
      </c>
      <c r="AC77" s="284"/>
      <c r="AD77" s="284"/>
    </row>
    <row r="78" ht="14.25" customHeight="1">
      <c r="A78" s="265">
        <v>44124.0</v>
      </c>
      <c r="B78" s="266" t="s">
        <v>1500</v>
      </c>
      <c r="C78" s="266" t="s">
        <v>1450</v>
      </c>
      <c r="D78" s="266" t="s">
        <v>1543</v>
      </c>
      <c r="E78" s="268"/>
      <c r="F78" s="291" t="s">
        <v>1924</v>
      </c>
      <c r="G78" s="268" t="s">
        <v>1463</v>
      </c>
      <c r="H78" s="270">
        <v>0.002685185185185185</v>
      </c>
      <c r="I78" s="271">
        <v>44124.45486111111</v>
      </c>
      <c r="J78" s="268"/>
      <c r="K78" s="271">
        <v>44124.458761574075</v>
      </c>
      <c r="L78" s="271" t="str">
        <f t="shared" si="5"/>
        <v>12/30/99 0:05</v>
      </c>
      <c r="M78" s="278" t="s">
        <v>1925</v>
      </c>
      <c r="N78" s="290"/>
      <c r="O78" s="276"/>
      <c r="P78" s="276"/>
      <c r="Q78" s="268"/>
      <c r="R78" s="278"/>
      <c r="S78" s="278"/>
      <c r="T78" s="278"/>
      <c r="U78" s="279"/>
      <c r="V78" s="279" t="s">
        <v>1500</v>
      </c>
      <c r="W78" s="280">
        <v>44125.0</v>
      </c>
      <c r="X78" s="281">
        <v>0.008333333333333333</v>
      </c>
      <c r="Y78" s="281" t="s">
        <v>1693</v>
      </c>
      <c r="Z78" s="282" t="s">
        <v>1694</v>
      </c>
      <c r="AA78" s="282">
        <v>6279264.0</v>
      </c>
      <c r="AB78" s="283">
        <v>44134.0</v>
      </c>
      <c r="AC78" s="284"/>
      <c r="AD78" s="284"/>
    </row>
    <row r="79" ht="14.25" customHeight="1">
      <c r="A79" s="265">
        <v>44124.0</v>
      </c>
      <c r="B79" s="266" t="s">
        <v>1500</v>
      </c>
      <c r="C79" s="266"/>
      <c r="D79" s="266" t="s">
        <v>1543</v>
      </c>
      <c r="E79" s="268"/>
      <c r="F79" s="291" t="s">
        <v>1926</v>
      </c>
      <c r="G79" s="268" t="s">
        <v>1463</v>
      </c>
      <c r="H79" s="270">
        <v>6.36574074074074E-4</v>
      </c>
      <c r="I79" s="271">
        <v>44127.395833333336</v>
      </c>
      <c r="J79" s="268"/>
      <c r="K79" s="271">
        <v>44127.39857638889</v>
      </c>
      <c r="L79" s="271" t="str">
        <f t="shared" si="5"/>
        <v>12/30/99 0:03</v>
      </c>
      <c r="M79" s="315" t="s">
        <v>1927</v>
      </c>
      <c r="N79" s="331"/>
      <c r="O79" s="332"/>
      <c r="P79" s="332"/>
      <c r="Q79" s="333"/>
      <c r="R79" s="315"/>
      <c r="S79" s="315"/>
      <c r="T79" s="315"/>
      <c r="U79" s="279"/>
      <c r="V79" s="279" t="s">
        <v>1824</v>
      </c>
      <c r="W79" s="280">
        <v>44127.0</v>
      </c>
      <c r="X79" s="281">
        <v>0.020266203703703703</v>
      </c>
      <c r="Y79" s="281" t="s">
        <v>1693</v>
      </c>
      <c r="Z79" s="282" t="s">
        <v>1694</v>
      </c>
      <c r="AA79" s="282">
        <v>6279265.0</v>
      </c>
      <c r="AB79" s="283">
        <v>44134.0</v>
      </c>
      <c r="AC79" s="284"/>
      <c r="AD79" s="284"/>
    </row>
    <row r="80" ht="14.25" customHeight="1">
      <c r="A80" s="265">
        <v>44124.0</v>
      </c>
      <c r="B80" s="266" t="s">
        <v>1783</v>
      </c>
      <c r="C80" s="266"/>
      <c r="D80" s="266" t="s">
        <v>1689</v>
      </c>
      <c r="E80" s="268"/>
      <c r="F80" s="291" t="s">
        <v>1928</v>
      </c>
      <c r="G80" s="268" t="s">
        <v>1859</v>
      </c>
      <c r="H80" s="270">
        <v>0.029652777777777778</v>
      </c>
      <c r="I80" s="271">
        <v>44124.55972222222</v>
      </c>
      <c r="J80" s="268"/>
      <c r="K80" s="271">
        <v>44124.58802083333</v>
      </c>
      <c r="L80" s="271" t="str">
        <f t="shared" si="5"/>
        <v>12/30/99 0:40</v>
      </c>
      <c r="M80" s="278" t="s">
        <v>1929</v>
      </c>
      <c r="N80" s="290"/>
      <c r="O80" s="276"/>
      <c r="P80" s="276"/>
      <c r="Q80" s="268"/>
      <c r="R80" s="278"/>
      <c r="S80" s="278"/>
      <c r="T80" s="278"/>
      <c r="U80" s="279"/>
      <c r="V80" s="279" t="s">
        <v>1738</v>
      </c>
      <c r="W80" s="280">
        <v>44133.0</v>
      </c>
      <c r="X80" s="281">
        <v>0.16666666666666666</v>
      </c>
      <c r="Y80" s="279" t="s">
        <v>1693</v>
      </c>
      <c r="Z80" s="282" t="s">
        <v>1694</v>
      </c>
      <c r="AA80" s="282" t="s">
        <v>1930</v>
      </c>
      <c r="AB80" s="283">
        <v>44127.0</v>
      </c>
      <c r="AC80" s="284"/>
      <c r="AD80" s="284"/>
    </row>
    <row r="81" ht="14.25" customHeight="1">
      <c r="A81" s="265">
        <v>44124.0</v>
      </c>
      <c r="B81" s="266" t="s">
        <v>1718</v>
      </c>
      <c r="C81" s="266"/>
      <c r="D81" s="266" t="s">
        <v>1748</v>
      </c>
      <c r="E81" s="268"/>
      <c r="F81" s="291" t="s">
        <v>1931</v>
      </c>
      <c r="G81" s="268" t="s">
        <v>1859</v>
      </c>
      <c r="H81" s="270">
        <v>0.01832175925925926</v>
      </c>
      <c r="I81" s="271">
        <v>44124.83541666667</v>
      </c>
      <c r="J81" s="268"/>
      <c r="K81" s="271">
        <v>44124.85078703704</v>
      </c>
      <c r="L81" s="271" t="str">
        <f t="shared" si="5"/>
        <v>12/30/99 0:22</v>
      </c>
      <c r="M81" s="278" t="s">
        <v>1932</v>
      </c>
      <c r="N81" s="290"/>
      <c r="O81" s="276"/>
      <c r="P81" s="276"/>
      <c r="Q81" s="268"/>
      <c r="R81" s="278"/>
      <c r="S81" s="278"/>
      <c r="T81" s="278"/>
      <c r="U81" s="279"/>
      <c r="V81" s="279" t="s">
        <v>1500</v>
      </c>
      <c r="W81" s="280">
        <v>44132.0</v>
      </c>
      <c r="X81" s="281">
        <v>0.06597222222222222</v>
      </c>
      <c r="Y81" s="279" t="s">
        <v>1693</v>
      </c>
      <c r="Z81" s="282" t="s">
        <v>1694</v>
      </c>
      <c r="AA81" s="282" t="s">
        <v>1933</v>
      </c>
      <c r="AB81" s="283">
        <v>44127.0</v>
      </c>
      <c r="AC81" s="284"/>
      <c r="AD81" s="284"/>
    </row>
    <row r="82" ht="14.25" customHeight="1">
      <c r="A82" s="265">
        <v>44125.0</v>
      </c>
      <c r="B82" s="266" t="s">
        <v>1718</v>
      </c>
      <c r="C82" s="266"/>
      <c r="D82" s="266" t="s">
        <v>1452</v>
      </c>
      <c r="E82" s="268"/>
      <c r="F82" s="291" t="s">
        <v>1934</v>
      </c>
      <c r="G82" s="268" t="s">
        <v>1859</v>
      </c>
      <c r="H82" s="270">
        <v>0.0037037037037037034</v>
      </c>
      <c r="I82" s="271">
        <v>44125.49236111111</v>
      </c>
      <c r="J82" s="268"/>
      <c r="K82" s="271">
        <v>44125.49741898148</v>
      </c>
      <c r="L82" s="271" t="str">
        <f t="shared" si="5"/>
        <v>12/30/99 0:07</v>
      </c>
      <c r="M82" s="278" t="s">
        <v>1935</v>
      </c>
      <c r="N82" s="290"/>
      <c r="O82" s="276"/>
      <c r="P82" s="276"/>
      <c r="Q82" s="268"/>
      <c r="R82" s="278"/>
      <c r="S82" s="278"/>
      <c r="T82" s="278"/>
      <c r="U82" s="279"/>
      <c r="V82" s="279" t="s">
        <v>1718</v>
      </c>
      <c r="W82" s="280">
        <v>44126.0</v>
      </c>
      <c r="X82" s="281">
        <v>0.034722222222222224</v>
      </c>
      <c r="Y82" s="281" t="s">
        <v>1693</v>
      </c>
      <c r="Z82" s="282" t="s">
        <v>1694</v>
      </c>
      <c r="AA82" s="282" t="s">
        <v>1936</v>
      </c>
      <c r="AB82" s="283">
        <v>44144.0</v>
      </c>
      <c r="AC82" s="284"/>
      <c r="AD82" s="284"/>
    </row>
    <row r="83" ht="14.25" customHeight="1">
      <c r="A83" s="265">
        <v>44125.0</v>
      </c>
      <c r="B83" s="266" t="s">
        <v>1685</v>
      </c>
      <c r="C83" s="266"/>
      <c r="D83" s="266" t="s">
        <v>1450</v>
      </c>
      <c r="E83" s="268"/>
      <c r="F83" s="291" t="s">
        <v>1937</v>
      </c>
      <c r="G83" s="268" t="s">
        <v>1859</v>
      </c>
      <c r="H83" s="270">
        <v>0.09202546296296298</v>
      </c>
      <c r="I83" s="271">
        <v>44126.41805555556</v>
      </c>
      <c r="J83" s="268"/>
      <c r="K83" s="271">
        <v>44126.47604166667</v>
      </c>
      <c r="L83" s="271" t="str">
        <f t="shared" si="5"/>
        <v>12/30/99 1:23</v>
      </c>
      <c r="M83" s="272" t="s">
        <v>1938</v>
      </c>
      <c r="N83" s="300"/>
      <c r="O83" s="301"/>
      <c r="P83" s="301"/>
      <c r="Q83" s="316"/>
      <c r="R83" s="272"/>
      <c r="S83" s="272"/>
      <c r="T83" s="272"/>
      <c r="U83" s="279"/>
      <c r="V83" s="279" t="s">
        <v>1570</v>
      </c>
      <c r="W83" s="280">
        <v>44133.0</v>
      </c>
      <c r="X83" s="281">
        <v>0.3333333333333333</v>
      </c>
      <c r="Y83" s="279" t="s">
        <v>1693</v>
      </c>
      <c r="Z83" s="282" t="s">
        <v>1694</v>
      </c>
      <c r="AA83" s="282" t="s">
        <v>1939</v>
      </c>
      <c r="AB83" s="326">
        <v>44130.0</v>
      </c>
      <c r="AC83" s="284"/>
      <c r="AD83" s="284"/>
    </row>
    <row r="84" ht="14.25" customHeight="1">
      <c r="A84" s="265">
        <v>44125.0</v>
      </c>
      <c r="B84" s="266" t="s">
        <v>1500</v>
      </c>
      <c r="C84" s="266"/>
      <c r="D84" s="266" t="s">
        <v>1543</v>
      </c>
      <c r="E84" s="268"/>
      <c r="F84" s="291" t="s">
        <v>1940</v>
      </c>
      <c r="G84" s="268" t="s">
        <v>1463</v>
      </c>
      <c r="H84" s="270">
        <v>0.0034027777777777784</v>
      </c>
      <c r="I84" s="271">
        <v>44125.37152777778</v>
      </c>
      <c r="J84" s="268"/>
      <c r="K84" s="271">
        <v>44125.37756944444</v>
      </c>
      <c r="L84" s="271" t="str">
        <f t="shared" si="5"/>
        <v>12/30/99 0:08</v>
      </c>
      <c r="M84" s="278" t="s">
        <v>1941</v>
      </c>
      <c r="N84" s="290"/>
      <c r="O84" s="275"/>
      <c r="P84" s="275"/>
      <c r="Q84" s="268"/>
      <c r="R84" s="278"/>
      <c r="S84" s="278"/>
      <c r="T84" s="278"/>
      <c r="U84" s="279"/>
      <c r="V84" s="279" t="s">
        <v>1500</v>
      </c>
      <c r="W84" s="280">
        <v>44125.0</v>
      </c>
      <c r="X84" s="281">
        <v>0.008333333333333333</v>
      </c>
      <c r="Y84" s="281" t="s">
        <v>1693</v>
      </c>
      <c r="Z84" s="282" t="s">
        <v>1694</v>
      </c>
      <c r="AA84" s="282">
        <v>6279266.0</v>
      </c>
      <c r="AB84" s="283">
        <v>44134.0</v>
      </c>
      <c r="AC84" s="284"/>
      <c r="AD84" s="284"/>
    </row>
    <row r="85" ht="14.25" customHeight="1">
      <c r="A85" s="265">
        <v>44125.0</v>
      </c>
      <c r="B85" s="266" t="s">
        <v>1500</v>
      </c>
      <c r="C85" s="266"/>
      <c r="D85" s="266" t="s">
        <v>1543</v>
      </c>
      <c r="E85" s="268"/>
      <c r="F85" s="269" t="s">
        <v>1942</v>
      </c>
      <c r="G85" s="268" t="s">
        <v>1463</v>
      </c>
      <c r="H85" s="270">
        <v>0.001689814814814815</v>
      </c>
      <c r="I85" s="271">
        <v>44127.64513888889</v>
      </c>
      <c r="J85" s="268"/>
      <c r="K85" s="271">
        <v>44127.64857638889</v>
      </c>
      <c r="L85" s="271" t="str">
        <f t="shared" si="5"/>
        <v>12/30/99 0:04</v>
      </c>
      <c r="M85" s="272" t="s">
        <v>1943</v>
      </c>
      <c r="N85" s="300"/>
      <c r="O85" s="317"/>
      <c r="P85" s="317"/>
      <c r="Q85" s="316"/>
      <c r="R85" s="272"/>
      <c r="S85" s="272"/>
      <c r="T85" s="272"/>
      <c r="U85" s="279"/>
      <c r="V85" s="279" t="s">
        <v>1824</v>
      </c>
      <c r="W85" s="280">
        <v>44132.0</v>
      </c>
      <c r="X85" s="281">
        <v>0.027881944444444445</v>
      </c>
      <c r="Y85" s="279" t="s">
        <v>1693</v>
      </c>
      <c r="Z85" s="282" t="s">
        <v>1694</v>
      </c>
      <c r="AA85" s="282">
        <v>6279267.0</v>
      </c>
      <c r="AB85" s="283">
        <v>44134.0</v>
      </c>
      <c r="AC85" s="284"/>
      <c r="AD85" s="284"/>
    </row>
    <row r="86" ht="14.25" customHeight="1">
      <c r="A86" s="265">
        <v>44125.0</v>
      </c>
      <c r="B86" s="266" t="s">
        <v>1783</v>
      </c>
      <c r="C86" s="266"/>
      <c r="D86" s="266" t="s">
        <v>1689</v>
      </c>
      <c r="E86" s="268"/>
      <c r="F86" s="291" t="s">
        <v>1944</v>
      </c>
      <c r="G86" s="268" t="s">
        <v>1859</v>
      </c>
      <c r="H86" s="270">
        <v>0.02954861111111111</v>
      </c>
      <c r="I86" s="271">
        <v>44125.67152777778</v>
      </c>
      <c r="J86" s="268"/>
      <c r="K86" s="271">
        <v>44125.70140046296</v>
      </c>
      <c r="L86" s="271" t="str">
        <f t="shared" si="5"/>
        <v>12/30/99 0:43</v>
      </c>
      <c r="M86" s="278" t="s">
        <v>1945</v>
      </c>
      <c r="N86" s="290"/>
      <c r="O86" s="275"/>
      <c r="P86" s="275"/>
      <c r="Q86" s="268"/>
      <c r="R86" s="278"/>
      <c r="S86" s="278"/>
      <c r="T86" s="278"/>
      <c r="U86" s="279"/>
      <c r="V86" s="279" t="s">
        <v>1500</v>
      </c>
      <c r="W86" s="280">
        <v>44134.0</v>
      </c>
      <c r="X86" s="281">
        <v>0.16666666666666666</v>
      </c>
      <c r="Y86" s="279" t="s">
        <v>1693</v>
      </c>
      <c r="Z86" s="282" t="s">
        <v>1694</v>
      </c>
      <c r="AA86" s="282" t="s">
        <v>1946</v>
      </c>
      <c r="AB86" s="283">
        <v>44127.0</v>
      </c>
      <c r="AC86" s="284"/>
      <c r="AD86" s="284"/>
    </row>
    <row r="87" ht="14.25" customHeight="1">
      <c r="A87" s="265">
        <v>44125.0</v>
      </c>
      <c r="B87" s="266" t="s">
        <v>1718</v>
      </c>
      <c r="C87" s="266"/>
      <c r="D87" s="266" t="s">
        <v>1748</v>
      </c>
      <c r="E87" s="268"/>
      <c r="F87" s="291" t="s">
        <v>1947</v>
      </c>
      <c r="G87" s="268" t="s">
        <v>1859</v>
      </c>
      <c r="H87" s="270">
        <v>0.013101851851851852</v>
      </c>
      <c r="I87" s="271">
        <v>44125.82777777778</v>
      </c>
      <c r="J87" s="268"/>
      <c r="K87" s="271">
        <v>44125.83917824074</v>
      </c>
      <c r="L87" s="271" t="str">
        <f t="shared" si="5"/>
        <v>12/30/99 0:16</v>
      </c>
      <c r="M87" s="278" t="s">
        <v>1948</v>
      </c>
      <c r="N87" s="290"/>
      <c r="O87" s="275"/>
      <c r="P87" s="275"/>
      <c r="Q87" s="268"/>
      <c r="R87" s="278"/>
      <c r="S87" s="278"/>
      <c r="T87" s="278"/>
      <c r="U87" s="279"/>
      <c r="V87" s="279" t="s">
        <v>1500</v>
      </c>
      <c r="W87" s="280">
        <v>44133.0</v>
      </c>
      <c r="X87" s="281">
        <v>0.0625</v>
      </c>
      <c r="Y87" s="279" t="s">
        <v>1693</v>
      </c>
      <c r="Z87" s="282" t="s">
        <v>1694</v>
      </c>
      <c r="AA87" s="282" t="s">
        <v>1949</v>
      </c>
      <c r="AB87" s="283">
        <v>44127.0</v>
      </c>
      <c r="AC87" s="284"/>
      <c r="AD87" s="284"/>
    </row>
    <row r="88" ht="14.25" customHeight="1">
      <c r="A88" s="265">
        <v>44126.0</v>
      </c>
      <c r="B88" s="266" t="s">
        <v>1718</v>
      </c>
      <c r="C88" s="266"/>
      <c r="D88" s="266" t="s">
        <v>1452</v>
      </c>
      <c r="E88" s="268"/>
      <c r="F88" s="291" t="s">
        <v>1950</v>
      </c>
      <c r="G88" s="268" t="s">
        <v>1859</v>
      </c>
      <c r="H88" s="270">
        <v>0.003136574074074074</v>
      </c>
      <c r="I88" s="271">
        <v>44130.70972222222</v>
      </c>
      <c r="J88" s="268"/>
      <c r="K88" s="271">
        <v>44130.71215277778</v>
      </c>
      <c r="L88" s="271" t="str">
        <f t="shared" si="5"/>
        <v>12/30/99 0:03</v>
      </c>
      <c r="M88" s="307" t="s">
        <v>1951</v>
      </c>
      <c r="N88" s="319">
        <v>44132.82430555556</v>
      </c>
      <c r="O88" s="328" t="s">
        <v>1952</v>
      </c>
      <c r="P88" s="328"/>
      <c r="Q88" s="316" t="s">
        <v>1953</v>
      </c>
      <c r="R88" s="320">
        <v>44132.82829861111</v>
      </c>
      <c r="S88" s="321">
        <v>0.003472222222222222</v>
      </c>
      <c r="T88" s="316" t="s">
        <v>1954</v>
      </c>
      <c r="U88" s="279"/>
      <c r="V88" s="279" t="s">
        <v>1746</v>
      </c>
      <c r="W88" s="280">
        <v>44139.0</v>
      </c>
      <c r="X88" s="281">
        <v>0.041666666666666664</v>
      </c>
      <c r="Y88" s="279" t="s">
        <v>1693</v>
      </c>
      <c r="Z88" s="282" t="s">
        <v>1694</v>
      </c>
      <c r="AA88" s="282" t="s">
        <v>1955</v>
      </c>
      <c r="AB88" s="283">
        <v>44144.0</v>
      </c>
      <c r="AC88" s="284"/>
      <c r="AD88" s="284"/>
    </row>
    <row r="89" ht="14.25" customHeight="1">
      <c r="A89" s="265">
        <v>44126.0</v>
      </c>
      <c r="B89" s="266" t="s">
        <v>1685</v>
      </c>
      <c r="C89" s="266"/>
      <c r="D89" s="266" t="s">
        <v>1450</v>
      </c>
      <c r="E89" s="268"/>
      <c r="F89" s="291" t="s">
        <v>1956</v>
      </c>
      <c r="G89" s="268" t="s">
        <v>1859</v>
      </c>
      <c r="H89" s="270">
        <v>0.09140046296296296</v>
      </c>
      <c r="I89" s="271">
        <v>44126.42013888889</v>
      </c>
      <c r="J89" s="268"/>
      <c r="K89" s="271">
        <v>44126.476168981484</v>
      </c>
      <c r="L89" s="271" t="str">
        <f t="shared" si="5"/>
        <v>12/30/99 1:20</v>
      </c>
      <c r="M89" s="278" t="s">
        <v>1957</v>
      </c>
      <c r="N89" s="300"/>
      <c r="O89" s="317"/>
      <c r="P89" s="317"/>
      <c r="Q89" s="268"/>
      <c r="R89" s="278"/>
      <c r="S89" s="278"/>
      <c r="T89" s="278"/>
      <c r="U89" s="279"/>
      <c r="V89" s="279" t="s">
        <v>1570</v>
      </c>
      <c r="W89" s="280">
        <v>44134.0</v>
      </c>
      <c r="X89" s="281">
        <v>0.2916666666666667</v>
      </c>
      <c r="Y89" s="279" t="s">
        <v>1693</v>
      </c>
      <c r="Z89" s="282" t="s">
        <v>1694</v>
      </c>
      <c r="AA89" s="282" t="s">
        <v>1958</v>
      </c>
      <c r="AB89" s="283">
        <v>44127.0</v>
      </c>
      <c r="AC89" s="284"/>
      <c r="AD89" s="284"/>
    </row>
    <row r="90" ht="14.25" customHeight="1">
      <c r="A90" s="265">
        <v>44126.0</v>
      </c>
      <c r="B90" s="266" t="s">
        <v>1500</v>
      </c>
      <c r="C90" s="266"/>
      <c r="D90" s="266" t="s">
        <v>1543</v>
      </c>
      <c r="E90" s="268"/>
      <c r="F90" s="291" t="s">
        <v>1959</v>
      </c>
      <c r="G90" s="268" t="s">
        <v>1463</v>
      </c>
      <c r="H90" s="270">
        <v>0.001979166666666667</v>
      </c>
      <c r="I90" s="271">
        <v>44126.430555555555</v>
      </c>
      <c r="J90" s="268"/>
      <c r="K90" s="271">
        <v>44126.43918981482</v>
      </c>
      <c r="L90" s="271" t="str">
        <f t="shared" si="5"/>
        <v>12/30/99 0:12</v>
      </c>
      <c r="M90" s="278" t="s">
        <v>1960</v>
      </c>
      <c r="N90" s="290"/>
      <c r="O90" s="275"/>
      <c r="P90" s="275"/>
      <c r="Q90" s="268"/>
      <c r="R90" s="278"/>
      <c r="S90" s="278"/>
      <c r="T90" s="278"/>
      <c r="U90" s="279"/>
      <c r="V90" s="279" t="s">
        <v>1824</v>
      </c>
      <c r="W90" s="280">
        <v>44126.0</v>
      </c>
      <c r="X90" s="281">
        <v>0.020405092592592593</v>
      </c>
      <c r="Y90" s="281" t="s">
        <v>1693</v>
      </c>
      <c r="Z90" s="282" t="s">
        <v>1694</v>
      </c>
      <c r="AA90" s="282">
        <v>6279268.0</v>
      </c>
      <c r="AB90" s="283">
        <v>44134.0</v>
      </c>
      <c r="AC90" s="284"/>
      <c r="AD90" s="284"/>
    </row>
    <row r="91" ht="14.25" customHeight="1">
      <c r="A91" s="265">
        <v>44126.0</v>
      </c>
      <c r="B91" s="266" t="s">
        <v>1783</v>
      </c>
      <c r="C91" s="266"/>
      <c r="D91" s="266" t="s">
        <v>1689</v>
      </c>
      <c r="E91" s="268"/>
      <c r="F91" s="291" t="s">
        <v>1961</v>
      </c>
      <c r="G91" s="268" t="s">
        <v>1463</v>
      </c>
      <c r="H91" s="270">
        <v>0.028587962962962964</v>
      </c>
      <c r="I91" s="271">
        <v>44126.54305555556</v>
      </c>
      <c r="J91" s="268"/>
      <c r="K91" s="271">
        <v>44126.570555555554</v>
      </c>
      <c r="L91" s="271" t="str">
        <f t="shared" si="5"/>
        <v>12/30/99 0:39</v>
      </c>
      <c r="M91" s="278" t="s">
        <v>1962</v>
      </c>
      <c r="N91" s="290"/>
      <c r="O91" s="275"/>
      <c r="P91" s="275"/>
      <c r="Q91" s="268"/>
      <c r="R91" s="278"/>
      <c r="S91" s="278"/>
      <c r="T91" s="278"/>
      <c r="U91" s="279"/>
      <c r="V91" s="279" t="s">
        <v>1685</v>
      </c>
      <c r="W91" s="280">
        <v>44138.0</v>
      </c>
      <c r="X91" s="281">
        <v>0.2916666666666667</v>
      </c>
      <c r="Y91" s="279" t="s">
        <v>1693</v>
      </c>
      <c r="Z91" s="282" t="s">
        <v>1694</v>
      </c>
      <c r="AA91" s="282" t="s">
        <v>1963</v>
      </c>
      <c r="AB91" s="283">
        <v>44127.0</v>
      </c>
      <c r="AC91" s="284"/>
      <c r="AD91" s="284"/>
    </row>
    <row r="92" ht="14.25" customHeight="1">
      <c r="A92" s="265">
        <v>44126.0</v>
      </c>
      <c r="B92" s="266" t="s">
        <v>1783</v>
      </c>
      <c r="C92" s="266"/>
      <c r="D92" s="266" t="s">
        <v>1689</v>
      </c>
      <c r="E92" s="268"/>
      <c r="F92" s="291" t="s">
        <v>1964</v>
      </c>
      <c r="G92" s="268" t="s">
        <v>1463</v>
      </c>
      <c r="H92" s="270">
        <v>0.0026967592592592594</v>
      </c>
      <c r="I92" s="271">
        <v>44126.58125</v>
      </c>
      <c r="J92" s="268"/>
      <c r="K92" s="271">
        <v>44126.61951388889</v>
      </c>
      <c r="L92" s="271"/>
      <c r="M92" s="278" t="s">
        <v>1965</v>
      </c>
      <c r="N92" s="290"/>
      <c r="O92" s="276"/>
      <c r="P92" s="276"/>
      <c r="Q92" s="278"/>
      <c r="R92" s="278"/>
      <c r="S92" s="278"/>
      <c r="T92" s="278"/>
      <c r="U92" s="279"/>
      <c r="V92" s="279" t="s">
        <v>1685</v>
      </c>
      <c r="W92" s="280">
        <v>44138.0</v>
      </c>
      <c r="X92" s="281">
        <v>0.004861111111111111</v>
      </c>
      <c r="Y92" s="279" t="s">
        <v>1693</v>
      </c>
      <c r="Z92" s="282" t="s">
        <v>1694</v>
      </c>
      <c r="AA92" s="282">
        <v>6275389.0</v>
      </c>
      <c r="AB92" s="283">
        <v>44127.0</v>
      </c>
      <c r="AC92" s="284"/>
      <c r="AD92" s="284"/>
    </row>
    <row r="93" ht="14.25" customHeight="1">
      <c r="A93" s="265">
        <v>44126.0</v>
      </c>
      <c r="B93" s="266" t="s">
        <v>1718</v>
      </c>
      <c r="C93" s="266"/>
      <c r="D93" s="266" t="s">
        <v>1748</v>
      </c>
      <c r="E93" s="268"/>
      <c r="F93" s="291" t="s">
        <v>1966</v>
      </c>
      <c r="G93" s="268" t="s">
        <v>1463</v>
      </c>
      <c r="H93" s="270">
        <v>0.017511574074074072</v>
      </c>
      <c r="I93" s="271">
        <v>44126.854166666664</v>
      </c>
      <c r="J93" s="268"/>
      <c r="K93" s="271">
        <v>44126.8675</v>
      </c>
      <c r="L93" s="271" t="str">
        <f t="shared" ref="L93:L96" si="6">K93-I93</f>
        <v>12/30/99 0:19</v>
      </c>
      <c r="M93" s="278" t="s">
        <v>1967</v>
      </c>
      <c r="N93" s="290"/>
      <c r="O93" s="276"/>
      <c r="P93" s="276"/>
      <c r="Q93" s="278"/>
      <c r="R93" s="278"/>
      <c r="S93" s="278"/>
      <c r="T93" s="278"/>
      <c r="U93" s="279"/>
      <c r="V93" s="279" t="s">
        <v>1500</v>
      </c>
      <c r="W93" s="280">
        <v>44134.0</v>
      </c>
      <c r="X93" s="281">
        <v>0.0763888888888889</v>
      </c>
      <c r="Y93" s="279" t="s">
        <v>1693</v>
      </c>
      <c r="Z93" s="282" t="s">
        <v>1694</v>
      </c>
      <c r="AA93" s="282" t="s">
        <v>1968</v>
      </c>
      <c r="AB93" s="283">
        <v>44127.0</v>
      </c>
      <c r="AC93" s="284"/>
      <c r="AD93" s="284"/>
    </row>
    <row r="94" ht="14.25" customHeight="1">
      <c r="A94" s="265">
        <v>44127.0</v>
      </c>
      <c r="B94" s="266" t="s">
        <v>1718</v>
      </c>
      <c r="C94" s="266"/>
      <c r="D94" s="266" t="s">
        <v>1452</v>
      </c>
      <c r="E94" s="268"/>
      <c r="F94" s="291" t="s">
        <v>1969</v>
      </c>
      <c r="G94" s="268" t="s">
        <v>1859</v>
      </c>
      <c r="H94" s="270">
        <v>0.007893518518518518</v>
      </c>
      <c r="I94" s="271">
        <v>44128.5375</v>
      </c>
      <c r="J94" s="268"/>
      <c r="K94" s="271">
        <v>44128.5475</v>
      </c>
      <c r="L94" s="271" t="str">
        <f t="shared" si="6"/>
        <v>12/30/99 0:14</v>
      </c>
      <c r="M94" s="278" t="s">
        <v>1970</v>
      </c>
      <c r="N94" s="290"/>
      <c r="O94" s="276"/>
      <c r="P94" s="276"/>
      <c r="Q94" s="278"/>
      <c r="R94" s="278"/>
      <c r="S94" s="278"/>
      <c r="T94" s="278"/>
      <c r="U94" s="279"/>
      <c r="V94" s="279" t="s">
        <v>1500</v>
      </c>
      <c r="W94" s="280">
        <v>44130.0</v>
      </c>
      <c r="X94" s="281">
        <v>0.06597222222222222</v>
      </c>
      <c r="Y94" s="279" t="s">
        <v>1693</v>
      </c>
      <c r="Z94" s="282" t="s">
        <v>1694</v>
      </c>
      <c r="AA94" s="282" t="s">
        <v>1971</v>
      </c>
      <c r="AB94" s="283">
        <v>44144.0</v>
      </c>
      <c r="AC94" s="284"/>
      <c r="AD94" s="284"/>
    </row>
    <row r="95" ht="14.25" customHeight="1">
      <c r="A95" s="265">
        <v>44127.0</v>
      </c>
      <c r="B95" s="266" t="s">
        <v>1685</v>
      </c>
      <c r="C95" s="266"/>
      <c r="D95" s="266" t="s">
        <v>1450</v>
      </c>
      <c r="E95" s="268"/>
      <c r="F95" s="291" t="s">
        <v>1972</v>
      </c>
      <c r="G95" s="268" t="s">
        <v>1859</v>
      </c>
      <c r="H95" s="270">
        <v>0.09122685185185185</v>
      </c>
      <c r="I95" s="271">
        <v>44130.70972222222</v>
      </c>
      <c r="J95" s="268"/>
      <c r="K95" s="271"/>
      <c r="L95" s="271" t="str">
        <f t="shared" si="6"/>
        <v>3/3/79 6:58</v>
      </c>
      <c r="M95" s="272" t="s">
        <v>1848</v>
      </c>
      <c r="N95" s="306"/>
      <c r="O95" s="274"/>
      <c r="P95" s="274"/>
      <c r="Q95" s="307"/>
      <c r="R95" s="307"/>
      <c r="S95" s="307"/>
      <c r="T95" s="307"/>
      <c r="U95" s="279"/>
      <c r="V95" s="279" t="s">
        <v>1772</v>
      </c>
      <c r="W95" s="279" t="s">
        <v>1973</v>
      </c>
      <c r="X95" s="281">
        <v>0.3333333333333333</v>
      </c>
      <c r="Y95" s="279" t="s">
        <v>1693</v>
      </c>
      <c r="Z95" s="282" t="s">
        <v>1694</v>
      </c>
      <c r="AA95" s="282" t="s">
        <v>1974</v>
      </c>
      <c r="AB95" s="283">
        <v>44133.0</v>
      </c>
      <c r="AC95" s="284"/>
      <c r="AD95" s="284"/>
    </row>
    <row r="96" ht="14.25" customHeight="1">
      <c r="A96" s="265">
        <v>44127.0</v>
      </c>
      <c r="B96" s="266" t="s">
        <v>1722</v>
      </c>
      <c r="C96" s="266"/>
      <c r="D96" s="266" t="s">
        <v>1543</v>
      </c>
      <c r="E96" s="268"/>
      <c r="F96" s="291" t="s">
        <v>1975</v>
      </c>
      <c r="G96" s="268" t="s">
        <v>1463</v>
      </c>
      <c r="H96" s="270">
        <v>0.001712962962962963</v>
      </c>
      <c r="I96" s="271">
        <v>44132.43125</v>
      </c>
      <c r="J96" s="268"/>
      <c r="K96" s="271">
        <v>44132.433842592596</v>
      </c>
      <c r="L96" s="271" t="str">
        <f t="shared" si="6"/>
        <v>12/30/99 0:03</v>
      </c>
      <c r="M96" s="278" t="s">
        <v>1976</v>
      </c>
      <c r="N96" s="290"/>
      <c r="O96" s="276"/>
      <c r="P96" s="276"/>
      <c r="Q96" s="278"/>
      <c r="R96" s="278"/>
      <c r="S96" s="278"/>
      <c r="T96" s="278"/>
      <c r="U96" s="279"/>
      <c r="V96" s="279" t="s">
        <v>1718</v>
      </c>
      <c r="W96" s="280">
        <v>44133.0</v>
      </c>
      <c r="X96" s="281">
        <v>0.002777777777777778</v>
      </c>
      <c r="Y96" s="279" t="s">
        <v>1693</v>
      </c>
      <c r="Z96" s="282" t="s">
        <v>1694</v>
      </c>
      <c r="AA96" s="282">
        <v>6279269.0</v>
      </c>
      <c r="AB96" s="283">
        <v>44134.0</v>
      </c>
      <c r="AC96" s="284"/>
      <c r="AD96" s="284"/>
    </row>
    <row r="97" ht="14.25" customHeight="1">
      <c r="A97" s="265">
        <v>44127.0</v>
      </c>
      <c r="B97" s="266" t="s">
        <v>1718</v>
      </c>
      <c r="C97" s="266" t="s">
        <v>1686</v>
      </c>
      <c r="D97" s="266" t="s">
        <v>1543</v>
      </c>
      <c r="E97" s="268"/>
      <c r="F97" s="291" t="s">
        <v>1977</v>
      </c>
      <c r="G97" s="268" t="s">
        <v>1463</v>
      </c>
      <c r="H97" s="270">
        <v>0.002673611111111111</v>
      </c>
      <c r="I97" s="271">
        <v>44133.563888888886</v>
      </c>
      <c r="J97" s="268"/>
      <c r="K97" s="271">
        <v>44133.56717592593</v>
      </c>
      <c r="L97" s="271"/>
      <c r="M97" s="278" t="s">
        <v>1978</v>
      </c>
      <c r="N97" s="290"/>
      <c r="O97" s="276"/>
      <c r="P97" s="276"/>
      <c r="Q97" s="278"/>
      <c r="R97" s="278"/>
      <c r="S97" s="278"/>
      <c r="T97" s="278"/>
      <c r="U97" s="279"/>
      <c r="V97" s="279" t="s">
        <v>1824</v>
      </c>
      <c r="W97" s="280">
        <v>44133.0</v>
      </c>
      <c r="X97" s="281">
        <v>0.020636574074074075</v>
      </c>
      <c r="Y97" s="279" t="s">
        <v>1693</v>
      </c>
      <c r="Z97" s="282" t="s">
        <v>1694</v>
      </c>
      <c r="AA97" s="282">
        <v>6279270.0</v>
      </c>
      <c r="AB97" s="283">
        <v>44134.0</v>
      </c>
      <c r="AC97" s="284"/>
      <c r="AD97" s="284"/>
    </row>
    <row r="98" ht="14.25" customHeight="1">
      <c r="A98" s="265">
        <v>44127.0</v>
      </c>
      <c r="B98" s="266" t="s">
        <v>1783</v>
      </c>
      <c r="C98" s="266"/>
      <c r="D98" s="266" t="s">
        <v>1689</v>
      </c>
      <c r="E98" s="268"/>
      <c r="F98" s="291" t="s">
        <v>1979</v>
      </c>
      <c r="G98" s="268" t="s">
        <v>1859</v>
      </c>
      <c r="H98" s="270">
        <v>0.028993055555555553</v>
      </c>
      <c r="I98" s="271">
        <v>44127.53888888889</v>
      </c>
      <c r="J98" s="268"/>
      <c r="K98" s="271">
        <v>44127.56420138889</v>
      </c>
      <c r="L98" s="271" t="str">
        <f>K98-I98</f>
        <v>12/30/99 0:36</v>
      </c>
      <c r="M98" s="278" t="s">
        <v>1980</v>
      </c>
      <c r="N98" s="290"/>
      <c r="O98" s="276"/>
      <c r="P98" s="276"/>
      <c r="Q98" s="278"/>
      <c r="R98" s="278"/>
      <c r="S98" s="278"/>
      <c r="T98" s="278"/>
      <c r="U98" s="279"/>
      <c r="V98" s="279" t="s">
        <v>1685</v>
      </c>
      <c r="W98" s="280">
        <v>44139.0</v>
      </c>
      <c r="X98" s="281">
        <v>0.2916666666666667</v>
      </c>
      <c r="Y98" s="279" t="s">
        <v>1693</v>
      </c>
      <c r="Z98" s="282" t="s">
        <v>1694</v>
      </c>
      <c r="AA98" s="282" t="s">
        <v>1981</v>
      </c>
      <c r="AB98" s="283">
        <v>44127.0</v>
      </c>
      <c r="AC98" s="284"/>
      <c r="AD98" s="284"/>
    </row>
    <row r="99" ht="14.25" customHeight="1">
      <c r="A99" s="265">
        <v>44127.0</v>
      </c>
      <c r="B99" s="266" t="s">
        <v>1783</v>
      </c>
      <c r="C99" s="266"/>
      <c r="D99" s="266" t="s">
        <v>1831</v>
      </c>
      <c r="E99" s="268"/>
      <c r="F99" s="291" t="s">
        <v>1982</v>
      </c>
      <c r="G99" s="268" t="s">
        <v>1859</v>
      </c>
      <c r="H99" s="270">
        <v>0.001261574074074074</v>
      </c>
      <c r="I99" s="271">
        <v>44127.53888888889</v>
      </c>
      <c r="J99" s="268"/>
      <c r="K99" s="271">
        <v>44127.54890046296</v>
      </c>
      <c r="L99" s="271"/>
      <c r="M99" s="278" t="s">
        <v>1983</v>
      </c>
      <c r="N99" s="290"/>
      <c r="O99" s="276"/>
      <c r="P99" s="276"/>
      <c r="Q99" s="278"/>
      <c r="R99" s="278"/>
      <c r="S99" s="278"/>
      <c r="T99" s="278"/>
      <c r="U99" s="279"/>
      <c r="V99" s="279" t="s">
        <v>1685</v>
      </c>
      <c r="W99" s="280">
        <v>44139.0</v>
      </c>
      <c r="X99" s="281">
        <v>0.004166666666666667</v>
      </c>
      <c r="Y99" s="279" t="s">
        <v>1693</v>
      </c>
      <c r="Z99" s="282" t="s">
        <v>1694</v>
      </c>
      <c r="AA99" s="293">
        <v>6275390.0</v>
      </c>
      <c r="AB99" s="283">
        <v>44133.0</v>
      </c>
      <c r="AC99" s="284"/>
      <c r="AD99" s="284"/>
    </row>
    <row r="100" ht="14.25" customHeight="1">
      <c r="A100" s="265">
        <v>44127.0</v>
      </c>
      <c r="B100" s="266" t="s">
        <v>1783</v>
      </c>
      <c r="C100" s="266"/>
      <c r="D100" s="266" t="s">
        <v>1831</v>
      </c>
      <c r="E100" s="268"/>
      <c r="F100" s="291" t="s">
        <v>1984</v>
      </c>
      <c r="G100" s="268" t="s">
        <v>1859</v>
      </c>
      <c r="H100" s="270">
        <v>0.0032870370370370367</v>
      </c>
      <c r="I100" s="271">
        <v>44127.54027777778</v>
      </c>
      <c r="J100" s="268"/>
      <c r="K100" s="271">
        <v>44127.61424768518</v>
      </c>
      <c r="L100" s="271"/>
      <c r="M100" s="278" t="s">
        <v>1985</v>
      </c>
      <c r="N100" s="290"/>
      <c r="O100" s="276"/>
      <c r="P100" s="276"/>
      <c r="Q100" s="278"/>
      <c r="R100" s="278"/>
      <c r="S100" s="278"/>
      <c r="T100" s="278"/>
      <c r="U100" s="279"/>
      <c r="V100" s="279" t="s">
        <v>1685</v>
      </c>
      <c r="W100" s="280">
        <v>44139.0</v>
      </c>
      <c r="X100" s="281">
        <v>0.004166666666666667</v>
      </c>
      <c r="Y100" s="279" t="s">
        <v>1693</v>
      </c>
      <c r="Z100" s="282" t="s">
        <v>1694</v>
      </c>
      <c r="AA100" s="293">
        <v>6276708.0</v>
      </c>
      <c r="AB100" s="283">
        <v>44136.0</v>
      </c>
      <c r="AC100" s="284"/>
      <c r="AD100" s="284"/>
    </row>
    <row r="101" ht="14.25" customHeight="1">
      <c r="A101" s="265">
        <v>44127.0</v>
      </c>
      <c r="B101" s="266" t="s">
        <v>1718</v>
      </c>
      <c r="C101" s="266"/>
      <c r="D101" s="266" t="s">
        <v>1748</v>
      </c>
      <c r="E101" s="268"/>
      <c r="F101" s="291" t="s">
        <v>1986</v>
      </c>
      <c r="G101" s="268" t="s">
        <v>1859</v>
      </c>
      <c r="H101" s="270">
        <v>0.016967592592592593</v>
      </c>
      <c r="I101" s="271">
        <v>44127.82847222222</v>
      </c>
      <c r="J101" s="268"/>
      <c r="K101" s="271">
        <v>44127.84106481481</v>
      </c>
      <c r="L101" s="271" t="str">
        <f t="shared" ref="L101:L103" si="7">K101-I101</f>
        <v>12/30/99 0:18</v>
      </c>
      <c r="M101" s="278" t="s">
        <v>1987</v>
      </c>
      <c r="N101" s="290"/>
      <c r="O101" s="276"/>
      <c r="P101" s="276"/>
      <c r="Q101" s="278"/>
      <c r="R101" s="278"/>
      <c r="S101" s="278"/>
      <c r="T101" s="278"/>
      <c r="U101" s="279"/>
      <c r="V101" s="279" t="s">
        <v>1746</v>
      </c>
      <c r="W101" s="280">
        <v>44139.0</v>
      </c>
      <c r="X101" s="281">
        <v>0.19444444444444445</v>
      </c>
      <c r="Y101" s="279" t="s">
        <v>1693</v>
      </c>
      <c r="Z101" s="282" t="s">
        <v>1694</v>
      </c>
      <c r="AA101" s="282" t="s">
        <v>1988</v>
      </c>
      <c r="AB101" s="283">
        <v>44127.0</v>
      </c>
      <c r="AC101" s="284"/>
      <c r="AD101" s="284"/>
    </row>
    <row r="102" ht="14.25" customHeight="1">
      <c r="A102" s="265">
        <v>44128.0</v>
      </c>
      <c r="B102" s="266" t="s">
        <v>1718</v>
      </c>
      <c r="C102" s="266"/>
      <c r="D102" s="266" t="s">
        <v>1689</v>
      </c>
      <c r="E102" s="268"/>
      <c r="F102" s="291" t="s">
        <v>1989</v>
      </c>
      <c r="G102" s="268" t="s">
        <v>1859</v>
      </c>
      <c r="H102" s="270">
        <v>0.026898148148148147</v>
      </c>
      <c r="I102" s="271">
        <v>44128.54305555556</v>
      </c>
      <c r="J102" s="268"/>
      <c r="K102" s="271">
        <v>44128.56417824074</v>
      </c>
      <c r="L102" s="271" t="str">
        <f t="shared" si="7"/>
        <v>12/30/99 0:30</v>
      </c>
      <c r="M102" s="278" t="s">
        <v>1990</v>
      </c>
      <c r="N102" s="290"/>
      <c r="O102" s="276"/>
      <c r="P102" s="276"/>
      <c r="Q102" s="278"/>
      <c r="R102" s="278"/>
      <c r="S102" s="278"/>
      <c r="T102" s="278"/>
      <c r="U102" s="279"/>
      <c r="V102" s="279" t="s">
        <v>1685</v>
      </c>
      <c r="W102" s="280">
        <v>44140.0</v>
      </c>
      <c r="X102" s="281">
        <v>0.25</v>
      </c>
      <c r="Y102" s="279" t="s">
        <v>1693</v>
      </c>
      <c r="Z102" s="282" t="s">
        <v>1694</v>
      </c>
      <c r="AA102" s="282" t="s">
        <v>1991</v>
      </c>
      <c r="AB102" s="283">
        <v>44133.0</v>
      </c>
      <c r="AC102" s="284"/>
      <c r="AD102" s="284"/>
    </row>
    <row r="103" ht="14.25" customHeight="1">
      <c r="A103" s="265">
        <v>44128.0</v>
      </c>
      <c r="B103" s="266" t="s">
        <v>1718</v>
      </c>
      <c r="C103" s="266"/>
      <c r="D103" s="266" t="s">
        <v>1748</v>
      </c>
      <c r="E103" s="268"/>
      <c r="F103" s="291" t="s">
        <v>1992</v>
      </c>
      <c r="G103" s="268" t="s">
        <v>1859</v>
      </c>
      <c r="H103" s="270">
        <v>0.015081018518518516</v>
      </c>
      <c r="I103" s="271">
        <v>44128.82152777778</v>
      </c>
      <c r="J103" s="268"/>
      <c r="K103" s="271">
        <v>44128.833553240744</v>
      </c>
      <c r="L103" s="271" t="str">
        <f t="shared" si="7"/>
        <v>12/30/99 0:17</v>
      </c>
      <c r="M103" s="278" t="s">
        <v>1993</v>
      </c>
      <c r="N103" s="290"/>
      <c r="O103" s="276"/>
      <c r="P103" s="276"/>
      <c r="Q103" s="278"/>
      <c r="R103" s="278"/>
      <c r="S103" s="278"/>
      <c r="T103" s="278"/>
      <c r="U103" s="279"/>
      <c r="V103" s="279" t="s">
        <v>1746</v>
      </c>
      <c r="W103" s="280">
        <v>44151.0</v>
      </c>
      <c r="X103" s="281">
        <v>0.15625</v>
      </c>
      <c r="Y103" s="279" t="s">
        <v>1693</v>
      </c>
      <c r="Z103" s="282" t="s">
        <v>1694</v>
      </c>
      <c r="AA103" s="293" t="s">
        <v>1994</v>
      </c>
      <c r="AB103" s="283">
        <v>44133.0</v>
      </c>
      <c r="AC103" s="284"/>
      <c r="AD103" s="284"/>
    </row>
    <row r="104" ht="14.25" customHeight="1">
      <c r="A104" s="265">
        <v>44129.0</v>
      </c>
      <c r="B104" s="266" t="s">
        <v>1718</v>
      </c>
      <c r="C104" s="266"/>
      <c r="D104" s="266" t="s">
        <v>1796</v>
      </c>
      <c r="E104" s="268"/>
      <c r="F104" s="269" t="s">
        <v>1995</v>
      </c>
      <c r="G104" s="268" t="s">
        <v>1463</v>
      </c>
      <c r="H104" s="270">
        <v>0.01730324074074074</v>
      </c>
      <c r="I104" s="271">
        <v>44130.532638888886</v>
      </c>
      <c r="J104" s="268"/>
      <c r="K104" s="271">
        <v>44130.54378472222</v>
      </c>
      <c r="L104" s="271"/>
      <c r="M104" s="278" t="s">
        <v>1996</v>
      </c>
      <c r="N104" s="290"/>
      <c r="O104" s="276"/>
      <c r="P104" s="276"/>
      <c r="Q104" s="278"/>
      <c r="R104" s="278"/>
      <c r="S104" s="278"/>
      <c r="T104" s="278"/>
      <c r="U104" s="279"/>
      <c r="V104" s="279" t="s">
        <v>1783</v>
      </c>
      <c r="W104" s="280">
        <v>44131.0</v>
      </c>
      <c r="X104" s="281">
        <v>0.034722222222222224</v>
      </c>
      <c r="Y104" s="279" t="s">
        <v>1693</v>
      </c>
      <c r="Z104" s="282" t="s">
        <v>1694</v>
      </c>
      <c r="AA104" s="282" t="s">
        <v>1997</v>
      </c>
      <c r="AB104" s="283">
        <v>44134.0</v>
      </c>
      <c r="AC104" s="284"/>
      <c r="AD104" s="284"/>
    </row>
    <row r="105" ht="14.25" customHeight="1">
      <c r="A105" s="265">
        <v>44130.0</v>
      </c>
      <c r="B105" s="266" t="s">
        <v>1500</v>
      </c>
      <c r="C105" s="266"/>
      <c r="D105" s="266" t="s">
        <v>1452</v>
      </c>
      <c r="E105" s="268"/>
      <c r="F105" s="291" t="s">
        <v>1998</v>
      </c>
      <c r="G105" s="268" t="s">
        <v>1463</v>
      </c>
      <c r="H105" s="270">
        <v>0.008715277777777778</v>
      </c>
      <c r="I105" s="271">
        <v>44130.45347222222</v>
      </c>
      <c r="J105" s="268"/>
      <c r="K105" s="271">
        <v>44130.461747685185</v>
      </c>
      <c r="L105" s="271" t="str">
        <f t="shared" ref="L105:L108" si="8">K105-I105</f>
        <v>12/30/99 0:11</v>
      </c>
      <c r="M105" s="278" t="s">
        <v>1999</v>
      </c>
      <c r="N105" s="290"/>
      <c r="O105" s="276"/>
      <c r="P105" s="276"/>
      <c r="Q105" s="268"/>
      <c r="R105" s="278"/>
      <c r="S105" s="278"/>
      <c r="T105" s="278"/>
      <c r="U105" s="279"/>
      <c r="V105" s="279" t="s">
        <v>1500</v>
      </c>
      <c r="W105" s="280">
        <v>44131.0</v>
      </c>
      <c r="X105" s="281">
        <v>0.052083333333333336</v>
      </c>
      <c r="Y105" s="279" t="s">
        <v>1693</v>
      </c>
      <c r="Z105" s="282" t="s">
        <v>1694</v>
      </c>
      <c r="AA105" s="282" t="s">
        <v>2000</v>
      </c>
      <c r="AB105" s="283">
        <v>44144.0</v>
      </c>
      <c r="AC105" s="284"/>
      <c r="AD105" s="284"/>
    </row>
    <row r="106" ht="14.25" customHeight="1">
      <c r="A106" s="265">
        <v>44130.0</v>
      </c>
      <c r="B106" s="266" t="s">
        <v>1570</v>
      </c>
      <c r="C106" s="266"/>
      <c r="D106" s="266" t="s">
        <v>1450</v>
      </c>
      <c r="E106" s="268"/>
      <c r="F106" s="291" t="s">
        <v>2001</v>
      </c>
      <c r="G106" s="268" t="s">
        <v>1463</v>
      </c>
      <c r="H106" s="270">
        <v>0.09722222222222222</v>
      </c>
      <c r="I106" s="271">
        <v>44130.39513888889</v>
      </c>
      <c r="J106" s="268"/>
      <c r="K106" s="271">
        <v>44130.446377314816</v>
      </c>
      <c r="L106" s="271" t="str">
        <f t="shared" si="8"/>
        <v>12/30/99 1:13</v>
      </c>
      <c r="M106" s="278" t="s">
        <v>2002</v>
      </c>
      <c r="N106" s="290"/>
      <c r="O106" s="276"/>
      <c r="P106" s="276"/>
      <c r="Q106" s="268"/>
      <c r="R106" s="278"/>
      <c r="S106" s="278"/>
      <c r="T106" s="278"/>
      <c r="U106" s="279"/>
      <c r="V106" s="279" t="s">
        <v>1772</v>
      </c>
      <c r="W106" s="279" t="s">
        <v>2003</v>
      </c>
      <c r="X106" s="281">
        <v>0.3333333333333333</v>
      </c>
      <c r="Y106" s="279" t="s">
        <v>1693</v>
      </c>
      <c r="Z106" s="282" t="s">
        <v>1694</v>
      </c>
      <c r="AA106" s="282" t="s">
        <v>2004</v>
      </c>
      <c r="AB106" s="283">
        <v>44134.0</v>
      </c>
      <c r="AC106" s="284"/>
      <c r="AD106" s="284"/>
    </row>
    <row r="107" ht="14.25" customHeight="1">
      <c r="A107" s="265">
        <v>44130.0</v>
      </c>
      <c r="B107" s="266" t="s">
        <v>1722</v>
      </c>
      <c r="C107" s="266"/>
      <c r="D107" s="266" t="s">
        <v>1543</v>
      </c>
      <c r="E107" s="268"/>
      <c r="F107" s="291" t="s">
        <v>2005</v>
      </c>
      <c r="G107" s="268" t="s">
        <v>1463</v>
      </c>
      <c r="H107" s="270">
        <v>0.028506944444444442</v>
      </c>
      <c r="I107" s="271">
        <v>44132.46041666667</v>
      </c>
      <c r="J107" s="268"/>
      <c r="K107" s="271">
        <v>44132.4793287037</v>
      </c>
      <c r="L107" s="271" t="str">
        <f t="shared" si="8"/>
        <v>12/30/99 0:27</v>
      </c>
      <c r="M107" s="278" t="s">
        <v>2006</v>
      </c>
      <c r="N107" s="290"/>
      <c r="O107" s="276"/>
      <c r="P107" s="276"/>
      <c r="Q107" s="268"/>
      <c r="R107" s="278"/>
      <c r="S107" s="278"/>
      <c r="T107" s="278"/>
      <c r="U107" s="279"/>
      <c r="V107" s="279" t="s">
        <v>1722</v>
      </c>
      <c r="W107" s="280">
        <v>44132.0</v>
      </c>
      <c r="X107" s="281">
        <v>0.006944444444444444</v>
      </c>
      <c r="Y107" s="279" t="s">
        <v>1693</v>
      </c>
      <c r="Z107" s="282" t="s">
        <v>1694</v>
      </c>
      <c r="AA107" s="282">
        <v>6279271.0</v>
      </c>
      <c r="AB107" s="283">
        <v>44134.0</v>
      </c>
      <c r="AC107" s="284"/>
      <c r="AD107" s="284"/>
    </row>
    <row r="108" ht="14.25" customHeight="1">
      <c r="A108" s="265">
        <v>44130.0</v>
      </c>
      <c r="B108" s="266" t="s">
        <v>1722</v>
      </c>
      <c r="C108" s="266"/>
      <c r="D108" s="266" t="s">
        <v>1543</v>
      </c>
      <c r="E108" s="268"/>
      <c r="F108" s="291" t="s">
        <v>2007</v>
      </c>
      <c r="G108" s="268" t="s">
        <v>1463</v>
      </c>
      <c r="H108" s="270">
        <v>0.00318287037037037</v>
      </c>
      <c r="I108" s="271">
        <v>44132.47152777778</v>
      </c>
      <c r="J108" s="268"/>
      <c r="K108" s="271">
        <v>44132.475173611114</v>
      </c>
      <c r="L108" s="271" t="str">
        <f t="shared" si="8"/>
        <v>12/30/99 0:05</v>
      </c>
      <c r="M108" s="278" t="s">
        <v>2008</v>
      </c>
      <c r="N108" s="290"/>
      <c r="O108" s="276"/>
      <c r="P108" s="276"/>
      <c r="Q108" s="268"/>
      <c r="R108" s="278"/>
      <c r="S108" s="278"/>
      <c r="T108" s="278"/>
      <c r="U108" s="279"/>
      <c r="V108" s="279" t="s">
        <v>1722</v>
      </c>
      <c r="W108" s="280">
        <v>44132.0</v>
      </c>
      <c r="X108" s="281">
        <v>0.010416666666666666</v>
      </c>
      <c r="Y108" s="279" t="s">
        <v>1693</v>
      </c>
      <c r="Z108" s="282" t="s">
        <v>1694</v>
      </c>
      <c r="AA108" s="282">
        <v>6279322.0</v>
      </c>
      <c r="AB108" s="283">
        <v>44134.0</v>
      </c>
      <c r="AC108" s="284"/>
      <c r="AD108" s="284"/>
    </row>
    <row r="109" ht="14.25" customHeight="1">
      <c r="A109" s="265">
        <v>44130.0</v>
      </c>
      <c r="B109" s="266" t="s">
        <v>1722</v>
      </c>
      <c r="C109" s="266"/>
      <c r="D109" s="266" t="s">
        <v>1543</v>
      </c>
      <c r="E109" s="268"/>
      <c r="F109" s="291" t="s">
        <v>2009</v>
      </c>
      <c r="G109" s="268" t="s">
        <v>1463</v>
      </c>
      <c r="H109" s="270">
        <v>0.0012037037037037038</v>
      </c>
      <c r="I109" s="271">
        <v>44132.47638888889</v>
      </c>
      <c r="J109" s="268"/>
      <c r="K109" s="271">
        <v>44132.479317129626</v>
      </c>
      <c r="L109" s="271"/>
      <c r="M109" s="278" t="s">
        <v>2010</v>
      </c>
      <c r="N109" s="290"/>
      <c r="O109" s="276"/>
      <c r="P109" s="276"/>
      <c r="Q109" s="268"/>
      <c r="R109" s="278"/>
      <c r="S109" s="278"/>
      <c r="T109" s="278"/>
      <c r="U109" s="279"/>
      <c r="V109" s="279" t="s">
        <v>1718</v>
      </c>
      <c r="W109" s="280">
        <v>44133.0</v>
      </c>
      <c r="X109" s="281">
        <v>0.003472222222222222</v>
      </c>
      <c r="Y109" s="279" t="s">
        <v>1693</v>
      </c>
      <c r="Z109" s="282" t="s">
        <v>1694</v>
      </c>
      <c r="AA109" s="282">
        <v>6279323.0</v>
      </c>
      <c r="AB109" s="283">
        <v>44134.0</v>
      </c>
      <c r="AC109" s="284"/>
      <c r="AD109" s="284"/>
    </row>
    <row r="110" ht="14.25" customHeight="1">
      <c r="A110" s="265">
        <v>44130.0</v>
      </c>
      <c r="B110" s="266" t="s">
        <v>1722</v>
      </c>
      <c r="C110" s="266"/>
      <c r="D110" s="266" t="s">
        <v>1543</v>
      </c>
      <c r="E110" s="268"/>
      <c r="F110" s="291" t="s">
        <v>2011</v>
      </c>
      <c r="G110" s="268" t="s">
        <v>1463</v>
      </c>
      <c r="H110" s="270">
        <v>0.0025</v>
      </c>
      <c r="I110" s="271">
        <v>44132.57986111111</v>
      </c>
      <c r="J110" s="268"/>
      <c r="K110" s="271">
        <v>44132.582650462966</v>
      </c>
      <c r="L110" s="271"/>
      <c r="M110" s="278" t="s">
        <v>2012</v>
      </c>
      <c r="N110" s="290"/>
      <c r="O110" s="276"/>
      <c r="P110" s="276"/>
      <c r="Q110" s="268"/>
      <c r="R110" s="278"/>
      <c r="S110" s="278"/>
      <c r="T110" s="278"/>
      <c r="U110" s="279"/>
      <c r="V110" s="279" t="s">
        <v>1718</v>
      </c>
      <c r="W110" s="280">
        <v>44133.0</v>
      </c>
      <c r="X110" s="281">
        <v>0.0062499999999999995</v>
      </c>
      <c r="Y110" s="279" t="s">
        <v>1693</v>
      </c>
      <c r="Z110" s="282" t="s">
        <v>1694</v>
      </c>
      <c r="AA110" s="282">
        <v>6279324.0</v>
      </c>
      <c r="AB110" s="283">
        <v>44134.0</v>
      </c>
      <c r="AC110" s="284"/>
      <c r="AD110" s="284"/>
    </row>
    <row r="111" ht="14.25" customHeight="1">
      <c r="A111" s="265">
        <v>44130.0</v>
      </c>
      <c r="B111" s="266" t="s">
        <v>1738</v>
      </c>
      <c r="C111" s="266"/>
      <c r="D111" s="266" t="s">
        <v>1689</v>
      </c>
      <c r="E111" s="268"/>
      <c r="F111" s="291" t="s">
        <v>2013</v>
      </c>
      <c r="G111" s="268" t="s">
        <v>1847</v>
      </c>
      <c r="H111" s="270">
        <v>0.02900462962962963</v>
      </c>
      <c r="I111" s="271">
        <v>44130.603472222225</v>
      </c>
      <c r="J111" s="268"/>
      <c r="K111" s="271">
        <v>44130.63327546296</v>
      </c>
      <c r="L111" s="271" t="str">
        <f t="shared" ref="L111:L116" si="9">K111-I111</f>
        <v>12/30/99 0:42</v>
      </c>
      <c r="M111" s="278" t="s">
        <v>2014</v>
      </c>
      <c r="N111" s="290"/>
      <c r="O111" s="275"/>
      <c r="P111" s="275"/>
      <c r="Q111" s="268"/>
      <c r="R111" s="278"/>
      <c r="S111" s="278"/>
      <c r="T111" s="278"/>
      <c r="U111" s="279"/>
      <c r="V111" s="279" t="s">
        <v>1685</v>
      </c>
      <c r="W111" s="280">
        <v>44141.0</v>
      </c>
      <c r="X111" s="281">
        <v>0.3125</v>
      </c>
      <c r="Y111" s="279" t="s">
        <v>1693</v>
      </c>
      <c r="Z111" s="282" t="s">
        <v>1694</v>
      </c>
      <c r="AA111" s="282" t="s">
        <v>2015</v>
      </c>
      <c r="AB111" s="283">
        <v>44134.0</v>
      </c>
      <c r="AC111" s="284"/>
      <c r="AD111" s="284"/>
    </row>
    <row r="112" ht="14.25" customHeight="1">
      <c r="A112" s="265">
        <v>44130.0</v>
      </c>
      <c r="B112" s="266" t="s">
        <v>1500</v>
      </c>
      <c r="C112" s="266"/>
      <c r="D112" s="266" t="s">
        <v>1748</v>
      </c>
      <c r="E112" s="268"/>
      <c r="F112" s="291" t="s">
        <v>2016</v>
      </c>
      <c r="G112" s="268" t="s">
        <v>1847</v>
      </c>
      <c r="H112" s="270">
        <v>0.019664351851851853</v>
      </c>
      <c r="I112" s="271">
        <v>44130.82847222222</v>
      </c>
      <c r="J112" s="268"/>
      <c r="K112" s="271">
        <v>44130.848703703705</v>
      </c>
      <c r="L112" s="271" t="str">
        <f t="shared" si="9"/>
        <v>12/30/99 0:29</v>
      </c>
      <c r="M112" s="278" t="s">
        <v>2017</v>
      </c>
      <c r="N112" s="290"/>
      <c r="O112" s="275"/>
      <c r="P112" s="275"/>
      <c r="Q112" s="268"/>
      <c r="R112" s="278"/>
      <c r="S112" s="278"/>
      <c r="T112" s="278"/>
      <c r="U112" s="279"/>
      <c r="V112" s="279" t="s">
        <v>1738</v>
      </c>
      <c r="W112" s="280">
        <v>44144.0</v>
      </c>
      <c r="X112" s="281">
        <v>0.16666666666666666</v>
      </c>
      <c r="Y112" s="279" t="s">
        <v>1693</v>
      </c>
      <c r="Z112" s="282" t="s">
        <v>1694</v>
      </c>
      <c r="AA112" s="282" t="s">
        <v>2018</v>
      </c>
      <c r="AB112" s="283">
        <v>44134.0</v>
      </c>
      <c r="AC112" s="284"/>
      <c r="AD112" s="284"/>
    </row>
    <row r="113" ht="14.25" customHeight="1">
      <c r="A113" s="265">
        <v>44131.0</v>
      </c>
      <c r="B113" s="266" t="s">
        <v>1500</v>
      </c>
      <c r="C113" s="266"/>
      <c r="D113" s="266" t="s">
        <v>1452</v>
      </c>
      <c r="E113" s="268"/>
      <c r="F113" s="291" t="s">
        <v>2019</v>
      </c>
      <c r="G113" s="268" t="s">
        <v>1847</v>
      </c>
      <c r="H113" s="270">
        <v>0.006319444444444444</v>
      </c>
      <c r="I113" s="271">
        <v>44131.48055555556</v>
      </c>
      <c r="J113" s="268"/>
      <c r="K113" s="271">
        <v>44131.485625</v>
      </c>
      <c r="L113" s="271" t="str">
        <f t="shared" si="9"/>
        <v>12/30/99 0:07</v>
      </c>
      <c r="M113" s="278" t="s">
        <v>2020</v>
      </c>
      <c r="N113" s="290"/>
      <c r="O113" s="275"/>
      <c r="P113" s="275"/>
      <c r="Q113" s="268"/>
      <c r="R113" s="278"/>
      <c r="S113" s="278"/>
      <c r="T113" s="278"/>
      <c r="U113" s="279"/>
      <c r="V113" s="279" t="s">
        <v>1500</v>
      </c>
      <c r="W113" s="280">
        <v>44132.0</v>
      </c>
      <c r="X113" s="281">
        <v>0.034722222222222224</v>
      </c>
      <c r="Y113" s="279" t="s">
        <v>1693</v>
      </c>
      <c r="Z113" s="282" t="s">
        <v>1694</v>
      </c>
      <c r="AA113" s="282" t="s">
        <v>2021</v>
      </c>
      <c r="AB113" s="283">
        <v>44144.0</v>
      </c>
      <c r="AC113" s="284"/>
      <c r="AD113" s="284"/>
    </row>
    <row r="114" ht="14.25" customHeight="1">
      <c r="A114" s="265">
        <v>44131.0</v>
      </c>
      <c r="B114" s="266" t="s">
        <v>1570</v>
      </c>
      <c r="C114" s="266"/>
      <c r="D114" s="266" t="s">
        <v>1450</v>
      </c>
      <c r="E114" s="268"/>
      <c r="F114" s="291" t="s">
        <v>2022</v>
      </c>
      <c r="G114" s="268" t="s">
        <v>1847</v>
      </c>
      <c r="H114" s="270">
        <v>0.09166666666666667</v>
      </c>
      <c r="I114" s="271">
        <v>44131.427083333336</v>
      </c>
      <c r="J114" s="268"/>
      <c r="K114" s="271">
        <v>44131.480104166665</v>
      </c>
      <c r="L114" s="271" t="str">
        <f t="shared" si="9"/>
        <v>12/30/99 1:16</v>
      </c>
      <c r="M114" s="278" t="s">
        <v>2023</v>
      </c>
      <c r="N114" s="290"/>
      <c r="O114" s="275"/>
      <c r="P114" s="275"/>
      <c r="Q114" s="268"/>
      <c r="R114" s="278"/>
      <c r="S114" s="278"/>
      <c r="T114" s="278"/>
      <c r="U114" s="279"/>
      <c r="V114" s="279" t="s">
        <v>1772</v>
      </c>
      <c r="W114" s="279" t="s">
        <v>2024</v>
      </c>
      <c r="X114" s="281">
        <v>0.3333333333333333</v>
      </c>
      <c r="Y114" s="279" t="s">
        <v>1693</v>
      </c>
      <c r="Z114" s="282" t="s">
        <v>1694</v>
      </c>
      <c r="AA114" s="282" t="s">
        <v>2025</v>
      </c>
      <c r="AB114" s="283">
        <v>44134.0</v>
      </c>
      <c r="AC114" s="284"/>
      <c r="AD114" s="284"/>
    </row>
    <row r="115" ht="14.25" customHeight="1">
      <c r="A115" s="265">
        <v>44131.0</v>
      </c>
      <c r="B115" s="266" t="s">
        <v>1738</v>
      </c>
      <c r="C115" s="266"/>
      <c r="D115" s="266" t="s">
        <v>1689</v>
      </c>
      <c r="E115" s="268"/>
      <c r="F115" s="291" t="s">
        <v>2026</v>
      </c>
      <c r="G115" s="268" t="s">
        <v>1463</v>
      </c>
      <c r="H115" s="270">
        <v>0.02956018518518519</v>
      </c>
      <c r="I115" s="271">
        <v>44131.5625</v>
      </c>
      <c r="J115" s="268"/>
      <c r="K115" s="271">
        <v>44131.571180555555</v>
      </c>
      <c r="L115" s="271" t="str">
        <f t="shared" si="9"/>
        <v>12/30/99 0:12</v>
      </c>
      <c r="M115" s="307" t="s">
        <v>2027</v>
      </c>
      <c r="N115" s="319">
        <v>44132.82638888889</v>
      </c>
      <c r="O115" s="317" t="s">
        <v>2028</v>
      </c>
      <c r="P115" s="317"/>
      <c r="Q115" s="268" t="s">
        <v>1819</v>
      </c>
      <c r="R115" s="271">
        <v>44132.8540162037</v>
      </c>
      <c r="S115" s="270">
        <v>0.027083333333333334</v>
      </c>
      <c r="T115" s="333" t="s">
        <v>2029</v>
      </c>
      <c r="U115" s="279"/>
      <c r="V115" s="279" t="s">
        <v>2030</v>
      </c>
      <c r="W115" s="280">
        <v>44144.0</v>
      </c>
      <c r="X115" s="281">
        <v>0.3333333333333333</v>
      </c>
      <c r="Y115" s="279" t="s">
        <v>1693</v>
      </c>
      <c r="Z115" s="282" t="s">
        <v>1694</v>
      </c>
      <c r="AA115" s="282" t="s">
        <v>2031</v>
      </c>
      <c r="AB115" s="283">
        <v>44134.0</v>
      </c>
      <c r="AC115" s="284"/>
      <c r="AD115" s="284"/>
    </row>
    <row r="116" ht="14.25" customHeight="1">
      <c r="A116" s="265">
        <v>44131.0</v>
      </c>
      <c r="B116" s="266" t="s">
        <v>1500</v>
      </c>
      <c r="C116" s="266"/>
      <c r="D116" s="266" t="s">
        <v>1748</v>
      </c>
      <c r="E116" s="268"/>
      <c r="F116" s="291" t="s">
        <v>2032</v>
      </c>
      <c r="G116" s="268" t="s">
        <v>1463</v>
      </c>
      <c r="H116" s="270">
        <v>0.018113425925925925</v>
      </c>
      <c r="I116" s="271">
        <v>44131.82777777778</v>
      </c>
      <c r="J116" s="268"/>
      <c r="K116" s="271">
        <v>44131.83971064815</v>
      </c>
      <c r="L116" s="271" t="str">
        <f t="shared" si="9"/>
        <v>12/30/99 0:17</v>
      </c>
      <c r="M116" s="278" t="s">
        <v>2033</v>
      </c>
      <c r="N116" s="290"/>
      <c r="O116" s="276"/>
      <c r="P116" s="276"/>
      <c r="Q116" s="268"/>
      <c r="R116" s="278"/>
      <c r="S116" s="278"/>
      <c r="T116" s="278"/>
      <c r="U116" s="279"/>
      <c r="V116" s="279" t="s">
        <v>1738</v>
      </c>
      <c r="W116" s="280">
        <v>44145.0</v>
      </c>
      <c r="X116" s="281">
        <v>0.08333333333333333</v>
      </c>
      <c r="Y116" s="279" t="s">
        <v>1693</v>
      </c>
      <c r="Z116" s="282" t="s">
        <v>1694</v>
      </c>
      <c r="AA116" s="282" t="s">
        <v>2034</v>
      </c>
      <c r="AB116" s="283">
        <v>44134.0</v>
      </c>
      <c r="AC116" s="284"/>
      <c r="AD116" s="284"/>
    </row>
    <row r="117" ht="14.25" customHeight="1">
      <c r="A117" s="265">
        <v>44132.0</v>
      </c>
      <c r="B117" s="266" t="s">
        <v>1722</v>
      </c>
      <c r="C117" s="266" t="s">
        <v>1686</v>
      </c>
      <c r="D117" s="266" t="s">
        <v>1543</v>
      </c>
      <c r="E117" s="268"/>
      <c r="F117" s="291" t="s">
        <v>2035</v>
      </c>
      <c r="G117" s="268" t="s">
        <v>1463</v>
      </c>
      <c r="H117" s="270">
        <v>0.0012152777777777778</v>
      </c>
      <c r="I117" s="271">
        <v>44133.600694444445</v>
      </c>
      <c r="J117" s="268"/>
      <c r="K117" s="271">
        <v>44133.603125</v>
      </c>
      <c r="L117" s="271"/>
      <c r="M117" s="278" t="s">
        <v>2036</v>
      </c>
      <c r="N117" s="290"/>
      <c r="O117" s="276"/>
      <c r="P117" s="276"/>
      <c r="Q117" s="268"/>
      <c r="R117" s="278"/>
      <c r="S117" s="278"/>
      <c r="T117" s="278"/>
      <c r="U117" s="279"/>
      <c r="V117" s="279" t="s">
        <v>1824</v>
      </c>
      <c r="W117" s="280">
        <v>44133.0</v>
      </c>
      <c r="X117" s="281">
        <v>0.02165509259259259</v>
      </c>
      <c r="Y117" s="279" t="s">
        <v>1693</v>
      </c>
      <c r="Z117" s="282" t="s">
        <v>1694</v>
      </c>
      <c r="AA117" s="282">
        <v>6279531.0</v>
      </c>
      <c r="AB117" s="283">
        <v>44136.0</v>
      </c>
      <c r="AC117" s="284"/>
      <c r="AD117" s="284"/>
    </row>
    <row r="118" ht="14.25" customHeight="1">
      <c r="A118" s="265">
        <v>44132.0</v>
      </c>
      <c r="B118" s="266" t="s">
        <v>1500</v>
      </c>
      <c r="C118" s="266"/>
      <c r="D118" s="266" t="s">
        <v>1452</v>
      </c>
      <c r="E118" s="268"/>
      <c r="F118" s="291" t="s">
        <v>2037</v>
      </c>
      <c r="G118" s="268" t="s">
        <v>1463</v>
      </c>
      <c r="H118" s="270">
        <v>0.0053125</v>
      </c>
      <c r="I118" s="271">
        <v>44132.56458333333</v>
      </c>
      <c r="J118" s="268"/>
      <c r="K118" s="271">
        <v>44132.57005787037</v>
      </c>
      <c r="L118" s="271" t="str">
        <f t="shared" ref="L118:L121" si="10">K118-I118</f>
        <v>12/30/99 0:07</v>
      </c>
      <c r="M118" s="278" t="s">
        <v>2038</v>
      </c>
      <c r="N118" s="290"/>
      <c r="O118" s="276"/>
      <c r="P118" s="276"/>
      <c r="Q118" s="268"/>
      <c r="R118" s="278"/>
      <c r="S118" s="278"/>
      <c r="T118" s="278"/>
      <c r="U118" s="279"/>
      <c r="V118" s="279" t="s">
        <v>1500</v>
      </c>
      <c r="W118" s="280">
        <v>44132.0</v>
      </c>
      <c r="X118" s="281">
        <v>0.024305555555555556</v>
      </c>
      <c r="Y118" s="279" t="s">
        <v>1693</v>
      </c>
      <c r="Z118" s="282" t="s">
        <v>1694</v>
      </c>
      <c r="AA118" s="282" t="s">
        <v>2039</v>
      </c>
      <c r="AB118" s="283">
        <v>44144.0</v>
      </c>
      <c r="AC118" s="284"/>
      <c r="AD118" s="284"/>
    </row>
    <row r="119" ht="14.25" customHeight="1">
      <c r="A119" s="265">
        <v>44132.0</v>
      </c>
      <c r="B119" s="266" t="s">
        <v>1570</v>
      </c>
      <c r="C119" s="266"/>
      <c r="D119" s="266" t="s">
        <v>1450</v>
      </c>
      <c r="E119" s="268"/>
      <c r="F119" s="291" t="s">
        <v>2040</v>
      </c>
      <c r="G119" s="268" t="s">
        <v>1463</v>
      </c>
      <c r="H119" s="334">
        <v>0.09253472222222221</v>
      </c>
      <c r="I119" s="271">
        <v>44132.37291666667</v>
      </c>
      <c r="J119" s="268"/>
      <c r="K119" s="271">
        <v>44132.43114583333</v>
      </c>
      <c r="L119" s="271" t="str">
        <f t="shared" si="10"/>
        <v>12/30/99 1:23</v>
      </c>
      <c r="M119" s="278" t="s">
        <v>2041</v>
      </c>
      <c r="N119" s="290"/>
      <c r="O119" s="276"/>
      <c r="P119" s="276"/>
      <c r="Q119" s="268"/>
      <c r="R119" s="278"/>
      <c r="S119" s="278"/>
      <c r="T119" s="278"/>
      <c r="U119" s="279"/>
      <c r="V119" s="279" t="s">
        <v>1772</v>
      </c>
      <c r="W119" s="280">
        <v>44151.0</v>
      </c>
      <c r="X119" s="281">
        <v>0.005555555555555556</v>
      </c>
      <c r="Y119" s="279" t="s">
        <v>1693</v>
      </c>
      <c r="Z119" s="282" t="s">
        <v>1694</v>
      </c>
      <c r="AA119" s="282" t="s">
        <v>2042</v>
      </c>
      <c r="AB119" s="283">
        <v>44134.0</v>
      </c>
      <c r="AC119" s="284"/>
      <c r="AD119" s="284"/>
    </row>
    <row r="120" ht="14.25" customHeight="1">
      <c r="A120" s="265">
        <v>44132.0</v>
      </c>
      <c r="B120" s="266" t="s">
        <v>1738</v>
      </c>
      <c r="C120" s="266"/>
      <c r="D120" s="266" t="s">
        <v>1689</v>
      </c>
      <c r="E120" s="268"/>
      <c r="F120" s="291" t="s">
        <v>2043</v>
      </c>
      <c r="G120" s="268" t="s">
        <v>1463</v>
      </c>
      <c r="H120" s="270">
        <v>0.02946759259259259</v>
      </c>
      <c r="I120" s="271">
        <v>44132.583333333336</v>
      </c>
      <c r="J120" s="268"/>
      <c r="K120" s="271">
        <v>44132.620833333334</v>
      </c>
      <c r="L120" s="271" t="str">
        <f t="shared" si="10"/>
        <v>12/30/99 0:54</v>
      </c>
      <c r="M120" s="278" t="s">
        <v>2044</v>
      </c>
      <c r="N120" s="290"/>
      <c r="O120" s="276"/>
      <c r="P120" s="276"/>
      <c r="Q120" s="268"/>
      <c r="R120" s="278"/>
      <c r="S120" s="278"/>
      <c r="T120" s="278"/>
      <c r="U120" s="279"/>
      <c r="V120" s="279" t="s">
        <v>2030</v>
      </c>
      <c r="W120" s="280">
        <v>44145.0</v>
      </c>
      <c r="X120" s="281">
        <v>0.2916666666666667</v>
      </c>
      <c r="Y120" s="279" t="s">
        <v>1693</v>
      </c>
      <c r="Z120" s="282" t="s">
        <v>1694</v>
      </c>
      <c r="AA120" s="282" t="s">
        <v>2045</v>
      </c>
      <c r="AB120" s="283">
        <v>44134.0</v>
      </c>
      <c r="AC120" s="284"/>
      <c r="AD120" s="284"/>
    </row>
    <row r="121" ht="14.25" customHeight="1">
      <c r="A121" s="265">
        <v>44132.0</v>
      </c>
      <c r="B121" s="266" t="s">
        <v>1500</v>
      </c>
      <c r="C121" s="266"/>
      <c r="D121" s="266" t="s">
        <v>1748</v>
      </c>
      <c r="E121" s="268"/>
      <c r="F121" s="291" t="s">
        <v>2046</v>
      </c>
      <c r="G121" s="268" t="s">
        <v>1463</v>
      </c>
      <c r="H121" s="270">
        <v>0.0153125</v>
      </c>
      <c r="I121" s="271">
        <v>44132.819444444445</v>
      </c>
      <c r="J121" s="268"/>
      <c r="K121" s="271">
        <v>44132.82981481482</v>
      </c>
      <c r="L121" s="271" t="str">
        <f t="shared" si="10"/>
        <v>12/30/99 0:14</v>
      </c>
      <c r="M121" s="307" t="s">
        <v>2047</v>
      </c>
      <c r="N121" s="273">
        <v>44133.833333333336</v>
      </c>
      <c r="O121" s="275" t="s">
        <v>2048</v>
      </c>
      <c r="P121" s="275"/>
      <c r="Q121" s="268" t="s">
        <v>1819</v>
      </c>
      <c r="R121" s="271">
        <v>44133.84321759259</v>
      </c>
      <c r="S121" s="270">
        <v>0.009722222222222222</v>
      </c>
      <c r="T121" s="278" t="s">
        <v>2049</v>
      </c>
      <c r="U121" s="279"/>
      <c r="V121" s="279" t="s">
        <v>1500</v>
      </c>
      <c r="W121" s="280">
        <v>44146.0</v>
      </c>
      <c r="X121" s="281">
        <v>0.08333333333333333</v>
      </c>
      <c r="Y121" s="279" t="s">
        <v>1693</v>
      </c>
      <c r="Z121" s="282" t="s">
        <v>1694</v>
      </c>
      <c r="AA121" s="282" t="s">
        <v>2050</v>
      </c>
      <c r="AB121" s="283">
        <v>44134.0</v>
      </c>
      <c r="AC121" s="284"/>
      <c r="AD121" s="284"/>
    </row>
    <row r="122" ht="14.25" customHeight="1">
      <c r="A122" s="265">
        <v>44132.0</v>
      </c>
      <c r="B122" s="266" t="s">
        <v>1500</v>
      </c>
      <c r="C122" s="266" t="s">
        <v>1696</v>
      </c>
      <c r="D122" s="266" t="s">
        <v>1543</v>
      </c>
      <c r="E122" s="268"/>
      <c r="F122" s="291" t="s">
        <v>2051</v>
      </c>
      <c r="G122" s="268" t="s">
        <v>1463</v>
      </c>
      <c r="H122" s="270">
        <v>0.001400462962962963</v>
      </c>
      <c r="I122" s="271">
        <v>44139.62152777778</v>
      </c>
      <c r="J122" s="268"/>
      <c r="K122" s="271">
        <v>44139.66479166667</v>
      </c>
      <c r="L122" s="271"/>
      <c r="M122" s="272" t="s">
        <v>2052</v>
      </c>
      <c r="N122" s="273"/>
      <c r="O122" s="275"/>
      <c r="P122" s="275"/>
      <c r="Q122" s="268"/>
      <c r="R122" s="271"/>
      <c r="S122" s="270"/>
      <c r="T122" s="278"/>
      <c r="U122" s="279"/>
      <c r="V122" s="279" t="s">
        <v>1824</v>
      </c>
      <c r="W122" s="280">
        <v>44139.0</v>
      </c>
      <c r="X122" s="281">
        <v>0.02443287037037037</v>
      </c>
      <c r="Y122" s="279" t="s">
        <v>1693</v>
      </c>
      <c r="Z122" s="282" t="s">
        <v>1694</v>
      </c>
      <c r="AA122" s="282">
        <v>6283547.0</v>
      </c>
      <c r="AB122" s="283">
        <v>44140.0</v>
      </c>
      <c r="AC122" s="284"/>
      <c r="AD122" s="284"/>
    </row>
    <row r="123" ht="14.25" customHeight="1">
      <c r="A123" s="265">
        <v>44133.0</v>
      </c>
      <c r="B123" s="266" t="s">
        <v>1500</v>
      </c>
      <c r="C123" s="266"/>
      <c r="D123" s="266" t="s">
        <v>1452</v>
      </c>
      <c r="E123" s="268"/>
      <c r="F123" s="291" t="s">
        <v>2053</v>
      </c>
      <c r="G123" s="268" t="s">
        <v>1463</v>
      </c>
      <c r="H123" s="270">
        <v>0.006793981481481482</v>
      </c>
      <c r="I123" s="271">
        <v>44133.467361111114</v>
      </c>
      <c r="J123" s="268"/>
      <c r="K123" s="271">
        <v>44133.47351851852</v>
      </c>
      <c r="L123" s="271" t="str">
        <f t="shared" ref="L123:L125" si="11">K123-I123</f>
        <v>12/30/99 0:08</v>
      </c>
      <c r="M123" s="278" t="s">
        <v>2054</v>
      </c>
      <c r="N123" s="290"/>
      <c r="O123" s="275"/>
      <c r="P123" s="275"/>
      <c r="Q123" s="268"/>
      <c r="R123" s="278"/>
      <c r="S123" s="278"/>
      <c r="T123" s="278"/>
      <c r="U123" s="279"/>
      <c r="V123" s="279" t="s">
        <v>1746</v>
      </c>
      <c r="W123" s="280">
        <v>44138.0</v>
      </c>
      <c r="X123" s="281">
        <v>0.0625</v>
      </c>
      <c r="Y123" s="279" t="s">
        <v>1693</v>
      </c>
      <c r="Z123" s="282" t="s">
        <v>1694</v>
      </c>
      <c r="AA123" s="282" t="s">
        <v>2055</v>
      </c>
      <c r="AB123" s="283">
        <v>44144.0</v>
      </c>
      <c r="AC123" s="284"/>
      <c r="AD123" s="284"/>
    </row>
    <row r="124" ht="14.25" customHeight="1">
      <c r="A124" s="265">
        <v>44133.0</v>
      </c>
      <c r="B124" s="266" t="s">
        <v>1570</v>
      </c>
      <c r="C124" s="266"/>
      <c r="D124" s="266" t="s">
        <v>1450</v>
      </c>
      <c r="E124" s="268"/>
      <c r="F124" s="291" t="s">
        <v>2056</v>
      </c>
      <c r="G124" s="268" t="s">
        <v>1463</v>
      </c>
      <c r="H124" s="270">
        <v>0.09166666666666667</v>
      </c>
      <c r="I124" s="271">
        <v>44133.41388888889</v>
      </c>
      <c r="J124" s="268"/>
      <c r="K124" s="271">
        <v>44133.470729166664</v>
      </c>
      <c r="L124" s="271" t="str">
        <f t="shared" si="11"/>
        <v>12/30/99 1:21</v>
      </c>
      <c r="M124" s="278" t="s">
        <v>2057</v>
      </c>
      <c r="N124" s="290"/>
      <c r="O124" s="275"/>
      <c r="P124" s="275"/>
      <c r="Q124" s="268"/>
      <c r="R124" s="278"/>
      <c r="S124" s="278"/>
      <c r="T124" s="278"/>
      <c r="U124" s="279"/>
      <c r="V124" s="279" t="s">
        <v>1570</v>
      </c>
      <c r="W124" s="280">
        <v>44144.0</v>
      </c>
      <c r="X124" s="281">
        <v>0.2916666666666667</v>
      </c>
      <c r="Y124" s="279" t="s">
        <v>1693</v>
      </c>
      <c r="Z124" s="282" t="s">
        <v>1694</v>
      </c>
      <c r="AA124" s="282" t="s">
        <v>2058</v>
      </c>
      <c r="AB124" s="283">
        <v>44134.0</v>
      </c>
      <c r="AC124" s="284"/>
      <c r="AD124" s="284"/>
    </row>
    <row r="125" ht="14.25" customHeight="1">
      <c r="A125" s="265">
        <v>44133.0</v>
      </c>
      <c r="B125" s="266" t="s">
        <v>1738</v>
      </c>
      <c r="C125" s="266"/>
      <c r="D125" s="266" t="s">
        <v>1689</v>
      </c>
      <c r="E125" s="268"/>
      <c r="F125" s="291" t="s">
        <v>2059</v>
      </c>
      <c r="G125" s="268" t="s">
        <v>1463</v>
      </c>
      <c r="H125" s="270">
        <v>0.029456018518518517</v>
      </c>
      <c r="I125" s="271">
        <v>44133.603472222225</v>
      </c>
      <c r="J125" s="268"/>
      <c r="K125" s="271">
        <v>44133.631157407406</v>
      </c>
      <c r="L125" s="271" t="str">
        <f t="shared" si="11"/>
        <v>12/30/99 0:39</v>
      </c>
      <c r="M125" s="278" t="s">
        <v>2060</v>
      </c>
      <c r="N125" s="290"/>
      <c r="O125" s="275"/>
      <c r="P125" s="275"/>
      <c r="Q125" s="268"/>
      <c r="R125" s="278"/>
      <c r="S125" s="278"/>
      <c r="T125" s="278"/>
      <c r="U125" s="279"/>
      <c r="V125" s="279" t="s">
        <v>2030</v>
      </c>
      <c r="W125" s="280">
        <v>44146.0</v>
      </c>
      <c r="X125" s="281">
        <v>0.25</v>
      </c>
      <c r="Y125" s="279" t="s">
        <v>1693</v>
      </c>
      <c r="Z125" s="282" t="s">
        <v>1694</v>
      </c>
      <c r="AA125" s="282" t="s">
        <v>2061</v>
      </c>
      <c r="AB125" s="283">
        <v>44136.0</v>
      </c>
      <c r="AC125" s="284"/>
      <c r="AD125" s="284"/>
    </row>
    <row r="126" ht="14.25" customHeight="1">
      <c r="A126" s="335">
        <v>44133.0</v>
      </c>
      <c r="B126" s="336" t="s">
        <v>2030</v>
      </c>
      <c r="C126" s="336"/>
      <c r="D126" s="266" t="s">
        <v>1831</v>
      </c>
      <c r="E126" s="337"/>
      <c r="F126" s="338" t="s">
        <v>2062</v>
      </c>
      <c r="G126" s="337" t="s">
        <v>1463</v>
      </c>
      <c r="H126" s="339">
        <v>0.0022685185185185182</v>
      </c>
      <c r="I126" s="340">
        <v>44154.32986111111</v>
      </c>
      <c r="J126" s="337"/>
      <c r="K126" s="340">
        <v>44154.33125</v>
      </c>
      <c r="L126" s="340"/>
      <c r="M126" s="341" t="s">
        <v>2063</v>
      </c>
      <c r="N126" s="342"/>
      <c r="O126" s="343"/>
      <c r="P126" s="343"/>
      <c r="Q126" s="337"/>
      <c r="R126" s="344"/>
      <c r="S126" s="344"/>
      <c r="T126" s="344"/>
      <c r="U126" s="279"/>
      <c r="V126" s="279" t="s">
        <v>2030</v>
      </c>
      <c r="W126" s="280">
        <v>44172.0</v>
      </c>
      <c r="X126" s="281">
        <v>1.7361111111111112E-4</v>
      </c>
      <c r="Y126" s="279" t="s">
        <v>1693</v>
      </c>
      <c r="Z126" s="282" t="s">
        <v>1570</v>
      </c>
      <c r="AA126" s="282">
        <v>6293174.0</v>
      </c>
      <c r="AB126" s="283">
        <v>44157.0</v>
      </c>
      <c r="AC126" s="337"/>
      <c r="AD126" s="284"/>
      <c r="AE126" s="345"/>
      <c r="AF126" s="345"/>
      <c r="AG126" s="345"/>
      <c r="AH126" s="345"/>
      <c r="AI126" s="345"/>
      <c r="AJ126" s="345"/>
      <c r="AK126" s="345"/>
      <c r="AL126" s="345"/>
      <c r="AM126" s="345"/>
      <c r="AN126" s="345"/>
      <c r="AO126" s="345"/>
      <c r="AP126" s="345"/>
      <c r="AQ126" s="345"/>
      <c r="AR126" s="345"/>
      <c r="AS126" s="345"/>
      <c r="AT126" s="345"/>
      <c r="AU126" s="345"/>
      <c r="AV126" s="345"/>
      <c r="AW126" s="345"/>
      <c r="AX126" s="345"/>
      <c r="AY126" s="345"/>
      <c r="AZ126" s="345"/>
      <c r="BA126" s="345"/>
      <c r="BB126" s="345"/>
      <c r="BC126" s="345"/>
      <c r="BD126" s="345"/>
      <c r="BE126" s="345"/>
      <c r="BF126" s="345"/>
      <c r="BG126" s="345"/>
      <c r="BH126" s="345"/>
      <c r="BI126" s="345"/>
      <c r="BJ126" s="345"/>
      <c r="BK126" s="345"/>
      <c r="BL126" s="345"/>
      <c r="BM126" s="345"/>
      <c r="BN126" s="345"/>
      <c r="BO126" s="345"/>
      <c r="BP126" s="345"/>
      <c r="BQ126" s="345"/>
      <c r="BR126" s="345"/>
      <c r="BS126" s="345"/>
      <c r="BT126" s="345"/>
      <c r="BU126" s="345"/>
      <c r="BV126" s="345"/>
      <c r="BW126" s="345"/>
      <c r="BX126" s="345"/>
      <c r="BY126" s="345"/>
      <c r="BZ126" s="345"/>
      <c r="CA126" s="345"/>
      <c r="CB126" s="345"/>
      <c r="CC126" s="345"/>
      <c r="CD126" s="345"/>
      <c r="CE126" s="345"/>
      <c r="CF126" s="345"/>
      <c r="CG126" s="345"/>
      <c r="CH126" s="345"/>
      <c r="CI126" s="345"/>
      <c r="CJ126" s="345"/>
      <c r="CK126" s="345"/>
      <c r="CL126" s="345"/>
      <c r="CM126" s="345"/>
      <c r="CN126" s="345"/>
    </row>
    <row r="127" ht="14.25" customHeight="1">
      <c r="A127" s="265">
        <v>44133.0</v>
      </c>
      <c r="B127" s="266" t="s">
        <v>1500</v>
      </c>
      <c r="C127" s="266"/>
      <c r="D127" s="266" t="s">
        <v>1748</v>
      </c>
      <c r="E127" s="268"/>
      <c r="F127" s="291" t="s">
        <v>2064</v>
      </c>
      <c r="G127" s="268" t="s">
        <v>1463</v>
      </c>
      <c r="H127" s="270">
        <v>0.01702546296296296</v>
      </c>
      <c r="I127" s="271">
        <v>44133.82777777778</v>
      </c>
      <c r="J127" s="268"/>
      <c r="K127" s="271">
        <v>44133.83630787037</v>
      </c>
      <c r="L127" s="271" t="str">
        <f>K127-I127</f>
        <v>12/30/99 0:12</v>
      </c>
      <c r="M127" s="278" t="s">
        <v>2065</v>
      </c>
      <c r="N127" s="290"/>
      <c r="O127" s="275"/>
      <c r="P127" s="275"/>
      <c r="Q127" s="268"/>
      <c r="R127" s="278"/>
      <c r="S127" s="278"/>
      <c r="T127" s="278"/>
      <c r="U127" s="279"/>
      <c r="V127" s="279" t="s">
        <v>1500</v>
      </c>
      <c r="W127" s="280">
        <v>44148.0</v>
      </c>
      <c r="X127" s="281">
        <v>0.08333333333333333</v>
      </c>
      <c r="Y127" s="279" t="s">
        <v>1693</v>
      </c>
      <c r="Z127" s="282" t="s">
        <v>1694</v>
      </c>
      <c r="AA127" s="282" t="s">
        <v>2066</v>
      </c>
      <c r="AB127" s="283">
        <v>44136.0</v>
      </c>
      <c r="AC127" s="284"/>
      <c r="AD127" s="284"/>
    </row>
    <row r="128" ht="14.25" customHeight="1">
      <c r="A128" s="265">
        <v>44134.0</v>
      </c>
      <c r="B128" s="266" t="s">
        <v>1722</v>
      </c>
      <c r="C128" s="266" t="s">
        <v>1452</v>
      </c>
      <c r="D128" s="266" t="s">
        <v>1543</v>
      </c>
      <c r="E128" s="268"/>
      <c r="F128" s="291" t="s">
        <v>2067</v>
      </c>
      <c r="G128" s="268" t="s">
        <v>1463</v>
      </c>
      <c r="H128" s="270">
        <v>0.0018865740740740742</v>
      </c>
      <c r="I128" s="271">
        <v>44134.478472222225</v>
      </c>
      <c r="J128" s="268"/>
      <c r="K128" s="271">
        <v>44134.48101851852</v>
      </c>
      <c r="L128" s="271"/>
      <c r="M128" s="278" t="s">
        <v>2068</v>
      </c>
      <c r="N128" s="290"/>
      <c r="O128" s="275"/>
      <c r="P128" s="275"/>
      <c r="Q128" s="268"/>
      <c r="R128" s="278"/>
      <c r="S128" s="278"/>
      <c r="T128" s="278"/>
      <c r="U128" s="279"/>
      <c r="V128" s="279" t="s">
        <v>1824</v>
      </c>
      <c r="W128" s="280">
        <v>44134.0</v>
      </c>
      <c r="X128" s="281">
        <v>0.020439814814814817</v>
      </c>
      <c r="Y128" s="279" t="s">
        <v>1693</v>
      </c>
      <c r="Z128" s="282" t="s">
        <v>1694</v>
      </c>
      <c r="AA128" s="282">
        <v>6279533.0</v>
      </c>
      <c r="AB128" s="283">
        <v>44136.0</v>
      </c>
      <c r="AC128" s="284"/>
      <c r="AD128" s="284"/>
    </row>
    <row r="129" ht="14.25" customHeight="1">
      <c r="A129" s="265">
        <v>44134.0</v>
      </c>
      <c r="B129" s="266" t="s">
        <v>1500</v>
      </c>
      <c r="C129" s="266"/>
      <c r="D129" s="266" t="s">
        <v>1452</v>
      </c>
      <c r="E129" s="268"/>
      <c r="F129" s="291" t="s">
        <v>2069</v>
      </c>
      <c r="G129" s="268" t="s">
        <v>1463</v>
      </c>
      <c r="H129" s="270">
        <v>0.005763888888888889</v>
      </c>
      <c r="I129" s="271">
        <v>44134.493055555555</v>
      </c>
      <c r="J129" s="268"/>
      <c r="K129" s="271">
        <v>44134.53888888889</v>
      </c>
      <c r="L129" s="271" t="str">
        <f t="shared" ref="L129:L131" si="12">K129-I129</f>
        <v>12/30/99 1:06</v>
      </c>
      <c r="M129" s="278" t="s">
        <v>2070</v>
      </c>
      <c r="N129" s="290"/>
      <c r="O129" s="275"/>
      <c r="P129" s="275"/>
      <c r="Q129" s="268"/>
      <c r="R129" s="278"/>
      <c r="S129" s="278"/>
      <c r="T129" s="278"/>
      <c r="U129" s="279"/>
      <c r="V129" s="279" t="s">
        <v>1783</v>
      </c>
      <c r="W129" s="280">
        <v>44144.0</v>
      </c>
      <c r="X129" s="281">
        <v>0.027777777777777776</v>
      </c>
      <c r="Y129" s="279" t="s">
        <v>1693</v>
      </c>
      <c r="Z129" s="282" t="s">
        <v>1694</v>
      </c>
      <c r="AA129" s="282" t="s">
        <v>2071</v>
      </c>
      <c r="AB129" s="283">
        <v>44144.0</v>
      </c>
      <c r="AC129" s="284"/>
      <c r="AD129" s="284"/>
    </row>
    <row r="130" ht="14.25" customHeight="1">
      <c r="A130" s="265">
        <v>44134.0</v>
      </c>
      <c r="B130" s="266" t="s">
        <v>1722</v>
      </c>
      <c r="C130" s="266"/>
      <c r="D130" s="266" t="s">
        <v>1450</v>
      </c>
      <c r="E130" s="268"/>
      <c r="F130" s="291" t="s">
        <v>2072</v>
      </c>
      <c r="G130" s="268" t="s">
        <v>1463</v>
      </c>
      <c r="H130" s="270">
        <v>0.0911111111111111</v>
      </c>
      <c r="I130" s="271">
        <v>44134.45972222222</v>
      </c>
      <c r="J130" s="268"/>
      <c r="K130" s="271">
        <v>44134.5134375</v>
      </c>
      <c r="L130" s="271" t="str">
        <f t="shared" si="12"/>
        <v>12/30/99 1:17</v>
      </c>
      <c r="M130" s="278" t="s">
        <v>2073</v>
      </c>
      <c r="N130" s="290"/>
      <c r="O130" s="275"/>
      <c r="P130" s="275"/>
      <c r="Q130" s="268"/>
      <c r="R130" s="278"/>
      <c r="S130" s="278"/>
      <c r="T130" s="278"/>
      <c r="U130" s="279"/>
      <c r="V130" s="279" t="s">
        <v>1570</v>
      </c>
      <c r="W130" s="280">
        <v>44145.0</v>
      </c>
      <c r="X130" s="281">
        <v>0.2916666666666667</v>
      </c>
      <c r="Y130" s="279" t="s">
        <v>1693</v>
      </c>
      <c r="Z130" s="282" t="s">
        <v>1694</v>
      </c>
      <c r="AA130" s="282" t="s">
        <v>2074</v>
      </c>
      <c r="AB130" s="283">
        <v>44136.0</v>
      </c>
      <c r="AC130" s="284"/>
      <c r="AD130" s="284"/>
    </row>
    <row r="131" ht="14.25" customHeight="1">
      <c r="A131" s="265">
        <v>44134.0</v>
      </c>
      <c r="B131" s="266" t="s">
        <v>1738</v>
      </c>
      <c r="C131" s="266"/>
      <c r="D131" s="266" t="s">
        <v>1689</v>
      </c>
      <c r="E131" s="268"/>
      <c r="F131" s="291" t="s">
        <v>2075</v>
      </c>
      <c r="G131" s="268" t="s">
        <v>1463</v>
      </c>
      <c r="H131" s="270">
        <v>0.028611111111111115</v>
      </c>
      <c r="I131" s="271">
        <v>44134.56805555556</v>
      </c>
      <c r="J131" s="268"/>
      <c r="K131" s="271">
        <v>44134.58917824074</v>
      </c>
      <c r="L131" s="271" t="str">
        <f t="shared" si="12"/>
        <v>12/30/99 0:30</v>
      </c>
      <c r="M131" s="278" t="s">
        <v>2076</v>
      </c>
      <c r="N131" s="290"/>
      <c r="O131" s="275"/>
      <c r="P131" s="275"/>
      <c r="Q131" s="278"/>
      <c r="R131" s="278"/>
      <c r="S131" s="278"/>
      <c r="T131" s="278"/>
      <c r="U131" s="279"/>
      <c r="V131" s="279" t="s">
        <v>2030</v>
      </c>
      <c r="W131" s="280">
        <v>44147.0</v>
      </c>
      <c r="X131" s="281">
        <v>0.16666666666666666</v>
      </c>
      <c r="Y131" s="279" t="s">
        <v>1693</v>
      </c>
      <c r="Z131" s="282" t="s">
        <v>1694</v>
      </c>
      <c r="AA131" s="282" t="s">
        <v>2077</v>
      </c>
      <c r="AB131" s="283">
        <v>44136.0</v>
      </c>
      <c r="AC131" s="284"/>
      <c r="AD131" s="284"/>
    </row>
    <row r="132" ht="14.25" customHeight="1">
      <c r="A132" s="335">
        <v>44134.0</v>
      </c>
      <c r="B132" s="336" t="s">
        <v>2030</v>
      </c>
      <c r="C132" s="336" t="s">
        <v>1686</v>
      </c>
      <c r="D132" s="266" t="s">
        <v>1831</v>
      </c>
      <c r="E132" s="337"/>
      <c r="F132" s="338" t="s">
        <v>2078</v>
      </c>
      <c r="G132" s="337" t="s">
        <v>1847</v>
      </c>
      <c r="H132" s="339">
        <v>0.0022685185185185182</v>
      </c>
      <c r="I132" s="340">
        <v>44154.32986111111</v>
      </c>
      <c r="J132" s="337"/>
      <c r="K132" s="340">
        <v>44154.33194444444</v>
      </c>
      <c r="L132" s="340"/>
      <c r="M132" s="341" t="s">
        <v>2079</v>
      </c>
      <c r="N132" s="342"/>
      <c r="O132" s="343"/>
      <c r="P132" s="343"/>
      <c r="Q132" s="344"/>
      <c r="R132" s="344"/>
      <c r="S132" s="344"/>
      <c r="T132" s="344"/>
      <c r="U132" s="279"/>
      <c r="V132" s="279" t="s">
        <v>2030</v>
      </c>
      <c r="W132" s="280">
        <v>44172.0</v>
      </c>
      <c r="X132" s="281">
        <v>0.010416666666666666</v>
      </c>
      <c r="Y132" s="279" t="s">
        <v>1693</v>
      </c>
      <c r="Z132" s="282" t="s">
        <v>1570</v>
      </c>
      <c r="AA132" s="282">
        <v>6293172.0</v>
      </c>
      <c r="AB132" s="283">
        <v>44157.0</v>
      </c>
      <c r="AC132" s="337"/>
      <c r="AD132" s="284"/>
      <c r="AE132" s="345"/>
      <c r="AF132" s="345"/>
      <c r="AG132" s="345"/>
      <c r="AH132" s="345"/>
      <c r="AI132" s="345"/>
      <c r="AJ132" s="345"/>
      <c r="AK132" s="345"/>
      <c r="AL132" s="345"/>
      <c r="AM132" s="345"/>
      <c r="AN132" s="345"/>
      <c r="AO132" s="345"/>
      <c r="AP132" s="345"/>
      <c r="AQ132" s="345"/>
      <c r="AR132" s="345"/>
      <c r="AS132" s="345"/>
      <c r="AT132" s="345"/>
      <c r="AU132" s="345"/>
      <c r="AV132" s="345"/>
      <c r="AW132" s="345"/>
      <c r="AX132" s="345"/>
      <c r="AY132" s="345"/>
      <c r="AZ132" s="345"/>
      <c r="BA132" s="345"/>
      <c r="BB132" s="345"/>
      <c r="BC132" s="345"/>
      <c r="BD132" s="345"/>
      <c r="BE132" s="345"/>
      <c r="BF132" s="345"/>
      <c r="BG132" s="345"/>
      <c r="BH132" s="345"/>
      <c r="BI132" s="345"/>
      <c r="BJ132" s="345"/>
      <c r="BK132" s="345"/>
      <c r="BL132" s="345"/>
      <c r="BM132" s="345"/>
      <c r="BN132" s="345"/>
      <c r="BO132" s="345"/>
      <c r="BP132" s="345"/>
      <c r="BQ132" s="345"/>
      <c r="BR132" s="345"/>
      <c r="BS132" s="345"/>
      <c r="BT132" s="345"/>
      <c r="BU132" s="345"/>
      <c r="BV132" s="345"/>
      <c r="BW132" s="345"/>
      <c r="BX132" s="345"/>
      <c r="BY132" s="345"/>
      <c r="BZ132" s="345"/>
      <c r="CA132" s="345"/>
      <c r="CB132" s="345"/>
      <c r="CC132" s="345"/>
      <c r="CD132" s="345"/>
      <c r="CE132" s="345"/>
      <c r="CF132" s="345"/>
      <c r="CG132" s="345"/>
      <c r="CH132" s="345"/>
      <c r="CI132" s="345"/>
      <c r="CJ132" s="345"/>
      <c r="CK132" s="345"/>
      <c r="CL132" s="345"/>
      <c r="CM132" s="345"/>
      <c r="CN132" s="345"/>
    </row>
    <row r="133" ht="14.25" customHeight="1">
      <c r="A133" s="265">
        <v>44134.0</v>
      </c>
      <c r="B133" s="266" t="s">
        <v>1500</v>
      </c>
      <c r="C133" s="266"/>
      <c r="D133" s="266" t="s">
        <v>1748</v>
      </c>
      <c r="E133" s="268"/>
      <c r="F133" s="291" t="s">
        <v>2080</v>
      </c>
      <c r="G133" s="268" t="s">
        <v>1463</v>
      </c>
      <c r="H133" s="346">
        <v>0.016412037037037037</v>
      </c>
      <c r="I133" s="271">
        <v>44134.82777777778</v>
      </c>
      <c r="J133" s="268"/>
      <c r="K133" s="271">
        <v>44134.840902777774</v>
      </c>
      <c r="L133" s="271" t="str">
        <f>K133-I133</f>
        <v>12/30/99 0:18</v>
      </c>
      <c r="M133" s="278" t="s">
        <v>2081</v>
      </c>
      <c r="N133" s="290"/>
      <c r="O133" s="275"/>
      <c r="P133" s="275"/>
      <c r="Q133" s="278"/>
      <c r="R133" s="278"/>
      <c r="S133" s="278"/>
      <c r="T133" s="278"/>
      <c r="U133" s="279"/>
      <c r="V133" s="279" t="s">
        <v>1746</v>
      </c>
      <c r="W133" s="280">
        <v>44151.0</v>
      </c>
      <c r="X133" s="281">
        <v>0.13541666666666666</v>
      </c>
      <c r="Y133" s="279" t="s">
        <v>1693</v>
      </c>
      <c r="Z133" s="282" t="s">
        <v>1694</v>
      </c>
      <c r="AA133" s="282" t="s">
        <v>2082</v>
      </c>
      <c r="AB133" s="283">
        <v>44136.0</v>
      </c>
      <c r="AC133" s="284"/>
      <c r="AD133" s="284"/>
    </row>
    <row r="134" ht="14.25" customHeight="1">
      <c r="A134" s="265">
        <v>44134.0</v>
      </c>
      <c r="B134" s="266" t="s">
        <v>1500</v>
      </c>
      <c r="C134" s="266" t="s">
        <v>2083</v>
      </c>
      <c r="D134" s="266" t="s">
        <v>1543</v>
      </c>
      <c r="E134" s="268"/>
      <c r="F134" s="291" t="s">
        <v>2084</v>
      </c>
      <c r="G134" s="268" t="s">
        <v>2085</v>
      </c>
      <c r="H134" s="346">
        <v>0.0015624999999999999</v>
      </c>
      <c r="I134" s="271">
        <v>44141.36597222222</v>
      </c>
      <c r="J134" s="268"/>
      <c r="K134" s="271">
        <v>44141.38193287037</v>
      </c>
      <c r="L134" s="271"/>
      <c r="M134" s="307" t="s">
        <v>2086</v>
      </c>
      <c r="N134" s="273">
        <v>44141.39444444444</v>
      </c>
      <c r="O134" s="275" t="s">
        <v>2084</v>
      </c>
      <c r="P134" s="275"/>
      <c r="Q134" s="268" t="s">
        <v>1819</v>
      </c>
      <c r="R134" s="271">
        <v>44141.44</v>
      </c>
      <c r="S134" s="270">
        <v>0.003472222222222222</v>
      </c>
      <c r="T134" s="278" t="s">
        <v>2087</v>
      </c>
      <c r="U134" s="279"/>
      <c r="V134" s="279" t="s">
        <v>1824</v>
      </c>
      <c r="W134" s="280">
        <v>44141.0</v>
      </c>
      <c r="X134" s="281">
        <v>0.011620370370370371</v>
      </c>
      <c r="Y134" s="279" t="s">
        <v>1693</v>
      </c>
      <c r="Z134" s="282" t="s">
        <v>1694</v>
      </c>
      <c r="AA134" s="282">
        <v>6285798.0</v>
      </c>
      <c r="AB134" s="283">
        <v>44145.0</v>
      </c>
      <c r="AC134" s="284"/>
      <c r="AD134" s="284"/>
    </row>
    <row r="135" ht="14.25" customHeight="1">
      <c r="A135" s="265">
        <v>44135.0</v>
      </c>
      <c r="B135" s="266" t="s">
        <v>1500</v>
      </c>
      <c r="C135" s="266"/>
      <c r="D135" s="266" t="s">
        <v>1689</v>
      </c>
      <c r="E135" s="268"/>
      <c r="F135" s="291" t="s">
        <v>2088</v>
      </c>
      <c r="G135" s="268" t="s">
        <v>1463</v>
      </c>
      <c r="H135" s="346">
        <v>0.028564814814814817</v>
      </c>
      <c r="I135" s="271">
        <v>44135.64398148148</v>
      </c>
      <c r="J135" s="268"/>
      <c r="K135" s="271">
        <v>44135.65787037037</v>
      </c>
      <c r="L135" s="271" t="str">
        <f>K135-I135</f>
        <v>12/30/99 0:20</v>
      </c>
      <c r="M135" s="315" t="s">
        <v>2089</v>
      </c>
      <c r="N135" s="290"/>
      <c r="O135" s="275"/>
      <c r="P135" s="275"/>
      <c r="Q135" s="278"/>
      <c r="R135" s="278"/>
      <c r="S135" s="278"/>
      <c r="T135" s="278"/>
      <c r="U135" s="279"/>
      <c r="V135" s="279" t="s">
        <v>2030</v>
      </c>
      <c r="W135" s="280" t="s">
        <v>2090</v>
      </c>
      <c r="X135" s="281">
        <v>0.001736111111111111</v>
      </c>
      <c r="Y135" s="279" t="s">
        <v>1693</v>
      </c>
      <c r="Z135" s="282" t="s">
        <v>1694</v>
      </c>
      <c r="AA135" s="282" t="s">
        <v>2091</v>
      </c>
      <c r="AB135" s="283">
        <v>44139.0</v>
      </c>
      <c r="AC135" s="284"/>
      <c r="AD135" s="284"/>
    </row>
    <row r="136" ht="14.25" customHeight="1">
      <c r="A136" s="335">
        <v>44135.0</v>
      </c>
      <c r="B136" s="336"/>
      <c r="C136" s="336" t="s">
        <v>1686</v>
      </c>
      <c r="D136" s="266" t="s">
        <v>1831</v>
      </c>
      <c r="E136" s="337"/>
      <c r="F136" s="338" t="s">
        <v>2092</v>
      </c>
      <c r="G136" s="337" t="s">
        <v>2093</v>
      </c>
      <c r="H136" s="347">
        <v>0.0020717592592592593</v>
      </c>
      <c r="I136" s="340">
        <v>44154.0</v>
      </c>
      <c r="J136" s="337"/>
      <c r="K136" s="340">
        <v>44154.33194444444</v>
      </c>
      <c r="L136" s="340"/>
      <c r="M136" s="341" t="s">
        <v>2094</v>
      </c>
      <c r="N136" s="342"/>
      <c r="O136" s="343"/>
      <c r="P136" s="343"/>
      <c r="Q136" s="344"/>
      <c r="R136" s="344"/>
      <c r="S136" s="344"/>
      <c r="T136" s="344"/>
      <c r="U136" s="279"/>
      <c r="V136" s="279" t="s">
        <v>2030</v>
      </c>
      <c r="W136" s="280">
        <v>44172.0</v>
      </c>
      <c r="X136" s="281">
        <v>0.010416666666666666</v>
      </c>
      <c r="Y136" s="279" t="s">
        <v>1693</v>
      </c>
      <c r="Z136" s="282" t="s">
        <v>1570</v>
      </c>
      <c r="AA136" s="282">
        <v>6293173.0</v>
      </c>
      <c r="AB136" s="283">
        <v>44157.0</v>
      </c>
      <c r="AC136" s="337"/>
      <c r="AD136" s="284"/>
      <c r="AE136" s="345"/>
      <c r="AF136" s="345"/>
      <c r="AG136" s="345"/>
      <c r="AH136" s="345"/>
      <c r="AI136" s="345"/>
      <c r="AJ136" s="345"/>
      <c r="AK136" s="345"/>
      <c r="AL136" s="345"/>
      <c r="AM136" s="345"/>
      <c r="AN136" s="345"/>
      <c r="AO136" s="345"/>
      <c r="AP136" s="345"/>
      <c r="AQ136" s="345"/>
      <c r="AR136" s="345"/>
      <c r="AS136" s="345"/>
      <c r="AT136" s="345"/>
      <c r="AU136" s="345"/>
      <c r="AV136" s="345"/>
      <c r="AW136" s="345"/>
      <c r="AX136" s="345"/>
      <c r="AY136" s="345"/>
      <c r="AZ136" s="345"/>
      <c r="BA136" s="345"/>
      <c r="BB136" s="345"/>
      <c r="BC136" s="345"/>
      <c r="BD136" s="345"/>
      <c r="BE136" s="345"/>
      <c r="BF136" s="345"/>
      <c r="BG136" s="345"/>
      <c r="BH136" s="345"/>
      <c r="BI136" s="345"/>
      <c r="BJ136" s="345"/>
      <c r="BK136" s="345"/>
      <c r="BL136" s="345"/>
      <c r="BM136" s="345"/>
      <c r="BN136" s="345"/>
      <c r="BO136" s="345"/>
      <c r="BP136" s="345"/>
      <c r="BQ136" s="345"/>
      <c r="BR136" s="345"/>
      <c r="BS136" s="345"/>
      <c r="BT136" s="345"/>
      <c r="BU136" s="345"/>
      <c r="BV136" s="345"/>
      <c r="BW136" s="345"/>
      <c r="BX136" s="345"/>
      <c r="BY136" s="345"/>
      <c r="BZ136" s="345"/>
      <c r="CA136" s="345"/>
      <c r="CB136" s="345"/>
      <c r="CC136" s="345"/>
      <c r="CD136" s="345"/>
      <c r="CE136" s="345"/>
      <c r="CF136" s="345"/>
      <c r="CG136" s="345"/>
      <c r="CH136" s="345"/>
      <c r="CI136" s="345"/>
      <c r="CJ136" s="345"/>
      <c r="CK136" s="345"/>
      <c r="CL136" s="345"/>
      <c r="CM136" s="345"/>
      <c r="CN136" s="345"/>
    </row>
    <row r="137" ht="14.25" customHeight="1">
      <c r="A137" s="265">
        <v>44135.0</v>
      </c>
      <c r="B137" s="266" t="s">
        <v>1738</v>
      </c>
      <c r="C137" s="266"/>
      <c r="D137" s="266" t="s">
        <v>1748</v>
      </c>
      <c r="E137" s="268"/>
      <c r="F137" s="291" t="s">
        <v>2095</v>
      </c>
      <c r="G137" s="268" t="s">
        <v>1463</v>
      </c>
      <c r="H137" s="270">
        <v>0.014953703703703705</v>
      </c>
      <c r="I137" s="271">
        <v>44135.83148148148</v>
      </c>
      <c r="J137" s="268"/>
      <c r="K137" s="271">
        <v>44135.838796296295</v>
      </c>
      <c r="L137" s="271" t="str">
        <f>K137-I137</f>
        <v>12/30/99 0:10</v>
      </c>
      <c r="M137" s="278" t="s">
        <v>2096</v>
      </c>
      <c r="N137" s="290"/>
      <c r="O137" s="276"/>
      <c r="P137" s="276"/>
      <c r="Q137" s="278"/>
      <c r="R137" s="278"/>
      <c r="S137" s="278"/>
      <c r="T137" s="278"/>
      <c r="U137" s="279"/>
      <c r="V137" s="279" t="s">
        <v>1746</v>
      </c>
      <c r="W137" s="280">
        <v>44151.0</v>
      </c>
      <c r="X137" s="281">
        <v>0.14583333333333334</v>
      </c>
      <c r="Y137" s="279" t="s">
        <v>1693</v>
      </c>
      <c r="Z137" s="282" t="s">
        <v>1694</v>
      </c>
      <c r="AA137" s="282" t="s">
        <v>2097</v>
      </c>
      <c r="AB137" s="283">
        <v>44139.0</v>
      </c>
      <c r="AC137" s="284"/>
      <c r="AD137" s="284"/>
    </row>
    <row r="138" ht="14.25" customHeight="1">
      <c r="A138" s="265">
        <v>44135.0</v>
      </c>
      <c r="B138" s="266" t="s">
        <v>1500</v>
      </c>
      <c r="C138" s="266" t="s">
        <v>2083</v>
      </c>
      <c r="D138" s="266" t="s">
        <v>1543</v>
      </c>
      <c r="E138" s="268"/>
      <c r="F138" s="291" t="s">
        <v>2098</v>
      </c>
      <c r="G138" s="268" t="s">
        <v>1463</v>
      </c>
      <c r="H138" s="270">
        <v>0.003946759259259259</v>
      </c>
      <c r="I138" s="271">
        <v>44138.40289351852</v>
      </c>
      <c r="J138" s="268"/>
      <c r="K138" s="271">
        <v>44138.409837962965</v>
      </c>
      <c r="L138" s="271"/>
      <c r="M138" s="278" t="s">
        <v>2099</v>
      </c>
      <c r="N138" s="290"/>
      <c r="O138" s="276"/>
      <c r="P138" s="276"/>
      <c r="Q138" s="278"/>
      <c r="R138" s="278"/>
      <c r="S138" s="278"/>
      <c r="T138" s="278"/>
      <c r="U138" s="279"/>
      <c r="V138" s="279" t="s">
        <v>1824</v>
      </c>
      <c r="W138" s="280">
        <v>44138.0</v>
      </c>
      <c r="X138" s="281">
        <v>0.01747685185185185</v>
      </c>
      <c r="Y138" s="279" t="s">
        <v>1693</v>
      </c>
      <c r="Z138" s="282" t="s">
        <v>1694</v>
      </c>
      <c r="AA138" s="282">
        <v>6283548.0</v>
      </c>
      <c r="AB138" s="283">
        <v>44140.0</v>
      </c>
      <c r="AC138" s="284"/>
      <c r="AD138" s="284"/>
    </row>
    <row r="139" ht="14.25" customHeight="1">
      <c r="A139" s="265">
        <v>44136.0</v>
      </c>
      <c r="B139" s="266" t="s">
        <v>1783</v>
      </c>
      <c r="C139" s="266"/>
      <c r="D139" s="266" t="s">
        <v>1796</v>
      </c>
      <c r="E139" s="268"/>
      <c r="F139" s="291" t="s">
        <v>2100</v>
      </c>
      <c r="G139" s="268" t="s">
        <v>1463</v>
      </c>
      <c r="H139" s="270">
        <v>0.017511574074074072</v>
      </c>
      <c r="I139" s="271">
        <v>44137.96319444444</v>
      </c>
      <c r="J139" s="268"/>
      <c r="K139" s="271">
        <v>44137.97777777778</v>
      </c>
      <c r="L139" s="271"/>
      <c r="M139" s="278" t="s">
        <v>2101</v>
      </c>
      <c r="N139" s="290"/>
      <c r="O139" s="276"/>
      <c r="P139" s="276"/>
      <c r="Q139" s="278"/>
      <c r="R139" s="278"/>
      <c r="S139" s="278"/>
      <c r="T139" s="278"/>
      <c r="U139" s="279"/>
      <c r="V139" s="279" t="s">
        <v>1783</v>
      </c>
      <c r="W139" s="280">
        <v>44138.0</v>
      </c>
      <c r="X139" s="281">
        <v>0.05555555555555555</v>
      </c>
      <c r="Y139" s="279" t="s">
        <v>1693</v>
      </c>
      <c r="Z139" s="282" t="s">
        <v>1694</v>
      </c>
      <c r="AA139" s="282" t="s">
        <v>2102</v>
      </c>
      <c r="AB139" s="283">
        <v>44139.0</v>
      </c>
      <c r="AC139" s="284"/>
      <c r="AD139" s="284"/>
    </row>
    <row r="140" ht="14.25" customHeight="1">
      <c r="A140" s="265">
        <v>44137.0</v>
      </c>
      <c r="B140" s="266" t="s">
        <v>1500</v>
      </c>
      <c r="C140" s="266"/>
      <c r="D140" s="266" t="s">
        <v>1450</v>
      </c>
      <c r="E140" s="268"/>
      <c r="F140" s="291" t="s">
        <v>2103</v>
      </c>
      <c r="G140" s="268" t="s">
        <v>1463</v>
      </c>
      <c r="H140" s="270">
        <v>0.09644675925925926</v>
      </c>
      <c r="I140" s="271">
        <v>44137.54513888889</v>
      </c>
      <c r="J140" s="268"/>
      <c r="K140" s="271">
        <v>44137.60949074074</v>
      </c>
      <c r="L140" s="271" t="str">
        <f t="shared" ref="L140:L149" si="13">K140-I140</f>
        <v>12/30/99 1:32</v>
      </c>
      <c r="M140" s="315" t="s">
        <v>2104</v>
      </c>
      <c r="N140" s="290"/>
      <c r="O140" s="276"/>
      <c r="P140" s="276"/>
      <c r="Q140" s="278"/>
      <c r="R140" s="278"/>
      <c r="S140" s="278"/>
      <c r="T140" s="278"/>
      <c r="U140" s="279"/>
      <c r="V140" s="279" t="s">
        <v>1570</v>
      </c>
      <c r="W140" s="280">
        <v>44146.0</v>
      </c>
      <c r="X140" s="281">
        <v>0.2916666666666667</v>
      </c>
      <c r="Y140" s="279" t="s">
        <v>1693</v>
      </c>
      <c r="Z140" s="282" t="s">
        <v>1694</v>
      </c>
      <c r="AA140" s="282" t="s">
        <v>2105</v>
      </c>
      <c r="AB140" s="283">
        <v>44139.0</v>
      </c>
      <c r="AC140" s="284"/>
      <c r="AD140" s="284"/>
    </row>
    <row r="141" ht="14.25" customHeight="1">
      <c r="A141" s="265">
        <v>44137.0</v>
      </c>
      <c r="B141" s="266" t="s">
        <v>1500</v>
      </c>
      <c r="C141" s="266"/>
      <c r="D141" s="266" t="s">
        <v>1452</v>
      </c>
      <c r="E141" s="268"/>
      <c r="F141" s="291" t="s">
        <v>2106</v>
      </c>
      <c r="G141" s="268" t="s">
        <v>1463</v>
      </c>
      <c r="H141" s="270">
        <v>0.009583333333333334</v>
      </c>
      <c r="I141" s="271">
        <v>44137.555555555555</v>
      </c>
      <c r="J141" s="268"/>
      <c r="K141" s="271">
        <v>44137.57157407407</v>
      </c>
      <c r="L141" s="271" t="str">
        <f t="shared" si="13"/>
        <v>12/30/99 0:23</v>
      </c>
      <c r="M141" s="315" t="s">
        <v>2107</v>
      </c>
      <c r="N141" s="290"/>
      <c r="O141" s="276"/>
      <c r="P141" s="276"/>
      <c r="Q141" s="278"/>
      <c r="R141" s="278"/>
      <c r="S141" s="278"/>
      <c r="T141" s="278"/>
      <c r="U141" s="279"/>
      <c r="V141" s="279" t="s">
        <v>1783</v>
      </c>
      <c r="W141" s="280">
        <v>44144.0</v>
      </c>
      <c r="X141" s="281">
        <v>0.03125</v>
      </c>
      <c r="Y141" s="279" t="s">
        <v>1693</v>
      </c>
      <c r="Z141" s="282" t="s">
        <v>1694</v>
      </c>
      <c r="AA141" s="282" t="s">
        <v>2108</v>
      </c>
      <c r="AB141" s="283">
        <v>44144.0</v>
      </c>
      <c r="AC141" s="284"/>
      <c r="AD141" s="284"/>
    </row>
    <row r="142" ht="14.25" customHeight="1">
      <c r="A142" s="265">
        <v>44137.0</v>
      </c>
      <c r="B142" s="266" t="s">
        <v>1500</v>
      </c>
      <c r="C142" s="266"/>
      <c r="D142" s="266" t="s">
        <v>1689</v>
      </c>
      <c r="E142" s="268"/>
      <c r="F142" s="291" t="s">
        <v>2109</v>
      </c>
      <c r="G142" s="268" t="s">
        <v>1463</v>
      </c>
      <c r="H142" s="270">
        <v>0.028125</v>
      </c>
      <c r="I142" s="271">
        <v>44137.66038194444</v>
      </c>
      <c r="J142" s="268"/>
      <c r="K142" s="271">
        <v>44137.69788194444</v>
      </c>
      <c r="L142" s="271" t="str">
        <f t="shared" si="13"/>
        <v>12/30/99 0:54</v>
      </c>
      <c r="M142" s="315" t="s">
        <v>2110</v>
      </c>
      <c r="N142" s="290"/>
      <c r="O142" s="276"/>
      <c r="P142" s="276"/>
      <c r="Q142" s="278"/>
      <c r="R142" s="278"/>
      <c r="S142" s="278"/>
      <c r="T142" s="278"/>
      <c r="U142" s="279"/>
      <c r="V142" s="279" t="s">
        <v>2030</v>
      </c>
      <c r="W142" s="280">
        <v>44148.0</v>
      </c>
      <c r="X142" s="281">
        <v>0.0020833333333333333</v>
      </c>
      <c r="Y142" s="279" t="s">
        <v>1693</v>
      </c>
      <c r="Z142" s="282" t="s">
        <v>1694</v>
      </c>
      <c r="AA142" s="282" t="s">
        <v>2111</v>
      </c>
      <c r="AB142" s="283">
        <v>44139.0</v>
      </c>
      <c r="AC142" s="284"/>
      <c r="AD142" s="284"/>
    </row>
    <row r="143" ht="14.25" customHeight="1">
      <c r="A143" s="265">
        <v>44137.0</v>
      </c>
      <c r="B143" s="266" t="s">
        <v>1570</v>
      </c>
      <c r="C143" s="266"/>
      <c r="D143" s="265" t="s">
        <v>1748</v>
      </c>
      <c r="E143" s="268"/>
      <c r="F143" s="291" t="s">
        <v>2112</v>
      </c>
      <c r="G143" s="268" t="s">
        <v>1463</v>
      </c>
      <c r="H143" s="270">
        <v>0.01695601851851852</v>
      </c>
      <c r="I143" s="271">
        <v>44137.88333333333</v>
      </c>
      <c r="J143" s="268"/>
      <c r="K143" s="271">
        <v>44137.93912037037</v>
      </c>
      <c r="L143" s="271" t="str">
        <f t="shared" si="13"/>
        <v>12/30/99 1:20</v>
      </c>
      <c r="M143" s="315" t="s">
        <v>2113</v>
      </c>
      <c r="N143" s="290"/>
      <c r="O143" s="276"/>
      <c r="P143" s="276"/>
      <c r="Q143" s="278"/>
      <c r="R143" s="278"/>
      <c r="S143" s="278"/>
      <c r="T143" s="278"/>
      <c r="U143" s="279"/>
      <c r="V143" s="279" t="s">
        <v>1824</v>
      </c>
      <c r="W143" s="280">
        <v>44152.0</v>
      </c>
      <c r="X143" s="281">
        <v>0.12563657407407408</v>
      </c>
      <c r="Y143" s="279" t="s">
        <v>1693</v>
      </c>
      <c r="Z143" s="282" t="s">
        <v>1694</v>
      </c>
      <c r="AA143" s="282" t="s">
        <v>2114</v>
      </c>
      <c r="AB143" s="283">
        <v>44139.0</v>
      </c>
      <c r="AC143" s="284"/>
      <c r="AD143" s="284"/>
    </row>
    <row r="144" ht="14.25" customHeight="1">
      <c r="A144" s="265">
        <v>44137.0</v>
      </c>
      <c r="B144" s="266" t="s">
        <v>1500</v>
      </c>
      <c r="C144" s="266" t="s">
        <v>1696</v>
      </c>
      <c r="D144" s="266" t="s">
        <v>1543</v>
      </c>
      <c r="E144" s="268"/>
      <c r="F144" s="291" t="s">
        <v>2115</v>
      </c>
      <c r="G144" s="268" t="s">
        <v>1463</v>
      </c>
      <c r="H144" s="270">
        <v>0.002627314814814815</v>
      </c>
      <c r="I144" s="271">
        <v>44138.399305555555</v>
      </c>
      <c r="J144" s="268"/>
      <c r="K144" s="271">
        <v>44138.409849537034</v>
      </c>
      <c r="L144" s="271" t="str">
        <f t="shared" si="13"/>
        <v>12/30/99 0:15</v>
      </c>
      <c r="M144" s="278" t="s">
        <v>2116</v>
      </c>
      <c r="N144" s="290"/>
      <c r="O144" s="276"/>
      <c r="P144" s="276"/>
      <c r="Q144" s="278"/>
      <c r="R144" s="278"/>
      <c r="S144" s="278"/>
      <c r="T144" s="278"/>
      <c r="U144" s="279"/>
      <c r="V144" s="279" t="s">
        <v>1824</v>
      </c>
      <c r="W144" s="280">
        <v>44138.0</v>
      </c>
      <c r="X144" s="281">
        <v>0.008958333333333334</v>
      </c>
      <c r="Y144" s="279" t="s">
        <v>1693</v>
      </c>
      <c r="Z144" s="282" t="s">
        <v>1694</v>
      </c>
      <c r="AA144" s="282">
        <v>6283549.0</v>
      </c>
      <c r="AB144" s="283">
        <v>44140.0</v>
      </c>
      <c r="AC144" s="284"/>
      <c r="AD144" s="284"/>
    </row>
    <row r="145" ht="14.25" customHeight="1">
      <c r="A145" s="265">
        <v>44137.0</v>
      </c>
      <c r="B145" s="266" t="s">
        <v>1500</v>
      </c>
      <c r="C145" s="266" t="s">
        <v>1686</v>
      </c>
      <c r="D145" s="266" t="s">
        <v>1543</v>
      </c>
      <c r="E145" s="268"/>
      <c r="F145" s="291" t="s">
        <v>2117</v>
      </c>
      <c r="G145" s="268" t="s">
        <v>1463</v>
      </c>
      <c r="H145" s="270">
        <v>0.0016203703703703703</v>
      </c>
      <c r="I145" s="271">
        <v>44138.47777777778</v>
      </c>
      <c r="J145" s="268"/>
      <c r="K145" s="271">
        <v>44138.52030092593</v>
      </c>
      <c r="L145" s="271" t="str">
        <f t="shared" si="13"/>
        <v>12/30/99 1:01</v>
      </c>
      <c r="M145" s="278" t="s">
        <v>2118</v>
      </c>
      <c r="N145" s="290"/>
      <c r="O145" s="276"/>
      <c r="P145" s="276"/>
      <c r="Q145" s="278"/>
      <c r="R145" s="278"/>
      <c r="S145" s="278"/>
      <c r="T145" s="278"/>
      <c r="U145" s="279"/>
      <c r="V145" s="279" t="s">
        <v>1824</v>
      </c>
      <c r="W145" s="280">
        <v>44138.0</v>
      </c>
      <c r="X145" s="281">
        <v>0.01207175925925926</v>
      </c>
      <c r="Y145" s="279" t="s">
        <v>1693</v>
      </c>
      <c r="Z145" s="282" t="s">
        <v>1694</v>
      </c>
      <c r="AA145" s="282">
        <v>6283550.0</v>
      </c>
      <c r="AB145" s="283">
        <v>44140.0</v>
      </c>
      <c r="AC145" s="284"/>
      <c r="AD145" s="284"/>
    </row>
    <row r="146" ht="14.25" customHeight="1">
      <c r="A146" s="265">
        <v>44138.0</v>
      </c>
      <c r="B146" s="266" t="s">
        <v>1685</v>
      </c>
      <c r="C146" s="266"/>
      <c r="D146" s="266" t="s">
        <v>1689</v>
      </c>
      <c r="E146" s="268"/>
      <c r="F146" s="291" t="s">
        <v>2119</v>
      </c>
      <c r="G146" s="268" t="s">
        <v>1463</v>
      </c>
      <c r="H146" s="270">
        <v>0.029201388888888888</v>
      </c>
      <c r="I146" s="271">
        <v>44138.010046296295</v>
      </c>
      <c r="J146" s="268"/>
      <c r="K146" s="271">
        <v>44138.62730324074</v>
      </c>
      <c r="L146" s="271" t="str">
        <f t="shared" si="13"/>
        <v>12/30/99 14:48</v>
      </c>
      <c r="M146" s="278" t="s">
        <v>2120</v>
      </c>
      <c r="N146" s="290"/>
      <c r="O146" s="276"/>
      <c r="P146" s="276"/>
      <c r="Q146" s="278"/>
      <c r="R146" s="278"/>
      <c r="S146" s="278"/>
      <c r="T146" s="278"/>
      <c r="U146" s="279"/>
      <c r="V146" s="279" t="s">
        <v>1685</v>
      </c>
      <c r="W146" s="280">
        <v>44151.0</v>
      </c>
      <c r="X146" s="281">
        <v>0.25</v>
      </c>
      <c r="Y146" s="279" t="s">
        <v>1693</v>
      </c>
      <c r="Z146" s="282" t="s">
        <v>1694</v>
      </c>
      <c r="AA146" s="282" t="s">
        <v>2121</v>
      </c>
      <c r="AB146" s="283">
        <v>44139.0</v>
      </c>
      <c r="AC146" s="284"/>
      <c r="AD146" s="284"/>
    </row>
    <row r="147" ht="14.25" customHeight="1">
      <c r="A147" s="265">
        <v>44138.0</v>
      </c>
      <c r="B147" s="266" t="s">
        <v>1746</v>
      </c>
      <c r="C147" s="266"/>
      <c r="D147" s="266" t="s">
        <v>1452</v>
      </c>
      <c r="E147" s="268"/>
      <c r="F147" s="291" t="s">
        <v>2122</v>
      </c>
      <c r="G147" s="268" t="s">
        <v>1463</v>
      </c>
      <c r="H147" s="270">
        <v>0.0030671296296296297</v>
      </c>
      <c r="I147" s="271">
        <v>44138.73263888889</v>
      </c>
      <c r="J147" s="268"/>
      <c r="K147" s="271">
        <v>44138.77921296296</v>
      </c>
      <c r="L147" s="271" t="str">
        <f t="shared" si="13"/>
        <v>12/30/99 1:07</v>
      </c>
      <c r="M147" s="278" t="s">
        <v>2123</v>
      </c>
      <c r="N147" s="290"/>
      <c r="O147" s="275"/>
      <c r="P147" s="275"/>
      <c r="Q147" s="278"/>
      <c r="R147" s="278"/>
      <c r="S147" s="278"/>
      <c r="T147" s="278"/>
      <c r="U147" s="279"/>
      <c r="V147" s="279" t="s">
        <v>2124</v>
      </c>
      <c r="W147" s="280">
        <v>44085.0</v>
      </c>
      <c r="X147" s="281">
        <v>0.017361111111111112</v>
      </c>
      <c r="Y147" s="279" t="s">
        <v>1693</v>
      </c>
      <c r="Z147" s="282" t="s">
        <v>1694</v>
      </c>
      <c r="AA147" s="282" t="s">
        <v>2125</v>
      </c>
      <c r="AB147" s="283">
        <v>44144.0</v>
      </c>
      <c r="AC147" s="284"/>
      <c r="AD147" s="284"/>
    </row>
    <row r="148" ht="14.25" customHeight="1">
      <c r="A148" s="265">
        <v>44138.0</v>
      </c>
      <c r="B148" s="266" t="s">
        <v>1746</v>
      </c>
      <c r="C148" s="266"/>
      <c r="D148" s="265" t="s">
        <v>1748</v>
      </c>
      <c r="E148" s="268"/>
      <c r="F148" s="291" t="s">
        <v>2126</v>
      </c>
      <c r="G148" s="268" t="s">
        <v>1463</v>
      </c>
      <c r="H148" s="270">
        <v>0.01730324074074074</v>
      </c>
      <c r="I148" s="271">
        <v>44138.856944444444</v>
      </c>
      <c r="J148" s="268"/>
      <c r="K148" s="271">
        <v>44138.911157407405</v>
      </c>
      <c r="L148" s="271" t="str">
        <f t="shared" si="13"/>
        <v>12/30/99 1:18</v>
      </c>
      <c r="M148" s="278" t="s">
        <v>2127</v>
      </c>
      <c r="N148" s="290"/>
      <c r="O148" s="275"/>
      <c r="P148" s="275"/>
      <c r="Q148" s="268"/>
      <c r="R148" s="278"/>
      <c r="S148" s="278"/>
      <c r="T148" s="278"/>
      <c r="U148" s="279"/>
      <c r="V148" s="279" t="s">
        <v>1824</v>
      </c>
      <c r="W148" s="280">
        <v>44152.0</v>
      </c>
      <c r="X148" s="281">
        <v>0.11253472222222222</v>
      </c>
      <c r="Y148" s="279" t="s">
        <v>1693</v>
      </c>
      <c r="Z148" s="282" t="s">
        <v>1694</v>
      </c>
      <c r="AA148" s="282" t="s">
        <v>2128</v>
      </c>
      <c r="AB148" s="283">
        <v>44139.0</v>
      </c>
      <c r="AC148" s="284"/>
      <c r="AD148" s="284"/>
    </row>
    <row r="149" ht="14.25" customHeight="1">
      <c r="A149" s="265">
        <v>44138.0</v>
      </c>
      <c r="B149" s="266" t="s">
        <v>1772</v>
      </c>
      <c r="C149" s="266"/>
      <c r="D149" s="266" t="s">
        <v>1450</v>
      </c>
      <c r="E149" s="268"/>
      <c r="F149" s="291" t="s">
        <v>2129</v>
      </c>
      <c r="G149" s="268" t="s">
        <v>1463</v>
      </c>
      <c r="H149" s="270">
        <v>0.09458333333333334</v>
      </c>
      <c r="I149" s="271">
        <v>44138.59375</v>
      </c>
      <c r="J149" s="268"/>
      <c r="K149" s="271">
        <v>44138.66180555556</v>
      </c>
      <c r="L149" s="271" t="str">
        <f t="shared" si="13"/>
        <v>12/30/99 1:38</v>
      </c>
      <c r="M149" s="307" t="s">
        <v>2130</v>
      </c>
      <c r="N149" s="273">
        <v>44139.49444444444</v>
      </c>
      <c r="O149" s="275" t="s">
        <v>2131</v>
      </c>
      <c r="P149" s="275"/>
      <c r="Q149" s="268" t="s">
        <v>1819</v>
      </c>
      <c r="R149" s="271">
        <v>44139.58724537037</v>
      </c>
      <c r="S149" s="270">
        <v>0.08888888888888889</v>
      </c>
      <c r="T149" s="268" t="s">
        <v>2132</v>
      </c>
      <c r="U149" s="279"/>
      <c r="V149" s="279" t="s">
        <v>1570</v>
      </c>
      <c r="W149" s="280">
        <v>44147.0</v>
      </c>
      <c r="X149" s="281">
        <v>0.2916666666666667</v>
      </c>
      <c r="Y149" s="279" t="s">
        <v>1693</v>
      </c>
      <c r="Z149" s="282" t="s">
        <v>1694</v>
      </c>
      <c r="AA149" s="282" t="s">
        <v>2133</v>
      </c>
      <c r="AB149" s="283">
        <v>44139.0</v>
      </c>
      <c r="AC149" s="284"/>
      <c r="AD149" s="284"/>
    </row>
    <row r="150" ht="14.25" customHeight="1">
      <c r="A150" s="265">
        <v>44138.0</v>
      </c>
      <c r="B150" s="266" t="s">
        <v>1500</v>
      </c>
      <c r="C150" s="266" t="s">
        <v>1686</v>
      </c>
      <c r="D150" s="266" t="s">
        <v>1543</v>
      </c>
      <c r="E150" s="268"/>
      <c r="F150" s="291" t="s">
        <v>2134</v>
      </c>
      <c r="G150" s="268" t="s">
        <v>1463</v>
      </c>
      <c r="H150" s="270">
        <v>0.002372685185185185</v>
      </c>
      <c r="I150" s="271">
        <v>44140.63890046296</v>
      </c>
      <c r="J150" s="268"/>
      <c r="K150" s="271">
        <v>44140.68283564815</v>
      </c>
      <c r="L150" s="271"/>
      <c r="M150" s="272" t="s">
        <v>2135</v>
      </c>
      <c r="N150" s="273"/>
      <c r="O150" s="275"/>
      <c r="P150" s="275"/>
      <c r="Q150" s="268"/>
      <c r="R150" s="271"/>
      <c r="S150" s="270"/>
      <c r="T150" s="268"/>
      <c r="U150" s="279"/>
      <c r="V150" s="279" t="s">
        <v>1824</v>
      </c>
      <c r="W150" s="280">
        <v>44140.0</v>
      </c>
      <c r="X150" s="281">
        <v>0.01244212962962963</v>
      </c>
      <c r="Y150" s="279" t="s">
        <v>1693</v>
      </c>
      <c r="Z150" s="282" t="s">
        <v>1694</v>
      </c>
      <c r="AA150" s="282">
        <v>6283551.0</v>
      </c>
      <c r="AB150" s="283">
        <v>44140.0</v>
      </c>
      <c r="AC150" s="284"/>
      <c r="AD150" s="284"/>
    </row>
    <row r="151" ht="14.25" customHeight="1">
      <c r="A151" s="265">
        <v>44139.0</v>
      </c>
      <c r="B151" s="266" t="s">
        <v>1500</v>
      </c>
      <c r="C151" s="266" t="s">
        <v>2083</v>
      </c>
      <c r="D151" s="266" t="s">
        <v>1543</v>
      </c>
      <c r="E151" s="268"/>
      <c r="F151" s="291" t="s">
        <v>2136</v>
      </c>
      <c r="G151" s="268" t="s">
        <v>1463</v>
      </c>
      <c r="H151" s="270">
        <v>0.0022916666666666667</v>
      </c>
      <c r="I151" s="271">
        <v>44140.48751157407</v>
      </c>
      <c r="J151" s="268"/>
      <c r="K151" s="271">
        <v>44140.4909837963</v>
      </c>
      <c r="L151" s="271"/>
      <c r="M151" s="272" t="s">
        <v>2137</v>
      </c>
      <c r="N151" s="273"/>
      <c r="O151" s="275"/>
      <c r="P151" s="275"/>
      <c r="Q151" s="268"/>
      <c r="R151" s="271"/>
      <c r="S151" s="270"/>
      <c r="T151" s="268"/>
      <c r="U151" s="279"/>
      <c r="V151" s="279" t="s">
        <v>1824</v>
      </c>
      <c r="W151" s="280">
        <v>44140.0</v>
      </c>
      <c r="X151" s="281">
        <v>0.011597222222222222</v>
      </c>
      <c r="Y151" s="279" t="s">
        <v>1693</v>
      </c>
      <c r="Z151" s="282" t="s">
        <v>1694</v>
      </c>
      <c r="AA151" s="282">
        <v>6283555.0</v>
      </c>
      <c r="AB151" s="283">
        <v>44140.0</v>
      </c>
      <c r="AC151" s="284"/>
      <c r="AD151" s="284"/>
    </row>
    <row r="152" ht="14.25" customHeight="1">
      <c r="A152" s="265">
        <v>44139.0</v>
      </c>
      <c r="B152" s="266" t="s">
        <v>1500</v>
      </c>
      <c r="C152" s="266"/>
      <c r="D152" s="266" t="s">
        <v>1450</v>
      </c>
      <c r="E152" s="268"/>
      <c r="F152" s="291" t="s">
        <v>2138</v>
      </c>
      <c r="G152" s="268" t="s">
        <v>2085</v>
      </c>
      <c r="H152" s="270">
        <v>0.09457175925925926</v>
      </c>
      <c r="I152" s="271">
        <v>44139.64375</v>
      </c>
      <c r="J152" s="268"/>
      <c r="K152" s="271">
        <v>44139.68568287037</v>
      </c>
      <c r="L152" s="271" t="str">
        <f t="shared" ref="L152:L155" si="14">K152-I152</f>
        <v>12/30/99 1:00</v>
      </c>
      <c r="M152" s="278" t="s">
        <v>2139</v>
      </c>
      <c r="N152" s="290"/>
      <c r="O152" s="275"/>
      <c r="P152" s="275"/>
      <c r="Q152" s="268"/>
      <c r="R152" s="278"/>
      <c r="S152" s="268"/>
      <c r="T152" s="268"/>
      <c r="U152" s="279"/>
      <c r="V152" s="279" t="s">
        <v>1570</v>
      </c>
      <c r="W152" s="280">
        <v>44148.0</v>
      </c>
      <c r="X152" s="281">
        <v>0.2916666666666667</v>
      </c>
      <c r="Y152" s="279" t="s">
        <v>1693</v>
      </c>
      <c r="Z152" s="282" t="s">
        <v>1694</v>
      </c>
      <c r="AA152" s="282" t="s">
        <v>2140</v>
      </c>
      <c r="AB152" s="283">
        <v>44139.0</v>
      </c>
      <c r="AC152" s="284"/>
      <c r="AD152" s="284"/>
    </row>
    <row r="153" ht="14.25" customHeight="1">
      <c r="A153" s="265">
        <v>44139.0</v>
      </c>
      <c r="B153" s="266" t="s">
        <v>1500</v>
      </c>
      <c r="C153" s="266"/>
      <c r="D153" s="266" t="s">
        <v>1689</v>
      </c>
      <c r="E153" s="268"/>
      <c r="F153" s="291" t="s">
        <v>2141</v>
      </c>
      <c r="G153" s="268" t="s">
        <v>2085</v>
      </c>
      <c r="H153" s="270">
        <v>0.02954861111111111</v>
      </c>
      <c r="I153" s="271">
        <v>44139.65069444444</v>
      </c>
      <c r="J153" s="268"/>
      <c r="K153" s="271">
        <v>44139.65138888889</v>
      </c>
      <c r="L153" s="271" t="str">
        <f t="shared" si="14"/>
        <v>12/30/99 0:01</v>
      </c>
      <c r="M153" s="307" t="s">
        <v>2142</v>
      </c>
      <c r="N153" s="273">
        <v>44141.464583333334</v>
      </c>
      <c r="O153" s="317" t="s">
        <v>2143</v>
      </c>
      <c r="P153" s="317"/>
      <c r="Q153" s="268" t="s">
        <v>1953</v>
      </c>
      <c r="R153" s="271">
        <v>44141.1568287037</v>
      </c>
      <c r="S153" s="270"/>
      <c r="T153" s="316" t="s">
        <v>2144</v>
      </c>
      <c r="U153" s="279"/>
      <c r="V153" s="279" t="s">
        <v>1783</v>
      </c>
      <c r="W153" s="280">
        <v>44151.0</v>
      </c>
      <c r="X153" s="281">
        <v>0.1388888888888889</v>
      </c>
      <c r="Y153" s="279" t="s">
        <v>1693</v>
      </c>
      <c r="Z153" s="282" t="s">
        <v>1694</v>
      </c>
      <c r="AA153" s="282" t="s">
        <v>2145</v>
      </c>
      <c r="AB153" s="283">
        <v>44145.0</v>
      </c>
      <c r="AC153" s="284"/>
      <c r="AD153" s="284"/>
    </row>
    <row r="154" ht="14.25" customHeight="1">
      <c r="A154" s="265">
        <v>44139.0</v>
      </c>
      <c r="B154" s="266" t="s">
        <v>1746</v>
      </c>
      <c r="C154" s="266"/>
      <c r="D154" s="266" t="s">
        <v>1452</v>
      </c>
      <c r="E154" s="268"/>
      <c r="F154" s="291" t="s">
        <v>2146</v>
      </c>
      <c r="G154" s="268" t="s">
        <v>1463</v>
      </c>
      <c r="H154" s="270">
        <v>7.98611111111111E-4</v>
      </c>
      <c r="I154" s="271">
        <v>44139.694444444445</v>
      </c>
      <c r="J154" s="268"/>
      <c r="K154" s="271">
        <v>44139.697916666664</v>
      </c>
      <c r="L154" s="271" t="str">
        <f t="shared" si="14"/>
        <v>12/30/99 0:05</v>
      </c>
      <c r="M154" s="278" t="s">
        <v>2147</v>
      </c>
      <c r="N154" s="290"/>
      <c r="O154" s="275"/>
      <c r="P154" s="275"/>
      <c r="Q154" s="268"/>
      <c r="R154" s="278"/>
      <c r="S154" s="278"/>
      <c r="T154" s="278"/>
      <c r="U154" s="279"/>
      <c r="V154" s="279" t="s">
        <v>1746</v>
      </c>
      <c r="W154" s="280">
        <v>44140.0</v>
      </c>
      <c r="X154" s="281">
        <v>0.0010416666666666667</v>
      </c>
      <c r="Y154" s="279" t="s">
        <v>1693</v>
      </c>
      <c r="Z154" s="282" t="s">
        <v>1694</v>
      </c>
      <c r="AA154" s="282" t="s">
        <v>2148</v>
      </c>
      <c r="AB154" s="283">
        <v>44144.0</v>
      </c>
      <c r="AC154" s="284"/>
      <c r="AD154" s="284"/>
    </row>
    <row r="155" ht="14.25" customHeight="1">
      <c r="A155" s="265">
        <v>44139.0</v>
      </c>
      <c r="B155" s="266" t="s">
        <v>1746</v>
      </c>
      <c r="C155" s="266"/>
      <c r="D155" s="265" t="s">
        <v>1748</v>
      </c>
      <c r="E155" s="268"/>
      <c r="F155" s="291" t="s">
        <v>2149</v>
      </c>
      <c r="G155" s="268" t="s">
        <v>1463</v>
      </c>
      <c r="H155" s="270">
        <v>0.015185185185185185</v>
      </c>
      <c r="I155" s="271">
        <v>44139.82847222222</v>
      </c>
      <c r="J155" s="268"/>
      <c r="K155" s="271">
        <v>44139.8375</v>
      </c>
      <c r="L155" s="271" t="str">
        <f t="shared" si="14"/>
        <v>12/30/99 0:13</v>
      </c>
      <c r="M155" s="278" t="s">
        <v>2150</v>
      </c>
      <c r="N155" s="290"/>
      <c r="O155" s="276"/>
      <c r="P155" s="276"/>
      <c r="Q155" s="268"/>
      <c r="R155" s="278"/>
      <c r="S155" s="278"/>
      <c r="T155" s="278"/>
      <c r="U155" s="279"/>
      <c r="V155" s="279" t="s">
        <v>1824</v>
      </c>
      <c r="W155" s="280">
        <v>44151.0</v>
      </c>
      <c r="X155" s="281">
        <v>0.1250578703703704</v>
      </c>
      <c r="Y155" s="279" t="s">
        <v>1693</v>
      </c>
      <c r="Z155" s="282" t="s">
        <v>1694</v>
      </c>
      <c r="AA155" s="282" t="s">
        <v>2151</v>
      </c>
      <c r="AB155" s="283">
        <v>44139.0</v>
      </c>
      <c r="AC155" s="284"/>
      <c r="AD155" s="284"/>
    </row>
    <row r="156" ht="14.25" customHeight="1">
      <c r="A156" s="265">
        <v>44139.0</v>
      </c>
      <c r="B156" s="266" t="s">
        <v>1500</v>
      </c>
      <c r="C156" s="266" t="s">
        <v>1686</v>
      </c>
      <c r="D156" s="266" t="s">
        <v>1543</v>
      </c>
      <c r="E156" s="268"/>
      <c r="F156" s="291" t="s">
        <v>2152</v>
      </c>
      <c r="G156" s="268" t="s">
        <v>1463</v>
      </c>
      <c r="H156" s="270">
        <v>7.75462962962963E-4</v>
      </c>
      <c r="I156" s="271">
        <v>44140.493055555555</v>
      </c>
      <c r="J156" s="268"/>
      <c r="K156" s="271">
        <v>44140.49931712963</v>
      </c>
      <c r="L156" s="271"/>
      <c r="M156" s="278" t="s">
        <v>2153</v>
      </c>
      <c r="N156" s="290"/>
      <c r="O156" s="275"/>
      <c r="P156" s="275"/>
      <c r="Q156" s="268"/>
      <c r="R156" s="268"/>
      <c r="S156" s="278"/>
      <c r="T156" s="278"/>
      <c r="U156" s="279"/>
      <c r="V156" s="279" t="s">
        <v>1824</v>
      </c>
      <c r="W156" s="280">
        <v>44140.0</v>
      </c>
      <c r="X156" s="281">
        <v>0.01747685185185185</v>
      </c>
      <c r="Y156" s="279" t="s">
        <v>1693</v>
      </c>
      <c r="Z156" s="282" t="s">
        <v>1694</v>
      </c>
      <c r="AA156" s="282">
        <v>6283556.0</v>
      </c>
      <c r="AB156" s="283">
        <v>44140.0</v>
      </c>
      <c r="AC156" s="284"/>
      <c r="AD156" s="284"/>
    </row>
    <row r="157" ht="14.25" customHeight="1">
      <c r="A157" s="265">
        <v>44140.0</v>
      </c>
      <c r="B157" s="266" t="s">
        <v>1772</v>
      </c>
      <c r="C157" s="266"/>
      <c r="D157" s="266" t="s">
        <v>1450</v>
      </c>
      <c r="E157" s="268"/>
      <c r="F157" s="291" t="s">
        <v>2154</v>
      </c>
      <c r="G157" s="268" t="s">
        <v>2155</v>
      </c>
      <c r="H157" s="270">
        <v>0.09342592592592593</v>
      </c>
      <c r="I157" s="271">
        <v>44140.43680555555</v>
      </c>
      <c r="J157" s="268"/>
      <c r="K157" s="271">
        <v>44140.47869212963</v>
      </c>
      <c r="L157" s="271"/>
      <c r="M157" s="278" t="s">
        <v>2156</v>
      </c>
      <c r="N157" s="290"/>
      <c r="O157" s="275"/>
      <c r="P157" s="275"/>
      <c r="Q157" s="268"/>
      <c r="R157" s="268"/>
      <c r="S157" s="278"/>
      <c r="T157" s="278"/>
      <c r="U157" s="279"/>
      <c r="V157" s="279" t="s">
        <v>1772</v>
      </c>
      <c r="W157" s="280">
        <v>44152.0</v>
      </c>
      <c r="X157" s="281">
        <v>0.3333333333333333</v>
      </c>
      <c r="Y157" s="279" t="s">
        <v>1693</v>
      </c>
      <c r="Z157" s="282" t="s">
        <v>1694</v>
      </c>
      <c r="AA157" s="282" t="s">
        <v>2157</v>
      </c>
      <c r="AB157" s="283">
        <v>44145.0</v>
      </c>
      <c r="AC157" s="284"/>
      <c r="AD157" s="284"/>
    </row>
    <row r="158" ht="14.25" customHeight="1">
      <c r="A158" s="265">
        <v>44140.0</v>
      </c>
      <c r="B158" s="266" t="s">
        <v>1500</v>
      </c>
      <c r="C158" s="266"/>
      <c r="D158" s="266" t="s">
        <v>2158</v>
      </c>
      <c r="E158" s="268"/>
      <c r="F158" s="291" t="s">
        <v>2159</v>
      </c>
      <c r="G158" s="268" t="s">
        <v>1463</v>
      </c>
      <c r="H158" s="270">
        <v>0.002199074074074074</v>
      </c>
      <c r="I158" s="271">
        <v>44155.38962962963</v>
      </c>
      <c r="J158" s="268"/>
      <c r="K158" s="271">
        <v>44155.422268518516</v>
      </c>
      <c r="L158" s="271"/>
      <c r="M158" s="278" t="s">
        <v>2160</v>
      </c>
      <c r="N158" s="290"/>
      <c r="O158" s="275"/>
      <c r="P158" s="275"/>
      <c r="Q158" s="268"/>
      <c r="R158" s="268"/>
      <c r="S158" s="278"/>
      <c r="T158" s="278"/>
      <c r="U158" s="279"/>
      <c r="V158" s="279" t="s">
        <v>1570</v>
      </c>
      <c r="W158" s="280">
        <v>44195.0</v>
      </c>
      <c r="X158" s="281">
        <v>0.006944444444444444</v>
      </c>
      <c r="Y158" s="279" t="s">
        <v>1693</v>
      </c>
      <c r="Z158" s="282" t="s">
        <v>1570</v>
      </c>
      <c r="AA158" s="282">
        <v>6294569.0</v>
      </c>
      <c r="AB158" s="283">
        <v>44158.0</v>
      </c>
      <c r="AC158" s="284"/>
      <c r="AD158" s="284"/>
    </row>
    <row r="159" ht="14.25" customHeight="1">
      <c r="A159" s="265">
        <v>44140.0</v>
      </c>
      <c r="B159" s="266" t="s">
        <v>1685</v>
      </c>
      <c r="C159" s="266"/>
      <c r="D159" s="266" t="s">
        <v>1689</v>
      </c>
      <c r="E159" s="268"/>
      <c r="F159" s="291" t="s">
        <v>1687</v>
      </c>
      <c r="G159" s="268" t="s">
        <v>2155</v>
      </c>
      <c r="H159" s="270">
        <v>0.028645833333333332</v>
      </c>
      <c r="I159" s="271">
        <v>44140.649305555555</v>
      </c>
      <c r="J159" s="268"/>
      <c r="K159" s="271">
        <v>44140.64828703704</v>
      </c>
      <c r="L159" s="271" t="str">
        <f t="shared" ref="L159:L161" si="15">K159-I159</f>
        <v>12/29/99 23:58</v>
      </c>
      <c r="M159" s="278" t="s">
        <v>2161</v>
      </c>
      <c r="N159" s="290"/>
      <c r="O159" s="275"/>
      <c r="P159" s="275"/>
      <c r="Q159" s="268"/>
      <c r="R159" s="268"/>
      <c r="S159" s="278"/>
      <c r="T159" s="278"/>
      <c r="U159" s="279"/>
      <c r="V159" s="279" t="s">
        <v>1685</v>
      </c>
      <c r="W159" s="280">
        <v>44152.0</v>
      </c>
      <c r="X159" s="281">
        <v>0.20833333333333334</v>
      </c>
      <c r="Y159" s="279" t="s">
        <v>1693</v>
      </c>
      <c r="Z159" s="282" t="s">
        <v>1694</v>
      </c>
      <c r="AA159" s="282" t="s">
        <v>2162</v>
      </c>
      <c r="AB159" s="283">
        <v>44145.0</v>
      </c>
      <c r="AC159" s="284"/>
      <c r="AD159" s="284"/>
    </row>
    <row r="160" ht="14.25" customHeight="1">
      <c r="A160" s="265">
        <v>44140.0</v>
      </c>
      <c r="B160" s="266" t="s">
        <v>1746</v>
      </c>
      <c r="C160" s="266"/>
      <c r="D160" s="266" t="s">
        <v>1452</v>
      </c>
      <c r="E160" s="268"/>
      <c r="F160" s="291" t="s">
        <v>2163</v>
      </c>
      <c r="G160" s="268" t="s">
        <v>2155</v>
      </c>
      <c r="H160" s="270">
        <v>0.008124999999999999</v>
      </c>
      <c r="I160" s="271">
        <v>44140.66180555556</v>
      </c>
      <c r="J160" s="268"/>
      <c r="K160" s="271">
        <v>44140.69583333333</v>
      </c>
      <c r="L160" s="271" t="str">
        <f t="shared" si="15"/>
        <v>12/30/99 0:49</v>
      </c>
      <c r="M160" s="278" t="s">
        <v>2164</v>
      </c>
      <c r="N160" s="290"/>
      <c r="O160" s="275"/>
      <c r="P160" s="275"/>
      <c r="Q160" s="268"/>
      <c r="R160" s="268"/>
      <c r="S160" s="278"/>
      <c r="T160" s="278"/>
      <c r="U160" s="279"/>
      <c r="V160" s="279" t="s">
        <v>1783</v>
      </c>
      <c r="W160" s="280">
        <v>44145.0</v>
      </c>
      <c r="X160" s="281">
        <v>0.027777777777777776</v>
      </c>
      <c r="Y160" s="279" t="s">
        <v>1693</v>
      </c>
      <c r="Z160" s="282" t="s">
        <v>1694</v>
      </c>
      <c r="AA160" s="282" t="s">
        <v>2165</v>
      </c>
      <c r="AB160" s="283">
        <v>44144.0</v>
      </c>
      <c r="AC160" s="284"/>
      <c r="AD160" s="284"/>
    </row>
    <row r="161" ht="14.25" customHeight="1">
      <c r="A161" s="265">
        <v>44140.0</v>
      </c>
      <c r="B161" s="266" t="s">
        <v>1746</v>
      </c>
      <c r="C161" s="266"/>
      <c r="D161" s="265" t="s">
        <v>1748</v>
      </c>
      <c r="E161" s="268"/>
      <c r="F161" s="291" t="s">
        <v>2166</v>
      </c>
      <c r="G161" s="268" t="s">
        <v>2155</v>
      </c>
      <c r="H161" s="270">
        <v>0.01695601851851852</v>
      </c>
      <c r="I161" s="271">
        <v>44140.82638888889</v>
      </c>
      <c r="J161" s="268"/>
      <c r="K161" s="271">
        <v>44140.89513888889</v>
      </c>
      <c r="L161" s="271" t="str">
        <f t="shared" si="15"/>
        <v>12/30/99 1:39</v>
      </c>
      <c r="M161" s="278" t="s">
        <v>2167</v>
      </c>
      <c r="N161" s="290"/>
      <c r="O161" s="275"/>
      <c r="P161" s="275"/>
      <c r="Q161" s="268"/>
      <c r="R161" s="268"/>
      <c r="S161" s="278"/>
      <c r="T161" s="278"/>
      <c r="U161" s="279"/>
      <c r="V161" s="279" t="s">
        <v>1824</v>
      </c>
      <c r="W161" s="280">
        <v>44148.0</v>
      </c>
      <c r="X161" s="281">
        <v>0.16059027777777776</v>
      </c>
      <c r="Y161" s="279" t="s">
        <v>1693</v>
      </c>
      <c r="Z161" s="282" t="s">
        <v>1694</v>
      </c>
      <c r="AA161" s="282" t="s">
        <v>2168</v>
      </c>
      <c r="AB161" s="283">
        <v>44145.0</v>
      </c>
      <c r="AC161" s="284"/>
      <c r="AD161" s="284"/>
    </row>
    <row r="162" ht="14.25" customHeight="1">
      <c r="A162" s="265">
        <v>44140.0</v>
      </c>
      <c r="B162" s="266" t="s">
        <v>1500</v>
      </c>
      <c r="C162" s="266" t="s">
        <v>1696</v>
      </c>
      <c r="D162" s="266" t="s">
        <v>1543</v>
      </c>
      <c r="E162" s="268"/>
      <c r="F162" s="291" t="s">
        <v>2169</v>
      </c>
      <c r="G162" s="268" t="s">
        <v>2155</v>
      </c>
      <c r="H162" s="270">
        <v>0.0018518518518518517</v>
      </c>
      <c r="I162" s="271">
        <v>44141.36597222222</v>
      </c>
      <c r="J162" s="268"/>
      <c r="K162" s="271">
        <v>44141.410104166665</v>
      </c>
      <c r="L162" s="271"/>
      <c r="M162" s="278" t="s">
        <v>2170</v>
      </c>
      <c r="N162" s="290"/>
      <c r="O162" s="275"/>
      <c r="P162" s="275"/>
      <c r="Q162" s="268"/>
      <c r="R162" s="268"/>
      <c r="S162" s="278"/>
      <c r="T162" s="278"/>
      <c r="U162" s="279"/>
      <c r="V162" s="279" t="s">
        <v>1824</v>
      </c>
      <c r="W162" s="280">
        <v>44141.0</v>
      </c>
      <c r="X162" s="281">
        <v>0.014155092592592592</v>
      </c>
      <c r="Y162" s="279" t="s">
        <v>1693</v>
      </c>
      <c r="Z162" s="282" t="s">
        <v>1694</v>
      </c>
      <c r="AA162" s="282">
        <v>6287197.0</v>
      </c>
      <c r="AB162" s="283">
        <v>44145.0</v>
      </c>
      <c r="AC162" s="284"/>
      <c r="AD162" s="284"/>
    </row>
    <row r="163" ht="14.25" customHeight="1">
      <c r="A163" s="265">
        <v>44140.0</v>
      </c>
      <c r="B163" s="266" t="s">
        <v>1500</v>
      </c>
      <c r="C163" s="266" t="s">
        <v>1686</v>
      </c>
      <c r="D163" s="266" t="s">
        <v>1543</v>
      </c>
      <c r="E163" s="268"/>
      <c r="F163" s="291" t="s">
        <v>2171</v>
      </c>
      <c r="G163" s="268" t="s">
        <v>1463</v>
      </c>
      <c r="H163" s="270">
        <v>0.0016203703703703703</v>
      </c>
      <c r="I163" s="271">
        <v>44141.40972222222</v>
      </c>
      <c r="J163" s="268"/>
      <c r="K163" s="348">
        <v>44141.4140162037</v>
      </c>
      <c r="L163" s="271"/>
      <c r="M163" s="278" t="s">
        <v>2172</v>
      </c>
      <c r="N163" s="290"/>
      <c r="O163" s="275"/>
      <c r="P163" s="275"/>
      <c r="Q163" s="268"/>
      <c r="R163" s="268"/>
      <c r="S163" s="278"/>
      <c r="T163" s="278"/>
      <c r="U163" s="279"/>
      <c r="V163" s="279" t="s">
        <v>1824</v>
      </c>
      <c r="W163" s="280">
        <v>44141.0</v>
      </c>
      <c r="X163" s="281">
        <v>0.01704861111111111</v>
      </c>
      <c r="Y163" s="279" t="s">
        <v>1693</v>
      </c>
      <c r="Z163" s="282" t="s">
        <v>1694</v>
      </c>
      <c r="AA163" s="282">
        <v>6287198.0</v>
      </c>
      <c r="AB163" s="283">
        <v>44145.0</v>
      </c>
      <c r="AC163" s="284"/>
      <c r="AD163" s="284"/>
    </row>
    <row r="164" ht="14.25" customHeight="1">
      <c r="A164" s="265">
        <v>44140.0</v>
      </c>
      <c r="B164" s="266" t="s">
        <v>1500</v>
      </c>
      <c r="C164" s="266" t="s">
        <v>1452</v>
      </c>
      <c r="D164" s="266" t="s">
        <v>1543</v>
      </c>
      <c r="E164" s="268"/>
      <c r="F164" s="291" t="s">
        <v>2173</v>
      </c>
      <c r="G164" s="268" t="s">
        <v>2155</v>
      </c>
      <c r="H164" s="270">
        <v>0.0017939814814814815</v>
      </c>
      <c r="I164" s="271">
        <v>44141.43541666667</v>
      </c>
      <c r="J164" s="268"/>
      <c r="K164" s="348">
        <v>44141.436006944445</v>
      </c>
      <c r="L164" s="271"/>
      <c r="M164" s="307" t="s">
        <v>2174</v>
      </c>
      <c r="N164" s="273">
        <v>44141.47152777778</v>
      </c>
      <c r="O164" s="275" t="s">
        <v>2175</v>
      </c>
      <c r="P164" s="275"/>
      <c r="Q164" s="268" t="s">
        <v>1953</v>
      </c>
      <c r="R164" s="271">
        <v>44141.4796875</v>
      </c>
      <c r="S164" s="270">
        <v>0.006944444444444444</v>
      </c>
      <c r="T164" s="272" t="s">
        <v>2176</v>
      </c>
      <c r="U164" s="279"/>
      <c r="V164" s="279" t="s">
        <v>1824</v>
      </c>
      <c r="W164" s="280">
        <v>44145.0</v>
      </c>
      <c r="X164" s="281">
        <v>0.006944444444444444</v>
      </c>
      <c r="Y164" s="279" t="s">
        <v>1693</v>
      </c>
      <c r="Z164" s="282" t="s">
        <v>1694</v>
      </c>
      <c r="AA164" s="282">
        <v>6287199.0</v>
      </c>
      <c r="AB164" s="283">
        <v>44145.0</v>
      </c>
      <c r="AC164" s="284"/>
      <c r="AD164" s="284"/>
    </row>
    <row r="165" ht="14.25" customHeight="1">
      <c r="A165" s="265">
        <v>44140.0</v>
      </c>
      <c r="B165" s="266" t="s">
        <v>1500</v>
      </c>
      <c r="C165" s="266" t="s">
        <v>1450</v>
      </c>
      <c r="D165" s="266" t="s">
        <v>1543</v>
      </c>
      <c r="E165" s="268"/>
      <c r="F165" s="291" t="s">
        <v>2177</v>
      </c>
      <c r="G165" s="268" t="s">
        <v>1463</v>
      </c>
      <c r="H165" s="270">
        <v>0.0025925925925925925</v>
      </c>
      <c r="I165" s="271">
        <v>44145.677777777775</v>
      </c>
      <c r="J165" s="268"/>
      <c r="K165" s="348"/>
      <c r="L165" s="271"/>
      <c r="M165" s="272" t="s">
        <v>2178</v>
      </c>
      <c r="N165" s="273"/>
      <c r="O165" s="275"/>
      <c r="P165" s="275"/>
      <c r="Q165" s="268"/>
      <c r="R165" s="271"/>
      <c r="S165" s="270"/>
      <c r="T165" s="272"/>
      <c r="U165" s="279"/>
      <c r="V165" s="279" t="s">
        <v>1824</v>
      </c>
      <c r="W165" s="280">
        <v>44145.0</v>
      </c>
      <c r="X165" s="281">
        <v>0.006944444444444444</v>
      </c>
      <c r="Y165" s="279" t="s">
        <v>1693</v>
      </c>
      <c r="Z165" s="282" t="s">
        <v>1694</v>
      </c>
      <c r="AA165" s="282">
        <v>6287200.0</v>
      </c>
      <c r="AB165" s="283">
        <v>44145.0</v>
      </c>
      <c r="AC165" s="284"/>
      <c r="AD165" s="284"/>
    </row>
    <row r="166" ht="14.25" customHeight="1">
      <c r="A166" s="265">
        <v>44140.0</v>
      </c>
      <c r="B166" s="266" t="s">
        <v>1500</v>
      </c>
      <c r="C166" s="266" t="s">
        <v>2179</v>
      </c>
      <c r="D166" s="266" t="s">
        <v>1543</v>
      </c>
      <c r="E166" s="268"/>
      <c r="F166" s="291" t="s">
        <v>2180</v>
      </c>
      <c r="G166" s="268" t="s">
        <v>1463</v>
      </c>
      <c r="H166" s="270">
        <v>0.0029745370370370373</v>
      </c>
      <c r="I166" s="271">
        <v>44147.58541666667</v>
      </c>
      <c r="J166" s="268"/>
      <c r="K166" s="348">
        <v>44147.62976851852</v>
      </c>
      <c r="L166" s="271"/>
      <c r="M166" s="272" t="s">
        <v>2181</v>
      </c>
      <c r="N166" s="273"/>
      <c r="O166" s="275"/>
      <c r="P166" s="275"/>
      <c r="Q166" s="268"/>
      <c r="R166" s="271"/>
      <c r="S166" s="270"/>
      <c r="T166" s="272"/>
      <c r="U166" s="279"/>
      <c r="V166" s="279" t="s">
        <v>1824</v>
      </c>
      <c r="W166" s="280">
        <v>44148.0</v>
      </c>
      <c r="X166" s="281">
        <v>0.006944444444444444</v>
      </c>
      <c r="Y166" s="279" t="s">
        <v>1693</v>
      </c>
      <c r="Z166" s="282" t="s">
        <v>1694</v>
      </c>
      <c r="AA166" s="282">
        <v>6288948.0</v>
      </c>
      <c r="AB166" s="283">
        <v>44148.0</v>
      </c>
      <c r="AC166" s="284"/>
      <c r="AD166" s="284"/>
    </row>
    <row r="167" ht="14.25" customHeight="1">
      <c r="A167" s="265">
        <v>44140.0</v>
      </c>
      <c r="B167" s="266" t="s">
        <v>1500</v>
      </c>
      <c r="C167" s="266" t="s">
        <v>2179</v>
      </c>
      <c r="D167" s="266" t="s">
        <v>1543</v>
      </c>
      <c r="E167" s="268"/>
      <c r="F167" s="291" t="s">
        <v>2182</v>
      </c>
      <c r="G167" s="268" t="s">
        <v>1463</v>
      </c>
      <c r="H167" s="270">
        <v>0.0012384259259259258</v>
      </c>
      <c r="I167" s="271">
        <v>44147.61666666667</v>
      </c>
      <c r="J167" s="268"/>
      <c r="K167" s="348">
        <v>44147.66005787037</v>
      </c>
      <c r="L167" s="271"/>
      <c r="M167" s="307" t="s">
        <v>2183</v>
      </c>
      <c r="N167" s="273">
        <v>44148.39444444444</v>
      </c>
      <c r="O167" s="275" t="s">
        <v>2184</v>
      </c>
      <c r="P167" s="275"/>
      <c r="Q167" s="268" t="s">
        <v>1819</v>
      </c>
      <c r="R167" s="271">
        <v>44148.43848379629</v>
      </c>
      <c r="S167" s="270"/>
      <c r="T167" s="272" t="s">
        <v>2185</v>
      </c>
      <c r="U167" s="279"/>
      <c r="V167" s="279" t="s">
        <v>1824</v>
      </c>
      <c r="W167" s="280">
        <v>44148.0</v>
      </c>
      <c r="X167" s="281">
        <v>0.010416666666666666</v>
      </c>
      <c r="Y167" s="279" t="s">
        <v>1693</v>
      </c>
      <c r="Z167" s="282" t="s">
        <v>1694</v>
      </c>
      <c r="AA167" s="282">
        <v>6288949.0</v>
      </c>
      <c r="AB167" s="283">
        <v>44148.0</v>
      </c>
      <c r="AC167" s="284"/>
      <c r="AD167" s="284"/>
    </row>
    <row r="168" ht="14.25" customHeight="1">
      <c r="A168" s="265">
        <v>44141.0</v>
      </c>
      <c r="B168" s="266" t="s">
        <v>1772</v>
      </c>
      <c r="C168" s="266"/>
      <c r="D168" s="266" t="s">
        <v>1450</v>
      </c>
      <c r="E168" s="268"/>
      <c r="F168" s="291" t="s">
        <v>2186</v>
      </c>
      <c r="G168" s="268" t="s">
        <v>2155</v>
      </c>
      <c r="H168" s="270">
        <v>0.09375</v>
      </c>
      <c r="I168" s="271">
        <v>44141.62777777778</v>
      </c>
      <c r="J168" s="268"/>
      <c r="K168" s="268"/>
      <c r="L168" s="271" t="str">
        <f t="shared" ref="L168:L173" si="16">K168-I168</f>
        <v>2/20/79 8:56</v>
      </c>
      <c r="M168" s="272" t="s">
        <v>2178</v>
      </c>
      <c r="N168" s="290"/>
      <c r="O168" s="275"/>
      <c r="P168" s="275"/>
      <c r="Q168" s="268"/>
      <c r="R168" s="268"/>
      <c r="S168" s="278"/>
      <c r="T168" s="278"/>
      <c r="U168" s="279"/>
      <c r="V168" s="279" t="s">
        <v>1772</v>
      </c>
      <c r="W168" s="280">
        <v>44153.0</v>
      </c>
      <c r="X168" s="281">
        <v>0.3333333333333333</v>
      </c>
      <c r="Y168" s="279" t="s">
        <v>1693</v>
      </c>
      <c r="Z168" s="282" t="s">
        <v>1694</v>
      </c>
      <c r="AA168" s="282" t="s">
        <v>2187</v>
      </c>
      <c r="AB168" s="283">
        <v>44145.0</v>
      </c>
      <c r="AC168" s="284"/>
      <c r="AD168" s="284"/>
    </row>
    <row r="169" ht="14.25" customHeight="1">
      <c r="A169" s="265">
        <v>44141.0</v>
      </c>
      <c r="B169" s="266" t="s">
        <v>1746</v>
      </c>
      <c r="C169" s="266"/>
      <c r="D169" s="266" t="s">
        <v>1452</v>
      </c>
      <c r="E169" s="268"/>
      <c r="F169" s="291" t="s">
        <v>2188</v>
      </c>
      <c r="G169" s="268" t="s">
        <v>2155</v>
      </c>
      <c r="H169" s="270">
        <v>0.0013773148148148147</v>
      </c>
      <c r="I169" s="271">
        <v>44141.67361111111</v>
      </c>
      <c r="J169" s="268"/>
      <c r="K169" s="271">
        <v>44141.674305555556</v>
      </c>
      <c r="L169" s="271" t="str">
        <f t="shared" si="16"/>
        <v>12/30/99 0:01</v>
      </c>
      <c r="M169" s="278" t="s">
        <v>2189</v>
      </c>
      <c r="N169" s="290"/>
      <c r="O169" s="275"/>
      <c r="P169" s="275"/>
      <c r="Q169" s="268"/>
      <c r="R169" s="268"/>
      <c r="S169" s="278"/>
      <c r="T169" s="278"/>
      <c r="U169" s="279"/>
      <c r="V169" s="279" t="s">
        <v>1746</v>
      </c>
      <c r="W169" s="280">
        <v>44141.0</v>
      </c>
      <c r="X169" s="281">
        <v>0.001388888888888889</v>
      </c>
      <c r="Y169" s="279" t="s">
        <v>1693</v>
      </c>
      <c r="Z169" s="282" t="s">
        <v>1694</v>
      </c>
      <c r="AA169" s="282" t="s">
        <v>2190</v>
      </c>
      <c r="AB169" s="283">
        <v>44145.0</v>
      </c>
      <c r="AC169" s="284"/>
      <c r="AD169" s="284"/>
    </row>
    <row r="170" ht="14.25" customHeight="1">
      <c r="A170" s="265">
        <v>44141.0</v>
      </c>
      <c r="B170" s="266" t="s">
        <v>1685</v>
      </c>
      <c r="C170" s="266"/>
      <c r="D170" s="266" t="s">
        <v>1689</v>
      </c>
      <c r="E170" s="268"/>
      <c r="F170" s="291" t="s">
        <v>2191</v>
      </c>
      <c r="G170" s="268" t="s">
        <v>2155</v>
      </c>
      <c r="H170" s="268" t="s">
        <v>2192</v>
      </c>
      <c r="I170" s="271">
        <v>44141.61111111111</v>
      </c>
      <c r="J170" s="268"/>
      <c r="K170" s="271">
        <v>44141.88006944444</v>
      </c>
      <c r="L170" s="271" t="str">
        <f t="shared" si="16"/>
        <v>12/30/99 6:27</v>
      </c>
      <c r="M170" s="278" t="s">
        <v>2193</v>
      </c>
      <c r="N170" s="290"/>
      <c r="O170" s="275"/>
      <c r="P170" s="275"/>
      <c r="Q170" s="268"/>
      <c r="R170" s="268"/>
      <c r="S170" s="278"/>
      <c r="T170" s="278"/>
      <c r="U170" s="279"/>
      <c r="V170" s="279" t="s">
        <v>1685</v>
      </c>
      <c r="W170" s="280">
        <v>44153.0</v>
      </c>
      <c r="X170" s="281">
        <v>0.25</v>
      </c>
      <c r="Y170" s="279" t="s">
        <v>1693</v>
      </c>
      <c r="Z170" s="282" t="s">
        <v>1694</v>
      </c>
      <c r="AA170" s="282" t="s">
        <v>2194</v>
      </c>
      <c r="AB170" s="283">
        <v>44145.0</v>
      </c>
      <c r="AC170" s="284"/>
      <c r="AD170" s="284"/>
    </row>
    <row r="171" ht="14.25" customHeight="1">
      <c r="A171" s="265">
        <v>44141.0</v>
      </c>
      <c r="B171" s="266" t="s">
        <v>1746</v>
      </c>
      <c r="C171" s="266"/>
      <c r="D171" s="265" t="s">
        <v>1748</v>
      </c>
      <c r="E171" s="268"/>
      <c r="F171" s="291" t="s">
        <v>2195</v>
      </c>
      <c r="G171" s="268" t="s">
        <v>2155</v>
      </c>
      <c r="H171" s="270">
        <v>0.01783564814814815</v>
      </c>
      <c r="I171" s="271">
        <v>44141.84027777778</v>
      </c>
      <c r="J171" s="268"/>
      <c r="K171" s="271">
        <v>44141.84027777778</v>
      </c>
      <c r="L171" s="271" t="str">
        <f t="shared" si="16"/>
        <v>12/30/99 0:00</v>
      </c>
      <c r="M171" s="272" t="s">
        <v>2196</v>
      </c>
      <c r="N171" s="273">
        <v>44144.385416666664</v>
      </c>
      <c r="O171" s="275" t="s">
        <v>2197</v>
      </c>
      <c r="P171" s="275"/>
      <c r="Q171" s="268" t="s">
        <v>1819</v>
      </c>
      <c r="R171" s="271">
        <v>44144.43350694444</v>
      </c>
      <c r="S171" s="271"/>
      <c r="T171" s="349" t="s">
        <v>2198</v>
      </c>
      <c r="U171" s="279"/>
      <c r="V171" s="279" t="s">
        <v>1824</v>
      </c>
      <c r="W171" s="280">
        <v>44146.0</v>
      </c>
      <c r="X171" s="281">
        <v>0.19489583333333335</v>
      </c>
      <c r="Y171" s="279" t="s">
        <v>1693</v>
      </c>
      <c r="Z171" s="282" t="s">
        <v>1694</v>
      </c>
      <c r="AA171" s="282" t="s">
        <v>2199</v>
      </c>
      <c r="AB171" s="283">
        <v>44145.0</v>
      </c>
      <c r="AC171" s="284"/>
      <c r="AD171" s="284"/>
    </row>
    <row r="172" ht="14.25" customHeight="1">
      <c r="A172" s="265">
        <v>44142.0</v>
      </c>
      <c r="B172" s="266" t="s">
        <v>1746</v>
      </c>
      <c r="C172" s="266"/>
      <c r="D172" s="266" t="s">
        <v>1689</v>
      </c>
      <c r="E172" s="268"/>
      <c r="F172" s="291" t="s">
        <v>2200</v>
      </c>
      <c r="G172" s="268" t="s">
        <v>2155</v>
      </c>
      <c r="H172" s="270">
        <v>0.029687500000000002</v>
      </c>
      <c r="I172" s="271">
        <v>44142.93402777778</v>
      </c>
      <c r="J172" s="268"/>
      <c r="K172" s="271">
        <v>44142.95138888889</v>
      </c>
      <c r="L172" s="271" t="str">
        <f t="shared" si="16"/>
        <v>12/30/99 0:25</v>
      </c>
      <c r="M172" s="278" t="s">
        <v>2201</v>
      </c>
      <c r="N172" s="273"/>
      <c r="O172" s="275"/>
      <c r="P172" s="275"/>
      <c r="Q172" s="268"/>
      <c r="R172" s="268"/>
      <c r="S172" s="278"/>
      <c r="T172" s="278"/>
      <c r="U172" s="279"/>
      <c r="V172" s="279" t="s">
        <v>1685</v>
      </c>
      <c r="W172" s="280">
        <v>44154.0</v>
      </c>
      <c r="X172" s="281">
        <v>0.16666666666666666</v>
      </c>
      <c r="Y172" s="279" t="s">
        <v>1693</v>
      </c>
      <c r="Z172" s="282" t="s">
        <v>1694</v>
      </c>
      <c r="AA172" s="282" t="s">
        <v>2202</v>
      </c>
      <c r="AB172" s="283">
        <v>44148.0</v>
      </c>
      <c r="AC172" s="284"/>
      <c r="AD172" s="284"/>
    </row>
    <row r="173" ht="14.25" customHeight="1">
      <c r="A173" s="265">
        <v>44142.0</v>
      </c>
      <c r="B173" s="266" t="s">
        <v>1746</v>
      </c>
      <c r="C173" s="266"/>
      <c r="D173" s="265" t="s">
        <v>1748</v>
      </c>
      <c r="E173" s="268"/>
      <c r="F173" s="291" t="s">
        <v>2203</v>
      </c>
      <c r="G173" s="268" t="s">
        <v>2155</v>
      </c>
      <c r="H173" s="270">
        <v>0.012060185185185186</v>
      </c>
      <c r="I173" s="271">
        <v>44142.84722222222</v>
      </c>
      <c r="J173" s="268"/>
      <c r="K173" s="271">
        <v>44142.868055555555</v>
      </c>
      <c r="L173" s="271" t="str">
        <f t="shared" si="16"/>
        <v>12/30/99 0:30</v>
      </c>
      <c r="M173" s="278" t="s">
        <v>2204</v>
      </c>
      <c r="N173" s="273"/>
      <c r="O173" s="275"/>
      <c r="P173" s="275"/>
      <c r="Q173" s="268"/>
      <c r="R173" s="268"/>
      <c r="S173" s="278"/>
      <c r="T173" s="278"/>
      <c r="U173" s="279"/>
      <c r="V173" s="279" t="s">
        <v>1746</v>
      </c>
      <c r="W173" s="280">
        <v>44152.0</v>
      </c>
      <c r="X173" s="281">
        <v>0.09375</v>
      </c>
      <c r="Y173" s="279" t="s">
        <v>1693</v>
      </c>
      <c r="Z173" s="282" t="s">
        <v>1694</v>
      </c>
      <c r="AA173" s="282" t="s">
        <v>2205</v>
      </c>
      <c r="AB173" s="283">
        <v>44148.0</v>
      </c>
      <c r="AC173" s="284"/>
      <c r="AD173" s="284"/>
    </row>
    <row r="174" ht="14.25" customHeight="1">
      <c r="A174" s="265">
        <v>44143.0</v>
      </c>
      <c r="B174" s="266" t="s">
        <v>1783</v>
      </c>
      <c r="C174" s="266"/>
      <c r="D174" s="265" t="s">
        <v>1796</v>
      </c>
      <c r="E174" s="268"/>
      <c r="F174" s="291" t="s">
        <v>2206</v>
      </c>
      <c r="G174" s="268" t="s">
        <v>2155</v>
      </c>
      <c r="H174" s="270">
        <v>0.017662037037037035</v>
      </c>
      <c r="I174" s="271">
        <v>44144.657638888886</v>
      </c>
      <c r="J174" s="268"/>
      <c r="K174" s="271">
        <v>44144.65939814815</v>
      </c>
      <c r="L174" s="271"/>
      <c r="M174" s="278" t="s">
        <v>2207</v>
      </c>
      <c r="N174" s="273"/>
      <c r="O174" s="275"/>
      <c r="P174" s="275"/>
      <c r="Q174" s="268"/>
      <c r="R174" s="268"/>
      <c r="S174" s="278"/>
      <c r="T174" s="278"/>
      <c r="U174" s="279"/>
      <c r="V174" s="279" t="s">
        <v>1783</v>
      </c>
      <c r="W174" s="280">
        <v>44146.0</v>
      </c>
      <c r="X174" s="281">
        <v>0.052083333333333336</v>
      </c>
      <c r="Y174" s="279" t="s">
        <v>1693</v>
      </c>
      <c r="Z174" s="282" t="s">
        <v>1694</v>
      </c>
      <c r="AA174" s="282" t="s">
        <v>2208</v>
      </c>
      <c r="AB174" s="283">
        <v>44148.0</v>
      </c>
      <c r="AC174" s="284"/>
      <c r="AD174" s="284"/>
    </row>
    <row r="175" ht="14.25" customHeight="1">
      <c r="A175" s="265">
        <v>44144.0</v>
      </c>
      <c r="B175" s="266" t="s">
        <v>1500</v>
      </c>
      <c r="C175" s="266"/>
      <c r="D175" s="266" t="s">
        <v>1450</v>
      </c>
      <c r="E175" s="268"/>
      <c r="F175" s="291" t="s">
        <v>2209</v>
      </c>
      <c r="G175" s="268" t="s">
        <v>2155</v>
      </c>
      <c r="H175" s="270">
        <v>0.09362268518518518</v>
      </c>
      <c r="I175" s="271">
        <v>44144.657638888886</v>
      </c>
      <c r="J175" s="268"/>
      <c r="K175" s="268"/>
      <c r="L175" s="271" t="str">
        <f t="shared" ref="L175:L177" si="17">I175-#REF!</f>
        <v>#REF!</v>
      </c>
      <c r="M175" s="307" t="s">
        <v>2210</v>
      </c>
      <c r="N175" s="273">
        <v>44146.39444444444</v>
      </c>
      <c r="O175" s="275" t="s">
        <v>2211</v>
      </c>
      <c r="P175" s="275"/>
      <c r="Q175" s="268" t="s">
        <v>1844</v>
      </c>
      <c r="R175" s="271">
        <v>44146.54775462963</v>
      </c>
      <c r="S175" s="278"/>
      <c r="T175" s="278" t="s">
        <v>2212</v>
      </c>
      <c r="U175" s="279"/>
      <c r="V175" s="279" t="s">
        <v>1772</v>
      </c>
      <c r="W175" s="280">
        <v>44154.0</v>
      </c>
      <c r="X175" s="281">
        <v>0.3333333333333333</v>
      </c>
      <c r="Y175" s="279" t="s">
        <v>1693</v>
      </c>
      <c r="Z175" s="282" t="s">
        <v>1694</v>
      </c>
      <c r="AA175" s="282" t="s">
        <v>2213</v>
      </c>
      <c r="AB175" s="283">
        <v>44148.0</v>
      </c>
      <c r="AC175" s="284"/>
      <c r="AD175" s="284"/>
    </row>
    <row r="176" ht="14.25" customHeight="1">
      <c r="A176" s="265">
        <v>44144.0</v>
      </c>
      <c r="B176" s="266" t="s">
        <v>1783</v>
      </c>
      <c r="C176" s="266"/>
      <c r="D176" s="266" t="s">
        <v>1452</v>
      </c>
      <c r="E176" s="268"/>
      <c r="F176" s="291" t="s">
        <v>2214</v>
      </c>
      <c r="G176" s="268" t="s">
        <v>2155</v>
      </c>
      <c r="H176" s="270">
        <v>0.007974537037037037</v>
      </c>
      <c r="I176" s="271">
        <v>44144.657638888886</v>
      </c>
      <c r="J176" s="268"/>
      <c r="K176" s="271">
        <v>44144.7043287037</v>
      </c>
      <c r="L176" s="271" t="str">
        <f t="shared" si="17"/>
        <v>#REF!</v>
      </c>
      <c r="M176" s="307" t="s">
        <v>2215</v>
      </c>
      <c r="N176" s="273">
        <v>44146.39444444444</v>
      </c>
      <c r="O176" s="275" t="s">
        <v>2216</v>
      </c>
      <c r="P176" s="275"/>
      <c r="Q176" s="268" t="s">
        <v>1844</v>
      </c>
      <c r="R176" s="271">
        <v>44146.40667824074</v>
      </c>
      <c r="S176" s="270">
        <v>0.008333333333333333</v>
      </c>
      <c r="T176" s="278" t="s">
        <v>2217</v>
      </c>
      <c r="U176" s="279"/>
      <c r="V176" s="279" t="s">
        <v>1783</v>
      </c>
      <c r="W176" s="280">
        <v>44146.0</v>
      </c>
      <c r="X176" s="281">
        <v>0.041666666666666664</v>
      </c>
      <c r="Y176" s="279" t="s">
        <v>1693</v>
      </c>
      <c r="Z176" s="282" t="s">
        <v>1694</v>
      </c>
      <c r="AA176" s="282" t="s">
        <v>2218</v>
      </c>
      <c r="AB176" s="283">
        <v>44148.0</v>
      </c>
      <c r="AC176" s="284"/>
      <c r="AD176" s="284"/>
    </row>
    <row r="177" ht="14.25" customHeight="1">
      <c r="A177" s="265">
        <v>44144.0</v>
      </c>
      <c r="B177" s="266" t="s">
        <v>2030</v>
      </c>
      <c r="C177" s="266"/>
      <c r="D177" s="266" t="s">
        <v>1689</v>
      </c>
      <c r="E177" s="268"/>
      <c r="F177" s="291" t="s">
        <v>2219</v>
      </c>
      <c r="G177" s="268" t="s">
        <v>2155</v>
      </c>
      <c r="H177" s="270">
        <v>0.02929398148148148</v>
      </c>
      <c r="I177" s="271">
        <v>44144.657638888886</v>
      </c>
      <c r="J177" s="268"/>
      <c r="K177" s="271">
        <v>44144.6997337963</v>
      </c>
      <c r="L177" s="271" t="str">
        <f t="shared" si="17"/>
        <v>#REF!</v>
      </c>
      <c r="M177" s="278" t="s">
        <v>2220</v>
      </c>
      <c r="N177" s="273"/>
      <c r="O177" s="275"/>
      <c r="P177" s="275"/>
      <c r="Q177" s="268"/>
      <c r="R177" s="268"/>
      <c r="S177" s="278"/>
      <c r="T177" s="278" t="s">
        <v>2221</v>
      </c>
      <c r="U177" s="279"/>
      <c r="V177" s="279" t="s">
        <v>2030</v>
      </c>
      <c r="W177" s="280">
        <v>44158.0</v>
      </c>
      <c r="X177" s="281">
        <v>0.0024305555555555556</v>
      </c>
      <c r="Y177" s="279" t="s">
        <v>1693</v>
      </c>
      <c r="Z177" s="282" t="s">
        <v>1694</v>
      </c>
      <c r="AA177" s="282" t="s">
        <v>2222</v>
      </c>
      <c r="AB177" s="282" t="s">
        <v>1819</v>
      </c>
      <c r="AC177" s="284"/>
      <c r="AD177" s="284"/>
    </row>
    <row r="178" ht="14.25" customHeight="1">
      <c r="A178" s="265">
        <v>44144.0</v>
      </c>
      <c r="B178" s="266" t="s">
        <v>1746</v>
      </c>
      <c r="C178" s="266"/>
      <c r="D178" s="265" t="s">
        <v>1748</v>
      </c>
      <c r="E178" s="268"/>
      <c r="F178" s="291" t="s">
        <v>2223</v>
      </c>
      <c r="G178" s="268" t="s">
        <v>2155</v>
      </c>
      <c r="H178" s="270">
        <v>0.01871527777777778</v>
      </c>
      <c r="I178" s="271">
        <v>44145.34652777778</v>
      </c>
      <c r="J178" s="268"/>
      <c r="K178" s="271">
        <v>44145.38792824074</v>
      </c>
      <c r="L178" s="271" t="str">
        <f>K178-I178</f>
        <v>12/30/99 0:59</v>
      </c>
      <c r="M178" s="278" t="s">
        <v>2198</v>
      </c>
      <c r="N178" s="273"/>
      <c r="O178" s="275"/>
      <c r="P178" s="275"/>
      <c r="Q178" s="268"/>
      <c r="R178" s="268"/>
      <c r="S178" s="278"/>
      <c r="T178" s="278"/>
      <c r="U178" s="279"/>
      <c r="V178" s="279" t="s">
        <v>1746</v>
      </c>
      <c r="W178" s="280">
        <v>44152.0</v>
      </c>
      <c r="X178" s="281">
        <v>0.12847222222222224</v>
      </c>
      <c r="Y178" s="279" t="s">
        <v>1693</v>
      </c>
      <c r="Z178" s="282" t="s">
        <v>1694</v>
      </c>
      <c r="AA178" s="282" t="s">
        <v>2224</v>
      </c>
      <c r="AB178" s="283">
        <v>44148.0</v>
      </c>
      <c r="AC178" s="284"/>
      <c r="AD178" s="284"/>
    </row>
    <row r="179" ht="14.25" customHeight="1">
      <c r="A179" s="265">
        <v>44144.0</v>
      </c>
      <c r="B179" s="266" t="s">
        <v>1500</v>
      </c>
      <c r="C179" s="266" t="s">
        <v>1686</v>
      </c>
      <c r="D179" s="266" t="s">
        <v>1543</v>
      </c>
      <c r="E179" s="268"/>
      <c r="F179" s="291" t="s">
        <v>2225</v>
      </c>
      <c r="G179" s="268" t="s">
        <v>1463</v>
      </c>
      <c r="H179" s="270">
        <v>8.333333333333334E-4</v>
      </c>
      <c r="I179" s="271">
        <v>44145.677777777775</v>
      </c>
      <c r="J179" s="268"/>
      <c r="K179" s="271">
        <v>44145.72153935185</v>
      </c>
      <c r="L179" s="271"/>
      <c r="M179" s="278" t="s">
        <v>2226</v>
      </c>
      <c r="N179" s="273"/>
      <c r="O179" s="275"/>
      <c r="P179" s="275"/>
      <c r="Q179" s="268"/>
      <c r="R179" s="268"/>
      <c r="S179" s="278"/>
      <c r="T179" s="278"/>
      <c r="U179" s="279"/>
      <c r="V179" s="279" t="s">
        <v>1824</v>
      </c>
      <c r="W179" s="280">
        <v>44145.0</v>
      </c>
      <c r="X179" s="350">
        <v>0.4166666666666667</v>
      </c>
      <c r="Y179" s="279" t="s">
        <v>1693</v>
      </c>
      <c r="Z179" s="282" t="s">
        <v>1694</v>
      </c>
      <c r="AA179" s="282">
        <v>6287201.0</v>
      </c>
      <c r="AB179" s="283">
        <v>44148.0</v>
      </c>
      <c r="AC179" s="284"/>
      <c r="AD179" s="284"/>
    </row>
    <row r="180" ht="14.25" customHeight="1">
      <c r="A180" s="265">
        <v>44145.0</v>
      </c>
      <c r="B180" s="266" t="s">
        <v>1570</v>
      </c>
      <c r="C180" s="266"/>
      <c r="D180" s="266" t="s">
        <v>1450</v>
      </c>
      <c r="E180" s="268"/>
      <c r="F180" s="291" t="s">
        <v>2227</v>
      </c>
      <c r="G180" s="268" t="s">
        <v>2155</v>
      </c>
      <c r="H180" s="270">
        <v>0.09413194444444445</v>
      </c>
      <c r="I180" s="271">
        <v>44145.66805555556</v>
      </c>
      <c r="J180" s="268"/>
      <c r="K180" s="271">
        <v>44145.7115162037</v>
      </c>
      <c r="L180" s="271" t="str">
        <f t="shared" ref="L180:L183" si="18">K180-I180</f>
        <v>12/30/99 1:02</v>
      </c>
      <c r="M180" s="278" t="s">
        <v>2228</v>
      </c>
      <c r="N180" s="273"/>
      <c r="O180" s="275"/>
      <c r="P180" s="275"/>
      <c r="Q180" s="268"/>
      <c r="R180" s="268"/>
      <c r="S180" s="278"/>
      <c r="T180" s="278"/>
      <c r="U180" s="279"/>
      <c r="V180" s="279" t="s">
        <v>1570</v>
      </c>
      <c r="W180" s="280">
        <v>44158.0</v>
      </c>
      <c r="X180" s="281">
        <v>0.2916666666666667</v>
      </c>
      <c r="Y180" s="279" t="s">
        <v>1693</v>
      </c>
      <c r="Z180" s="282" t="s">
        <v>1694</v>
      </c>
      <c r="AA180" s="282" t="s">
        <v>2229</v>
      </c>
      <c r="AB180" s="283">
        <v>44148.0</v>
      </c>
      <c r="AC180" s="284"/>
      <c r="AD180" s="284"/>
    </row>
    <row r="181" ht="14.25" customHeight="1">
      <c r="A181" s="265">
        <v>44145.0</v>
      </c>
      <c r="B181" s="266" t="s">
        <v>1783</v>
      </c>
      <c r="C181" s="266"/>
      <c r="D181" s="266" t="s">
        <v>1452</v>
      </c>
      <c r="E181" s="268"/>
      <c r="F181" s="291" t="s">
        <v>2230</v>
      </c>
      <c r="G181" s="268" t="s">
        <v>2155</v>
      </c>
      <c r="H181" s="270">
        <v>0.008738425925925926</v>
      </c>
      <c r="I181" s="271">
        <v>44145.66805555556</v>
      </c>
      <c r="J181" s="268"/>
      <c r="K181" s="271">
        <v>44145.70989583333</v>
      </c>
      <c r="L181" s="271" t="str">
        <f t="shared" si="18"/>
        <v>12/30/99 1:00</v>
      </c>
      <c r="M181" s="278" t="s">
        <v>2231</v>
      </c>
      <c r="N181" s="273"/>
      <c r="O181" s="275"/>
      <c r="P181" s="275"/>
      <c r="Q181" s="268"/>
      <c r="R181" s="268"/>
      <c r="S181" s="278"/>
      <c r="T181" s="278"/>
      <c r="U181" s="279"/>
      <c r="V181" s="279" t="s">
        <v>1783</v>
      </c>
      <c r="W181" s="280">
        <v>44146.0</v>
      </c>
      <c r="X181" s="281">
        <v>0.034722222222222224</v>
      </c>
      <c r="Y181" s="279" t="s">
        <v>1693</v>
      </c>
      <c r="Z181" s="282" t="s">
        <v>1694</v>
      </c>
      <c r="AA181" s="282" t="s">
        <v>2232</v>
      </c>
      <c r="AB181" s="283">
        <v>44148.0</v>
      </c>
      <c r="AC181" s="284"/>
      <c r="AD181" s="284"/>
    </row>
    <row r="182" ht="14.25" customHeight="1">
      <c r="A182" s="265">
        <v>44145.0</v>
      </c>
      <c r="B182" s="266" t="s">
        <v>2030</v>
      </c>
      <c r="C182" s="266"/>
      <c r="D182" s="266" t="s">
        <v>1689</v>
      </c>
      <c r="E182" s="268"/>
      <c r="F182" s="291" t="s">
        <v>2233</v>
      </c>
      <c r="G182" s="268" t="s">
        <v>2155</v>
      </c>
      <c r="H182" s="270">
        <v>0.028460648148148148</v>
      </c>
      <c r="I182" s="271">
        <v>44145.57083333333</v>
      </c>
      <c r="J182" s="268"/>
      <c r="K182" s="271">
        <v>44145.603842592594</v>
      </c>
      <c r="L182" s="271" t="str">
        <f t="shared" si="18"/>
        <v>12/30/99 0:47</v>
      </c>
      <c r="M182" s="278" t="s">
        <v>2234</v>
      </c>
      <c r="N182" s="273"/>
      <c r="O182" s="275"/>
      <c r="P182" s="275"/>
      <c r="Q182" s="268"/>
      <c r="R182" s="268"/>
      <c r="S182" s="278"/>
      <c r="T182" s="278"/>
      <c r="U182" s="279"/>
      <c r="V182" s="279" t="s">
        <v>1685</v>
      </c>
      <c r="W182" s="280">
        <v>44155.0</v>
      </c>
      <c r="X182" s="350">
        <v>0.20833333333333334</v>
      </c>
      <c r="Y182" s="279" t="s">
        <v>1693</v>
      </c>
      <c r="Z182" s="282" t="s">
        <v>1694</v>
      </c>
      <c r="AA182" s="282" t="s">
        <v>2235</v>
      </c>
      <c r="AB182" s="283">
        <v>44148.0</v>
      </c>
      <c r="AC182" s="284"/>
      <c r="AD182" s="284"/>
    </row>
    <row r="183" ht="14.25" customHeight="1">
      <c r="A183" s="265">
        <v>44145.0</v>
      </c>
      <c r="B183" s="266" t="s">
        <v>1733</v>
      </c>
      <c r="C183" s="266"/>
      <c r="D183" s="265" t="s">
        <v>1748</v>
      </c>
      <c r="E183" s="268"/>
      <c r="F183" s="291" t="s">
        <v>2236</v>
      </c>
      <c r="G183" s="268" t="s">
        <v>2155</v>
      </c>
      <c r="H183" s="270">
        <v>0.017106481481481483</v>
      </c>
      <c r="I183" s="271">
        <v>44146.407638888886</v>
      </c>
      <c r="J183" s="268"/>
      <c r="K183" s="271">
        <v>44146.41711805556</v>
      </c>
      <c r="L183" s="271" t="str">
        <f t="shared" si="18"/>
        <v>12/30/99 0:13</v>
      </c>
      <c r="M183" s="278" t="s">
        <v>2237</v>
      </c>
      <c r="N183" s="273"/>
      <c r="O183" s="275"/>
      <c r="P183" s="275"/>
      <c r="Q183" s="268"/>
      <c r="R183" s="268"/>
      <c r="S183" s="278"/>
      <c r="T183" s="278"/>
      <c r="U183" s="279"/>
      <c r="V183" s="279" t="s">
        <v>1824</v>
      </c>
      <c r="W183" s="280">
        <v>44153.0</v>
      </c>
      <c r="X183" s="281">
        <v>0.12152777777777778</v>
      </c>
      <c r="Y183" s="279" t="s">
        <v>1693</v>
      </c>
      <c r="Z183" s="282" t="s">
        <v>1570</v>
      </c>
      <c r="AA183" s="282" t="s">
        <v>2238</v>
      </c>
      <c r="AB183" s="283">
        <v>44148.0</v>
      </c>
      <c r="AC183" s="284"/>
      <c r="AD183" s="284"/>
    </row>
    <row r="184" ht="14.25" customHeight="1">
      <c r="A184" s="265">
        <v>44145.0</v>
      </c>
      <c r="B184" s="266" t="s">
        <v>1500</v>
      </c>
      <c r="C184" s="266" t="s">
        <v>1455</v>
      </c>
      <c r="D184" s="266" t="s">
        <v>1543</v>
      </c>
      <c r="E184" s="268"/>
      <c r="F184" s="291" t="s">
        <v>2239</v>
      </c>
      <c r="G184" s="268" t="s">
        <v>1463</v>
      </c>
      <c r="H184" s="270">
        <v>0.001412037037037037</v>
      </c>
      <c r="I184" s="271">
        <v>44146.66736111111</v>
      </c>
      <c r="J184" s="268"/>
      <c r="K184" s="271">
        <v>44146.71083333333</v>
      </c>
      <c r="L184" s="271"/>
      <c r="M184" s="278" t="s">
        <v>2240</v>
      </c>
      <c r="N184" s="273"/>
      <c r="O184" s="275"/>
      <c r="P184" s="275"/>
      <c r="Q184" s="268"/>
      <c r="R184" s="268"/>
      <c r="S184" s="278"/>
      <c r="T184" s="278"/>
      <c r="U184" s="279"/>
      <c r="V184" s="279" t="s">
        <v>1824</v>
      </c>
      <c r="W184" s="280">
        <v>44147.0</v>
      </c>
      <c r="X184" s="281">
        <v>0.01476851851851852</v>
      </c>
      <c r="Y184" s="279" t="s">
        <v>1693</v>
      </c>
      <c r="Z184" s="282" t="s">
        <v>1694</v>
      </c>
      <c r="AA184" s="282">
        <v>6288950.0</v>
      </c>
      <c r="AB184" s="283">
        <v>44148.0</v>
      </c>
      <c r="AC184" s="284"/>
      <c r="AD184" s="284"/>
    </row>
    <row r="185" ht="14.25" customHeight="1">
      <c r="A185" s="265">
        <v>44146.0</v>
      </c>
      <c r="B185" s="266" t="s">
        <v>1570</v>
      </c>
      <c r="C185" s="266"/>
      <c r="D185" s="266" t="s">
        <v>1450</v>
      </c>
      <c r="E185" s="268"/>
      <c r="F185" s="291" t="s">
        <v>2241</v>
      </c>
      <c r="G185" s="268" t="s">
        <v>2155</v>
      </c>
      <c r="H185" s="270">
        <v>0.09313657407407407</v>
      </c>
      <c r="I185" s="271">
        <v>44146.57430555556</v>
      </c>
      <c r="J185" s="268"/>
      <c r="K185" s="271">
        <v>44147.37603009259</v>
      </c>
      <c r="L185" s="271" t="str">
        <f t="shared" ref="L185:L188" si="19">K185-I185</f>
        <v>12/30/99 19:14</v>
      </c>
      <c r="M185" s="307" t="s">
        <v>2242</v>
      </c>
      <c r="N185" s="273">
        <v>44147.569444444445</v>
      </c>
      <c r="O185" s="275" t="s">
        <v>2243</v>
      </c>
      <c r="P185" s="268" t="s">
        <v>1463</v>
      </c>
      <c r="Q185" s="268" t="s">
        <v>1819</v>
      </c>
      <c r="R185" s="271">
        <v>44148.461689814816</v>
      </c>
      <c r="S185" s="278"/>
      <c r="T185" s="278" t="s">
        <v>2244</v>
      </c>
      <c r="U185" s="279"/>
      <c r="V185" s="279" t="s">
        <v>1570</v>
      </c>
      <c r="W185" s="280">
        <v>44159.0</v>
      </c>
      <c r="X185" s="281">
        <v>0.2916666666666667</v>
      </c>
      <c r="Y185" s="279" t="s">
        <v>1693</v>
      </c>
      <c r="Z185" s="282" t="s">
        <v>1694</v>
      </c>
      <c r="AA185" s="282" t="s">
        <v>2245</v>
      </c>
      <c r="AB185" s="283">
        <v>44148.0</v>
      </c>
      <c r="AC185" s="284"/>
      <c r="AD185" s="284"/>
    </row>
    <row r="186" ht="14.25" customHeight="1">
      <c r="A186" s="265">
        <v>44146.0</v>
      </c>
      <c r="B186" s="266" t="s">
        <v>1783</v>
      </c>
      <c r="C186" s="266"/>
      <c r="D186" s="266" t="s">
        <v>1452</v>
      </c>
      <c r="E186" s="268"/>
      <c r="F186" s="291" t="s">
        <v>2246</v>
      </c>
      <c r="G186" s="268" t="s">
        <v>2155</v>
      </c>
      <c r="H186" s="270">
        <v>0.006597222222222222</v>
      </c>
      <c r="I186" s="271">
        <v>44146.57430555556</v>
      </c>
      <c r="J186" s="268"/>
      <c r="K186" s="271">
        <v>44146.616319444445</v>
      </c>
      <c r="L186" s="271" t="str">
        <f t="shared" si="19"/>
        <v>12/30/99 1:00</v>
      </c>
      <c r="M186" s="278" t="s">
        <v>2247</v>
      </c>
      <c r="N186" s="290"/>
      <c r="O186" s="276"/>
      <c r="P186" s="276"/>
      <c r="Q186" s="268"/>
      <c r="R186" s="278"/>
      <c r="S186" s="278"/>
      <c r="T186" s="278"/>
      <c r="U186" s="279"/>
      <c r="V186" s="279" t="s">
        <v>1783</v>
      </c>
      <c r="W186" s="280">
        <v>44147.0</v>
      </c>
      <c r="X186" s="281">
        <v>0.05555555555555555</v>
      </c>
      <c r="Y186" s="279" t="s">
        <v>1693</v>
      </c>
      <c r="Z186" s="282" t="s">
        <v>1694</v>
      </c>
      <c r="AA186" s="282" t="s">
        <v>2248</v>
      </c>
      <c r="AB186" s="283">
        <v>44148.0</v>
      </c>
      <c r="AC186" s="284"/>
      <c r="AD186" s="284"/>
    </row>
    <row r="187" ht="14.25" customHeight="1">
      <c r="A187" s="265">
        <v>44146.0</v>
      </c>
      <c r="B187" s="266" t="s">
        <v>2030</v>
      </c>
      <c r="C187" s="266"/>
      <c r="D187" s="266" t="s">
        <v>1689</v>
      </c>
      <c r="E187" s="268"/>
      <c r="F187" s="291" t="s">
        <v>2249</v>
      </c>
      <c r="G187" s="268" t="s">
        <v>2155</v>
      </c>
      <c r="H187" s="270">
        <v>0.029328703703703704</v>
      </c>
      <c r="I187" s="271">
        <v>44146.57430555556</v>
      </c>
      <c r="J187" s="268"/>
      <c r="K187" s="271">
        <v>44146.61646990741</v>
      </c>
      <c r="L187" s="271" t="str">
        <f t="shared" si="19"/>
        <v>12/30/99 1:00</v>
      </c>
      <c r="M187" s="278" t="s">
        <v>2250</v>
      </c>
      <c r="N187" s="290"/>
      <c r="O187" s="276"/>
      <c r="P187" s="276"/>
      <c r="Q187" s="268"/>
      <c r="R187" s="278"/>
      <c r="S187" s="278"/>
      <c r="T187" s="278"/>
      <c r="U187" s="279"/>
      <c r="V187" s="279" t="s">
        <v>1783</v>
      </c>
      <c r="W187" s="280">
        <v>44155.0</v>
      </c>
      <c r="X187" s="281">
        <v>0.16666666666666666</v>
      </c>
      <c r="Y187" s="279" t="s">
        <v>1693</v>
      </c>
      <c r="Z187" s="282" t="s">
        <v>1694</v>
      </c>
      <c r="AA187" s="282" t="s">
        <v>2251</v>
      </c>
      <c r="AB187" s="283">
        <v>44148.0</v>
      </c>
      <c r="AC187" s="284"/>
      <c r="AD187" s="284"/>
    </row>
    <row r="188" ht="14.25" customHeight="1">
      <c r="A188" s="265">
        <v>44146.0</v>
      </c>
      <c r="B188" s="266" t="s">
        <v>1746</v>
      </c>
      <c r="C188" s="266"/>
      <c r="D188" s="265" t="s">
        <v>1748</v>
      </c>
      <c r="E188" s="268"/>
      <c r="F188" s="291" t="s">
        <v>2252</v>
      </c>
      <c r="G188" s="268" t="s">
        <v>2155</v>
      </c>
      <c r="H188" s="270">
        <v>0.017881944444444443</v>
      </c>
      <c r="I188" s="271">
        <v>44147.56041666667</v>
      </c>
      <c r="J188" s="268"/>
      <c r="K188" s="271">
        <v>44147.602743055555</v>
      </c>
      <c r="L188" s="271" t="str">
        <f t="shared" si="19"/>
        <v>12/30/99 1:00</v>
      </c>
      <c r="M188" s="278" t="s">
        <v>2253</v>
      </c>
      <c r="N188" s="290"/>
      <c r="O188" s="276"/>
      <c r="P188" s="276"/>
      <c r="Q188" s="268"/>
      <c r="R188" s="278"/>
      <c r="S188" s="278"/>
      <c r="T188" s="278"/>
      <c r="U188" s="279"/>
      <c r="V188" s="279" t="s">
        <v>1746</v>
      </c>
      <c r="W188" s="280">
        <v>44153.0</v>
      </c>
      <c r="X188" s="281">
        <v>0.10416666666666667</v>
      </c>
      <c r="Y188" s="279" t="s">
        <v>1693</v>
      </c>
      <c r="Z188" s="282" t="s">
        <v>1694</v>
      </c>
      <c r="AA188" s="282" t="s">
        <v>2254</v>
      </c>
      <c r="AB188" s="283">
        <v>44148.0</v>
      </c>
      <c r="AC188" s="284"/>
      <c r="AD188" s="284"/>
    </row>
    <row r="189" ht="14.25" customHeight="1">
      <c r="A189" s="265">
        <v>44146.0</v>
      </c>
      <c r="B189" s="266" t="s">
        <v>1500</v>
      </c>
      <c r="C189" s="266" t="s">
        <v>1686</v>
      </c>
      <c r="D189" s="266" t="s">
        <v>1543</v>
      </c>
      <c r="E189" s="268"/>
      <c r="F189" s="291" t="s">
        <v>2255</v>
      </c>
      <c r="G189" s="268" t="s">
        <v>1463</v>
      </c>
      <c r="H189" s="270">
        <v>0.001574074074074074</v>
      </c>
      <c r="I189" s="271">
        <v>44162.62152777778</v>
      </c>
      <c r="J189" s="268"/>
      <c r="K189" s="271">
        <v>44162.663252314815</v>
      </c>
      <c r="L189" s="271"/>
      <c r="M189" s="278" t="s">
        <v>2256</v>
      </c>
      <c r="N189" s="290"/>
      <c r="O189" s="276"/>
      <c r="P189" s="276"/>
      <c r="Q189" s="268"/>
      <c r="R189" s="278"/>
      <c r="S189" s="278"/>
      <c r="T189" s="278"/>
      <c r="U189" s="279"/>
      <c r="V189" s="279" t="s">
        <v>1500</v>
      </c>
      <c r="W189" s="280">
        <v>44167.0</v>
      </c>
      <c r="X189" s="281">
        <v>0.027777777777777776</v>
      </c>
      <c r="Y189" s="279" t="s">
        <v>1693</v>
      </c>
      <c r="Z189" s="282" t="s">
        <v>1570</v>
      </c>
      <c r="AA189" s="282">
        <v>6301221.0</v>
      </c>
      <c r="AB189" s="283">
        <v>44169.0</v>
      </c>
      <c r="AC189" s="284"/>
      <c r="AD189" s="284"/>
    </row>
    <row r="190" ht="14.25" customHeight="1">
      <c r="A190" s="265">
        <v>44147.0</v>
      </c>
      <c r="B190" s="266" t="s">
        <v>1500</v>
      </c>
      <c r="C190" s="266"/>
      <c r="D190" s="266" t="s">
        <v>1450</v>
      </c>
      <c r="E190" s="268"/>
      <c r="F190" s="291" t="s">
        <v>2257</v>
      </c>
      <c r="G190" s="268" t="s">
        <v>2155</v>
      </c>
      <c r="H190" s="270">
        <v>0.09358796296296296</v>
      </c>
      <c r="I190" s="271">
        <v>44147.56041666667</v>
      </c>
      <c r="J190" s="268"/>
      <c r="K190" s="271">
        <v>44148.41265046296</v>
      </c>
      <c r="L190" s="271" t="str">
        <f>K190-I190</f>
        <v>12/30/99 20:27</v>
      </c>
      <c r="M190" s="278" t="s">
        <v>2258</v>
      </c>
      <c r="N190" s="290"/>
      <c r="O190" s="276"/>
      <c r="P190" s="276"/>
      <c r="Q190" s="268"/>
      <c r="R190" s="278"/>
      <c r="S190" s="278"/>
      <c r="T190" s="278"/>
      <c r="U190" s="279"/>
      <c r="V190" s="279" t="s">
        <v>1570</v>
      </c>
      <c r="W190" s="280">
        <v>44160.0</v>
      </c>
      <c r="X190" s="281">
        <v>0.2916666666666667</v>
      </c>
      <c r="Y190" s="279" t="s">
        <v>1693</v>
      </c>
      <c r="Z190" s="282" t="s">
        <v>1570</v>
      </c>
      <c r="AA190" s="282" t="s">
        <v>2259</v>
      </c>
      <c r="AB190" s="283">
        <v>44151.0</v>
      </c>
      <c r="AC190" s="284"/>
      <c r="AD190" s="284"/>
    </row>
    <row r="191" ht="14.25" customHeight="1">
      <c r="A191" s="265">
        <v>44147.0</v>
      </c>
      <c r="B191" s="266" t="s">
        <v>1500</v>
      </c>
      <c r="C191" s="266"/>
      <c r="D191" s="266" t="s">
        <v>2158</v>
      </c>
      <c r="E191" s="268"/>
      <c r="F191" s="291" t="s">
        <v>2260</v>
      </c>
      <c r="G191" s="268" t="s">
        <v>1463</v>
      </c>
      <c r="H191" s="270">
        <v>0.002939814814814815</v>
      </c>
      <c r="I191" s="271">
        <v>44155.38201388889</v>
      </c>
      <c r="J191" s="268"/>
      <c r="K191" s="271">
        <v>44155.423680555556</v>
      </c>
      <c r="L191" s="271"/>
      <c r="M191" s="278" t="s">
        <v>2261</v>
      </c>
      <c r="N191" s="290"/>
      <c r="O191" s="276"/>
      <c r="P191" s="276"/>
      <c r="Q191" s="268"/>
      <c r="R191" s="278"/>
      <c r="S191" s="278"/>
      <c r="T191" s="278"/>
      <c r="U191" s="279"/>
      <c r="V191" s="279" t="s">
        <v>1570</v>
      </c>
      <c r="W191" s="280">
        <v>44160.0</v>
      </c>
      <c r="X191" s="281">
        <v>0.006944444444444444</v>
      </c>
      <c r="Y191" s="279" t="s">
        <v>1693</v>
      </c>
      <c r="Z191" s="282" t="s">
        <v>1570</v>
      </c>
      <c r="AA191" s="282">
        <v>6294571.0</v>
      </c>
      <c r="AB191" s="283">
        <v>44158.0</v>
      </c>
      <c r="AC191" s="284"/>
      <c r="AD191" s="284"/>
    </row>
    <row r="192" ht="14.25" customHeight="1">
      <c r="A192" s="265">
        <v>44147.0</v>
      </c>
      <c r="B192" s="266" t="s">
        <v>1783</v>
      </c>
      <c r="C192" s="266"/>
      <c r="D192" s="266" t="s">
        <v>1452</v>
      </c>
      <c r="E192" s="268"/>
      <c r="F192" s="291" t="s">
        <v>2262</v>
      </c>
      <c r="G192" s="268" t="s">
        <v>2155</v>
      </c>
      <c r="H192" s="270">
        <v>0.009305555555555555</v>
      </c>
      <c r="I192" s="271">
        <v>44147.56041666667</v>
      </c>
      <c r="J192" s="268"/>
      <c r="K192" s="271">
        <v>44147.56340277778</v>
      </c>
      <c r="L192" s="271" t="str">
        <f t="shared" ref="L192:L201" si="20">K192-I192</f>
        <v>12/30/99 0:04</v>
      </c>
      <c r="M192" s="278" t="s">
        <v>2263</v>
      </c>
      <c r="N192" s="290"/>
      <c r="O192" s="276"/>
      <c r="P192" s="276"/>
      <c r="Q192" s="278"/>
      <c r="R192" s="278"/>
      <c r="S192" s="278"/>
      <c r="T192" s="278"/>
      <c r="U192" s="279"/>
      <c r="V192" s="279" t="s">
        <v>1783</v>
      </c>
      <c r="W192" s="280">
        <v>44147.0</v>
      </c>
      <c r="X192" s="281">
        <v>0.041666666666666664</v>
      </c>
      <c r="Y192" s="279" t="s">
        <v>1693</v>
      </c>
      <c r="Z192" s="282" t="s">
        <v>1694</v>
      </c>
      <c r="AA192" s="282" t="s">
        <v>2264</v>
      </c>
      <c r="AB192" s="283">
        <v>44148.0</v>
      </c>
      <c r="AC192" s="284"/>
      <c r="AD192" s="284"/>
    </row>
    <row r="193" ht="14.25" customHeight="1">
      <c r="A193" s="265">
        <v>44147.0</v>
      </c>
      <c r="B193" s="266" t="s">
        <v>2030</v>
      </c>
      <c r="C193" s="266"/>
      <c r="D193" s="266" t="s">
        <v>1689</v>
      </c>
      <c r="E193" s="268"/>
      <c r="F193" s="291" t="s">
        <v>2265</v>
      </c>
      <c r="G193" s="268" t="s">
        <v>2155</v>
      </c>
      <c r="H193" s="270">
        <v>0.028425925925925924</v>
      </c>
      <c r="I193" s="271">
        <v>44147.624236111114</v>
      </c>
      <c r="J193" s="268"/>
      <c r="K193" s="271">
        <v>44148.41590277778</v>
      </c>
      <c r="L193" s="271" t="str">
        <f t="shared" si="20"/>
        <v>12/30/99 19:00</v>
      </c>
      <c r="M193" s="278" t="s">
        <v>2266</v>
      </c>
      <c r="N193" s="290"/>
      <c r="O193" s="276"/>
      <c r="P193" s="276"/>
      <c r="Q193" s="278"/>
      <c r="R193" s="278"/>
      <c r="S193" s="278"/>
      <c r="T193" s="278"/>
      <c r="U193" s="279"/>
      <c r="V193" s="279" t="s">
        <v>2030</v>
      </c>
      <c r="W193" s="280">
        <v>44158.0</v>
      </c>
      <c r="X193" s="281">
        <v>0.002777777777777778</v>
      </c>
      <c r="Y193" s="279" t="s">
        <v>1693</v>
      </c>
      <c r="Z193" s="282" t="s">
        <v>1570</v>
      </c>
      <c r="AA193" s="282" t="s">
        <v>2267</v>
      </c>
      <c r="AB193" s="283">
        <v>44151.0</v>
      </c>
      <c r="AC193" s="284"/>
      <c r="AD193" s="284"/>
    </row>
    <row r="194" ht="14.25" customHeight="1">
      <c r="A194" s="265">
        <v>44147.0</v>
      </c>
      <c r="B194" s="266" t="s">
        <v>1746</v>
      </c>
      <c r="C194" s="266"/>
      <c r="D194" s="265" t="s">
        <v>1748</v>
      </c>
      <c r="E194" s="268"/>
      <c r="F194" s="291" t="s">
        <v>2268</v>
      </c>
      <c r="G194" s="268" t="s">
        <v>2155</v>
      </c>
      <c r="H194" s="270">
        <v>0.015000000000000001</v>
      </c>
      <c r="I194" s="271">
        <v>44148.35015046296</v>
      </c>
      <c r="J194" s="268"/>
      <c r="K194" s="271">
        <v>44148.36403935185</v>
      </c>
      <c r="L194" s="271" t="str">
        <f t="shared" si="20"/>
        <v>12/30/99 0:20</v>
      </c>
      <c r="M194" s="315" t="s">
        <v>2258</v>
      </c>
      <c r="N194" s="290"/>
      <c r="O194" s="276"/>
      <c r="P194" s="276"/>
      <c r="Q194" s="278"/>
      <c r="R194" s="278"/>
      <c r="S194" s="278"/>
      <c r="T194" s="278"/>
      <c r="U194" s="279"/>
      <c r="V194" s="279" t="s">
        <v>1746</v>
      </c>
      <c r="W194" s="280">
        <v>44153.0</v>
      </c>
      <c r="X194" s="281">
        <v>0.10416666666666667</v>
      </c>
      <c r="Y194" s="279" t="s">
        <v>1693</v>
      </c>
      <c r="Z194" s="282" t="s">
        <v>1570</v>
      </c>
      <c r="AA194" s="282" t="s">
        <v>2269</v>
      </c>
      <c r="AB194" s="283">
        <v>44151.0</v>
      </c>
      <c r="AC194" s="284"/>
      <c r="AD194" s="284"/>
    </row>
    <row r="195" ht="14.25" customHeight="1">
      <c r="A195" s="265">
        <v>44148.0</v>
      </c>
      <c r="B195" s="266" t="s">
        <v>1570</v>
      </c>
      <c r="C195" s="266"/>
      <c r="D195" s="266" t="s">
        <v>1450</v>
      </c>
      <c r="E195" s="268"/>
      <c r="F195" s="291" t="s">
        <v>2270</v>
      </c>
      <c r="G195" s="268" t="s">
        <v>2155</v>
      </c>
      <c r="H195" s="270">
        <v>0.09760416666666667</v>
      </c>
      <c r="I195" s="271">
        <v>44148.637650462966</v>
      </c>
      <c r="J195" s="268"/>
      <c r="K195" s="271">
        <v>44148.63744212963</v>
      </c>
      <c r="L195" s="271" t="str">
        <f t="shared" si="20"/>
        <v>12/29/99 23:59</v>
      </c>
      <c r="M195" s="278" t="s">
        <v>2271</v>
      </c>
      <c r="N195" s="290"/>
      <c r="O195" s="276"/>
      <c r="P195" s="276"/>
      <c r="Q195" s="278"/>
      <c r="R195" s="271"/>
      <c r="S195" s="278"/>
      <c r="T195" s="278"/>
      <c r="U195" s="279"/>
      <c r="V195" s="279" t="s">
        <v>1570</v>
      </c>
      <c r="W195" s="280">
        <v>44161.0</v>
      </c>
      <c r="X195" s="281">
        <v>0.2916666666666667</v>
      </c>
      <c r="Y195" s="279" t="s">
        <v>1693</v>
      </c>
      <c r="Z195" s="282" t="s">
        <v>1570</v>
      </c>
      <c r="AA195" s="282" t="s">
        <v>2272</v>
      </c>
      <c r="AB195" s="283">
        <v>44151.0</v>
      </c>
      <c r="AC195" s="284"/>
      <c r="AD195" s="284"/>
    </row>
    <row r="196" ht="14.25" customHeight="1">
      <c r="A196" s="265">
        <v>44148.0</v>
      </c>
      <c r="B196" s="266" t="s">
        <v>1783</v>
      </c>
      <c r="C196" s="266"/>
      <c r="D196" s="266" t="s">
        <v>1452</v>
      </c>
      <c r="E196" s="268"/>
      <c r="F196" s="291" t="s">
        <v>2273</v>
      </c>
      <c r="G196" s="268" t="s">
        <v>2155</v>
      </c>
      <c r="H196" s="270">
        <v>0.007650462962962963</v>
      </c>
      <c r="I196" s="271">
        <v>44148.637650462966</v>
      </c>
      <c r="J196" s="268"/>
      <c r="K196" s="271">
        <v>44148.44443287037</v>
      </c>
      <c r="L196" s="271" t="str">
        <f t="shared" si="20"/>
        <v>12/29/99 19:21</v>
      </c>
      <c r="M196" s="277" t="s">
        <v>2274</v>
      </c>
      <c r="N196" s="351"/>
      <c r="O196" s="276"/>
      <c r="P196" s="276"/>
      <c r="Q196" s="278"/>
      <c r="R196" s="271">
        <v>44148.44443287037</v>
      </c>
      <c r="S196" s="278"/>
      <c r="T196" s="278"/>
      <c r="U196" s="279"/>
      <c r="V196" s="279" t="s">
        <v>1783</v>
      </c>
      <c r="W196" s="280">
        <v>44151.0</v>
      </c>
      <c r="X196" s="281">
        <v>0.034722222222222224</v>
      </c>
      <c r="Y196" s="279" t="s">
        <v>1693</v>
      </c>
      <c r="Z196" s="282" t="s">
        <v>1570</v>
      </c>
      <c r="AA196" s="282" t="s">
        <v>2275</v>
      </c>
      <c r="AB196" s="283">
        <v>44151.0</v>
      </c>
      <c r="AC196" s="284"/>
      <c r="AD196" s="284"/>
    </row>
    <row r="197" ht="14.25" customHeight="1">
      <c r="A197" s="265">
        <v>44148.0</v>
      </c>
      <c r="B197" s="266" t="s">
        <v>2030</v>
      </c>
      <c r="C197" s="266"/>
      <c r="D197" s="266" t="s">
        <v>1689</v>
      </c>
      <c r="E197" s="268"/>
      <c r="F197" s="291" t="s">
        <v>2276</v>
      </c>
      <c r="G197" s="268" t="s">
        <v>2155</v>
      </c>
      <c r="H197" s="270">
        <v>0.036412037037037034</v>
      </c>
      <c r="I197" s="271">
        <v>44148.637650462966</v>
      </c>
      <c r="J197" s="268"/>
      <c r="K197" s="271">
        <v>44149.02842592593</v>
      </c>
      <c r="L197" s="271" t="str">
        <f t="shared" si="20"/>
        <v>12/30/99 9:22</v>
      </c>
      <c r="M197" s="278" t="s">
        <v>2277</v>
      </c>
      <c r="N197" s="352"/>
      <c r="O197" s="276"/>
      <c r="P197" s="276"/>
      <c r="Q197" s="278"/>
      <c r="R197" s="278"/>
      <c r="S197" s="278"/>
      <c r="T197" s="278"/>
      <c r="U197" s="279"/>
      <c r="V197" s="279" t="s">
        <v>2030</v>
      </c>
      <c r="W197" s="280">
        <v>44159.0</v>
      </c>
      <c r="X197" s="281">
        <v>0.002546296296296296</v>
      </c>
      <c r="Y197" s="279" t="s">
        <v>1693</v>
      </c>
      <c r="Z197" s="282" t="s">
        <v>1570</v>
      </c>
      <c r="AA197" s="282" t="s">
        <v>2278</v>
      </c>
      <c r="AB197" s="283">
        <v>44151.0</v>
      </c>
      <c r="AC197" s="284"/>
      <c r="AD197" s="284"/>
    </row>
    <row r="198" ht="14.25" customHeight="1">
      <c r="A198" s="265">
        <v>44148.0</v>
      </c>
      <c r="B198" s="266" t="s">
        <v>1746</v>
      </c>
      <c r="C198" s="266"/>
      <c r="D198" s="265" t="s">
        <v>1748</v>
      </c>
      <c r="E198" s="268"/>
      <c r="F198" s="291" t="s">
        <v>2279</v>
      </c>
      <c r="G198" s="268" t="s">
        <v>2155</v>
      </c>
      <c r="H198" s="270">
        <v>0.0146875</v>
      </c>
      <c r="I198" s="271">
        <v>44151.7625</v>
      </c>
      <c r="J198" s="268"/>
      <c r="K198" s="271">
        <v>44151.80434027778</v>
      </c>
      <c r="L198" s="271" t="str">
        <f t="shared" si="20"/>
        <v>12/30/99 1:00</v>
      </c>
      <c r="M198" s="278" t="s">
        <v>2280</v>
      </c>
      <c r="N198" s="352"/>
      <c r="O198" s="276"/>
      <c r="P198" s="275"/>
      <c r="Q198" s="278"/>
      <c r="R198" s="278"/>
      <c r="S198" s="278"/>
      <c r="T198" s="278"/>
      <c r="U198" s="279"/>
      <c r="V198" s="279" t="s">
        <v>1746</v>
      </c>
      <c r="W198" s="280">
        <v>44154.0</v>
      </c>
      <c r="X198" s="281">
        <v>0.09375</v>
      </c>
      <c r="Y198" s="279" t="s">
        <v>1693</v>
      </c>
      <c r="Z198" s="282" t="s">
        <v>1570</v>
      </c>
      <c r="AA198" s="282" t="s">
        <v>2281</v>
      </c>
      <c r="AB198" s="283">
        <v>44157.0</v>
      </c>
      <c r="AC198" s="284"/>
      <c r="AD198" s="284"/>
    </row>
    <row r="199" ht="14.25" customHeight="1">
      <c r="A199" s="265">
        <v>44149.0</v>
      </c>
      <c r="B199" s="266" t="s">
        <v>2030</v>
      </c>
      <c r="C199" s="266"/>
      <c r="D199" s="266" t="s">
        <v>1689</v>
      </c>
      <c r="E199" s="268"/>
      <c r="F199" s="291" t="s">
        <v>2282</v>
      </c>
      <c r="G199" s="268" t="s">
        <v>2155</v>
      </c>
      <c r="H199" s="270">
        <v>0.03746527777777778</v>
      </c>
      <c r="I199" s="271">
        <v>44151.45214120371</v>
      </c>
      <c r="J199" s="268"/>
      <c r="K199" s="271">
        <v>44151.48832175926</v>
      </c>
      <c r="L199" s="271" t="str">
        <f t="shared" si="20"/>
        <v>12/30/99 0:52</v>
      </c>
      <c r="M199" s="278" t="s">
        <v>2283</v>
      </c>
      <c r="N199" s="351"/>
      <c r="O199" s="276"/>
      <c r="P199" s="275"/>
      <c r="Q199" s="278"/>
      <c r="R199" s="278"/>
      <c r="S199" s="278"/>
      <c r="T199" s="278"/>
      <c r="U199" s="279"/>
      <c r="V199" s="279" t="s">
        <v>2030</v>
      </c>
      <c r="W199" s="280">
        <v>44159.0</v>
      </c>
      <c r="X199" s="281">
        <v>0.0024305555555555556</v>
      </c>
      <c r="Y199" s="279" t="s">
        <v>1693</v>
      </c>
      <c r="Z199" s="282" t="s">
        <v>1570</v>
      </c>
      <c r="AA199" s="282" t="s">
        <v>2284</v>
      </c>
      <c r="AB199" s="283">
        <v>44153.0</v>
      </c>
      <c r="AC199" s="284"/>
      <c r="AD199" s="284"/>
    </row>
    <row r="200" ht="14.25" customHeight="1">
      <c r="A200" s="265">
        <v>44149.0</v>
      </c>
      <c r="B200" s="266" t="s">
        <v>1772</v>
      </c>
      <c r="C200" s="266"/>
      <c r="D200" s="265" t="s">
        <v>1748</v>
      </c>
      <c r="E200" s="268"/>
      <c r="F200" s="291" t="s">
        <v>2285</v>
      </c>
      <c r="G200" s="268" t="s">
        <v>2155</v>
      </c>
      <c r="H200" s="270">
        <v>0.01761574074074074</v>
      </c>
      <c r="I200" s="271">
        <v>44151.45214120371</v>
      </c>
      <c r="J200" s="268"/>
      <c r="K200" s="271">
        <v>44151.49380787037</v>
      </c>
      <c r="L200" s="271" t="str">
        <f t="shared" si="20"/>
        <v>12/30/99 1:00</v>
      </c>
      <c r="M200" s="307" t="s">
        <v>2286</v>
      </c>
      <c r="N200" s="351">
        <v>44153.460625</v>
      </c>
      <c r="O200" s="276" t="s">
        <v>2287</v>
      </c>
      <c r="P200" s="275" t="s">
        <v>1463</v>
      </c>
      <c r="Q200" s="278" t="s">
        <v>1819</v>
      </c>
      <c r="R200" s="278"/>
      <c r="S200" s="278"/>
      <c r="T200" s="278" t="s">
        <v>2288</v>
      </c>
      <c r="U200" s="279"/>
      <c r="V200" s="279" t="s">
        <v>1824</v>
      </c>
      <c r="W200" s="280">
        <v>44154.0</v>
      </c>
      <c r="X200" s="281">
        <v>0.12412037037037038</v>
      </c>
      <c r="Y200" s="279" t="s">
        <v>1693</v>
      </c>
      <c r="Z200" s="282" t="s">
        <v>1570</v>
      </c>
      <c r="AA200" s="282" t="s">
        <v>2289</v>
      </c>
      <c r="AB200" s="283">
        <v>44157.0</v>
      </c>
      <c r="AC200" s="284"/>
      <c r="AD200" s="284"/>
    </row>
    <row r="201" ht="14.25" customHeight="1">
      <c r="A201" s="265">
        <v>44150.0</v>
      </c>
      <c r="B201" s="266" t="s">
        <v>1500</v>
      </c>
      <c r="C201" s="266"/>
      <c r="D201" s="266" t="s">
        <v>2290</v>
      </c>
      <c r="E201" s="268"/>
      <c r="F201" s="291" t="s">
        <v>2291</v>
      </c>
      <c r="G201" s="268" t="s">
        <v>2292</v>
      </c>
      <c r="H201" s="270">
        <v>0.0483912037037037</v>
      </c>
      <c r="I201" s="271">
        <v>44152.44583333333</v>
      </c>
      <c r="J201" s="268"/>
      <c r="K201" s="271">
        <v>44152.486759259256</v>
      </c>
      <c r="L201" s="271" t="str">
        <f t="shared" si="20"/>
        <v>12/30/99 0:58</v>
      </c>
      <c r="M201" s="278" t="s">
        <v>2293</v>
      </c>
      <c r="N201" s="352"/>
      <c r="O201" s="276"/>
      <c r="P201" s="275"/>
      <c r="Q201" s="278"/>
      <c r="R201" s="278"/>
      <c r="S201" s="278"/>
      <c r="T201" s="278"/>
      <c r="U201" s="279"/>
      <c r="V201" s="279" t="s">
        <v>1500</v>
      </c>
      <c r="W201" s="280">
        <v>44152.0</v>
      </c>
      <c r="X201" s="281">
        <v>0.25</v>
      </c>
      <c r="Y201" s="279" t="s">
        <v>1693</v>
      </c>
      <c r="Z201" s="282" t="s">
        <v>1570</v>
      </c>
      <c r="AA201" s="282">
        <v>6291509.0</v>
      </c>
      <c r="AB201" s="283">
        <v>44157.0</v>
      </c>
      <c r="AC201" s="284"/>
      <c r="AD201" s="284"/>
    </row>
    <row r="202" ht="14.25" customHeight="1">
      <c r="A202" s="265">
        <v>44150.0</v>
      </c>
      <c r="B202" s="266" t="s">
        <v>1500</v>
      </c>
      <c r="C202" s="266"/>
      <c r="D202" s="266" t="s">
        <v>1796</v>
      </c>
      <c r="E202" s="268"/>
      <c r="F202" s="291" t="s">
        <v>2294</v>
      </c>
      <c r="G202" s="268" t="s">
        <v>2155</v>
      </c>
      <c r="H202" s="270"/>
      <c r="I202" s="271">
        <v>44152.44583333333</v>
      </c>
      <c r="J202" s="268"/>
      <c r="K202" s="271">
        <v>44152.49762731481</v>
      </c>
      <c r="L202" s="271"/>
      <c r="M202" s="307" t="s">
        <v>2295</v>
      </c>
      <c r="N202" s="351">
        <v>44153.41388888889</v>
      </c>
      <c r="O202" s="276" t="s">
        <v>2296</v>
      </c>
      <c r="P202" s="275" t="s">
        <v>1463</v>
      </c>
      <c r="Q202" s="278" t="s">
        <v>1819</v>
      </c>
      <c r="R202" s="271">
        <v>44153.430763888886</v>
      </c>
      <c r="S202" s="278"/>
      <c r="T202" s="278" t="s">
        <v>2297</v>
      </c>
      <c r="U202" s="279"/>
      <c r="V202" s="279" t="s">
        <v>1500</v>
      </c>
      <c r="W202" s="280">
        <v>44153.0</v>
      </c>
      <c r="X202" s="281">
        <v>0.125</v>
      </c>
      <c r="Y202" s="279" t="s">
        <v>1693</v>
      </c>
      <c r="Z202" s="282" t="s">
        <v>1570</v>
      </c>
      <c r="AA202" s="282" t="s">
        <v>2298</v>
      </c>
      <c r="AB202" s="283">
        <v>44157.0</v>
      </c>
      <c r="AC202" s="284"/>
      <c r="AD202" s="284"/>
    </row>
    <row r="203" ht="14.25" customHeight="1">
      <c r="A203" s="265">
        <v>44150.0</v>
      </c>
      <c r="B203" s="266" t="s">
        <v>1722</v>
      </c>
      <c r="C203" s="266" t="s">
        <v>1450</v>
      </c>
      <c r="D203" s="266" t="s">
        <v>1543</v>
      </c>
      <c r="E203" s="268"/>
      <c r="F203" s="291" t="s">
        <v>2299</v>
      </c>
      <c r="G203" s="268" t="s">
        <v>1463</v>
      </c>
      <c r="H203" s="270">
        <v>0.00587962962962963</v>
      </c>
      <c r="I203" s="271">
        <v>44152.44097222222</v>
      </c>
      <c r="J203" s="268"/>
      <c r="K203" s="271">
        <v>44152.445543981485</v>
      </c>
      <c r="L203" s="271"/>
      <c r="M203" s="278" t="s">
        <v>2300</v>
      </c>
      <c r="N203" s="352"/>
      <c r="O203" s="276"/>
      <c r="P203" s="275"/>
      <c r="Q203" s="278"/>
      <c r="R203" s="278"/>
      <c r="S203" s="278"/>
      <c r="T203" s="278"/>
      <c r="U203" s="279"/>
      <c r="V203" s="279" t="s">
        <v>1722</v>
      </c>
      <c r="W203" s="280">
        <v>44152.0</v>
      </c>
      <c r="X203" s="281">
        <v>0.010416666666666666</v>
      </c>
      <c r="Y203" s="279" t="s">
        <v>1693</v>
      </c>
      <c r="Z203" s="282" t="s">
        <v>1570</v>
      </c>
      <c r="AA203" s="282">
        <v>6291510.0</v>
      </c>
      <c r="AB203" s="283">
        <v>44157.0</v>
      </c>
      <c r="AC203" s="284"/>
      <c r="AD203" s="284"/>
    </row>
    <row r="204" ht="14.25" customHeight="1">
      <c r="A204" s="265">
        <v>44150.0</v>
      </c>
      <c r="B204" s="266" t="s">
        <v>1722</v>
      </c>
      <c r="C204" s="266" t="s">
        <v>1450</v>
      </c>
      <c r="D204" s="266" t="s">
        <v>1543</v>
      </c>
      <c r="E204" s="268"/>
      <c r="F204" s="291" t="s">
        <v>2301</v>
      </c>
      <c r="G204" s="268" t="s">
        <v>1463</v>
      </c>
      <c r="H204" s="270">
        <v>0.005138888888888889</v>
      </c>
      <c r="I204" s="271">
        <v>44152.44236111111</v>
      </c>
      <c r="J204" s="268"/>
      <c r="K204" s="271">
        <v>44152.44721064815</v>
      </c>
      <c r="L204" s="271"/>
      <c r="M204" s="278" t="s">
        <v>2302</v>
      </c>
      <c r="N204" s="352"/>
      <c r="O204" s="276"/>
      <c r="P204" s="276"/>
      <c r="Q204" s="278"/>
      <c r="R204" s="278"/>
      <c r="S204" s="278"/>
      <c r="T204" s="278"/>
      <c r="U204" s="279"/>
      <c r="V204" s="279" t="s">
        <v>1722</v>
      </c>
      <c r="W204" s="280">
        <v>44153.0</v>
      </c>
      <c r="X204" s="281">
        <v>0.006944444444444444</v>
      </c>
      <c r="Y204" s="279" t="s">
        <v>1693</v>
      </c>
      <c r="Z204" s="282" t="s">
        <v>1570</v>
      </c>
      <c r="AA204" s="282">
        <v>6291511.0</v>
      </c>
      <c r="AB204" s="283">
        <v>44157.0</v>
      </c>
      <c r="AC204" s="284"/>
      <c r="AD204" s="284"/>
    </row>
    <row r="205" ht="14.25" customHeight="1">
      <c r="A205" s="265">
        <v>44150.0</v>
      </c>
      <c r="B205" s="266" t="s">
        <v>1722</v>
      </c>
      <c r="C205" s="266" t="s">
        <v>1450</v>
      </c>
      <c r="D205" s="266" t="s">
        <v>1543</v>
      </c>
      <c r="E205" s="268"/>
      <c r="F205" s="291" t="s">
        <v>2303</v>
      </c>
      <c r="G205" s="268" t="s">
        <v>1463</v>
      </c>
      <c r="H205" s="270">
        <v>0.002314814814814815</v>
      </c>
      <c r="I205" s="271">
        <v>44152.44305555556</v>
      </c>
      <c r="J205" s="268"/>
      <c r="K205" s="271">
        <v>44152.44689814815</v>
      </c>
      <c r="L205" s="271"/>
      <c r="M205" s="278" t="s">
        <v>2304</v>
      </c>
      <c r="N205" s="352"/>
      <c r="O205" s="276"/>
      <c r="P205" s="276"/>
      <c r="Q205" s="278"/>
      <c r="R205" s="278"/>
      <c r="S205" s="278"/>
      <c r="T205" s="278"/>
      <c r="U205" s="279"/>
      <c r="V205" s="279" t="s">
        <v>1722</v>
      </c>
      <c r="W205" s="280">
        <v>44153.0</v>
      </c>
      <c r="X205" s="281">
        <v>0.006944444444444444</v>
      </c>
      <c r="Y205" s="279" t="s">
        <v>1693</v>
      </c>
      <c r="Z205" s="282" t="s">
        <v>1570</v>
      </c>
      <c r="AA205" s="282">
        <v>6291512.0</v>
      </c>
      <c r="AB205" s="283">
        <v>44157.0</v>
      </c>
      <c r="AC205" s="284"/>
      <c r="AD205" s="284"/>
    </row>
    <row r="206" ht="14.25" customHeight="1">
      <c r="A206" s="265">
        <v>44150.0</v>
      </c>
      <c r="B206" s="266" t="s">
        <v>1722</v>
      </c>
      <c r="C206" s="266" t="s">
        <v>1450</v>
      </c>
      <c r="D206" s="266" t="s">
        <v>1543</v>
      </c>
      <c r="E206" s="268"/>
      <c r="F206" s="291" t="s">
        <v>2305</v>
      </c>
      <c r="G206" s="268" t="s">
        <v>1463</v>
      </c>
      <c r="H206" s="270">
        <v>0.003993055555555556</v>
      </c>
      <c r="I206" s="271">
        <v>44152.45416666667</v>
      </c>
      <c r="J206" s="268"/>
      <c r="K206" s="271">
        <v>44152.460856481484</v>
      </c>
      <c r="L206" s="271"/>
      <c r="M206" s="278" t="s">
        <v>2306</v>
      </c>
      <c r="N206" s="352"/>
      <c r="O206" s="276"/>
      <c r="P206" s="276"/>
      <c r="Q206" s="278"/>
      <c r="R206" s="278"/>
      <c r="S206" s="278"/>
      <c r="T206" s="278"/>
      <c r="U206" s="279"/>
      <c r="V206" s="279" t="s">
        <v>1722</v>
      </c>
      <c r="W206" s="280">
        <v>44153.0</v>
      </c>
      <c r="X206" s="281">
        <v>0.006944444444444444</v>
      </c>
      <c r="Y206" s="279" t="s">
        <v>1693</v>
      </c>
      <c r="Z206" s="282" t="s">
        <v>1570</v>
      </c>
      <c r="AA206" s="282">
        <v>6291513.0</v>
      </c>
      <c r="AB206" s="283">
        <v>44157.0</v>
      </c>
      <c r="AC206" s="284"/>
      <c r="AD206" s="284"/>
    </row>
    <row r="207" ht="14.25" customHeight="1">
      <c r="A207" s="265">
        <v>44150.0</v>
      </c>
      <c r="B207" s="266" t="s">
        <v>1722</v>
      </c>
      <c r="C207" s="266" t="s">
        <v>1450</v>
      </c>
      <c r="D207" s="266" t="s">
        <v>1543</v>
      </c>
      <c r="E207" s="268"/>
      <c r="F207" s="291" t="s">
        <v>2307</v>
      </c>
      <c r="G207" s="268" t="s">
        <v>1463</v>
      </c>
      <c r="H207" s="270">
        <v>0.003472222222222222</v>
      </c>
      <c r="I207" s="271">
        <v>44152.46319444444</v>
      </c>
      <c r="J207" s="268"/>
      <c r="K207" s="271">
        <v>44152.466412037036</v>
      </c>
      <c r="L207" s="271"/>
      <c r="M207" s="278" t="s">
        <v>2308</v>
      </c>
      <c r="N207" s="352"/>
      <c r="O207" s="276"/>
      <c r="P207" s="276"/>
      <c r="Q207" s="278"/>
      <c r="R207" s="278"/>
      <c r="S207" s="278"/>
      <c r="T207" s="278"/>
      <c r="U207" s="279"/>
      <c r="V207" s="279" t="s">
        <v>1722</v>
      </c>
      <c r="W207" s="280">
        <v>44153.0</v>
      </c>
      <c r="X207" s="281">
        <v>0.006944444444444444</v>
      </c>
      <c r="Y207" s="279" t="s">
        <v>1693</v>
      </c>
      <c r="Z207" s="282" t="s">
        <v>1570</v>
      </c>
      <c r="AA207" s="282">
        <v>6291514.0</v>
      </c>
      <c r="AB207" s="283">
        <v>44157.0</v>
      </c>
      <c r="AC207" s="284"/>
      <c r="AD207" s="284"/>
    </row>
    <row r="208" ht="14.25" customHeight="1">
      <c r="A208" s="265">
        <v>44151.0</v>
      </c>
      <c r="B208" s="266" t="s">
        <v>1772</v>
      </c>
      <c r="C208" s="266"/>
      <c r="D208" s="266" t="s">
        <v>1450</v>
      </c>
      <c r="E208" s="268"/>
      <c r="F208" s="291" t="s">
        <v>2309</v>
      </c>
      <c r="G208" s="268" t="s">
        <v>2155</v>
      </c>
      <c r="H208" s="270">
        <v>0.09807870370370371</v>
      </c>
      <c r="I208" s="271">
        <v>44151.433541666665</v>
      </c>
      <c r="J208" s="268"/>
      <c r="K208" s="271">
        <v>44151.641875</v>
      </c>
      <c r="L208" s="271" t="str">
        <f t="shared" ref="L208:L214" si="21">K208-I208</f>
        <v>12/30/99 5:00</v>
      </c>
      <c r="M208" s="278" t="s">
        <v>2310</v>
      </c>
      <c r="N208" s="352"/>
      <c r="O208" s="276"/>
      <c r="P208" s="276"/>
      <c r="Q208" s="278"/>
      <c r="R208" s="278"/>
      <c r="S208" s="278"/>
      <c r="T208" s="278"/>
      <c r="U208" s="279"/>
      <c r="V208" s="279" t="s">
        <v>1570</v>
      </c>
      <c r="W208" s="280">
        <v>44162.0</v>
      </c>
      <c r="X208" s="281">
        <v>0.2916666666666667</v>
      </c>
      <c r="Y208" s="279" t="s">
        <v>1693</v>
      </c>
      <c r="Z208" s="282" t="s">
        <v>1570</v>
      </c>
      <c r="AA208" s="282" t="s">
        <v>2311</v>
      </c>
      <c r="AB208" s="283">
        <v>44157.0</v>
      </c>
      <c r="AC208" s="284"/>
      <c r="AD208" s="284"/>
    </row>
    <row r="209" ht="14.25" customHeight="1">
      <c r="A209" s="265">
        <v>44151.0</v>
      </c>
      <c r="B209" s="266" t="s">
        <v>1783</v>
      </c>
      <c r="C209" s="266"/>
      <c r="D209" s="266" t="s">
        <v>1452</v>
      </c>
      <c r="E209" s="268"/>
      <c r="F209" s="269" t="s">
        <v>2312</v>
      </c>
      <c r="G209" s="268" t="s">
        <v>2155</v>
      </c>
      <c r="H209" s="270">
        <v>0.005416666666666667</v>
      </c>
      <c r="I209" s="271">
        <v>44152.44930555556</v>
      </c>
      <c r="J209" s="268"/>
      <c r="K209" s="271">
        <v>44152.452048611114</v>
      </c>
      <c r="L209" s="271" t="str">
        <f t="shared" si="21"/>
        <v>12/30/99 0:03</v>
      </c>
      <c r="M209" s="307" t="s">
        <v>2313</v>
      </c>
      <c r="N209" s="351">
        <v>44152.49217592592</v>
      </c>
      <c r="O209" s="269" t="s">
        <v>2312</v>
      </c>
      <c r="P209" s="268" t="s">
        <v>1463</v>
      </c>
      <c r="Q209" s="278" t="s">
        <v>1819</v>
      </c>
      <c r="R209" s="271">
        <v>44152.497037037036</v>
      </c>
      <c r="S209" s="278"/>
      <c r="T209" s="278" t="s">
        <v>2314</v>
      </c>
      <c r="U209" s="279"/>
      <c r="V209" s="279" t="s">
        <v>1783</v>
      </c>
      <c r="W209" s="280">
        <v>44152.0</v>
      </c>
      <c r="X209" s="281">
        <v>0.017361111111111112</v>
      </c>
      <c r="Y209" s="279" t="s">
        <v>1693</v>
      </c>
      <c r="Z209" s="282" t="s">
        <v>1570</v>
      </c>
      <c r="AA209" s="282" t="s">
        <v>2315</v>
      </c>
      <c r="AB209" s="283">
        <v>44157.0</v>
      </c>
      <c r="AC209" s="284"/>
      <c r="AD209" s="284"/>
    </row>
    <row r="210" ht="14.25" customHeight="1">
      <c r="A210" s="265">
        <v>44151.0</v>
      </c>
      <c r="B210" s="266" t="s">
        <v>1685</v>
      </c>
      <c r="C210" s="266"/>
      <c r="D210" s="266" t="s">
        <v>1689</v>
      </c>
      <c r="E210" s="268"/>
      <c r="F210" s="291" t="s">
        <v>2316</v>
      </c>
      <c r="G210" s="268" t="s">
        <v>2155</v>
      </c>
      <c r="H210" s="270">
        <v>0.03804398148148148</v>
      </c>
      <c r="I210" s="271">
        <v>44151.78076388889</v>
      </c>
      <c r="J210" s="268"/>
      <c r="K210" s="271">
        <v>44152.49743055556</v>
      </c>
      <c r="L210" s="271" t="str">
        <f t="shared" si="21"/>
        <v>12/30/99 17:12</v>
      </c>
      <c r="M210" s="307" t="s">
        <v>2317</v>
      </c>
      <c r="N210" s="351">
        <v>44153.460625</v>
      </c>
      <c r="O210" s="276" t="s">
        <v>2318</v>
      </c>
      <c r="P210" s="275" t="s">
        <v>1463</v>
      </c>
      <c r="Q210" s="278" t="s">
        <v>1819</v>
      </c>
      <c r="R210" s="278"/>
      <c r="S210" s="278"/>
      <c r="T210" s="277" t="s">
        <v>2319</v>
      </c>
      <c r="U210" s="279"/>
      <c r="V210" s="279" t="s">
        <v>2030</v>
      </c>
      <c r="W210" s="280">
        <v>44160.0</v>
      </c>
      <c r="X210" s="281">
        <v>0.14583333333333334</v>
      </c>
      <c r="Y210" s="279" t="s">
        <v>1693</v>
      </c>
      <c r="Z210" s="282" t="s">
        <v>1570</v>
      </c>
      <c r="AA210" s="282" t="s">
        <v>2320</v>
      </c>
      <c r="AB210" s="283">
        <v>44157.0</v>
      </c>
      <c r="AC210" s="284"/>
      <c r="AD210" s="284"/>
    </row>
    <row r="211" ht="14.25" customHeight="1">
      <c r="A211" s="265">
        <v>44151.0</v>
      </c>
      <c r="B211" s="266" t="s">
        <v>1746</v>
      </c>
      <c r="C211" s="266"/>
      <c r="D211" s="265" t="s">
        <v>1748</v>
      </c>
      <c r="E211" s="268"/>
      <c r="F211" s="291" t="s">
        <v>2321</v>
      </c>
      <c r="G211" s="268" t="s">
        <v>2155</v>
      </c>
      <c r="H211" s="270">
        <v>0.02050925925925926</v>
      </c>
      <c r="I211" s="271">
        <v>44152.44930555556</v>
      </c>
      <c r="J211" s="268"/>
      <c r="K211" s="271">
        <v>44152.625393518516</v>
      </c>
      <c r="L211" s="271" t="str">
        <f t="shared" si="21"/>
        <v>12/30/99 4:13</v>
      </c>
      <c r="M211" s="307" t="s">
        <v>2322</v>
      </c>
      <c r="N211" s="351">
        <v>44153.460625</v>
      </c>
      <c r="O211" s="276" t="s">
        <v>2323</v>
      </c>
      <c r="P211" s="275" t="s">
        <v>1463</v>
      </c>
      <c r="Q211" s="278" t="s">
        <v>1819</v>
      </c>
      <c r="R211" s="271">
        <v>44153.516388888886</v>
      </c>
      <c r="S211" s="278"/>
      <c r="T211" s="278" t="s">
        <v>2324</v>
      </c>
      <c r="U211" s="279"/>
      <c r="V211" s="279" t="s">
        <v>1746</v>
      </c>
      <c r="W211" s="280">
        <v>44154.0</v>
      </c>
      <c r="X211" s="281">
        <v>0.14027777777777778</v>
      </c>
      <c r="Y211" s="279" t="s">
        <v>1693</v>
      </c>
      <c r="Z211" s="282" t="s">
        <v>1570</v>
      </c>
      <c r="AA211" s="282" t="s">
        <v>2325</v>
      </c>
      <c r="AB211" s="283">
        <v>44157.0</v>
      </c>
      <c r="AC211" s="284"/>
      <c r="AD211" s="284"/>
    </row>
    <row r="212" ht="14.25" customHeight="1">
      <c r="A212" s="265">
        <v>44152.0</v>
      </c>
      <c r="B212" s="266" t="s">
        <v>1772</v>
      </c>
      <c r="C212" s="266"/>
      <c r="D212" s="266" t="s">
        <v>1450</v>
      </c>
      <c r="E212" s="268"/>
      <c r="F212" s="291" t="s">
        <v>2326</v>
      </c>
      <c r="G212" s="268" t="s">
        <v>2155</v>
      </c>
      <c r="H212" s="270">
        <v>0.09791666666666667</v>
      </c>
      <c r="I212" s="271">
        <v>44152.44640046296</v>
      </c>
      <c r="J212" s="268"/>
      <c r="K212" s="271">
        <v>44152.48806712963</v>
      </c>
      <c r="L212" s="271" t="str">
        <f t="shared" si="21"/>
        <v>12/30/99 1:00</v>
      </c>
      <c r="M212" s="278" t="s">
        <v>2327</v>
      </c>
      <c r="N212" s="352"/>
      <c r="O212" s="276"/>
      <c r="P212" s="275"/>
      <c r="Q212" s="278"/>
      <c r="R212" s="278"/>
      <c r="S212" s="278"/>
      <c r="T212" s="278"/>
      <c r="U212" s="279"/>
      <c r="V212" s="279" t="s">
        <v>1685</v>
      </c>
      <c r="W212" s="280">
        <v>44165.0</v>
      </c>
      <c r="X212" s="281">
        <v>0.4166666666666667</v>
      </c>
      <c r="Y212" s="279" t="s">
        <v>1693</v>
      </c>
      <c r="Z212" s="282" t="s">
        <v>1570</v>
      </c>
      <c r="AA212" s="282" t="s">
        <v>2328</v>
      </c>
      <c r="AB212" s="283">
        <v>44157.0</v>
      </c>
      <c r="AC212" s="284"/>
      <c r="AD212" s="284"/>
    </row>
    <row r="213" ht="14.25" customHeight="1">
      <c r="A213" s="265">
        <v>44152.0</v>
      </c>
      <c r="B213" s="266" t="s">
        <v>1783</v>
      </c>
      <c r="C213" s="266"/>
      <c r="D213" s="266" t="s">
        <v>1452</v>
      </c>
      <c r="E213" s="268"/>
      <c r="F213" s="291" t="s">
        <v>2329</v>
      </c>
      <c r="G213" s="268" t="s">
        <v>2155</v>
      </c>
      <c r="H213" s="270">
        <v>0.010277777777777778</v>
      </c>
      <c r="I213" s="271">
        <v>44152.42152777778</v>
      </c>
      <c r="J213" s="268"/>
      <c r="K213" s="271">
        <v>44152.46295138889</v>
      </c>
      <c r="L213" s="271" t="str">
        <f t="shared" si="21"/>
        <v>12/30/99 0:59</v>
      </c>
      <c r="M213" s="307" t="s">
        <v>2330</v>
      </c>
      <c r="N213" s="352"/>
      <c r="O213" s="276" t="s">
        <v>2329</v>
      </c>
      <c r="P213" s="268" t="s">
        <v>1463</v>
      </c>
      <c r="Q213" s="278" t="s">
        <v>1819</v>
      </c>
      <c r="R213" s="271">
        <v>44152.54116898148</v>
      </c>
      <c r="S213" s="278"/>
      <c r="T213" s="278" t="s">
        <v>2331</v>
      </c>
      <c r="U213" s="279"/>
      <c r="V213" s="279" t="s">
        <v>1783</v>
      </c>
      <c r="W213" s="280">
        <v>44152.0</v>
      </c>
      <c r="X213" s="281">
        <v>0.034722222222222224</v>
      </c>
      <c r="Y213" s="279" t="s">
        <v>1693</v>
      </c>
      <c r="Z213" s="282" t="s">
        <v>1570</v>
      </c>
      <c r="AA213" s="282" t="s">
        <v>2332</v>
      </c>
      <c r="AB213" s="283">
        <v>44157.0</v>
      </c>
      <c r="AC213" s="284"/>
      <c r="AD213" s="284"/>
    </row>
    <row r="214" ht="14.25" customHeight="1">
      <c r="A214" s="265">
        <v>44152.0</v>
      </c>
      <c r="B214" s="266" t="s">
        <v>1685</v>
      </c>
      <c r="C214" s="266"/>
      <c r="D214" s="266" t="s">
        <v>1689</v>
      </c>
      <c r="E214" s="268"/>
      <c r="F214" s="291" t="s">
        <v>2333</v>
      </c>
      <c r="G214" s="268" t="s">
        <v>2334</v>
      </c>
      <c r="H214" s="270">
        <v>0.03819444444444444</v>
      </c>
      <c r="I214" s="271">
        <v>44152.64375</v>
      </c>
      <c r="J214" s="268"/>
      <c r="K214" s="268"/>
      <c r="L214" s="271" t="str">
        <f t="shared" si="21"/>
        <v>2/9/79 8:33</v>
      </c>
      <c r="M214" s="307" t="s">
        <v>2335</v>
      </c>
      <c r="N214" s="351">
        <v>44154.42916666667</v>
      </c>
      <c r="O214" s="276" t="s">
        <v>2336</v>
      </c>
      <c r="P214" s="275" t="s">
        <v>2085</v>
      </c>
      <c r="Q214" s="268" t="s">
        <v>1819</v>
      </c>
      <c r="R214" s="278"/>
      <c r="S214" s="278"/>
      <c r="T214" s="278" t="s">
        <v>2337</v>
      </c>
      <c r="U214" s="279"/>
      <c r="V214" s="279" t="s">
        <v>2030</v>
      </c>
      <c r="W214" s="280">
        <v>44160.0</v>
      </c>
      <c r="X214" s="281">
        <v>0.125</v>
      </c>
      <c r="Y214" s="279" t="s">
        <v>1693</v>
      </c>
      <c r="Z214" s="282" t="s">
        <v>1570</v>
      </c>
      <c r="AA214" s="282" t="s">
        <v>2338</v>
      </c>
      <c r="AB214" s="283">
        <v>44157.0</v>
      </c>
      <c r="AC214" s="284"/>
      <c r="AD214" s="284"/>
    </row>
    <row r="215" ht="14.25" customHeight="1">
      <c r="A215" s="265">
        <v>44152.0</v>
      </c>
      <c r="B215" s="266" t="s">
        <v>1685</v>
      </c>
      <c r="C215" s="266"/>
      <c r="D215" s="266" t="s">
        <v>1831</v>
      </c>
      <c r="E215" s="268"/>
      <c r="F215" s="291" t="s">
        <v>2339</v>
      </c>
      <c r="G215" s="268" t="s">
        <v>2334</v>
      </c>
      <c r="H215" s="270">
        <v>0.003101851851851852</v>
      </c>
      <c r="I215" s="271">
        <v>44152.645833333336</v>
      </c>
      <c r="J215" s="268"/>
      <c r="K215" s="271">
        <v>44152.65138888889</v>
      </c>
      <c r="L215" s="271"/>
      <c r="M215" s="278" t="s">
        <v>2340</v>
      </c>
      <c r="N215" s="352"/>
      <c r="O215" s="276"/>
      <c r="P215" s="276"/>
      <c r="Q215" s="278"/>
      <c r="R215" s="278"/>
      <c r="S215" s="278"/>
      <c r="T215" s="278"/>
      <c r="U215" s="279"/>
      <c r="V215" s="279" t="s">
        <v>2030</v>
      </c>
      <c r="W215" s="280">
        <v>44160.0</v>
      </c>
      <c r="X215" s="281">
        <v>0.006944444444444444</v>
      </c>
      <c r="Y215" s="279" t="s">
        <v>1693</v>
      </c>
      <c r="Z215" s="282" t="s">
        <v>1570</v>
      </c>
      <c r="AA215" s="282">
        <v>6292561.0</v>
      </c>
      <c r="AB215" s="283">
        <v>44157.0</v>
      </c>
      <c r="AC215" s="284"/>
      <c r="AD215" s="284"/>
    </row>
    <row r="216" ht="14.25" customHeight="1">
      <c r="A216" s="265">
        <v>44152.0</v>
      </c>
      <c r="B216" s="266" t="s">
        <v>1746</v>
      </c>
      <c r="C216" s="266"/>
      <c r="D216" s="265" t="s">
        <v>1748</v>
      </c>
      <c r="E216" s="268"/>
      <c r="F216" s="291" t="s">
        <v>2341</v>
      </c>
      <c r="G216" s="268" t="s">
        <v>2334</v>
      </c>
      <c r="H216" s="270">
        <v>0.01965277777777778</v>
      </c>
      <c r="I216" s="271">
        <v>44152.84375</v>
      </c>
      <c r="J216" s="268"/>
      <c r="K216" s="271">
        <v>44152.85555555556</v>
      </c>
      <c r="L216" s="271" t="str">
        <f>K216-I216</f>
        <v>12/30/99 0:17</v>
      </c>
      <c r="M216" s="307" t="s">
        <v>2342</v>
      </c>
      <c r="N216" s="351">
        <v>44153.46548611111</v>
      </c>
      <c r="O216" s="276" t="s">
        <v>2343</v>
      </c>
      <c r="P216" s="268" t="s">
        <v>1463</v>
      </c>
      <c r="Q216" s="278" t="s">
        <v>1819</v>
      </c>
      <c r="R216" s="271">
        <v>44153.52056712963</v>
      </c>
      <c r="S216" s="278"/>
      <c r="T216" s="278" t="s">
        <v>2344</v>
      </c>
      <c r="U216" s="279"/>
      <c r="V216" s="279" t="s">
        <v>1824</v>
      </c>
      <c r="W216" s="280">
        <v>44155.0</v>
      </c>
      <c r="X216" s="281">
        <v>0.1449189814814815</v>
      </c>
      <c r="Y216" s="279" t="s">
        <v>1693</v>
      </c>
      <c r="Z216" s="282" t="s">
        <v>1570</v>
      </c>
      <c r="AA216" s="282" t="s">
        <v>2345</v>
      </c>
      <c r="AB216" s="283">
        <v>44157.0</v>
      </c>
      <c r="AC216" s="284"/>
      <c r="AD216" s="284"/>
    </row>
    <row r="217" ht="14.25" customHeight="1">
      <c r="A217" s="265">
        <v>44152.0</v>
      </c>
      <c r="B217" s="266" t="s">
        <v>1500</v>
      </c>
      <c r="C217" s="266" t="s">
        <v>2346</v>
      </c>
      <c r="D217" s="266" t="s">
        <v>1543</v>
      </c>
      <c r="E217" s="268"/>
      <c r="F217" s="291" t="s">
        <v>2347</v>
      </c>
      <c r="G217" s="268" t="s">
        <v>2334</v>
      </c>
      <c r="H217" s="270">
        <v>0.002546296296296296</v>
      </c>
      <c r="I217" s="271">
        <v>44155.0</v>
      </c>
      <c r="J217" s="268"/>
      <c r="K217" s="271">
        <v>44155.41709490741</v>
      </c>
      <c r="L217" s="271"/>
      <c r="M217" s="307" t="s">
        <v>2348</v>
      </c>
      <c r="N217" s="351">
        <v>44155.38680555556</v>
      </c>
      <c r="O217" s="291" t="s">
        <v>2347</v>
      </c>
      <c r="P217" s="275" t="s">
        <v>2085</v>
      </c>
      <c r="Q217" s="278" t="s">
        <v>1819</v>
      </c>
      <c r="R217" s="271">
        <v>44155.424942129626</v>
      </c>
      <c r="S217" s="278"/>
      <c r="T217" s="278" t="s">
        <v>2349</v>
      </c>
      <c r="U217" s="279"/>
      <c r="V217" s="279" t="s">
        <v>1500</v>
      </c>
      <c r="W217" s="280">
        <v>44159.0</v>
      </c>
      <c r="X217" s="281">
        <v>0.013888888888888888</v>
      </c>
      <c r="Y217" s="279" t="s">
        <v>1693</v>
      </c>
      <c r="Z217" s="282" t="s">
        <v>1570</v>
      </c>
      <c r="AA217" s="282">
        <v>6294572.0</v>
      </c>
      <c r="AB217" s="283">
        <v>44159.0</v>
      </c>
      <c r="AC217" s="284"/>
      <c r="AD217" s="284"/>
    </row>
    <row r="218" ht="14.25" customHeight="1">
      <c r="A218" s="265">
        <v>44153.0</v>
      </c>
      <c r="B218" s="266" t="s">
        <v>1500</v>
      </c>
      <c r="C218" s="266" t="s">
        <v>2083</v>
      </c>
      <c r="D218" s="266" t="s">
        <v>1543</v>
      </c>
      <c r="E218" s="268"/>
      <c r="F218" s="291" t="s">
        <v>2350</v>
      </c>
      <c r="G218" s="268" t="s">
        <v>1463</v>
      </c>
      <c r="H218" s="270">
        <v>0.0015856481481481479</v>
      </c>
      <c r="I218" s="271">
        <v>44154.53402777778</v>
      </c>
      <c r="J218" s="268"/>
      <c r="K218" s="271">
        <v>44154.57776620371</v>
      </c>
      <c r="L218" s="271"/>
      <c r="M218" s="272" t="s">
        <v>2351</v>
      </c>
      <c r="N218" s="351"/>
      <c r="O218" s="276"/>
      <c r="P218" s="268"/>
      <c r="Q218" s="278"/>
      <c r="R218" s="271"/>
      <c r="S218" s="278"/>
      <c r="T218" s="278"/>
      <c r="U218" s="279"/>
      <c r="V218" s="279" t="s">
        <v>1500</v>
      </c>
      <c r="W218" s="280">
        <v>44154.0</v>
      </c>
      <c r="X218" s="281">
        <v>0.013888888888888888</v>
      </c>
      <c r="Y218" s="279" t="s">
        <v>1693</v>
      </c>
      <c r="Z218" s="282" t="s">
        <v>1570</v>
      </c>
      <c r="AA218" s="282">
        <v>6294568.0</v>
      </c>
      <c r="AB218" s="283">
        <v>44158.0</v>
      </c>
      <c r="AC218" s="284"/>
      <c r="AD218" s="284"/>
    </row>
    <row r="219" ht="14.25" customHeight="1">
      <c r="A219" s="265">
        <v>44153.0</v>
      </c>
      <c r="B219" s="266" t="s">
        <v>1772</v>
      </c>
      <c r="C219" s="266"/>
      <c r="D219" s="266" t="s">
        <v>1450</v>
      </c>
      <c r="E219" s="268"/>
      <c r="F219" s="291" t="s">
        <v>2352</v>
      </c>
      <c r="G219" s="268" t="s">
        <v>2155</v>
      </c>
      <c r="H219" s="270">
        <v>0.09881944444444445</v>
      </c>
      <c r="I219" s="271">
        <v>44153.444444444445</v>
      </c>
      <c r="J219" s="268"/>
      <c r="K219" s="271">
        <v>44153.486238425925</v>
      </c>
      <c r="L219" s="271" t="str">
        <f t="shared" ref="L219:L221" si="22">K219-I219</f>
        <v>12/30/99 1:00</v>
      </c>
      <c r="M219" s="278" t="s">
        <v>2353</v>
      </c>
      <c r="N219" s="352"/>
      <c r="O219" s="276"/>
      <c r="P219" s="276"/>
      <c r="Q219" s="278"/>
      <c r="R219" s="278"/>
      <c r="S219" s="278"/>
      <c r="T219" s="278"/>
      <c r="U219" s="279"/>
      <c r="V219" s="279" t="s">
        <v>1685</v>
      </c>
      <c r="W219" s="280">
        <v>44166.0</v>
      </c>
      <c r="X219" s="281">
        <v>0.4166666666666667</v>
      </c>
      <c r="Y219" s="279" t="s">
        <v>1693</v>
      </c>
      <c r="Z219" s="282" t="s">
        <v>1570</v>
      </c>
      <c r="AA219" s="282" t="s">
        <v>2354</v>
      </c>
      <c r="AB219" s="283">
        <v>44157.0</v>
      </c>
      <c r="AC219" s="284"/>
      <c r="AD219" s="284"/>
    </row>
    <row r="220" ht="14.25" customHeight="1">
      <c r="A220" s="265">
        <v>44153.0</v>
      </c>
      <c r="B220" s="266" t="s">
        <v>1783</v>
      </c>
      <c r="C220" s="266"/>
      <c r="D220" s="266" t="s">
        <v>1452</v>
      </c>
      <c r="E220" s="268"/>
      <c r="F220" s="291" t="s">
        <v>2355</v>
      </c>
      <c r="G220" s="268" t="s">
        <v>2334</v>
      </c>
      <c r="H220" s="270">
        <v>0.00849537037037037</v>
      </c>
      <c r="I220" s="271">
        <v>44153.39722222222</v>
      </c>
      <c r="J220" s="268"/>
      <c r="K220" s="271">
        <v>44153.42658564815</v>
      </c>
      <c r="L220" s="271" t="str">
        <f t="shared" si="22"/>
        <v>12/30/99 0:42</v>
      </c>
      <c r="M220" s="278" t="s">
        <v>2356</v>
      </c>
      <c r="N220" s="352"/>
      <c r="O220" s="276"/>
      <c r="P220" s="276"/>
      <c r="Q220" s="278"/>
      <c r="R220" s="278"/>
      <c r="S220" s="278"/>
      <c r="T220" s="278"/>
      <c r="U220" s="279"/>
      <c r="V220" s="279" t="s">
        <v>1783</v>
      </c>
      <c r="W220" s="280">
        <v>44153.0</v>
      </c>
      <c r="X220" s="281">
        <v>0.03125</v>
      </c>
      <c r="Y220" s="279" t="s">
        <v>1693</v>
      </c>
      <c r="Z220" s="282" t="s">
        <v>1570</v>
      </c>
      <c r="AA220" s="282" t="s">
        <v>2357</v>
      </c>
      <c r="AB220" s="283">
        <v>44158.0</v>
      </c>
      <c r="AC220" s="284"/>
      <c r="AD220" s="284"/>
    </row>
    <row r="221" ht="14.25" customHeight="1">
      <c r="A221" s="265">
        <v>44153.0</v>
      </c>
      <c r="B221" s="266" t="s">
        <v>1685</v>
      </c>
      <c r="C221" s="266"/>
      <c r="D221" s="266" t="s">
        <v>1689</v>
      </c>
      <c r="E221" s="268"/>
      <c r="F221" s="291" t="s">
        <v>2358</v>
      </c>
      <c r="G221" s="268" t="s">
        <v>2155</v>
      </c>
      <c r="H221" s="270">
        <v>0.03837962962962963</v>
      </c>
      <c r="I221" s="271">
        <v>44153.5625</v>
      </c>
      <c r="J221" s="268"/>
      <c r="K221" s="268"/>
      <c r="L221" s="271" t="str">
        <f t="shared" si="22"/>
        <v>2/8/79 10:30</v>
      </c>
      <c r="M221" s="307" t="s">
        <v>2359</v>
      </c>
      <c r="N221" s="352"/>
      <c r="O221" s="276"/>
      <c r="P221" s="276"/>
      <c r="Q221" s="278"/>
      <c r="R221" s="278"/>
      <c r="S221" s="278"/>
      <c r="T221" s="278" t="s">
        <v>2360</v>
      </c>
      <c r="U221" s="279"/>
      <c r="V221" s="279" t="s">
        <v>1824</v>
      </c>
      <c r="W221" s="280">
        <v>44160.0</v>
      </c>
      <c r="X221" s="281">
        <v>0.3055555555555555</v>
      </c>
      <c r="Y221" s="279" t="s">
        <v>1693</v>
      </c>
      <c r="Z221" s="282" t="s">
        <v>1570</v>
      </c>
      <c r="AA221" s="282" t="s">
        <v>2361</v>
      </c>
      <c r="AB221" s="283">
        <v>44157.0</v>
      </c>
      <c r="AC221" s="284"/>
      <c r="AD221" s="284"/>
    </row>
    <row r="222" ht="14.25" customHeight="1">
      <c r="A222" s="265">
        <v>44153.0</v>
      </c>
      <c r="B222" s="266" t="s">
        <v>1685</v>
      </c>
      <c r="C222" s="266"/>
      <c r="D222" s="266" t="s">
        <v>1831</v>
      </c>
      <c r="E222" s="268"/>
      <c r="F222" s="291" t="s">
        <v>2362</v>
      </c>
      <c r="G222" s="268" t="s">
        <v>2334</v>
      </c>
      <c r="H222" s="270">
        <v>0.0028819444444444444</v>
      </c>
      <c r="I222" s="271">
        <v>44153.57013888889</v>
      </c>
      <c r="J222" s="268"/>
      <c r="K222" s="271">
        <v>44153.571377314816</v>
      </c>
      <c r="L222" s="271"/>
      <c r="M222" s="278" t="s">
        <v>2363</v>
      </c>
      <c r="N222" s="352"/>
      <c r="O222" s="276"/>
      <c r="P222" s="276"/>
      <c r="Q222" s="278"/>
      <c r="R222" s="278"/>
      <c r="S222" s="278"/>
      <c r="T222" s="278"/>
      <c r="U222" s="279"/>
      <c r="V222" s="279" t="s">
        <v>1570</v>
      </c>
      <c r="W222" s="280">
        <v>44195.0</v>
      </c>
      <c r="X222" s="281">
        <v>0.006944444444444444</v>
      </c>
      <c r="Y222" s="279" t="s">
        <v>1693</v>
      </c>
      <c r="Z222" s="282" t="s">
        <v>1570</v>
      </c>
      <c r="AA222" s="282">
        <v>6292562.0</v>
      </c>
      <c r="AB222" s="283">
        <v>44157.0</v>
      </c>
      <c r="AC222" s="284"/>
      <c r="AD222" s="284"/>
    </row>
    <row r="223" ht="14.25" customHeight="1">
      <c r="A223" s="265">
        <v>44153.0</v>
      </c>
      <c r="B223" s="266" t="s">
        <v>1746</v>
      </c>
      <c r="C223" s="266"/>
      <c r="D223" s="265" t="s">
        <v>1748</v>
      </c>
      <c r="E223" s="268"/>
      <c r="F223" s="291" t="s">
        <v>2364</v>
      </c>
      <c r="G223" s="268" t="s">
        <v>2334</v>
      </c>
      <c r="H223" s="270">
        <v>0.019641203703703706</v>
      </c>
      <c r="I223" s="271">
        <v>44153.853472222225</v>
      </c>
      <c r="J223" s="268"/>
      <c r="K223" s="271">
        <v>44153.85555555556</v>
      </c>
      <c r="L223" s="271" t="str">
        <f t="shared" ref="L223:L227" si="23">K223-I223</f>
        <v>12/30/99 0:03</v>
      </c>
      <c r="M223" s="278" t="s">
        <v>2365</v>
      </c>
      <c r="N223" s="352"/>
      <c r="O223" s="276"/>
      <c r="P223" s="276"/>
      <c r="Q223" s="278"/>
      <c r="R223" s="278"/>
      <c r="S223" s="278"/>
      <c r="T223" s="278"/>
      <c r="U223" s="279"/>
      <c r="V223" s="279" t="s">
        <v>1824</v>
      </c>
      <c r="W223" s="280">
        <v>44155.0</v>
      </c>
      <c r="X223" s="281">
        <v>0.1388888888888889</v>
      </c>
      <c r="Y223" s="279" t="s">
        <v>1693</v>
      </c>
      <c r="Z223" s="282" t="s">
        <v>1570</v>
      </c>
      <c r="AA223" s="282" t="s">
        <v>2366</v>
      </c>
      <c r="AB223" s="283">
        <v>44157.0</v>
      </c>
      <c r="AC223" s="284"/>
      <c r="AD223" s="284"/>
    </row>
    <row r="224" ht="14.25" customHeight="1">
      <c r="A224" s="265">
        <v>44154.0</v>
      </c>
      <c r="B224" s="266" t="s">
        <v>1772</v>
      </c>
      <c r="C224" s="266"/>
      <c r="D224" s="266" t="s">
        <v>1450</v>
      </c>
      <c r="E224" s="268"/>
      <c r="F224" s="291" t="s">
        <v>2367</v>
      </c>
      <c r="G224" s="268" t="s">
        <v>2155</v>
      </c>
      <c r="H224" s="270">
        <v>0.09722222222222222</v>
      </c>
      <c r="I224" s="271">
        <v>44155.36319444444</v>
      </c>
      <c r="J224" s="268"/>
      <c r="K224" s="271">
        <v>44155.41978009259</v>
      </c>
      <c r="L224" s="271" t="str">
        <f t="shared" si="23"/>
        <v>12/30/99 1:21</v>
      </c>
      <c r="M224" s="278" t="s">
        <v>2368</v>
      </c>
      <c r="N224" s="352"/>
      <c r="O224" s="276"/>
      <c r="P224" s="276"/>
      <c r="Q224" s="278"/>
      <c r="R224" s="278"/>
      <c r="S224" s="278"/>
      <c r="T224" s="278"/>
      <c r="U224" s="279"/>
      <c r="V224" s="279" t="s">
        <v>1685</v>
      </c>
      <c r="W224" s="280">
        <v>44168.0</v>
      </c>
      <c r="X224" s="281">
        <v>0.375</v>
      </c>
      <c r="Y224" s="279" t="s">
        <v>1693</v>
      </c>
      <c r="Z224" s="282" t="s">
        <v>1570</v>
      </c>
      <c r="AA224" s="282" t="s">
        <v>2369</v>
      </c>
      <c r="AB224" s="283">
        <v>44158.0</v>
      </c>
      <c r="AC224" s="284"/>
      <c r="AD224" s="284"/>
    </row>
    <row r="225" ht="14.25" customHeight="1">
      <c r="A225" s="265">
        <v>44154.0</v>
      </c>
      <c r="B225" s="266" t="s">
        <v>1783</v>
      </c>
      <c r="C225" s="266"/>
      <c r="D225" s="266" t="s">
        <v>1452</v>
      </c>
      <c r="E225" s="268"/>
      <c r="F225" s="291" t="s">
        <v>2370</v>
      </c>
      <c r="G225" s="268" t="s">
        <v>2155</v>
      </c>
      <c r="H225" s="270">
        <v>0.008391203703703705</v>
      </c>
      <c r="I225" s="271">
        <v>44154.419444444444</v>
      </c>
      <c r="J225" s="268"/>
      <c r="K225" s="271" t="s">
        <v>2371</v>
      </c>
      <c r="L225" s="271" t="str">
        <f t="shared" si="23"/>
        <v>#VALUE!</v>
      </c>
      <c r="M225" s="307" t="s">
        <v>2372</v>
      </c>
      <c r="N225" s="352"/>
      <c r="O225" s="291" t="s">
        <v>2370</v>
      </c>
      <c r="P225" s="268" t="s">
        <v>1463</v>
      </c>
      <c r="Q225" s="278" t="s">
        <v>1819</v>
      </c>
      <c r="R225" s="278"/>
      <c r="S225" s="278"/>
      <c r="T225" s="278" t="s">
        <v>2373</v>
      </c>
      <c r="U225" s="279"/>
      <c r="V225" s="279" t="s">
        <v>1783</v>
      </c>
      <c r="W225" s="280">
        <v>44154.0</v>
      </c>
      <c r="X225" s="281">
        <v>0.03819444444444444</v>
      </c>
      <c r="Y225" s="279" t="s">
        <v>1693</v>
      </c>
      <c r="Z225" s="282" t="s">
        <v>1570</v>
      </c>
      <c r="AA225" s="282" t="s">
        <v>2374</v>
      </c>
      <c r="AB225" s="283">
        <v>44158.0</v>
      </c>
      <c r="AC225" s="284"/>
      <c r="AD225" s="284"/>
    </row>
    <row r="226" ht="14.25" customHeight="1">
      <c r="A226" s="265">
        <v>44154.0</v>
      </c>
      <c r="B226" s="266" t="s">
        <v>1685</v>
      </c>
      <c r="C226" s="266"/>
      <c r="D226" s="266" t="s">
        <v>1689</v>
      </c>
      <c r="E226" s="268"/>
      <c r="F226" s="291" t="s">
        <v>2375</v>
      </c>
      <c r="G226" s="268" t="s">
        <v>2155</v>
      </c>
      <c r="H226" s="353">
        <v>0.03579861111111111</v>
      </c>
      <c r="I226" s="271">
        <v>44155.342361111114</v>
      </c>
      <c r="J226" s="268"/>
      <c r="K226" s="271">
        <v>44155.41650462963</v>
      </c>
      <c r="L226" s="271" t="str">
        <f t="shared" si="23"/>
        <v>12/30/99 1:46</v>
      </c>
      <c r="M226" s="278" t="s">
        <v>2376</v>
      </c>
      <c r="N226" s="352"/>
      <c r="O226" s="276"/>
      <c r="P226" s="276"/>
      <c r="Q226" s="278"/>
      <c r="R226" s="278"/>
      <c r="S226" s="278"/>
      <c r="T226" s="278"/>
      <c r="U226" s="279"/>
      <c r="V226" s="279" t="s">
        <v>2030</v>
      </c>
      <c r="W226" s="280">
        <v>44161.0</v>
      </c>
      <c r="X226" s="281">
        <v>0.15277777777777776</v>
      </c>
      <c r="Y226" s="279" t="s">
        <v>1693</v>
      </c>
      <c r="Z226" s="282" t="s">
        <v>1570</v>
      </c>
      <c r="AA226" s="282" t="s">
        <v>2377</v>
      </c>
      <c r="AB226" s="283">
        <v>44158.0</v>
      </c>
      <c r="AC226" s="284"/>
      <c r="AD226" s="284"/>
    </row>
    <row r="227" ht="14.25" customHeight="1">
      <c r="A227" s="265">
        <v>44154.0</v>
      </c>
      <c r="B227" s="266" t="s">
        <v>1746</v>
      </c>
      <c r="C227" s="266"/>
      <c r="D227" s="265" t="s">
        <v>1748</v>
      </c>
      <c r="E227" s="268"/>
      <c r="F227" s="291" t="s">
        <v>2378</v>
      </c>
      <c r="G227" s="268" t="s">
        <v>2155</v>
      </c>
      <c r="H227" s="270">
        <v>0.01965277777777778</v>
      </c>
      <c r="I227" s="271">
        <v>44154.82638888889</v>
      </c>
      <c r="J227" s="268"/>
      <c r="K227" s="271">
        <v>44154.82638888889</v>
      </c>
      <c r="L227" s="271" t="str">
        <f t="shared" si="23"/>
        <v>12/30/99 0:00</v>
      </c>
      <c r="M227" s="307" t="s">
        <v>2379</v>
      </c>
      <c r="N227" s="351">
        <v>44155.464583333334</v>
      </c>
      <c r="O227" s="276"/>
      <c r="P227" s="275" t="s">
        <v>2085</v>
      </c>
      <c r="Q227" s="278" t="s">
        <v>1819</v>
      </c>
      <c r="R227" s="271">
        <v>44155.50881944445</v>
      </c>
      <c r="S227" s="278"/>
      <c r="T227" s="278" t="s">
        <v>2380</v>
      </c>
      <c r="U227" s="279"/>
      <c r="V227" s="279" t="s">
        <v>1746</v>
      </c>
      <c r="W227" s="280">
        <v>44155.0</v>
      </c>
      <c r="X227" s="281">
        <v>0.1423611111111111</v>
      </c>
      <c r="Y227" s="279" t="s">
        <v>1693</v>
      </c>
      <c r="Z227" s="282" t="s">
        <v>1570</v>
      </c>
      <c r="AA227" s="282" t="s">
        <v>2381</v>
      </c>
      <c r="AB227" s="283">
        <v>44169.0</v>
      </c>
      <c r="AC227" s="284"/>
      <c r="AD227" s="284"/>
    </row>
    <row r="228" ht="14.25" customHeight="1">
      <c r="A228" s="265">
        <v>44154.0</v>
      </c>
      <c r="B228" s="266" t="s">
        <v>1500</v>
      </c>
      <c r="C228" s="266" t="s">
        <v>1686</v>
      </c>
      <c r="D228" s="266" t="s">
        <v>1543</v>
      </c>
      <c r="E228" s="268"/>
      <c r="F228" s="291" t="s">
        <v>2382</v>
      </c>
      <c r="G228" s="268" t="s">
        <v>1463</v>
      </c>
      <c r="H228" s="270">
        <v>0.0015856481481481479</v>
      </c>
      <c r="I228" s="271">
        <v>44158.49513888889</v>
      </c>
      <c r="J228" s="268"/>
      <c r="K228" s="271">
        <v>44158.5390162037</v>
      </c>
      <c r="L228" s="271"/>
      <c r="M228" s="272" t="s">
        <v>2383</v>
      </c>
      <c r="N228" s="351"/>
      <c r="O228" s="276"/>
      <c r="P228" s="275"/>
      <c r="Q228" s="278"/>
      <c r="R228" s="271"/>
      <c r="S228" s="278"/>
      <c r="T228" s="278"/>
      <c r="U228" s="279"/>
      <c r="V228" s="279" t="s">
        <v>1500</v>
      </c>
      <c r="W228" s="280">
        <v>44159.0</v>
      </c>
      <c r="X228" s="281">
        <v>0.027777777777777776</v>
      </c>
      <c r="Y228" s="279" t="s">
        <v>1693</v>
      </c>
      <c r="Z228" s="282" t="s">
        <v>1570</v>
      </c>
      <c r="AA228" s="282">
        <v>6301222.0</v>
      </c>
      <c r="AB228" s="283">
        <v>44169.0</v>
      </c>
      <c r="AC228" s="284"/>
      <c r="AD228" s="284"/>
    </row>
    <row r="229" ht="14.25" customHeight="1">
      <c r="A229" s="265">
        <v>44155.0</v>
      </c>
      <c r="B229" s="266" t="s">
        <v>1772</v>
      </c>
      <c r="C229" s="266"/>
      <c r="D229" s="266" t="s">
        <v>1450</v>
      </c>
      <c r="E229" s="268"/>
      <c r="F229" s="291" t="s">
        <v>2384</v>
      </c>
      <c r="G229" s="268" t="s">
        <v>2155</v>
      </c>
      <c r="H229" s="270">
        <v>0.09445601851851852</v>
      </c>
      <c r="I229" s="271">
        <v>44155.50069444445</v>
      </c>
      <c r="J229" s="268"/>
      <c r="K229" s="271">
        <v>44155.54211805556</v>
      </c>
      <c r="L229" s="271" t="str">
        <f t="shared" ref="L229:L232" si="24">K229-I229</f>
        <v>12/30/99 0:59</v>
      </c>
      <c r="M229" s="278" t="s">
        <v>2385</v>
      </c>
      <c r="N229" s="352"/>
      <c r="O229" s="276"/>
      <c r="P229" s="276"/>
      <c r="Q229" s="278"/>
      <c r="R229" s="268"/>
      <c r="S229" s="278"/>
      <c r="T229" s="278"/>
      <c r="U229" s="279"/>
      <c r="V229" s="279" t="s">
        <v>1824</v>
      </c>
      <c r="W229" s="280">
        <v>44172.0</v>
      </c>
      <c r="X229" s="281">
        <v>0.3206712962962963</v>
      </c>
      <c r="Y229" s="279" t="s">
        <v>1693</v>
      </c>
      <c r="Z229" s="282" t="s">
        <v>1570</v>
      </c>
      <c r="AA229" s="282" t="s">
        <v>2386</v>
      </c>
      <c r="AB229" s="283">
        <v>44158.0</v>
      </c>
      <c r="AC229" s="284"/>
      <c r="AD229" s="284"/>
    </row>
    <row r="230" ht="14.25" customHeight="1">
      <c r="A230" s="265">
        <v>44155.0</v>
      </c>
      <c r="B230" s="266" t="s">
        <v>1783</v>
      </c>
      <c r="C230" s="266"/>
      <c r="D230" s="266" t="s">
        <v>1452</v>
      </c>
      <c r="E230" s="268"/>
      <c r="F230" s="291" t="s">
        <v>2387</v>
      </c>
      <c r="G230" s="268" t="s">
        <v>2155</v>
      </c>
      <c r="H230" s="270">
        <v>0.005798611111111111</v>
      </c>
      <c r="I230" s="271">
        <v>44155.40902777778</v>
      </c>
      <c r="J230" s="268"/>
      <c r="K230" s="271">
        <v>44155.40972222222</v>
      </c>
      <c r="L230" s="271" t="str">
        <f t="shared" si="24"/>
        <v>12/30/99 0:01</v>
      </c>
      <c r="M230" s="307" t="s">
        <v>2388</v>
      </c>
      <c r="N230" s="351">
        <v>44156.83712962963</v>
      </c>
      <c r="O230" s="276" t="s">
        <v>2389</v>
      </c>
      <c r="P230" s="268" t="s">
        <v>1463</v>
      </c>
      <c r="Q230" s="278" t="s">
        <v>1819</v>
      </c>
      <c r="R230" s="278"/>
      <c r="S230" s="278"/>
      <c r="T230" s="278" t="s">
        <v>2390</v>
      </c>
      <c r="U230" s="279"/>
      <c r="V230" s="279" t="s">
        <v>1783</v>
      </c>
      <c r="W230" s="280">
        <v>44159.0</v>
      </c>
      <c r="X230" s="281">
        <v>0.034722222222222224</v>
      </c>
      <c r="Y230" s="279" t="s">
        <v>1693</v>
      </c>
      <c r="Z230" s="282" t="s">
        <v>1570</v>
      </c>
      <c r="AA230" s="282" t="s">
        <v>2391</v>
      </c>
      <c r="AB230" s="283">
        <v>44160.0</v>
      </c>
      <c r="AC230" s="284"/>
      <c r="AD230" s="284"/>
    </row>
    <row r="231" ht="14.25" customHeight="1">
      <c r="A231" s="265">
        <v>44155.0</v>
      </c>
      <c r="B231" s="266" t="s">
        <v>1685</v>
      </c>
      <c r="C231" s="266"/>
      <c r="D231" s="266" t="s">
        <v>1689</v>
      </c>
      <c r="E231" s="268"/>
      <c r="F231" s="291" t="s">
        <v>2392</v>
      </c>
      <c r="G231" s="268" t="s">
        <v>2155</v>
      </c>
      <c r="H231" s="270">
        <v>0.027719907407407405</v>
      </c>
      <c r="I231" s="271">
        <v>44155.583333333336</v>
      </c>
      <c r="J231" s="268"/>
      <c r="K231" s="271">
        <v>44155.592673611114</v>
      </c>
      <c r="L231" s="271" t="str">
        <f t="shared" si="24"/>
        <v>12/30/99 0:13</v>
      </c>
      <c r="M231" s="278" t="s">
        <v>2393</v>
      </c>
      <c r="N231" s="352"/>
      <c r="O231" s="276"/>
      <c r="P231" s="276"/>
      <c r="Q231" s="278"/>
      <c r="R231" s="278"/>
      <c r="S231" s="278"/>
      <c r="T231" s="278"/>
      <c r="U231" s="279"/>
      <c r="V231" s="279" t="s">
        <v>2030</v>
      </c>
      <c r="W231" s="280" t="s">
        <v>2394</v>
      </c>
      <c r="X231" s="281">
        <v>0.0024305555555555556</v>
      </c>
      <c r="Y231" s="279" t="s">
        <v>1693</v>
      </c>
      <c r="Z231" s="282" t="s">
        <v>1570</v>
      </c>
      <c r="AA231" s="282" t="s">
        <v>2395</v>
      </c>
      <c r="AB231" s="283">
        <v>44159.0</v>
      </c>
      <c r="AC231" s="284"/>
      <c r="AD231" s="284"/>
    </row>
    <row r="232" ht="14.25" customHeight="1">
      <c r="A232" s="265">
        <v>44155.0</v>
      </c>
      <c r="B232" s="266" t="s">
        <v>1746</v>
      </c>
      <c r="C232" s="266"/>
      <c r="D232" s="265" t="s">
        <v>1748</v>
      </c>
      <c r="E232" s="268"/>
      <c r="F232" s="291" t="s">
        <v>2396</v>
      </c>
      <c r="G232" s="268" t="s">
        <v>2155</v>
      </c>
      <c r="H232" s="270">
        <v>0.0134375</v>
      </c>
      <c r="I232" s="271">
        <v>44155.86388888889</v>
      </c>
      <c r="J232" s="268"/>
      <c r="K232" s="271">
        <v>44155.88125</v>
      </c>
      <c r="L232" s="271" t="str">
        <f t="shared" si="24"/>
        <v>12/30/99 0:25</v>
      </c>
      <c r="M232" s="278" t="s">
        <v>2397</v>
      </c>
      <c r="N232" s="352"/>
      <c r="O232" s="276"/>
      <c r="P232" s="276"/>
      <c r="Q232" s="278"/>
      <c r="R232" s="278"/>
      <c r="S232" s="278"/>
      <c r="T232" s="278"/>
      <c r="U232" s="279"/>
      <c r="V232" s="279" t="s">
        <v>1824</v>
      </c>
      <c r="W232" s="280">
        <v>44158.0</v>
      </c>
      <c r="X232" s="281">
        <v>0.1388888888888889</v>
      </c>
      <c r="Y232" s="279" t="s">
        <v>1693</v>
      </c>
      <c r="Z232" s="282" t="s">
        <v>1570</v>
      </c>
      <c r="AA232" s="282" t="s">
        <v>2398</v>
      </c>
      <c r="AB232" s="283">
        <v>44160.0</v>
      </c>
      <c r="AC232" s="284"/>
      <c r="AD232" s="284"/>
    </row>
    <row r="233" ht="14.25" customHeight="1">
      <c r="A233" s="265">
        <v>44155.0</v>
      </c>
      <c r="B233" s="266" t="s">
        <v>1500</v>
      </c>
      <c r="C233" s="266" t="s">
        <v>1450</v>
      </c>
      <c r="D233" s="266" t="s">
        <v>1543</v>
      </c>
      <c r="E233" s="268"/>
      <c r="F233" s="291" t="s">
        <v>2399</v>
      </c>
      <c r="G233" s="268" t="s">
        <v>1463</v>
      </c>
      <c r="H233" s="270">
        <v>0.0024189814814814816</v>
      </c>
      <c r="I233" s="271">
        <v>44162.59166666667</v>
      </c>
      <c r="J233" s="268"/>
      <c r="K233" s="271">
        <v>44162.594409722224</v>
      </c>
      <c r="L233" s="271"/>
      <c r="M233" s="307" t="s">
        <v>2400</v>
      </c>
      <c r="N233" s="351">
        <v>44162.59166666667</v>
      </c>
      <c r="O233" s="276" t="s">
        <v>2399</v>
      </c>
      <c r="P233" s="268" t="s">
        <v>1463</v>
      </c>
      <c r="Q233" s="278" t="s">
        <v>1819</v>
      </c>
      <c r="R233" s="271">
        <v>44163.03525462963</v>
      </c>
      <c r="S233" s="278"/>
      <c r="T233" s="278" t="s">
        <v>2401</v>
      </c>
      <c r="U233" s="279"/>
      <c r="V233" s="279" t="s">
        <v>1500</v>
      </c>
      <c r="W233" s="280">
        <v>44167.0</v>
      </c>
      <c r="X233" s="281">
        <v>0.027777777777777776</v>
      </c>
      <c r="Y233" s="279" t="s">
        <v>1693</v>
      </c>
      <c r="Z233" s="282" t="s">
        <v>1570</v>
      </c>
      <c r="AA233" s="282">
        <v>6301224.0</v>
      </c>
      <c r="AB233" s="283">
        <v>44169.0</v>
      </c>
      <c r="AC233" s="284"/>
      <c r="AD233" s="284"/>
    </row>
    <row r="234" ht="14.25" customHeight="1">
      <c r="A234" s="265">
        <v>44156.0</v>
      </c>
      <c r="B234" s="266" t="s">
        <v>1500</v>
      </c>
      <c r="C234" s="266"/>
      <c r="D234" s="266" t="s">
        <v>1689</v>
      </c>
      <c r="E234" s="268"/>
      <c r="F234" s="291" t="s">
        <v>2402</v>
      </c>
      <c r="G234" s="268" t="s">
        <v>2155</v>
      </c>
      <c r="H234" s="270">
        <v>0.030659722222222224</v>
      </c>
      <c r="I234" s="271">
        <v>44156.58541666667</v>
      </c>
      <c r="J234" s="268"/>
      <c r="K234" s="271">
        <v>44156.627175925925</v>
      </c>
      <c r="L234" s="271" t="str">
        <f t="shared" ref="L234:L240" si="25">K234-I234</f>
        <v>12/30/99 1:00</v>
      </c>
      <c r="M234" s="278" t="s">
        <v>2403</v>
      </c>
      <c r="N234" s="352"/>
      <c r="O234" s="276"/>
      <c r="P234" s="276"/>
      <c r="Q234" s="278"/>
      <c r="R234" s="278"/>
      <c r="S234" s="278"/>
      <c r="T234" s="278"/>
      <c r="U234" s="279"/>
      <c r="V234" s="279" t="s">
        <v>1824</v>
      </c>
      <c r="W234" s="280" t="s">
        <v>2394</v>
      </c>
      <c r="X234" s="281">
        <v>0.2777777777777778</v>
      </c>
      <c r="Y234" s="279" t="s">
        <v>1693</v>
      </c>
      <c r="Z234" s="282" t="s">
        <v>1570</v>
      </c>
      <c r="AA234" s="282" t="s">
        <v>2404</v>
      </c>
      <c r="AB234" s="283">
        <v>44159.0</v>
      </c>
      <c r="AC234" s="284"/>
      <c r="AD234" s="284"/>
    </row>
    <row r="235" ht="14.25" customHeight="1">
      <c r="A235" s="265">
        <v>44156.0</v>
      </c>
      <c r="B235" s="266" t="s">
        <v>1500</v>
      </c>
      <c r="C235" s="266"/>
      <c r="D235" s="265" t="s">
        <v>1748</v>
      </c>
      <c r="E235" s="268"/>
      <c r="F235" s="291" t="s">
        <v>2405</v>
      </c>
      <c r="G235" s="268" t="s">
        <v>2155</v>
      </c>
      <c r="H235" s="270">
        <v>0.015381944444444443</v>
      </c>
      <c r="I235" s="271">
        <v>44156.83541666667</v>
      </c>
      <c r="J235" s="268"/>
      <c r="K235" s="271">
        <v>44158.42915509259</v>
      </c>
      <c r="L235" s="271" t="str">
        <f t="shared" si="25"/>
        <v>12/31/99 14:14</v>
      </c>
      <c r="M235" s="278" t="s">
        <v>2406</v>
      </c>
      <c r="N235" s="352"/>
      <c r="O235" s="276"/>
      <c r="P235" s="276"/>
      <c r="Q235" s="278"/>
      <c r="R235" s="278"/>
      <c r="S235" s="278"/>
      <c r="T235" s="278"/>
      <c r="U235" s="279"/>
      <c r="V235" s="279" t="s">
        <v>1824</v>
      </c>
      <c r="W235" s="280">
        <v>44159.0</v>
      </c>
      <c r="X235" s="281">
        <v>0.1423611111111111</v>
      </c>
      <c r="Y235" s="279" t="s">
        <v>1693</v>
      </c>
      <c r="Z235" s="282" t="s">
        <v>1570</v>
      </c>
      <c r="AA235" s="282" t="s">
        <v>2407</v>
      </c>
      <c r="AB235" s="283">
        <v>44165.0</v>
      </c>
      <c r="AC235" s="284"/>
      <c r="AD235" s="284"/>
    </row>
    <row r="236" ht="14.25" customHeight="1">
      <c r="A236" s="265">
        <v>44157.0</v>
      </c>
      <c r="B236" s="266" t="s">
        <v>1783</v>
      </c>
      <c r="C236" s="266"/>
      <c r="D236" s="266" t="s">
        <v>1796</v>
      </c>
      <c r="E236" s="268"/>
      <c r="F236" s="291" t="s">
        <v>2408</v>
      </c>
      <c r="G236" s="268" t="s">
        <v>2155</v>
      </c>
      <c r="H236" s="270">
        <v>0.017361111111111112</v>
      </c>
      <c r="I236" s="271">
        <v>44158.54027777778</v>
      </c>
      <c r="J236" s="268"/>
      <c r="K236" s="271">
        <v>44158.55297453704</v>
      </c>
      <c r="L236" s="271" t="str">
        <f t="shared" si="25"/>
        <v>12/30/99 0:18</v>
      </c>
      <c r="M236" s="278" t="s">
        <v>2409</v>
      </c>
      <c r="N236" s="352"/>
      <c r="O236" s="276"/>
      <c r="P236" s="276"/>
      <c r="Q236" s="278"/>
      <c r="R236" s="278"/>
      <c r="S236" s="278"/>
      <c r="T236" s="278"/>
      <c r="U236" s="279"/>
      <c r="V236" s="279" t="s">
        <v>1783</v>
      </c>
      <c r="W236" s="280">
        <v>44158.0</v>
      </c>
      <c r="X236" s="281">
        <v>0.05555555555555555</v>
      </c>
      <c r="Y236" s="279" t="s">
        <v>1693</v>
      </c>
      <c r="Z236" s="282" t="s">
        <v>1570</v>
      </c>
      <c r="AA236" s="282" t="s">
        <v>2410</v>
      </c>
      <c r="AB236" s="283">
        <v>44160.0</v>
      </c>
      <c r="AC236" s="284"/>
      <c r="AD236" s="284"/>
    </row>
    <row r="237" ht="14.25" customHeight="1">
      <c r="A237" s="265">
        <v>44158.0</v>
      </c>
      <c r="B237" s="266" t="s">
        <v>1570</v>
      </c>
      <c r="C237" s="266"/>
      <c r="D237" s="266" t="s">
        <v>1450</v>
      </c>
      <c r="E237" s="268"/>
      <c r="F237" s="291" t="s">
        <v>2411</v>
      </c>
      <c r="G237" s="268" t="s">
        <v>2155</v>
      </c>
      <c r="H237" s="270">
        <v>0.09652777777777777</v>
      </c>
      <c r="I237" s="271">
        <v>44158.53472222222</v>
      </c>
      <c r="J237" s="268"/>
      <c r="K237" s="271">
        <v>44158.62798611111</v>
      </c>
      <c r="L237" s="271" t="str">
        <f t="shared" si="25"/>
        <v>12/30/99 2:14</v>
      </c>
      <c r="M237" s="344" t="s">
        <v>2412</v>
      </c>
      <c r="N237" s="352"/>
      <c r="O237" s="276"/>
      <c r="P237" s="276"/>
      <c r="Q237" s="278"/>
      <c r="R237" s="278"/>
      <c r="S237" s="278"/>
      <c r="T237" s="278"/>
      <c r="U237" s="279"/>
      <c r="V237" s="279" t="s">
        <v>1824</v>
      </c>
      <c r="W237" s="280">
        <v>44174.0</v>
      </c>
      <c r="X237" s="281">
        <v>0.3475462962962963</v>
      </c>
      <c r="Y237" s="279" t="s">
        <v>1693</v>
      </c>
      <c r="Z237" s="282" t="s">
        <v>1570</v>
      </c>
      <c r="AA237" s="282" t="s">
        <v>2413</v>
      </c>
      <c r="AB237" s="283">
        <v>44160.0</v>
      </c>
      <c r="AC237" s="284"/>
      <c r="AD237" s="284"/>
    </row>
    <row r="238" ht="14.25" customHeight="1">
      <c r="A238" s="265">
        <v>44158.0</v>
      </c>
      <c r="B238" s="266" t="s">
        <v>1783</v>
      </c>
      <c r="C238" s="266"/>
      <c r="D238" s="266" t="s">
        <v>1452</v>
      </c>
      <c r="E238" s="268"/>
      <c r="F238" s="291" t="s">
        <v>2414</v>
      </c>
      <c r="G238" s="268" t="s">
        <v>2155</v>
      </c>
      <c r="H238" s="270">
        <v>0.009942129629629629</v>
      </c>
      <c r="I238" s="271">
        <v>44158.46597222222</v>
      </c>
      <c r="J238" s="268"/>
      <c r="K238" s="271">
        <v>44158.48415509259</v>
      </c>
      <c r="L238" s="271" t="str">
        <f t="shared" si="25"/>
        <v>12/30/99 0:26</v>
      </c>
      <c r="M238" s="344" t="s">
        <v>2415</v>
      </c>
      <c r="N238" s="290"/>
      <c r="O238" s="276"/>
      <c r="P238" s="276"/>
      <c r="Q238" s="278"/>
      <c r="R238" s="278"/>
      <c r="S238" s="278"/>
      <c r="T238" s="278"/>
      <c r="U238" s="279"/>
      <c r="V238" s="279" t="s">
        <v>1783</v>
      </c>
      <c r="W238" s="280">
        <v>44158.0</v>
      </c>
      <c r="X238" s="281">
        <v>0.041666666666666664</v>
      </c>
      <c r="Y238" s="279" t="s">
        <v>1693</v>
      </c>
      <c r="Z238" s="282" t="s">
        <v>1570</v>
      </c>
      <c r="AA238" s="282" t="s">
        <v>2416</v>
      </c>
      <c r="AB238" s="283">
        <v>44160.0</v>
      </c>
      <c r="AC238" s="284"/>
      <c r="AD238" s="284"/>
    </row>
    <row r="239" ht="14.25" customHeight="1">
      <c r="A239" s="265">
        <v>44158.0</v>
      </c>
      <c r="B239" s="266" t="s">
        <v>2030</v>
      </c>
      <c r="C239" s="266"/>
      <c r="D239" s="266" t="s">
        <v>1689</v>
      </c>
      <c r="E239" s="268"/>
      <c r="F239" s="291" t="s">
        <v>2417</v>
      </c>
      <c r="G239" s="268" t="s">
        <v>2085</v>
      </c>
      <c r="H239" s="270">
        <v>0.02884259259259259</v>
      </c>
      <c r="I239" s="271">
        <v>44158.625</v>
      </c>
      <c r="J239" s="268"/>
      <c r="K239" s="271">
        <v>44158.62708333333</v>
      </c>
      <c r="L239" s="271" t="str">
        <f t="shared" si="25"/>
        <v>12/30/99 0:03</v>
      </c>
      <c r="M239" s="354" t="s">
        <v>2418</v>
      </c>
      <c r="N239" s="290"/>
      <c r="O239" s="276"/>
      <c r="P239" s="276"/>
      <c r="Q239" s="278"/>
      <c r="R239" s="278"/>
      <c r="S239" s="278"/>
      <c r="T239" s="278"/>
      <c r="U239" s="279"/>
      <c r="V239" s="279" t="s">
        <v>2030</v>
      </c>
      <c r="W239" s="280">
        <v>44162.0</v>
      </c>
      <c r="X239" s="281">
        <v>0.14583333333333334</v>
      </c>
      <c r="Y239" s="279" t="s">
        <v>1693</v>
      </c>
      <c r="Z239" s="282" t="s">
        <v>1570</v>
      </c>
      <c r="AA239" s="282" t="s">
        <v>2419</v>
      </c>
      <c r="AB239" s="283">
        <v>44160.0</v>
      </c>
      <c r="AC239" s="284"/>
      <c r="AD239" s="284"/>
    </row>
    <row r="240" ht="14.25" customHeight="1">
      <c r="A240" s="265">
        <v>44158.0</v>
      </c>
      <c r="B240" s="266" t="s">
        <v>1746</v>
      </c>
      <c r="C240" s="266"/>
      <c r="D240" s="265" t="s">
        <v>1748</v>
      </c>
      <c r="E240" s="268"/>
      <c r="F240" s="291" t="s">
        <v>2420</v>
      </c>
      <c r="G240" s="268" t="s">
        <v>2085</v>
      </c>
      <c r="H240" s="270">
        <v>0.0166087962962963</v>
      </c>
      <c r="I240" s="271">
        <v>44158.895833333336</v>
      </c>
      <c r="J240" s="268"/>
      <c r="K240" s="271">
        <v>44158.94583333333</v>
      </c>
      <c r="L240" s="271" t="str">
        <f t="shared" si="25"/>
        <v>12/30/99 1:12</v>
      </c>
      <c r="M240" s="344" t="s">
        <v>2421</v>
      </c>
      <c r="N240" s="290"/>
      <c r="O240" s="276"/>
      <c r="P240" s="276"/>
      <c r="Q240" s="278"/>
      <c r="R240" s="278"/>
      <c r="S240" s="278"/>
      <c r="T240" s="278"/>
      <c r="U240" s="279"/>
      <c r="V240" s="279" t="s">
        <v>1824</v>
      </c>
      <c r="W240" s="280">
        <v>44165.0</v>
      </c>
      <c r="X240" s="281">
        <v>0.1388888888888889</v>
      </c>
      <c r="Y240" s="279" t="s">
        <v>1693</v>
      </c>
      <c r="Z240" s="282" t="s">
        <v>1570</v>
      </c>
      <c r="AA240" s="282" t="s">
        <v>2422</v>
      </c>
      <c r="AB240" s="283">
        <v>44160.0</v>
      </c>
      <c r="AC240" s="284"/>
      <c r="AD240" s="284"/>
    </row>
    <row r="241" ht="14.25" customHeight="1">
      <c r="A241" s="265">
        <v>44158.0</v>
      </c>
      <c r="B241" s="266" t="s">
        <v>1500</v>
      </c>
      <c r="C241" s="266" t="s">
        <v>1450</v>
      </c>
      <c r="D241" s="266" t="s">
        <v>1543</v>
      </c>
      <c r="E241" s="268"/>
      <c r="F241" s="291" t="s">
        <v>2423</v>
      </c>
      <c r="G241" s="268" t="s">
        <v>1463</v>
      </c>
      <c r="H241" s="270">
        <v>0.003206018518518519</v>
      </c>
      <c r="I241" s="271">
        <v>44159.63055555556</v>
      </c>
      <c r="J241" s="268"/>
      <c r="K241" s="271">
        <v>44159.67084490741</v>
      </c>
      <c r="L241" s="271"/>
      <c r="M241" s="344" t="s">
        <v>2424</v>
      </c>
      <c r="N241" s="290"/>
      <c r="O241" s="276"/>
      <c r="P241" s="276"/>
      <c r="Q241" s="278"/>
      <c r="R241" s="278"/>
      <c r="S241" s="278"/>
      <c r="T241" s="278"/>
      <c r="U241" s="279"/>
      <c r="V241" s="279" t="s">
        <v>1500</v>
      </c>
      <c r="W241" s="280">
        <v>44160.0</v>
      </c>
      <c r="X241" s="281">
        <v>0.034722222222222224</v>
      </c>
      <c r="Y241" s="279" t="s">
        <v>1693</v>
      </c>
      <c r="Z241" s="282" t="s">
        <v>1570</v>
      </c>
      <c r="AA241" s="282">
        <v>6297596.0</v>
      </c>
      <c r="AB241" s="283">
        <v>44165.0</v>
      </c>
      <c r="AC241" s="284"/>
      <c r="AD241" s="284"/>
    </row>
    <row r="242" ht="14.25" customHeight="1">
      <c r="A242" s="265">
        <v>44159.0</v>
      </c>
      <c r="B242" s="266" t="s">
        <v>1570</v>
      </c>
      <c r="C242" s="266"/>
      <c r="D242" s="266" t="s">
        <v>1450</v>
      </c>
      <c r="E242" s="268"/>
      <c r="F242" s="291" t="s">
        <v>2425</v>
      </c>
      <c r="G242" s="268" t="s">
        <v>2085</v>
      </c>
      <c r="H242" s="270">
        <v>0.09513888888888888</v>
      </c>
      <c r="I242" s="271">
        <v>44159.55694444444</v>
      </c>
      <c r="J242" s="268"/>
      <c r="K242" s="271">
        <v>44159.55694444444</v>
      </c>
      <c r="L242" s="271" t="str">
        <f>K242-I242</f>
        <v>12/30/99 0:00</v>
      </c>
      <c r="M242" s="344" t="s">
        <v>2426</v>
      </c>
      <c r="N242" s="290"/>
      <c r="O242" s="276"/>
      <c r="P242" s="276"/>
      <c r="Q242" s="278"/>
      <c r="R242" s="278"/>
      <c r="S242" s="278"/>
      <c r="T242" s="278"/>
      <c r="U242" s="279"/>
      <c r="V242" s="279" t="s">
        <v>1824</v>
      </c>
      <c r="W242" s="280" t="s">
        <v>2427</v>
      </c>
      <c r="X242" s="281">
        <v>0.3302662037037037</v>
      </c>
      <c r="Y242" s="279" t="s">
        <v>1693</v>
      </c>
      <c r="Z242" s="282" t="s">
        <v>1570</v>
      </c>
      <c r="AA242" s="282" t="s">
        <v>2428</v>
      </c>
      <c r="AB242" s="283">
        <v>44165.0</v>
      </c>
      <c r="AC242" s="284"/>
      <c r="AD242" s="284"/>
    </row>
    <row r="243" ht="14.25" customHeight="1">
      <c r="A243" s="285">
        <v>44159.0</v>
      </c>
      <c r="B243" s="267" t="s">
        <v>1500</v>
      </c>
      <c r="C243" s="267"/>
      <c r="D243" s="267" t="s">
        <v>2158</v>
      </c>
      <c r="E243" s="268"/>
      <c r="F243" s="291" t="s">
        <v>2429</v>
      </c>
      <c r="G243" s="268" t="s">
        <v>1463</v>
      </c>
      <c r="H243" s="270">
        <v>0.0026504629629629625</v>
      </c>
      <c r="I243" s="271">
        <v>44155.38201388889</v>
      </c>
      <c r="J243" s="268"/>
      <c r="K243" s="271">
        <v>44155.423680555556</v>
      </c>
      <c r="L243" s="271"/>
      <c r="M243" s="272" t="s">
        <v>2430</v>
      </c>
      <c r="N243" s="290"/>
      <c r="O243" s="276"/>
      <c r="P243" s="276"/>
      <c r="Q243" s="268"/>
      <c r="R243" s="278"/>
      <c r="S243" s="278"/>
      <c r="T243" s="278"/>
      <c r="U243" s="279"/>
      <c r="V243" s="279" t="s">
        <v>1570</v>
      </c>
      <c r="W243" s="280">
        <v>44195.0</v>
      </c>
      <c r="X243" s="281">
        <v>0.006944444444444444</v>
      </c>
      <c r="Y243" s="279" t="s">
        <v>1693</v>
      </c>
      <c r="Z243" s="282" t="s">
        <v>1570</v>
      </c>
      <c r="AA243" s="282">
        <v>6294570.0</v>
      </c>
      <c r="AB243" s="283">
        <v>44158.0</v>
      </c>
      <c r="AC243" s="284"/>
      <c r="AD243" s="284"/>
    </row>
    <row r="244" ht="14.25" customHeight="1">
      <c r="A244" s="265">
        <v>44159.0</v>
      </c>
      <c r="B244" s="266" t="s">
        <v>1783</v>
      </c>
      <c r="C244" s="266"/>
      <c r="D244" s="266" t="s">
        <v>1452</v>
      </c>
      <c r="E244" s="268"/>
      <c r="F244" s="291" t="s">
        <v>2431</v>
      </c>
      <c r="G244" s="268" t="s">
        <v>2085</v>
      </c>
      <c r="H244" s="270">
        <v>0.011863425925925925</v>
      </c>
      <c r="I244" s="271">
        <v>44159.461805555555</v>
      </c>
      <c r="J244" s="268"/>
      <c r="K244" s="271">
        <v>44159.479097222225</v>
      </c>
      <c r="L244" s="271" t="str">
        <f t="shared" ref="L244:L246" si="26">K244-I244</f>
        <v>12/30/99 0:24</v>
      </c>
      <c r="M244" s="344" t="s">
        <v>2432</v>
      </c>
      <c r="N244" s="290"/>
      <c r="O244" s="276"/>
      <c r="P244" s="276"/>
      <c r="Q244" s="278"/>
      <c r="R244" s="278"/>
      <c r="S244" s="278"/>
      <c r="T244" s="278"/>
      <c r="U244" s="279"/>
      <c r="V244" s="279" t="s">
        <v>1783</v>
      </c>
      <c r="W244" s="280">
        <v>44159.0</v>
      </c>
      <c r="X244" s="281">
        <v>0.04861111111111111</v>
      </c>
      <c r="Y244" s="279" t="s">
        <v>1693</v>
      </c>
      <c r="Z244" s="282" t="s">
        <v>1570</v>
      </c>
      <c r="AA244" s="282" t="s">
        <v>2433</v>
      </c>
      <c r="AB244" s="283">
        <v>44165.0</v>
      </c>
      <c r="AC244" s="284"/>
      <c r="AD244" s="284"/>
    </row>
    <row r="245" ht="14.25" customHeight="1">
      <c r="A245" s="265">
        <v>44159.0</v>
      </c>
      <c r="B245" s="266" t="s">
        <v>2030</v>
      </c>
      <c r="C245" s="266"/>
      <c r="D245" s="266" t="s">
        <v>1689</v>
      </c>
      <c r="E245" s="268"/>
      <c r="F245" s="291" t="s">
        <v>2434</v>
      </c>
      <c r="G245" s="268" t="s">
        <v>2085</v>
      </c>
      <c r="H245" s="270">
        <v>0.028425925925925924</v>
      </c>
      <c r="I245" s="271">
        <v>44159.57638888889</v>
      </c>
      <c r="J245" s="268"/>
      <c r="K245" s="271">
        <v>44159.57708333333</v>
      </c>
      <c r="L245" s="271" t="str">
        <f t="shared" si="26"/>
        <v>12/30/99 0:01</v>
      </c>
      <c r="M245" s="354" t="s">
        <v>2435</v>
      </c>
      <c r="N245" s="290"/>
      <c r="O245" s="276"/>
      <c r="P245" s="276"/>
      <c r="Q245" s="278"/>
      <c r="R245" s="278"/>
      <c r="S245" s="278"/>
      <c r="T245" s="278"/>
      <c r="U245" s="279"/>
      <c r="V245" s="279" t="s">
        <v>1733</v>
      </c>
      <c r="W245" s="280">
        <v>44164.0</v>
      </c>
      <c r="X245" s="281">
        <v>0.16666666666666666</v>
      </c>
      <c r="Y245" s="279" t="s">
        <v>1693</v>
      </c>
      <c r="Z245" s="282" t="s">
        <v>1570</v>
      </c>
      <c r="AA245" s="282" t="s">
        <v>2436</v>
      </c>
      <c r="AB245" s="283">
        <v>44165.0</v>
      </c>
      <c r="AC245" s="284"/>
      <c r="AD245" s="284"/>
    </row>
    <row r="246" ht="14.25" customHeight="1">
      <c r="A246" s="265">
        <v>44159.0</v>
      </c>
      <c r="B246" s="266" t="s">
        <v>1746</v>
      </c>
      <c r="C246" s="266"/>
      <c r="D246" s="265" t="s">
        <v>1748</v>
      </c>
      <c r="E246" s="268"/>
      <c r="F246" s="291" t="s">
        <v>2437</v>
      </c>
      <c r="G246" s="268" t="s">
        <v>2085</v>
      </c>
      <c r="H246" s="270">
        <v>0.01525462962962963</v>
      </c>
      <c r="I246" s="271">
        <v>44159.88055555556</v>
      </c>
      <c r="J246" s="268"/>
      <c r="K246" s="271">
        <v>44159.89791666667</v>
      </c>
      <c r="L246" s="271" t="str">
        <f t="shared" si="26"/>
        <v>12/30/99 0:25</v>
      </c>
      <c r="M246" s="344" t="s">
        <v>2438</v>
      </c>
      <c r="N246" s="290"/>
      <c r="O246" s="276"/>
      <c r="P246" s="276"/>
      <c r="Q246" s="278"/>
      <c r="R246" s="278"/>
      <c r="S246" s="278"/>
      <c r="T246" s="278"/>
      <c r="U246" s="279"/>
      <c r="V246" s="279" t="s">
        <v>1824</v>
      </c>
      <c r="W246" s="280">
        <v>44166.0</v>
      </c>
      <c r="X246" s="281">
        <v>0.0987037037037037</v>
      </c>
      <c r="Y246" s="279" t="s">
        <v>1693</v>
      </c>
      <c r="Z246" s="282" t="s">
        <v>1570</v>
      </c>
      <c r="AA246" s="282" t="s">
        <v>2439</v>
      </c>
      <c r="AB246" s="283">
        <v>44165.0</v>
      </c>
      <c r="AC246" s="284"/>
      <c r="AD246" s="284"/>
    </row>
    <row r="247" ht="14.25" customHeight="1">
      <c r="A247" s="265">
        <v>44159.0</v>
      </c>
      <c r="B247" s="266" t="s">
        <v>1500</v>
      </c>
      <c r="C247" s="266" t="s">
        <v>1453</v>
      </c>
      <c r="D247" s="266" t="s">
        <v>1543</v>
      </c>
      <c r="E247" s="268"/>
      <c r="F247" s="291" t="s">
        <v>2440</v>
      </c>
      <c r="G247" s="268" t="s">
        <v>1463</v>
      </c>
      <c r="H247" s="270">
        <v>0.0012847222222222223</v>
      </c>
      <c r="I247" s="271">
        <v>44159.63055555556</v>
      </c>
      <c r="J247" s="268"/>
      <c r="K247" s="271">
        <v>44159.670069444444</v>
      </c>
      <c r="L247" s="271"/>
      <c r="M247" s="344" t="s">
        <v>2441</v>
      </c>
      <c r="N247" s="290"/>
      <c r="O247" s="276"/>
      <c r="P247" s="276"/>
      <c r="Q247" s="278"/>
      <c r="R247" s="278"/>
      <c r="S247" s="278"/>
      <c r="T247" s="278"/>
      <c r="U247" s="279"/>
      <c r="V247" s="279" t="s">
        <v>1500</v>
      </c>
      <c r="W247" s="280">
        <v>44160.0</v>
      </c>
      <c r="X247" s="281">
        <v>0.027777777777777776</v>
      </c>
      <c r="Y247" s="279" t="s">
        <v>1693</v>
      </c>
      <c r="Z247" s="282" t="s">
        <v>1570</v>
      </c>
      <c r="AA247" s="282">
        <v>6297594.0</v>
      </c>
      <c r="AB247" s="283">
        <v>44165.0</v>
      </c>
      <c r="AC247" s="284"/>
      <c r="AD247" s="284"/>
    </row>
    <row r="248" ht="14.25" customHeight="1">
      <c r="A248" s="265">
        <v>44159.0</v>
      </c>
      <c r="B248" s="266" t="s">
        <v>1500</v>
      </c>
      <c r="C248" s="266" t="s">
        <v>1686</v>
      </c>
      <c r="D248" s="266" t="s">
        <v>1543</v>
      </c>
      <c r="E248" s="268"/>
      <c r="F248" s="291" t="s">
        <v>2442</v>
      </c>
      <c r="G248" s="268" t="s">
        <v>1463</v>
      </c>
      <c r="H248" s="270">
        <v>8.796296296296296E-4</v>
      </c>
      <c r="I248" s="271">
        <v>44159.63055555556</v>
      </c>
      <c r="J248" s="268"/>
      <c r="K248" s="271">
        <v>44159.66967592593</v>
      </c>
      <c r="L248" s="271"/>
      <c r="M248" s="355" t="s">
        <v>2443</v>
      </c>
      <c r="N248" s="290"/>
      <c r="O248" s="276"/>
      <c r="P248" s="276"/>
      <c r="Q248" s="278"/>
      <c r="R248" s="278"/>
      <c r="S248" s="278"/>
      <c r="T248" s="278"/>
      <c r="U248" s="279"/>
      <c r="V248" s="279" t="s">
        <v>1500</v>
      </c>
      <c r="W248" s="280">
        <v>44160.0</v>
      </c>
      <c r="X248" s="281">
        <v>0.027777777777777776</v>
      </c>
      <c r="Y248" s="279" t="s">
        <v>1693</v>
      </c>
      <c r="Z248" s="282" t="s">
        <v>1570</v>
      </c>
      <c r="AA248" s="282">
        <v>6297595.0</v>
      </c>
      <c r="AB248" s="283">
        <v>44165.0</v>
      </c>
      <c r="AC248" s="284"/>
      <c r="AD248" s="284"/>
    </row>
    <row r="249" ht="14.25" customHeight="1">
      <c r="A249" s="265">
        <v>44160.0</v>
      </c>
      <c r="B249" s="356" t="s">
        <v>1570</v>
      </c>
      <c r="C249" s="266"/>
      <c r="D249" s="266" t="s">
        <v>1450</v>
      </c>
      <c r="E249" s="268"/>
      <c r="F249" s="291" t="s">
        <v>2444</v>
      </c>
      <c r="G249" s="268" t="s">
        <v>2085</v>
      </c>
      <c r="H249" s="270">
        <v>0.09375</v>
      </c>
      <c r="I249" s="271">
        <v>44160.70138888889</v>
      </c>
      <c r="J249" s="268"/>
      <c r="K249" s="271">
        <v>44160.70149305555</v>
      </c>
      <c r="L249" s="271" t="str">
        <f t="shared" ref="L249:L253" si="27">K249-I249</f>
        <v>12/30/99 0:00</v>
      </c>
      <c r="M249" s="344" t="s">
        <v>2445</v>
      </c>
      <c r="N249" s="290"/>
      <c r="O249" s="276"/>
      <c r="P249" s="276"/>
      <c r="Q249" s="278"/>
      <c r="R249" s="278"/>
      <c r="S249" s="278"/>
      <c r="T249" s="278"/>
      <c r="U249" s="279"/>
      <c r="V249" s="279" t="s">
        <v>1824</v>
      </c>
      <c r="W249" s="280">
        <v>44180.0</v>
      </c>
      <c r="X249" s="281">
        <v>0.4166666666666667</v>
      </c>
      <c r="Y249" s="279" t="s">
        <v>1693</v>
      </c>
      <c r="Z249" s="282" t="s">
        <v>1570</v>
      </c>
      <c r="AA249" s="282" t="s">
        <v>2446</v>
      </c>
      <c r="AB249" s="283">
        <v>44165.0</v>
      </c>
      <c r="AC249" s="284"/>
      <c r="AD249" s="284"/>
    </row>
    <row r="250" ht="14.25" customHeight="1">
      <c r="A250" s="265">
        <v>44160.0</v>
      </c>
      <c r="B250" s="266" t="s">
        <v>1783</v>
      </c>
      <c r="C250" s="266"/>
      <c r="D250" s="266" t="s">
        <v>1452</v>
      </c>
      <c r="E250" s="268"/>
      <c r="F250" s="291" t="s">
        <v>2447</v>
      </c>
      <c r="G250" s="268" t="s">
        <v>2085</v>
      </c>
      <c r="H250" s="270">
        <v>0.006296296296296296</v>
      </c>
      <c r="I250" s="271">
        <v>44160.549305555556</v>
      </c>
      <c r="J250" s="268"/>
      <c r="K250" s="271">
        <v>44160.5577662037</v>
      </c>
      <c r="L250" s="271" t="str">
        <f t="shared" si="27"/>
        <v>12/30/99 0:12</v>
      </c>
      <c r="M250" s="344" t="s">
        <v>2448</v>
      </c>
      <c r="N250" s="290"/>
      <c r="O250" s="276"/>
      <c r="P250" s="276"/>
      <c r="Q250" s="278"/>
      <c r="R250" s="278"/>
      <c r="S250" s="278"/>
      <c r="T250" s="278"/>
      <c r="U250" s="279"/>
      <c r="V250" s="279" t="s">
        <v>1783</v>
      </c>
      <c r="W250" s="280">
        <v>44161.0</v>
      </c>
      <c r="X250" s="281">
        <v>0.03819444444444444</v>
      </c>
      <c r="Y250" s="279" t="s">
        <v>1693</v>
      </c>
      <c r="Z250" s="282" t="s">
        <v>1570</v>
      </c>
      <c r="AA250" s="282" t="s">
        <v>2449</v>
      </c>
      <c r="AB250" s="283">
        <v>44165.0</v>
      </c>
      <c r="AC250" s="284"/>
      <c r="AD250" s="284"/>
    </row>
    <row r="251" ht="14.25" customHeight="1">
      <c r="A251" s="265">
        <v>44160.0</v>
      </c>
      <c r="B251" s="266" t="s">
        <v>2030</v>
      </c>
      <c r="C251" s="266"/>
      <c r="D251" s="266" t="s">
        <v>1689</v>
      </c>
      <c r="E251" s="268"/>
      <c r="F251" s="291" t="s">
        <v>2450</v>
      </c>
      <c r="G251" s="268" t="s">
        <v>2085</v>
      </c>
      <c r="H251" s="270">
        <v>0.02809027777777778</v>
      </c>
      <c r="I251" s="271">
        <v>44160.74722222222</v>
      </c>
      <c r="J251" s="268"/>
      <c r="K251" s="271">
        <v>44160.74722222222</v>
      </c>
      <c r="L251" s="271" t="str">
        <f t="shared" si="27"/>
        <v>12/30/99 0:00</v>
      </c>
      <c r="M251" s="354" t="s">
        <v>2451</v>
      </c>
      <c r="N251" s="290"/>
      <c r="O251" s="276"/>
      <c r="P251" s="276"/>
      <c r="Q251" s="278"/>
      <c r="R251" s="278"/>
      <c r="S251" s="278"/>
      <c r="T251" s="278"/>
      <c r="U251" s="279"/>
      <c r="V251" s="279" t="s">
        <v>1733</v>
      </c>
      <c r="W251" s="280">
        <v>44165.0</v>
      </c>
      <c r="X251" s="281">
        <v>0.16666666666666666</v>
      </c>
      <c r="Y251" s="279" t="s">
        <v>1693</v>
      </c>
      <c r="Z251" s="282" t="s">
        <v>1570</v>
      </c>
      <c r="AA251" s="282" t="s">
        <v>2452</v>
      </c>
      <c r="AB251" s="283">
        <v>44165.0</v>
      </c>
      <c r="AC251" s="284"/>
      <c r="AD251" s="284"/>
    </row>
    <row r="252" ht="14.25" customHeight="1">
      <c r="A252" s="265">
        <v>44160.0</v>
      </c>
      <c r="B252" s="266" t="s">
        <v>1746</v>
      </c>
      <c r="C252" s="266"/>
      <c r="D252" s="265" t="s">
        <v>1748</v>
      </c>
      <c r="E252" s="268"/>
      <c r="F252" s="291" t="s">
        <v>2453</v>
      </c>
      <c r="G252" s="268" t="s">
        <v>2085</v>
      </c>
      <c r="H252" s="270">
        <v>0.016238425925925924</v>
      </c>
      <c r="I252" s="271">
        <v>44160.96111111111</v>
      </c>
      <c r="J252" s="268"/>
      <c r="K252" s="271">
        <v>44160.97777777778</v>
      </c>
      <c r="L252" s="271" t="str">
        <f t="shared" si="27"/>
        <v>12/30/99 0:24</v>
      </c>
      <c r="M252" s="344" t="s">
        <v>2454</v>
      </c>
      <c r="N252" s="290"/>
      <c r="O252" s="276"/>
      <c r="P252" s="276"/>
      <c r="Q252" s="278"/>
      <c r="R252" s="278"/>
      <c r="S252" s="278"/>
      <c r="T252" s="278"/>
      <c r="U252" s="279"/>
      <c r="V252" s="279" t="s">
        <v>1824</v>
      </c>
      <c r="W252" s="280">
        <v>44166.0</v>
      </c>
      <c r="X252" s="281">
        <v>0.09347222222222222</v>
      </c>
      <c r="Y252" s="279" t="s">
        <v>1693</v>
      </c>
      <c r="Z252" s="282" t="s">
        <v>1570</v>
      </c>
      <c r="AA252" s="282" t="s">
        <v>2455</v>
      </c>
      <c r="AB252" s="283">
        <v>44165.0</v>
      </c>
      <c r="AC252" s="284"/>
      <c r="AD252" s="284"/>
    </row>
    <row r="253" ht="14.25" customHeight="1">
      <c r="A253" s="265">
        <v>44161.0</v>
      </c>
      <c r="B253" s="266" t="s">
        <v>1570</v>
      </c>
      <c r="C253" s="266"/>
      <c r="D253" s="266" t="s">
        <v>1450</v>
      </c>
      <c r="E253" s="268"/>
      <c r="F253" s="291" t="s">
        <v>2456</v>
      </c>
      <c r="G253" s="268" t="s">
        <v>2085</v>
      </c>
      <c r="H253" s="270">
        <v>0.09513888888888888</v>
      </c>
      <c r="I253" s="271">
        <v>44161.56597222222</v>
      </c>
      <c r="J253" s="268"/>
      <c r="K253" s="271">
        <v>44161.56664351852</v>
      </c>
      <c r="L253" s="271" t="str">
        <f t="shared" si="27"/>
        <v>12/30/99 0:00</v>
      </c>
      <c r="M253" s="344" t="s">
        <v>2457</v>
      </c>
      <c r="N253" s="290"/>
      <c r="O253" s="276"/>
      <c r="P253" s="276"/>
      <c r="Q253" s="278"/>
      <c r="R253" s="278"/>
      <c r="S253" s="278"/>
      <c r="T253" s="278"/>
      <c r="U253" s="279"/>
      <c r="V253" s="279" t="s">
        <v>1824</v>
      </c>
      <c r="W253" s="280">
        <v>44182.0</v>
      </c>
      <c r="X253" s="281">
        <v>0.4166666666666667</v>
      </c>
      <c r="Y253" s="279" t="s">
        <v>1693</v>
      </c>
      <c r="Z253" s="282" t="s">
        <v>1570</v>
      </c>
      <c r="AA253" s="282" t="s">
        <v>2458</v>
      </c>
      <c r="AB253" s="283">
        <v>44165.0</v>
      </c>
      <c r="AC253" s="284"/>
      <c r="AD253" s="284"/>
    </row>
    <row r="254" ht="14.25" customHeight="1">
      <c r="A254" s="265">
        <v>44161.0</v>
      </c>
      <c r="B254" s="266" t="s">
        <v>2459</v>
      </c>
      <c r="C254" s="266"/>
      <c r="D254" s="266" t="s">
        <v>1452</v>
      </c>
      <c r="E254" s="268"/>
      <c r="F254" s="291" t="s">
        <v>2460</v>
      </c>
      <c r="G254" s="268" t="s">
        <v>2085</v>
      </c>
      <c r="H254" s="270">
        <v>0.00462962962962963</v>
      </c>
      <c r="I254" s="271">
        <v>44161.54652777778</v>
      </c>
      <c r="J254" s="268"/>
      <c r="K254" s="271">
        <v>44161.55396990741</v>
      </c>
      <c r="L254" s="271" t="str">
        <f>#REF!-I254</f>
        <v>#REF!</v>
      </c>
      <c r="M254" s="278" t="s">
        <v>2461</v>
      </c>
      <c r="N254" s="290"/>
      <c r="O254" s="276"/>
      <c r="P254" s="276"/>
      <c r="Q254" s="278"/>
      <c r="R254" s="278"/>
      <c r="S254" s="278"/>
      <c r="T254" s="278"/>
      <c r="U254" s="279"/>
      <c r="V254" s="279" t="s">
        <v>1783</v>
      </c>
      <c r="W254" s="280">
        <v>44161.0</v>
      </c>
      <c r="X254" s="281">
        <v>0.027777777777777776</v>
      </c>
      <c r="Y254" s="279" t="s">
        <v>1693</v>
      </c>
      <c r="Z254" s="282" t="s">
        <v>1570</v>
      </c>
      <c r="AA254" s="282" t="s">
        <v>2462</v>
      </c>
      <c r="AB254" s="283">
        <v>44165.0</v>
      </c>
      <c r="AC254" s="284"/>
      <c r="AD254" s="284"/>
    </row>
    <row r="255" ht="14.25" customHeight="1">
      <c r="A255" s="265">
        <v>44161.0</v>
      </c>
      <c r="B255" s="266" t="s">
        <v>2030</v>
      </c>
      <c r="C255" s="266"/>
      <c r="D255" s="266" t="s">
        <v>1689</v>
      </c>
      <c r="E255" s="268"/>
      <c r="F255" s="291" t="s">
        <v>2463</v>
      </c>
      <c r="G255" s="268" t="s">
        <v>2085</v>
      </c>
      <c r="H255" s="270">
        <v>0.02798611111111111</v>
      </c>
      <c r="I255" s="271">
        <v>44161.57847222222</v>
      </c>
      <c r="J255" s="268"/>
      <c r="K255" s="271">
        <v>44161.604166666664</v>
      </c>
      <c r="L255" s="271" t="str">
        <f t="shared" ref="L255:L256" si="28">K255-I255</f>
        <v>12/30/99 0:37</v>
      </c>
      <c r="M255" s="354" t="s">
        <v>2464</v>
      </c>
      <c r="N255" s="290"/>
      <c r="O255" s="276"/>
      <c r="P255" s="276"/>
      <c r="Q255" s="278"/>
      <c r="R255" s="278"/>
      <c r="S255" s="278"/>
      <c r="T255" s="278"/>
      <c r="U255" s="279"/>
      <c r="V255" s="279" t="s">
        <v>1733</v>
      </c>
      <c r="W255" s="280">
        <v>44165.0</v>
      </c>
      <c r="X255" s="281">
        <v>0.14583333333333334</v>
      </c>
      <c r="Y255" s="279" t="s">
        <v>1693</v>
      </c>
      <c r="Z255" s="282" t="s">
        <v>1570</v>
      </c>
      <c r="AA255" s="282" t="s">
        <v>2465</v>
      </c>
      <c r="AB255" s="283">
        <v>44165.0</v>
      </c>
      <c r="AC255" s="284"/>
      <c r="AD255" s="284"/>
    </row>
    <row r="256" ht="14.25" customHeight="1">
      <c r="A256" s="357">
        <v>44161.0</v>
      </c>
      <c r="B256" s="266" t="s">
        <v>1746</v>
      </c>
      <c r="C256" s="266"/>
      <c r="D256" s="265" t="s">
        <v>1748</v>
      </c>
      <c r="E256" s="268"/>
      <c r="F256" s="291" t="s">
        <v>2466</v>
      </c>
      <c r="G256" s="268" t="s">
        <v>2085</v>
      </c>
      <c r="H256" s="270">
        <v>0.013611111111111114</v>
      </c>
      <c r="I256" s="271">
        <v>44161.87847222222</v>
      </c>
      <c r="J256" s="268"/>
      <c r="K256" s="271">
        <v>44161.88263888889</v>
      </c>
      <c r="L256" s="271" t="str">
        <f t="shared" si="28"/>
        <v>12/30/99 0:06</v>
      </c>
      <c r="M256" s="278" t="s">
        <v>2467</v>
      </c>
      <c r="N256" s="290"/>
      <c r="O256" s="276"/>
      <c r="P256" s="276"/>
      <c r="Q256" s="278"/>
      <c r="R256" s="278"/>
      <c r="S256" s="278"/>
      <c r="T256" s="278"/>
      <c r="U256" s="279"/>
      <c r="V256" s="279" t="s">
        <v>1824</v>
      </c>
      <c r="W256" s="280">
        <v>44167.0</v>
      </c>
      <c r="X256" s="281">
        <v>0.08690972222222222</v>
      </c>
      <c r="Y256" s="279" t="s">
        <v>1693</v>
      </c>
      <c r="Z256" s="282" t="s">
        <v>1570</v>
      </c>
      <c r="AA256" s="282" t="s">
        <v>2468</v>
      </c>
      <c r="AB256" s="283">
        <v>44167.0</v>
      </c>
      <c r="AC256" s="284"/>
      <c r="AD256" s="284"/>
    </row>
    <row r="257" ht="14.25" customHeight="1">
      <c r="A257" s="357">
        <v>44161.0</v>
      </c>
      <c r="B257" s="266" t="s">
        <v>1500</v>
      </c>
      <c r="C257" s="266" t="s">
        <v>2346</v>
      </c>
      <c r="D257" s="266" t="s">
        <v>1543</v>
      </c>
      <c r="E257" s="268"/>
      <c r="F257" s="291" t="s">
        <v>2469</v>
      </c>
      <c r="G257" s="268" t="s">
        <v>1463</v>
      </c>
      <c r="H257" s="270">
        <v>0.002372685185185185</v>
      </c>
      <c r="I257" s="271">
        <v>44166.4375</v>
      </c>
      <c r="J257" s="268"/>
      <c r="K257" s="348">
        <v>44166.47409722222</v>
      </c>
      <c r="L257" s="271"/>
      <c r="M257" s="278" t="s">
        <v>2470</v>
      </c>
      <c r="N257" s="290"/>
      <c r="O257" s="276"/>
      <c r="P257" s="275"/>
      <c r="Q257" s="278"/>
      <c r="R257" s="278"/>
      <c r="S257" s="278"/>
      <c r="T257" s="278"/>
      <c r="U257" s="279"/>
      <c r="V257" s="279" t="s">
        <v>1500</v>
      </c>
      <c r="W257" s="280">
        <v>44167.0</v>
      </c>
      <c r="X257" s="281">
        <v>0.020833333333333332</v>
      </c>
      <c r="Y257" s="279" t="s">
        <v>1693</v>
      </c>
      <c r="Z257" s="282" t="s">
        <v>1570</v>
      </c>
      <c r="AA257" s="282">
        <v>6301226.0</v>
      </c>
      <c r="AB257" s="283">
        <v>44169.0</v>
      </c>
      <c r="AC257" s="284"/>
      <c r="AD257" s="284"/>
    </row>
    <row r="258" ht="14.25" customHeight="1">
      <c r="A258" s="357">
        <v>44161.0</v>
      </c>
      <c r="B258" s="266" t="s">
        <v>1500</v>
      </c>
      <c r="C258" s="266" t="s">
        <v>2471</v>
      </c>
      <c r="D258" s="266" t="s">
        <v>1543</v>
      </c>
      <c r="E258" s="268"/>
      <c r="F258" s="291" t="s">
        <v>2472</v>
      </c>
      <c r="G258" s="268" t="s">
        <v>1463</v>
      </c>
      <c r="H258" s="270">
        <v>0.0024189814814814816</v>
      </c>
      <c r="I258" s="271">
        <v>44167.67986111111</v>
      </c>
      <c r="J258" s="268"/>
      <c r="K258" s="348">
        <v>44167.726875</v>
      </c>
      <c r="L258" s="271"/>
      <c r="M258" s="307" t="s">
        <v>2473</v>
      </c>
      <c r="N258" s="273">
        <v>44168.470717592594</v>
      </c>
      <c r="O258" s="276" t="s">
        <v>2474</v>
      </c>
      <c r="P258" s="268" t="s">
        <v>1463</v>
      </c>
      <c r="Q258" s="278" t="s">
        <v>1819</v>
      </c>
      <c r="R258" s="277">
        <v>44168.80578703704</v>
      </c>
      <c r="S258" s="278"/>
      <c r="T258" s="278" t="s">
        <v>2475</v>
      </c>
      <c r="U258" s="279"/>
      <c r="V258" s="279" t="s">
        <v>1824</v>
      </c>
      <c r="W258" s="280">
        <v>44187.0</v>
      </c>
      <c r="X258" s="281">
        <v>0.013969907407407408</v>
      </c>
      <c r="Y258" s="279" t="s">
        <v>1693</v>
      </c>
      <c r="Z258" s="282" t="s">
        <v>1570</v>
      </c>
      <c r="AA258" s="282">
        <v>6304508.0</v>
      </c>
      <c r="AB258" s="283">
        <v>44174.0</v>
      </c>
      <c r="AC258" s="284"/>
      <c r="AD258" s="284"/>
    </row>
    <row r="259" ht="14.25" customHeight="1">
      <c r="A259" s="265">
        <v>44162.0</v>
      </c>
      <c r="B259" s="266" t="s">
        <v>1570</v>
      </c>
      <c r="C259" s="266"/>
      <c r="D259" s="266" t="s">
        <v>1450</v>
      </c>
      <c r="E259" s="268"/>
      <c r="F259" s="291" t="s">
        <v>2476</v>
      </c>
      <c r="G259" s="268" t="s">
        <v>2085</v>
      </c>
      <c r="H259" s="270">
        <v>0.09513888888888888</v>
      </c>
      <c r="I259" s="271">
        <v>44162.58194444444</v>
      </c>
      <c r="J259" s="268"/>
      <c r="K259" s="271">
        <v>44162.62428240741</v>
      </c>
      <c r="L259" s="271" t="str">
        <f t="shared" ref="L259:L262" si="29">K259-I259</f>
        <v>12/30/99 1:00</v>
      </c>
      <c r="M259" s="278" t="s">
        <v>2477</v>
      </c>
      <c r="N259" s="290"/>
      <c r="O259" s="276"/>
      <c r="P259" s="275"/>
      <c r="Q259" s="278"/>
      <c r="R259" s="278"/>
      <c r="S259" s="278"/>
      <c r="T259" s="278"/>
      <c r="U259" s="279"/>
      <c r="V259" s="279" t="s">
        <v>2030</v>
      </c>
      <c r="W259" s="280" t="s">
        <v>2478</v>
      </c>
      <c r="X259" s="281">
        <v>0.004166666666666667</v>
      </c>
      <c r="Y259" s="279" t="s">
        <v>1693</v>
      </c>
      <c r="Z259" s="282" t="s">
        <v>1570</v>
      </c>
      <c r="AA259" s="282" t="s">
        <v>2479</v>
      </c>
      <c r="AB259" s="283">
        <v>44167.0</v>
      </c>
      <c r="AC259" s="284"/>
      <c r="AD259" s="284"/>
    </row>
    <row r="260" ht="14.25" customHeight="1">
      <c r="A260" s="265">
        <v>44162.0</v>
      </c>
      <c r="B260" s="266" t="s">
        <v>1783</v>
      </c>
      <c r="C260" s="266"/>
      <c r="D260" s="266" t="s">
        <v>1452</v>
      </c>
      <c r="E260" s="268"/>
      <c r="F260" s="291" t="s">
        <v>2480</v>
      </c>
      <c r="G260" s="268" t="s">
        <v>2085</v>
      </c>
      <c r="H260" s="270">
        <v>0.007060185185185184</v>
      </c>
      <c r="I260" s="271">
        <v>44162.55138888889</v>
      </c>
      <c r="J260" s="268"/>
      <c r="K260" s="348">
        <v>44162.56458333333</v>
      </c>
      <c r="L260" s="271" t="str">
        <f t="shared" si="29"/>
        <v>12/30/99 0:19</v>
      </c>
      <c r="M260" s="278" t="s">
        <v>2481</v>
      </c>
      <c r="N260" s="290"/>
      <c r="O260" s="276"/>
      <c r="P260" s="275"/>
      <c r="Q260" s="278"/>
      <c r="R260" s="278"/>
      <c r="S260" s="278"/>
      <c r="T260" s="278"/>
      <c r="U260" s="279"/>
      <c r="V260" s="279" t="s">
        <v>1783</v>
      </c>
      <c r="W260" s="280">
        <v>44165.0</v>
      </c>
      <c r="X260" s="281">
        <v>0.03819444444444444</v>
      </c>
      <c r="Y260" s="279" t="s">
        <v>1693</v>
      </c>
      <c r="Z260" s="282" t="s">
        <v>1570</v>
      </c>
      <c r="AA260" s="282" t="s">
        <v>2482</v>
      </c>
      <c r="AB260" s="283">
        <v>44167.0</v>
      </c>
      <c r="AC260" s="284"/>
      <c r="AD260" s="284"/>
    </row>
    <row r="261" ht="14.25" customHeight="1">
      <c r="A261" s="265">
        <v>44162.0</v>
      </c>
      <c r="B261" s="266" t="s">
        <v>2030</v>
      </c>
      <c r="C261" s="266"/>
      <c r="D261" s="266" t="s">
        <v>1689</v>
      </c>
      <c r="E261" s="268"/>
      <c r="F261" s="291" t="s">
        <v>2483</v>
      </c>
      <c r="G261" s="268" t="s">
        <v>2085</v>
      </c>
      <c r="H261" s="270">
        <v>0.027800925925925923</v>
      </c>
      <c r="I261" s="271">
        <v>44162.575</v>
      </c>
      <c r="J261" s="268"/>
      <c r="K261" s="271">
        <v>44162.575</v>
      </c>
      <c r="L261" s="271" t="str">
        <f t="shared" si="29"/>
        <v>12/30/99 0:00</v>
      </c>
      <c r="M261" s="278" t="s">
        <v>2484</v>
      </c>
      <c r="N261" s="352"/>
      <c r="O261" s="275"/>
      <c r="P261" s="275"/>
      <c r="Q261" s="278"/>
      <c r="R261" s="278"/>
      <c r="S261" s="278"/>
      <c r="T261" s="278"/>
      <c r="U261" s="279"/>
      <c r="V261" s="279" t="s">
        <v>1733</v>
      </c>
      <c r="W261" s="280">
        <v>44166.0</v>
      </c>
      <c r="X261" s="281">
        <v>0.16666666666666666</v>
      </c>
      <c r="Y261" s="279" t="s">
        <v>1693</v>
      </c>
      <c r="Z261" s="282" t="s">
        <v>1570</v>
      </c>
      <c r="AA261" s="282" t="s">
        <v>2485</v>
      </c>
      <c r="AB261" s="283">
        <v>44167.0</v>
      </c>
      <c r="AC261" s="284"/>
      <c r="AD261" s="284"/>
    </row>
    <row r="262" ht="14.25" customHeight="1">
      <c r="A262" s="265">
        <v>44162.0</v>
      </c>
      <c r="B262" s="266" t="s">
        <v>1746</v>
      </c>
      <c r="C262" s="266"/>
      <c r="D262" s="265" t="s">
        <v>1748</v>
      </c>
      <c r="E262" s="268"/>
      <c r="F262" s="291" t="s">
        <v>2486</v>
      </c>
      <c r="G262" s="268" t="s">
        <v>2085</v>
      </c>
      <c r="H262" s="270">
        <v>0.01537037037037037</v>
      </c>
      <c r="I262" s="271">
        <v>44162.94097222222</v>
      </c>
      <c r="J262" s="268"/>
      <c r="K262" s="271">
        <v>44162.959027777775</v>
      </c>
      <c r="L262" s="271" t="str">
        <f t="shared" si="29"/>
        <v>12/30/99 0:26</v>
      </c>
      <c r="M262" s="278" t="s">
        <v>2487</v>
      </c>
      <c r="N262" s="352"/>
      <c r="O262" s="275"/>
      <c r="P262" s="275"/>
      <c r="Q262" s="278"/>
      <c r="R262" s="278"/>
      <c r="S262" s="278"/>
      <c r="T262" s="278"/>
      <c r="U262" s="279"/>
      <c r="V262" s="279" t="s">
        <v>1824</v>
      </c>
      <c r="W262" s="280">
        <v>44167.0</v>
      </c>
      <c r="X262" s="281">
        <v>0.12065972222222222</v>
      </c>
      <c r="Y262" s="279" t="s">
        <v>1693</v>
      </c>
      <c r="Z262" s="282" t="s">
        <v>1570</v>
      </c>
      <c r="AA262" s="282" t="s">
        <v>2488</v>
      </c>
      <c r="AB262" s="283">
        <v>44167.0</v>
      </c>
      <c r="AC262" s="284"/>
      <c r="AD262" s="284"/>
    </row>
    <row r="263" ht="14.25" customHeight="1">
      <c r="A263" s="265">
        <v>44162.0</v>
      </c>
      <c r="B263" s="266" t="s">
        <v>1500</v>
      </c>
      <c r="C263" s="266" t="s">
        <v>1450</v>
      </c>
      <c r="D263" s="266" t="s">
        <v>1543</v>
      </c>
      <c r="E263" s="268"/>
      <c r="F263" s="291" t="s">
        <v>2489</v>
      </c>
      <c r="G263" s="268" t="s">
        <v>1463</v>
      </c>
      <c r="H263" s="270">
        <v>0.0016319444444444445</v>
      </c>
      <c r="I263" s="271">
        <v>44162.59166666667</v>
      </c>
      <c r="J263" s="268"/>
      <c r="K263" s="271">
        <v>44162.59591435185</v>
      </c>
      <c r="L263" s="271"/>
      <c r="M263" s="278" t="s">
        <v>2490</v>
      </c>
      <c r="N263" s="352"/>
      <c r="O263" s="275"/>
      <c r="P263" s="275"/>
      <c r="Q263" s="278"/>
      <c r="R263" s="278"/>
      <c r="S263" s="278"/>
      <c r="T263" s="278"/>
      <c r="U263" s="279"/>
      <c r="V263" s="279" t="s">
        <v>1500</v>
      </c>
      <c r="W263" s="280">
        <v>44167.0</v>
      </c>
      <c r="X263" s="281">
        <v>0.027777777777777776</v>
      </c>
      <c r="Y263" s="279" t="s">
        <v>1693</v>
      </c>
      <c r="Z263" s="282" t="s">
        <v>1570</v>
      </c>
      <c r="AA263" s="282">
        <v>6301227.0</v>
      </c>
      <c r="AB263" s="283">
        <v>44169.0</v>
      </c>
      <c r="AC263" s="284"/>
      <c r="AD263" s="284"/>
    </row>
    <row r="264" ht="14.25" customHeight="1">
      <c r="A264" s="265">
        <v>44162.0</v>
      </c>
      <c r="B264" s="266" t="s">
        <v>1500</v>
      </c>
      <c r="C264" s="266" t="s">
        <v>2491</v>
      </c>
      <c r="D264" s="266" t="s">
        <v>1543</v>
      </c>
      <c r="E264" s="268"/>
      <c r="F264" s="291" t="s">
        <v>2492</v>
      </c>
      <c r="G264" s="268" t="s">
        <v>1463</v>
      </c>
      <c r="H264" s="270">
        <v>0.001388888888888889</v>
      </c>
      <c r="I264" s="271">
        <v>44190.87222222222</v>
      </c>
      <c r="J264" s="268"/>
      <c r="K264" s="271">
        <v>44190.87489583333</v>
      </c>
      <c r="L264" s="271"/>
      <c r="M264" s="278" t="s">
        <v>2493</v>
      </c>
      <c r="N264" s="352"/>
      <c r="O264" s="275"/>
      <c r="P264" s="275"/>
      <c r="Q264" s="278"/>
      <c r="R264" s="278"/>
      <c r="S264" s="278"/>
      <c r="T264" s="278"/>
      <c r="U264" s="279"/>
      <c r="V264" s="279" t="s">
        <v>1570</v>
      </c>
      <c r="W264" s="280">
        <v>44206.0</v>
      </c>
      <c r="X264" s="281">
        <v>0.013888888888888888</v>
      </c>
      <c r="Y264" s="279" t="s">
        <v>1693</v>
      </c>
      <c r="Z264" s="282" t="s">
        <v>53</v>
      </c>
      <c r="AA264" s="282">
        <v>6310986.0</v>
      </c>
      <c r="AB264" s="283">
        <v>44193.0</v>
      </c>
      <c r="AC264" s="284"/>
      <c r="AD264" s="284"/>
    </row>
    <row r="265" ht="14.25" customHeight="1">
      <c r="A265" s="265">
        <v>44163.0</v>
      </c>
      <c r="B265" s="266" t="s">
        <v>1738</v>
      </c>
      <c r="C265" s="266"/>
      <c r="D265" s="266" t="s">
        <v>1689</v>
      </c>
      <c r="E265" s="268"/>
      <c r="F265" s="291" t="s">
        <v>2494</v>
      </c>
      <c r="G265" s="268" t="s">
        <v>2085</v>
      </c>
      <c r="H265" s="270">
        <v>0.037141203703703704</v>
      </c>
      <c r="I265" s="271">
        <v>44163.604166666664</v>
      </c>
      <c r="J265" s="268"/>
      <c r="K265" s="271">
        <v>44163.65138888889</v>
      </c>
      <c r="L265" s="271" t="str">
        <f t="shared" ref="L265:L267" si="30">K265-I265</f>
        <v>12/30/99 1:08</v>
      </c>
      <c r="M265" s="278" t="s">
        <v>2495</v>
      </c>
      <c r="N265" s="352"/>
      <c r="O265" s="275"/>
      <c r="P265" s="275"/>
      <c r="Q265" s="278"/>
      <c r="R265" s="278"/>
      <c r="S265" s="278"/>
      <c r="T265" s="278"/>
      <c r="U265" s="279"/>
      <c r="V265" s="279" t="s">
        <v>1733</v>
      </c>
      <c r="W265" s="280">
        <v>44167.0</v>
      </c>
      <c r="X265" s="281">
        <v>0.17708333333333334</v>
      </c>
      <c r="Y265" s="279" t="s">
        <v>1693</v>
      </c>
      <c r="Z265" s="282" t="s">
        <v>1570</v>
      </c>
      <c r="AA265" s="282" t="s">
        <v>2496</v>
      </c>
      <c r="AB265" s="283">
        <v>44168.0</v>
      </c>
      <c r="AC265" s="284"/>
      <c r="AD265" s="284"/>
    </row>
    <row r="266" ht="14.25" customHeight="1">
      <c r="A266" s="265">
        <v>44163.0</v>
      </c>
      <c r="B266" s="266" t="s">
        <v>1746</v>
      </c>
      <c r="C266" s="266"/>
      <c r="D266" s="265" t="s">
        <v>1748</v>
      </c>
      <c r="E266" s="268"/>
      <c r="F266" s="291" t="s">
        <v>2497</v>
      </c>
      <c r="G266" s="268" t="s">
        <v>2085</v>
      </c>
      <c r="H266" s="270">
        <v>0.01521990740740741</v>
      </c>
      <c r="I266" s="271">
        <v>44164.635416666664</v>
      </c>
      <c r="J266" s="268"/>
      <c r="K266" s="271">
        <v>44164.65069444444</v>
      </c>
      <c r="L266" s="271" t="str">
        <f t="shared" si="30"/>
        <v>12/30/99 0:22</v>
      </c>
      <c r="M266" s="278" t="s">
        <v>2498</v>
      </c>
      <c r="N266" s="352"/>
      <c r="O266" s="275"/>
      <c r="P266" s="275"/>
      <c r="Q266" s="278"/>
      <c r="R266" s="278"/>
      <c r="S266" s="278"/>
      <c r="T266" s="278"/>
      <c r="U266" s="279"/>
      <c r="V266" s="279" t="s">
        <v>1824</v>
      </c>
      <c r="W266" s="280">
        <v>44168.0</v>
      </c>
      <c r="X266" s="281">
        <v>0.1198263888888889</v>
      </c>
      <c r="Y266" s="279" t="s">
        <v>1693</v>
      </c>
      <c r="Z266" s="282" t="s">
        <v>1570</v>
      </c>
      <c r="AA266" s="282" t="s">
        <v>2499</v>
      </c>
      <c r="AB266" s="283">
        <v>44167.0</v>
      </c>
      <c r="AC266" s="284"/>
      <c r="AD266" s="284"/>
    </row>
    <row r="267" ht="14.25" customHeight="1">
      <c r="A267" s="265">
        <v>44164.0</v>
      </c>
      <c r="B267" s="266" t="s">
        <v>1500</v>
      </c>
      <c r="C267" s="266"/>
      <c r="D267" s="266" t="s">
        <v>1796</v>
      </c>
      <c r="E267" s="268"/>
      <c r="F267" s="291" t="s">
        <v>2500</v>
      </c>
      <c r="G267" s="268" t="s">
        <v>2085</v>
      </c>
      <c r="H267" s="270">
        <v>0.02113425925925926</v>
      </c>
      <c r="I267" s="271">
        <v>44165.35555555556</v>
      </c>
      <c r="J267" s="268"/>
      <c r="K267" s="271">
        <v>44165.35763888889</v>
      </c>
      <c r="L267" s="271" t="str">
        <f t="shared" si="30"/>
        <v>12/30/99 0:03</v>
      </c>
      <c r="M267" s="278" t="s">
        <v>2501</v>
      </c>
      <c r="N267" s="352"/>
      <c r="O267" s="275"/>
      <c r="P267" s="275"/>
      <c r="Q267" s="278"/>
      <c r="R267" s="278"/>
      <c r="S267" s="278"/>
      <c r="T267" s="278"/>
      <c r="U267" s="279"/>
      <c r="V267" s="279" t="s">
        <v>1570</v>
      </c>
      <c r="W267" s="280">
        <v>44183.0</v>
      </c>
      <c r="X267" s="281">
        <v>0.034722222222222224</v>
      </c>
      <c r="Y267" s="279" t="s">
        <v>1693</v>
      </c>
      <c r="Z267" s="282" t="s">
        <v>1570</v>
      </c>
      <c r="AA267" s="282" t="s">
        <v>2502</v>
      </c>
      <c r="AB267" s="283">
        <v>44167.0</v>
      </c>
      <c r="AC267" s="284"/>
      <c r="AD267" s="284"/>
    </row>
    <row r="268" ht="14.25" customHeight="1">
      <c r="A268" s="265">
        <v>44164.0</v>
      </c>
      <c r="B268" s="266" t="s">
        <v>1500</v>
      </c>
      <c r="C268" s="266"/>
      <c r="D268" s="266" t="s">
        <v>2290</v>
      </c>
      <c r="E268" s="268"/>
      <c r="F268" s="291" t="s">
        <v>2503</v>
      </c>
      <c r="G268" s="268" t="s">
        <v>2085</v>
      </c>
      <c r="H268" s="270">
        <v>0.0500925925925926</v>
      </c>
      <c r="I268" s="271">
        <v>44165.438888888886</v>
      </c>
      <c r="J268" s="268"/>
      <c r="K268" s="271">
        <v>44165.438888888886</v>
      </c>
      <c r="L268" s="271"/>
      <c r="M268" s="278" t="s">
        <v>2504</v>
      </c>
      <c r="N268" s="352"/>
      <c r="O268" s="275"/>
      <c r="P268" s="275"/>
      <c r="Q268" s="278"/>
      <c r="R268" s="278"/>
      <c r="S268" s="278"/>
      <c r="T268" s="278"/>
      <c r="U268" s="279"/>
      <c r="V268" s="279" t="s">
        <v>1500</v>
      </c>
      <c r="W268" s="280">
        <v>44194.0</v>
      </c>
      <c r="X268" s="279"/>
      <c r="Y268" s="279" t="s">
        <v>1693</v>
      </c>
      <c r="Z268" s="282" t="s">
        <v>1570</v>
      </c>
      <c r="AA268" s="282">
        <v>6301253.0</v>
      </c>
      <c r="AB268" s="283">
        <v>44169.0</v>
      </c>
      <c r="AC268" s="284"/>
      <c r="AD268" s="284"/>
    </row>
    <row r="269" ht="14.25" customHeight="1">
      <c r="A269" s="265">
        <v>44164.0</v>
      </c>
      <c r="B269" s="266" t="s">
        <v>1500</v>
      </c>
      <c r="C269" s="266" t="s">
        <v>2505</v>
      </c>
      <c r="D269" s="266" t="s">
        <v>1543</v>
      </c>
      <c r="E269" s="268"/>
      <c r="F269" s="291" t="s">
        <v>2506</v>
      </c>
      <c r="G269" s="268" t="s">
        <v>1463</v>
      </c>
      <c r="H269" s="270">
        <v>9.490740740740741E-4</v>
      </c>
      <c r="I269" s="271">
        <v>44165.45277777778</v>
      </c>
      <c r="J269" s="268"/>
      <c r="K269" s="348">
        <v>44165.49560185185</v>
      </c>
      <c r="L269" s="271"/>
      <c r="M269" s="307" t="s">
        <v>2507</v>
      </c>
      <c r="N269" s="351">
        <v>44166.36666666667</v>
      </c>
      <c r="O269" s="268" t="s">
        <v>2506</v>
      </c>
      <c r="P269" s="275" t="s">
        <v>2085</v>
      </c>
      <c r="Q269" s="268" t="s">
        <v>1819</v>
      </c>
      <c r="R269" s="271">
        <v>44166.369467592594</v>
      </c>
      <c r="S269" s="278"/>
      <c r="T269" s="278" t="s">
        <v>2508</v>
      </c>
      <c r="U269" s="279"/>
      <c r="V269" s="279" t="s">
        <v>1824</v>
      </c>
      <c r="W269" s="280">
        <v>44168.0</v>
      </c>
      <c r="X269" s="281">
        <v>0.006944444444444444</v>
      </c>
      <c r="Y269" s="279" t="s">
        <v>1693</v>
      </c>
      <c r="Z269" s="282" t="s">
        <v>1570</v>
      </c>
      <c r="AA269" s="282">
        <v>6301228.0</v>
      </c>
      <c r="AB269" s="283">
        <v>44169.0</v>
      </c>
      <c r="AC269" s="284"/>
      <c r="AD269" s="284"/>
    </row>
    <row r="270" ht="14.25" customHeight="1">
      <c r="A270" s="265">
        <v>44164.0</v>
      </c>
      <c r="B270" s="266" t="s">
        <v>1500</v>
      </c>
      <c r="C270" s="266" t="s">
        <v>2505</v>
      </c>
      <c r="D270" s="266" t="s">
        <v>1543</v>
      </c>
      <c r="E270" s="268"/>
      <c r="F270" s="291" t="s">
        <v>2509</v>
      </c>
      <c r="G270" s="268" t="s">
        <v>2085</v>
      </c>
      <c r="H270" s="270">
        <v>0.029791666666666664</v>
      </c>
      <c r="I270" s="271">
        <v>44165.44106481481</v>
      </c>
      <c r="J270" s="268"/>
      <c r="K270" s="271">
        <v>44165.44106481481</v>
      </c>
      <c r="L270" s="271"/>
      <c r="M270" s="278" t="s">
        <v>2510</v>
      </c>
      <c r="N270" s="290"/>
      <c r="O270" s="276"/>
      <c r="P270" s="275"/>
      <c r="Q270" s="278"/>
      <c r="R270" s="278"/>
      <c r="S270" s="278"/>
      <c r="T270" s="278"/>
      <c r="U270" s="279"/>
      <c r="V270" s="279" t="s">
        <v>1824</v>
      </c>
      <c r="W270" s="280">
        <v>44168.0</v>
      </c>
      <c r="X270" s="281">
        <v>0.04811342592592593</v>
      </c>
      <c r="Y270" s="279" t="s">
        <v>1693</v>
      </c>
      <c r="Z270" s="282" t="s">
        <v>1570</v>
      </c>
      <c r="AA270" s="282">
        <v>6301252.0</v>
      </c>
      <c r="AB270" s="283">
        <v>44169.0</v>
      </c>
      <c r="AC270" s="284"/>
      <c r="AD270" s="284"/>
    </row>
    <row r="271" ht="14.25" customHeight="1">
      <c r="A271" s="265">
        <v>44164.0</v>
      </c>
      <c r="B271" s="266" t="s">
        <v>1500</v>
      </c>
      <c r="C271" s="266" t="s">
        <v>1450</v>
      </c>
      <c r="D271" s="266" t="s">
        <v>1543</v>
      </c>
      <c r="E271" s="268"/>
      <c r="F271" s="291" t="s">
        <v>2511</v>
      </c>
      <c r="G271" s="268" t="s">
        <v>1463</v>
      </c>
      <c r="H271" s="270">
        <v>0.0012731481481481483</v>
      </c>
      <c r="I271" s="271">
        <v>44168.39861111111</v>
      </c>
      <c r="J271" s="268"/>
      <c r="K271" s="271">
        <v>44168.464108796295</v>
      </c>
      <c r="L271" s="271"/>
      <c r="M271" s="278" t="s">
        <v>2512</v>
      </c>
      <c r="N271" s="290"/>
      <c r="O271" s="276"/>
      <c r="P271" s="275"/>
      <c r="Q271" s="278"/>
      <c r="R271" s="278"/>
      <c r="S271" s="278"/>
      <c r="T271" s="278"/>
      <c r="U271" s="279"/>
      <c r="V271" s="279" t="s">
        <v>1824</v>
      </c>
      <c r="W271" s="280">
        <v>44168.0</v>
      </c>
      <c r="X271" s="281">
        <v>0.011932870370370371</v>
      </c>
      <c r="Y271" s="279" t="s">
        <v>1693</v>
      </c>
      <c r="Z271" s="282" t="s">
        <v>1570</v>
      </c>
      <c r="AA271" s="282">
        <v>6304509.0</v>
      </c>
      <c r="AB271" s="283">
        <v>44174.0</v>
      </c>
      <c r="AC271" s="284"/>
      <c r="AD271" s="284"/>
    </row>
    <row r="272" ht="14.25" customHeight="1">
      <c r="A272" s="265">
        <v>44165.0</v>
      </c>
      <c r="B272" s="266" t="s">
        <v>1500</v>
      </c>
      <c r="C272" s="266" t="s">
        <v>1450</v>
      </c>
      <c r="D272" s="266" t="s">
        <v>1543</v>
      </c>
      <c r="E272" s="268"/>
      <c r="F272" s="291" t="s">
        <v>2513</v>
      </c>
      <c r="G272" s="268" t="s">
        <v>1463</v>
      </c>
      <c r="H272" s="270">
        <v>6.018518518518519E-4</v>
      </c>
      <c r="I272" s="271">
        <v>44165.44106481481</v>
      </c>
      <c r="J272" s="268"/>
      <c r="K272" s="271">
        <v>44165.44583333333</v>
      </c>
      <c r="L272" s="271"/>
      <c r="M272" s="278" t="s">
        <v>2514</v>
      </c>
      <c r="N272" s="290"/>
      <c r="O272" s="276"/>
      <c r="P272" s="275"/>
      <c r="Q272" s="278"/>
      <c r="R272" s="278"/>
      <c r="S272" s="278"/>
      <c r="T272" s="278"/>
      <c r="U272" s="279"/>
      <c r="V272" s="279" t="s">
        <v>1824</v>
      </c>
      <c r="W272" s="280">
        <v>44168.0</v>
      </c>
      <c r="X272" s="281">
        <v>0.010162037037037037</v>
      </c>
      <c r="Y272" s="279" t="s">
        <v>1693</v>
      </c>
      <c r="Z272" s="282" t="s">
        <v>1570</v>
      </c>
      <c r="AA272" s="282">
        <v>6301243.0</v>
      </c>
      <c r="AB272" s="283">
        <v>44169.0</v>
      </c>
      <c r="AC272" s="284"/>
      <c r="AD272" s="284"/>
    </row>
    <row r="273" ht="14.25" customHeight="1">
      <c r="A273" s="265">
        <v>44165.0</v>
      </c>
      <c r="B273" s="266" t="s">
        <v>1500</v>
      </c>
      <c r="C273" s="266" t="s">
        <v>2346</v>
      </c>
      <c r="D273" s="266" t="s">
        <v>1543</v>
      </c>
      <c r="E273" s="268"/>
      <c r="F273" s="291" t="s">
        <v>2515</v>
      </c>
      <c r="G273" s="268" t="s">
        <v>1463</v>
      </c>
      <c r="H273" s="270">
        <v>7.407407407407407E-4</v>
      </c>
      <c r="I273" s="271">
        <v>44167.42965277778</v>
      </c>
      <c r="J273" s="268"/>
      <c r="K273" s="271">
        <v>44167.76373842593</v>
      </c>
      <c r="L273" s="271"/>
      <c r="M273" s="278" t="s">
        <v>2516</v>
      </c>
      <c r="N273" s="290"/>
      <c r="O273" s="276"/>
      <c r="P273" s="275"/>
      <c r="Q273" s="278"/>
      <c r="R273" s="278"/>
      <c r="S273" s="278"/>
      <c r="T273" s="278"/>
      <c r="U273" s="279"/>
      <c r="V273" s="279" t="s">
        <v>1824</v>
      </c>
      <c r="W273" s="280">
        <v>44168.0</v>
      </c>
      <c r="X273" s="281">
        <v>0.010266203703703703</v>
      </c>
      <c r="Y273" s="279" t="s">
        <v>1693</v>
      </c>
      <c r="Z273" s="282" t="s">
        <v>1570</v>
      </c>
      <c r="AA273" s="282">
        <v>6304510.0</v>
      </c>
      <c r="AB273" s="283">
        <v>44174.0</v>
      </c>
      <c r="AC273" s="284"/>
      <c r="AD273" s="284"/>
    </row>
    <row r="274" ht="14.25" customHeight="1">
      <c r="A274" s="265">
        <v>44165.0</v>
      </c>
      <c r="B274" s="266" t="s">
        <v>1685</v>
      </c>
      <c r="C274" s="266"/>
      <c r="D274" s="266" t="s">
        <v>1450</v>
      </c>
      <c r="E274" s="268"/>
      <c r="F274" s="291" t="s">
        <v>2517</v>
      </c>
      <c r="G274" s="268" t="s">
        <v>2085</v>
      </c>
      <c r="H274" s="270">
        <v>0.0965625</v>
      </c>
      <c r="I274" s="271">
        <v>44165.67152777778</v>
      </c>
      <c r="J274" s="268"/>
      <c r="K274" s="271">
        <v>44165.71313657407</v>
      </c>
      <c r="L274" s="271" t="str">
        <f t="shared" ref="L274:L281" si="31">K274-I274</f>
        <v>12/30/99 0:59</v>
      </c>
      <c r="M274" s="278" t="s">
        <v>2518</v>
      </c>
      <c r="N274" s="290"/>
      <c r="O274" s="276"/>
      <c r="P274" s="275"/>
      <c r="Q274" s="278"/>
      <c r="R274" s="278"/>
      <c r="S274" s="278"/>
      <c r="T274" s="278"/>
      <c r="U274" s="279"/>
      <c r="V274" s="279" t="s">
        <v>2030</v>
      </c>
      <c r="W274" s="280">
        <v>44187.0</v>
      </c>
      <c r="X274" s="281">
        <v>0.20833333333333334</v>
      </c>
      <c r="Y274" s="279" t="s">
        <v>1693</v>
      </c>
      <c r="Z274" s="282" t="s">
        <v>1570</v>
      </c>
      <c r="AA274" s="282" t="s">
        <v>2519</v>
      </c>
      <c r="AB274" s="283">
        <v>44174.0</v>
      </c>
      <c r="AC274" s="284"/>
      <c r="AD274" s="284"/>
    </row>
    <row r="275" ht="14.25" customHeight="1">
      <c r="A275" s="265">
        <v>44165.0</v>
      </c>
      <c r="B275" s="266" t="s">
        <v>1783</v>
      </c>
      <c r="C275" s="266"/>
      <c r="D275" s="266" t="s">
        <v>1452</v>
      </c>
      <c r="E275" s="268"/>
      <c r="F275" s="291" t="s">
        <v>2520</v>
      </c>
      <c r="G275" s="268" t="s">
        <v>2085</v>
      </c>
      <c r="H275" s="270">
        <v>0.005069444444444444</v>
      </c>
      <c r="I275" s="271">
        <v>44165.67152777778</v>
      </c>
      <c r="J275" s="268"/>
      <c r="K275" s="271">
        <v>44165.713368055556</v>
      </c>
      <c r="L275" s="271" t="str">
        <f t="shared" si="31"/>
        <v>12/30/99 1:00</v>
      </c>
      <c r="M275" s="278" t="s">
        <v>2521</v>
      </c>
      <c r="N275" s="290"/>
      <c r="O275" s="276"/>
      <c r="P275" s="275"/>
      <c r="Q275" s="278"/>
      <c r="R275" s="278"/>
      <c r="S275" s="278"/>
      <c r="T275" s="278"/>
      <c r="U275" s="279"/>
      <c r="V275" s="279" t="s">
        <v>1783</v>
      </c>
      <c r="W275" s="280">
        <v>44166.0</v>
      </c>
      <c r="X275" s="281">
        <v>0.024305555555555556</v>
      </c>
      <c r="Y275" s="279" t="s">
        <v>1693</v>
      </c>
      <c r="Z275" s="282" t="s">
        <v>1570</v>
      </c>
      <c r="AA275" s="282" t="s">
        <v>2522</v>
      </c>
      <c r="AB275" s="283">
        <v>44174.0</v>
      </c>
      <c r="AC275" s="284"/>
      <c r="AD275" s="284"/>
    </row>
    <row r="276" ht="14.25" customHeight="1">
      <c r="A276" s="265">
        <v>44165.0</v>
      </c>
      <c r="B276" s="266" t="s">
        <v>1733</v>
      </c>
      <c r="C276" s="266"/>
      <c r="D276" s="266" t="s">
        <v>1689</v>
      </c>
      <c r="E276" s="268"/>
      <c r="F276" s="358" t="s">
        <v>2523</v>
      </c>
      <c r="G276" s="268" t="s">
        <v>2085</v>
      </c>
      <c r="H276" s="270">
        <v>0.02951388888888889</v>
      </c>
      <c r="I276" s="271">
        <v>44166.354166666664</v>
      </c>
      <c r="J276" s="268"/>
      <c r="K276" s="271">
        <v>44166.35972222222</v>
      </c>
      <c r="L276" s="271" t="str">
        <f t="shared" si="31"/>
        <v>12/30/99 0:08</v>
      </c>
      <c r="M276" s="359" t="s">
        <v>2524</v>
      </c>
      <c r="N276" s="290"/>
      <c r="O276" s="276"/>
      <c r="P276" s="275"/>
      <c r="Q276" s="278"/>
      <c r="R276" s="278"/>
      <c r="S276" s="278"/>
      <c r="T276" s="278"/>
      <c r="U276" s="279"/>
      <c r="V276" s="279" t="s">
        <v>1733</v>
      </c>
      <c r="W276" s="280">
        <v>44168.0</v>
      </c>
      <c r="X276" s="281">
        <v>0.14722222222222223</v>
      </c>
      <c r="Y276" s="279" t="s">
        <v>1693</v>
      </c>
      <c r="Z276" s="282" t="s">
        <v>1570</v>
      </c>
      <c r="AA276" s="282" t="s">
        <v>2523</v>
      </c>
      <c r="AB276" s="283">
        <v>44166.0</v>
      </c>
      <c r="AC276" s="284"/>
      <c r="AD276" s="284"/>
    </row>
    <row r="277" ht="14.25" customHeight="1">
      <c r="A277" s="265">
        <v>44165.0</v>
      </c>
      <c r="B277" s="266" t="s">
        <v>1746</v>
      </c>
      <c r="C277" s="266"/>
      <c r="D277" s="265" t="s">
        <v>1748</v>
      </c>
      <c r="E277" s="268"/>
      <c r="F277" s="358" t="s">
        <v>2525</v>
      </c>
      <c r="G277" s="268" t="s">
        <v>2085</v>
      </c>
      <c r="H277" s="270">
        <v>0.02056712962962963</v>
      </c>
      <c r="I277" s="271">
        <v>44166.354166666664</v>
      </c>
      <c r="J277" s="268"/>
      <c r="K277" s="271">
        <v>44166.36666666667</v>
      </c>
      <c r="L277" s="271" t="str">
        <f t="shared" si="31"/>
        <v>12/30/99 0:18</v>
      </c>
      <c r="M277" s="359" t="s">
        <v>2524</v>
      </c>
      <c r="N277" s="290"/>
      <c r="O277" s="276"/>
      <c r="P277" s="275"/>
      <c r="Q277" s="278"/>
      <c r="R277" s="278"/>
      <c r="S277" s="278"/>
      <c r="T277" s="278"/>
      <c r="U277" s="279"/>
      <c r="V277" s="279" t="s">
        <v>1824</v>
      </c>
      <c r="W277" s="280">
        <v>44169.0</v>
      </c>
      <c r="X277" s="281">
        <v>0.1520601851851852</v>
      </c>
      <c r="Y277" s="279" t="s">
        <v>1693</v>
      </c>
      <c r="Z277" s="282" t="s">
        <v>1570</v>
      </c>
      <c r="AA277" s="282" t="s">
        <v>2525</v>
      </c>
      <c r="AB277" s="283">
        <v>44166.0</v>
      </c>
      <c r="AC277" s="284"/>
      <c r="AD277" s="284"/>
    </row>
    <row r="278" ht="14.25" customHeight="1">
      <c r="A278" s="265">
        <v>44166.0</v>
      </c>
      <c r="B278" s="266" t="s">
        <v>1685</v>
      </c>
      <c r="C278" s="266"/>
      <c r="D278" s="266" t="s">
        <v>1450</v>
      </c>
      <c r="E278" s="268"/>
      <c r="F278" s="358" t="s">
        <v>2526</v>
      </c>
      <c r="G278" s="268" t="s">
        <v>2085</v>
      </c>
      <c r="H278" s="270">
        <v>0.09707175925925926</v>
      </c>
      <c r="I278" s="271">
        <v>44167.35208333333</v>
      </c>
      <c r="J278" s="268"/>
      <c r="K278" s="271">
        <v>44167.81841435185</v>
      </c>
      <c r="L278" s="271" t="str">
        <f t="shared" si="31"/>
        <v>12/30/99 11:11</v>
      </c>
      <c r="M278" s="359" t="s">
        <v>2524</v>
      </c>
      <c r="N278" s="290"/>
      <c r="O278" s="276"/>
      <c r="P278" s="275"/>
      <c r="Q278" s="278"/>
      <c r="R278" s="278"/>
      <c r="S278" s="278"/>
      <c r="T278" s="278"/>
      <c r="U278" s="279"/>
      <c r="V278" s="279" t="s">
        <v>1824</v>
      </c>
      <c r="W278" s="280">
        <v>44188.0</v>
      </c>
      <c r="X278" s="281">
        <v>0.4166666666666667</v>
      </c>
      <c r="Y278" s="279" t="s">
        <v>1693</v>
      </c>
      <c r="Z278" s="282" t="s">
        <v>1570</v>
      </c>
      <c r="AA278" s="282" t="s">
        <v>2526</v>
      </c>
      <c r="AB278" s="283">
        <v>44168.0</v>
      </c>
      <c r="AC278" s="284"/>
      <c r="AD278" s="284"/>
    </row>
    <row r="279" ht="14.25" customHeight="1">
      <c r="A279" s="265">
        <v>44166.0</v>
      </c>
      <c r="B279" s="266" t="s">
        <v>1783</v>
      </c>
      <c r="C279" s="266"/>
      <c r="D279" s="266" t="s">
        <v>1452</v>
      </c>
      <c r="E279" s="268"/>
      <c r="F279" s="358" t="s">
        <v>2527</v>
      </c>
      <c r="G279" s="268" t="s">
        <v>2085</v>
      </c>
      <c r="H279" s="270">
        <v>0.007002314814814815</v>
      </c>
      <c r="I279" s="271">
        <v>44166.65555555555</v>
      </c>
      <c r="J279" s="268"/>
      <c r="K279" s="271">
        <v>44167.05289351852</v>
      </c>
      <c r="L279" s="271" t="str">
        <f t="shared" si="31"/>
        <v>12/30/99 9:32</v>
      </c>
      <c r="M279" s="359" t="s">
        <v>2524</v>
      </c>
      <c r="N279" s="290"/>
      <c r="O279" s="276"/>
      <c r="P279" s="275"/>
      <c r="Q279" s="278"/>
      <c r="R279" s="278"/>
      <c r="S279" s="278"/>
      <c r="T279" s="278"/>
      <c r="U279" s="279"/>
      <c r="V279" s="279" t="s">
        <v>1783</v>
      </c>
      <c r="W279" s="280">
        <v>44167.0</v>
      </c>
      <c r="X279" s="281">
        <v>0.020833333333333332</v>
      </c>
      <c r="Y279" s="279" t="s">
        <v>1693</v>
      </c>
      <c r="Z279" s="282" t="s">
        <v>1570</v>
      </c>
      <c r="AA279" s="282" t="s">
        <v>2527</v>
      </c>
      <c r="AB279" s="283">
        <v>44168.0</v>
      </c>
      <c r="AC279" s="284"/>
      <c r="AD279" s="284"/>
    </row>
    <row r="280" ht="14.25" customHeight="1">
      <c r="A280" s="265">
        <v>44166.0</v>
      </c>
      <c r="B280" s="266" t="s">
        <v>1733</v>
      </c>
      <c r="C280" s="266"/>
      <c r="D280" s="266" t="s">
        <v>1689</v>
      </c>
      <c r="E280" s="268"/>
      <c r="F280" s="358" t="s">
        <v>2528</v>
      </c>
      <c r="G280" s="268" t="s">
        <v>2085</v>
      </c>
      <c r="H280" s="270">
        <v>0.03601851851851852</v>
      </c>
      <c r="I280" s="271">
        <v>44167.356944444444</v>
      </c>
      <c r="J280" s="268"/>
      <c r="K280" s="271">
        <v>44167.77039351852</v>
      </c>
      <c r="L280" s="271" t="str">
        <f t="shared" si="31"/>
        <v>12/30/99 9:55</v>
      </c>
      <c r="M280" s="359" t="s">
        <v>2524</v>
      </c>
      <c r="N280" s="290"/>
      <c r="O280" s="276"/>
      <c r="P280" s="275"/>
      <c r="Q280" s="278"/>
      <c r="R280" s="278"/>
      <c r="S280" s="278"/>
      <c r="T280" s="278"/>
      <c r="U280" s="279"/>
      <c r="V280" s="279" t="s">
        <v>1685</v>
      </c>
      <c r="W280" s="280">
        <v>44172.0</v>
      </c>
      <c r="X280" s="281">
        <v>0.16666666666666666</v>
      </c>
      <c r="Y280" s="279" t="s">
        <v>1693</v>
      </c>
      <c r="Z280" s="282" t="s">
        <v>1570</v>
      </c>
      <c r="AA280" s="282" t="s">
        <v>2528</v>
      </c>
      <c r="AB280" s="283">
        <v>44167.0</v>
      </c>
      <c r="AC280" s="284"/>
      <c r="AD280" s="284"/>
    </row>
    <row r="281" ht="14.25" customHeight="1">
      <c r="A281" s="265">
        <v>44166.0</v>
      </c>
      <c r="B281" s="356" t="s">
        <v>1746</v>
      </c>
      <c r="C281" s="266"/>
      <c r="D281" s="265" t="s">
        <v>1748</v>
      </c>
      <c r="E281" s="268"/>
      <c r="F281" s="358" t="s">
        <v>2529</v>
      </c>
      <c r="G281" s="268" t="s">
        <v>2085</v>
      </c>
      <c r="H281" s="270">
        <v>0.02170138888888889</v>
      </c>
      <c r="I281" s="271">
        <v>44166.94097222222</v>
      </c>
      <c r="J281" s="268"/>
      <c r="K281" s="271">
        <v>44167.76039351852</v>
      </c>
      <c r="L281" s="271" t="str">
        <f t="shared" si="31"/>
        <v>12/30/99 19:39</v>
      </c>
      <c r="M281" s="359" t="s">
        <v>2524</v>
      </c>
      <c r="N281" s="290"/>
      <c r="O281" s="276"/>
      <c r="P281" s="275"/>
      <c r="Q281" s="278"/>
      <c r="R281" s="278"/>
      <c r="S281" s="278"/>
      <c r="T281" s="278"/>
      <c r="U281" s="279"/>
      <c r="V281" s="279" t="s">
        <v>1738</v>
      </c>
      <c r="W281" s="280">
        <v>44172.0</v>
      </c>
      <c r="X281" s="281">
        <v>0.08333333333333333</v>
      </c>
      <c r="Y281" s="279" t="s">
        <v>1693</v>
      </c>
      <c r="Z281" s="282" t="s">
        <v>1570</v>
      </c>
      <c r="AA281" s="282" t="s">
        <v>2529</v>
      </c>
      <c r="AB281" s="283">
        <v>44167.0</v>
      </c>
      <c r="AC281" s="284"/>
      <c r="AD281" s="284"/>
    </row>
    <row r="282" ht="14.25" customHeight="1">
      <c r="A282" s="265">
        <v>44167.0</v>
      </c>
      <c r="B282" s="266" t="s">
        <v>1500</v>
      </c>
      <c r="C282" s="266" t="s">
        <v>2346</v>
      </c>
      <c r="D282" s="266" t="s">
        <v>1543</v>
      </c>
      <c r="E282" s="268"/>
      <c r="F282" s="269" t="s">
        <v>2530</v>
      </c>
      <c r="G282" s="268" t="s">
        <v>1463</v>
      </c>
      <c r="H282" s="270">
        <v>6.597222222222221E-4</v>
      </c>
      <c r="I282" s="271">
        <v>44169.426828703705</v>
      </c>
      <c r="J282" s="268"/>
      <c r="K282" s="271">
        <v>44169.46849537037</v>
      </c>
      <c r="L282" s="271"/>
      <c r="M282" s="272" t="s">
        <v>2531</v>
      </c>
      <c r="N282" s="290"/>
      <c r="O282" s="276"/>
      <c r="P282" s="275"/>
      <c r="Q282" s="278"/>
      <c r="R282" s="278"/>
      <c r="S282" s="278"/>
      <c r="T282" s="278"/>
      <c r="U282" s="279"/>
      <c r="V282" s="279" t="s">
        <v>1500</v>
      </c>
      <c r="W282" s="280">
        <v>44173.0</v>
      </c>
      <c r="X282" s="281">
        <v>0.027777777777777776</v>
      </c>
      <c r="Y282" s="279" t="s">
        <v>1693</v>
      </c>
      <c r="Z282" s="282" t="s">
        <v>1570</v>
      </c>
      <c r="AA282" s="360">
        <v>6304511.0</v>
      </c>
      <c r="AB282" s="283">
        <v>44174.0</v>
      </c>
      <c r="AC282" s="284"/>
      <c r="AD282" s="284"/>
    </row>
    <row r="283" ht="14.25" customHeight="1">
      <c r="A283" s="265">
        <v>44167.0</v>
      </c>
      <c r="B283" s="266" t="s">
        <v>1500</v>
      </c>
      <c r="C283" s="266" t="s">
        <v>2346</v>
      </c>
      <c r="D283" s="266" t="s">
        <v>1543</v>
      </c>
      <c r="E283" s="268"/>
      <c r="F283" s="269" t="s">
        <v>2532</v>
      </c>
      <c r="G283" s="268" t="s">
        <v>1463</v>
      </c>
      <c r="H283" s="270">
        <v>5.902777777777778E-4</v>
      </c>
      <c r="I283" s="271">
        <v>44167.39375</v>
      </c>
      <c r="J283" s="268"/>
      <c r="K283" s="271">
        <v>44167.434907407405</v>
      </c>
      <c r="L283" s="271"/>
      <c r="M283" s="272" t="s">
        <v>2533</v>
      </c>
      <c r="N283" s="290"/>
      <c r="O283" s="276"/>
      <c r="P283" s="275"/>
      <c r="Q283" s="278"/>
      <c r="R283" s="278"/>
      <c r="S283" s="278"/>
      <c r="T283" s="278"/>
      <c r="U283" s="279"/>
      <c r="V283" s="279" t="s">
        <v>1824</v>
      </c>
      <c r="W283" s="280">
        <v>44168.0</v>
      </c>
      <c r="X283" s="281">
        <v>0.013217592592592593</v>
      </c>
      <c r="Y283" s="279" t="s">
        <v>1693</v>
      </c>
      <c r="Z283" s="282" t="s">
        <v>1570</v>
      </c>
      <c r="AA283" s="282">
        <v>6301259.0</v>
      </c>
      <c r="AB283" s="283">
        <v>44169.0</v>
      </c>
      <c r="AC283" s="284"/>
      <c r="AD283" s="284"/>
    </row>
    <row r="284" ht="14.25" customHeight="1">
      <c r="A284" s="265">
        <v>44167.0</v>
      </c>
      <c r="B284" s="266" t="s">
        <v>1500</v>
      </c>
      <c r="C284" s="266" t="s">
        <v>1455</v>
      </c>
      <c r="D284" s="266" t="s">
        <v>1543</v>
      </c>
      <c r="E284" s="268"/>
      <c r="F284" s="269" t="s">
        <v>2534</v>
      </c>
      <c r="G284" s="268" t="s">
        <v>1463</v>
      </c>
      <c r="H284" s="270">
        <v>0.0010185185185185186</v>
      </c>
      <c r="I284" s="271">
        <v>44174.65625</v>
      </c>
      <c r="J284" s="268"/>
      <c r="K284" s="271">
        <v>44175.03414351852</v>
      </c>
      <c r="L284" s="271"/>
      <c r="M284" s="272" t="s">
        <v>2535</v>
      </c>
      <c r="N284" s="290"/>
      <c r="O284" s="276"/>
      <c r="P284" s="275"/>
      <c r="Q284" s="278"/>
      <c r="R284" s="278"/>
      <c r="S284" s="278"/>
      <c r="T284" s="278"/>
      <c r="U284" s="279"/>
      <c r="V284" s="279" t="s">
        <v>1824</v>
      </c>
      <c r="W284" s="280">
        <v>44187.0</v>
      </c>
      <c r="X284" s="281">
        <v>0.015011574074074075</v>
      </c>
      <c r="Y284" s="279" t="s">
        <v>1693</v>
      </c>
      <c r="Z284" s="282" t="s">
        <v>1570</v>
      </c>
      <c r="AA284" s="282">
        <v>6307666.0</v>
      </c>
      <c r="AB284" s="283">
        <v>44179.0</v>
      </c>
      <c r="AC284" s="284"/>
      <c r="AD284" s="284"/>
    </row>
    <row r="285" ht="14.25" customHeight="1">
      <c r="A285" s="265">
        <v>44167.0</v>
      </c>
      <c r="B285" s="266" t="s">
        <v>1685</v>
      </c>
      <c r="C285" s="266"/>
      <c r="D285" s="266" t="s">
        <v>1450</v>
      </c>
      <c r="E285" s="268"/>
      <c r="F285" s="358" t="s">
        <v>2536</v>
      </c>
      <c r="G285" s="268" t="s">
        <v>2085</v>
      </c>
      <c r="H285" s="270">
        <v>0.09689814814814816</v>
      </c>
      <c r="I285" s="271">
        <v>44167.66111111111</v>
      </c>
      <c r="J285" s="268"/>
      <c r="K285" s="271">
        <v>44169.134733796294</v>
      </c>
      <c r="L285" s="271" t="str">
        <f t="shared" ref="L285:L291" si="32">K285-I285</f>
        <v>12/31/99 11:22</v>
      </c>
      <c r="M285" s="359" t="s">
        <v>2524</v>
      </c>
      <c r="N285" s="290"/>
      <c r="O285" s="276"/>
      <c r="P285" s="275"/>
      <c r="Q285" s="278"/>
      <c r="R285" s="278"/>
      <c r="S285" s="278"/>
      <c r="T285" s="278"/>
      <c r="U285" s="279"/>
      <c r="V285" s="279" t="s">
        <v>1824</v>
      </c>
      <c r="W285" s="280">
        <v>44193.0</v>
      </c>
      <c r="X285" s="281">
        <v>0.42421296296296296</v>
      </c>
      <c r="Y285" s="279" t="s">
        <v>1693</v>
      </c>
      <c r="Z285" s="282" t="s">
        <v>1570</v>
      </c>
      <c r="AA285" s="282" t="s">
        <v>2536</v>
      </c>
      <c r="AB285" s="283">
        <v>44168.0</v>
      </c>
      <c r="AC285" s="284"/>
      <c r="AD285" s="284"/>
    </row>
    <row r="286" ht="14.25" customHeight="1">
      <c r="A286" s="265">
        <v>44167.0</v>
      </c>
      <c r="B286" s="266" t="s">
        <v>1783</v>
      </c>
      <c r="C286" s="266"/>
      <c r="D286" s="266" t="s">
        <v>1452</v>
      </c>
      <c r="E286" s="268"/>
      <c r="F286" s="358" t="s">
        <v>2537</v>
      </c>
      <c r="G286" s="268" t="s">
        <v>2085</v>
      </c>
      <c r="H286" s="270">
        <v>0.003483796296296296</v>
      </c>
      <c r="I286" s="271">
        <v>44167.66111111111</v>
      </c>
      <c r="J286" s="268"/>
      <c r="K286" s="271">
        <v>44169.08298611111</v>
      </c>
      <c r="L286" s="271" t="str">
        <f t="shared" si="32"/>
        <v>12/31/99 10:07</v>
      </c>
      <c r="M286" s="359" t="s">
        <v>2524</v>
      </c>
      <c r="N286" s="290"/>
      <c r="O286" s="276"/>
      <c r="P286" s="275"/>
      <c r="Q286" s="278"/>
      <c r="R286" s="278"/>
      <c r="S286" s="278"/>
      <c r="T286" s="278"/>
      <c r="U286" s="279"/>
      <c r="V286" s="279" t="s">
        <v>1783</v>
      </c>
      <c r="W286" s="280">
        <v>44169.0</v>
      </c>
      <c r="X286" s="281">
        <v>0.013888888888888888</v>
      </c>
      <c r="Y286" s="279" t="s">
        <v>1693</v>
      </c>
      <c r="Z286" s="282" t="s">
        <v>1570</v>
      </c>
      <c r="AA286" s="282" t="s">
        <v>2537</v>
      </c>
      <c r="AB286" s="283">
        <v>44168.0</v>
      </c>
      <c r="AC286" s="284"/>
      <c r="AD286" s="284"/>
    </row>
    <row r="287" ht="14.25" customHeight="1">
      <c r="A287" s="265">
        <v>44167.0</v>
      </c>
      <c r="B287" s="266" t="s">
        <v>1733</v>
      </c>
      <c r="C287" s="266"/>
      <c r="D287" s="266" t="s">
        <v>1689</v>
      </c>
      <c r="E287" s="268"/>
      <c r="F287" s="358" t="s">
        <v>2538</v>
      </c>
      <c r="G287" s="268" t="s">
        <v>2085</v>
      </c>
      <c r="H287" s="270">
        <v>0.03679398148148148</v>
      </c>
      <c r="I287" s="271">
        <v>44168.370833333334</v>
      </c>
      <c r="J287" s="268"/>
      <c r="K287" s="271">
        <v>44168.412777777776</v>
      </c>
      <c r="L287" s="271" t="str">
        <f t="shared" si="32"/>
        <v>12/30/99 1:00</v>
      </c>
      <c r="M287" s="307" t="s">
        <v>2539</v>
      </c>
      <c r="N287" s="319">
        <v>44170.71597222222</v>
      </c>
      <c r="O287" s="301" t="s">
        <v>2540</v>
      </c>
      <c r="P287" s="317" t="s">
        <v>2085</v>
      </c>
      <c r="Q287" s="272" t="s">
        <v>1819</v>
      </c>
      <c r="R287" s="272"/>
      <c r="S287" s="272"/>
      <c r="T287" s="272" t="s">
        <v>2541</v>
      </c>
      <c r="U287" s="279"/>
      <c r="V287" s="279" t="s">
        <v>1783</v>
      </c>
      <c r="W287" s="280">
        <v>44193.0</v>
      </c>
      <c r="X287" s="281">
        <v>0.20833333333333334</v>
      </c>
      <c r="Y287" s="279" t="s">
        <v>1693</v>
      </c>
      <c r="Z287" s="282" t="s">
        <v>1570</v>
      </c>
      <c r="AA287" s="282" t="s">
        <v>2538</v>
      </c>
      <c r="AB287" s="283">
        <v>44174.0</v>
      </c>
      <c r="AC287" s="284"/>
      <c r="AD287" s="284"/>
    </row>
    <row r="288" ht="14.25" customHeight="1">
      <c r="A288" s="357">
        <v>44167.0</v>
      </c>
      <c r="B288" s="266" t="s">
        <v>1746</v>
      </c>
      <c r="C288" s="266"/>
      <c r="D288" s="265" t="s">
        <v>1748</v>
      </c>
      <c r="E288" s="268"/>
      <c r="F288" s="358" t="s">
        <v>2542</v>
      </c>
      <c r="G288" s="268" t="s">
        <v>2085</v>
      </c>
      <c r="H288" s="270">
        <v>0.02017361111111111</v>
      </c>
      <c r="I288" s="271">
        <v>44168.373611111114</v>
      </c>
      <c r="J288" s="268"/>
      <c r="K288" s="271">
        <v>44168.77043981481</v>
      </c>
      <c r="L288" s="271" t="str">
        <f t="shared" si="32"/>
        <v>12/30/99 9:31</v>
      </c>
      <c r="M288" s="359" t="s">
        <v>2524</v>
      </c>
      <c r="N288" s="290"/>
      <c r="O288" s="276"/>
      <c r="P288" s="275"/>
      <c r="Q288" s="278"/>
      <c r="R288" s="278"/>
      <c r="S288" s="278"/>
      <c r="T288" s="278"/>
      <c r="U288" s="279"/>
      <c r="V288" s="279" t="s">
        <v>1738</v>
      </c>
      <c r="W288" s="280">
        <v>44173.0</v>
      </c>
      <c r="X288" s="281">
        <v>0.08333333333333333</v>
      </c>
      <c r="Y288" s="279" t="s">
        <v>1693</v>
      </c>
      <c r="Z288" s="282" t="s">
        <v>1570</v>
      </c>
      <c r="AA288" s="282" t="s">
        <v>2542</v>
      </c>
      <c r="AB288" s="283">
        <v>44168.0</v>
      </c>
      <c r="AC288" s="284"/>
      <c r="AD288" s="284"/>
    </row>
    <row r="289" ht="14.25" customHeight="1">
      <c r="A289" s="265">
        <v>44168.0</v>
      </c>
      <c r="B289" s="266" t="s">
        <v>1685</v>
      </c>
      <c r="C289" s="266"/>
      <c r="D289" s="266" t="s">
        <v>1450</v>
      </c>
      <c r="E289" s="268"/>
      <c r="F289" s="358" t="s">
        <v>2543</v>
      </c>
      <c r="G289" s="268" t="s">
        <v>2085</v>
      </c>
      <c r="H289" s="270">
        <v>0.09688657407407408</v>
      </c>
      <c r="I289" s="271">
        <v>44168.66527777778</v>
      </c>
      <c r="J289" s="268"/>
      <c r="K289" s="271">
        <v>44169.102800925924</v>
      </c>
      <c r="L289" s="271" t="str">
        <f t="shared" si="32"/>
        <v>12/30/99 10:30</v>
      </c>
      <c r="M289" s="359" t="s">
        <v>2524</v>
      </c>
      <c r="N289" s="290"/>
      <c r="O289" s="276"/>
      <c r="P289" s="275"/>
      <c r="Q289" s="278"/>
      <c r="R289" s="278"/>
      <c r="S289" s="278"/>
      <c r="T289" s="278"/>
      <c r="U289" s="279"/>
      <c r="V289" s="279" t="s">
        <v>1570</v>
      </c>
      <c r="W289" s="280">
        <v>44200.0</v>
      </c>
      <c r="X289" s="281">
        <v>0.2916666666666667</v>
      </c>
      <c r="Y289" s="279" t="s">
        <v>1693</v>
      </c>
      <c r="Z289" s="282" t="s">
        <v>1570</v>
      </c>
      <c r="AA289" s="282" t="s">
        <v>2543</v>
      </c>
      <c r="AB289" s="283">
        <v>44170.0</v>
      </c>
      <c r="AC289" s="284"/>
      <c r="AD289" s="284"/>
    </row>
    <row r="290" ht="14.25" customHeight="1">
      <c r="A290" s="265">
        <v>44168.0</v>
      </c>
      <c r="B290" s="266" t="s">
        <v>1783</v>
      </c>
      <c r="C290" s="266"/>
      <c r="D290" s="266" t="s">
        <v>1452</v>
      </c>
      <c r="E290" s="268"/>
      <c r="F290" s="358" t="s">
        <v>2544</v>
      </c>
      <c r="G290" s="268" t="s">
        <v>2085</v>
      </c>
      <c r="H290" s="270">
        <v>0.015196759259259259</v>
      </c>
      <c r="I290" s="271">
        <v>44168.66527777778</v>
      </c>
      <c r="J290" s="268"/>
      <c r="K290" s="271">
        <v>44169.539456018516</v>
      </c>
      <c r="L290" s="271" t="str">
        <f t="shared" si="32"/>
        <v>12/30/99 20:58</v>
      </c>
      <c r="M290" s="359" t="s">
        <v>2524</v>
      </c>
      <c r="N290" s="290"/>
      <c r="O290" s="276"/>
      <c r="P290" s="275"/>
      <c r="Q290" s="278"/>
      <c r="R290" s="278"/>
      <c r="S290" s="278"/>
      <c r="T290" s="278"/>
      <c r="U290" s="279"/>
      <c r="V290" s="279" t="s">
        <v>1783</v>
      </c>
      <c r="W290" s="280">
        <v>44169.0</v>
      </c>
      <c r="X290" s="281">
        <v>0.052083333333333336</v>
      </c>
      <c r="Y290" s="279" t="s">
        <v>1693</v>
      </c>
      <c r="Z290" s="282" t="s">
        <v>1570</v>
      </c>
      <c r="AA290" s="282" t="s">
        <v>2544</v>
      </c>
      <c r="AB290" s="283">
        <v>44170.0</v>
      </c>
      <c r="AC290" s="284"/>
      <c r="AD290" s="284"/>
    </row>
    <row r="291" ht="14.25" customHeight="1">
      <c r="A291" s="265">
        <v>44168.0</v>
      </c>
      <c r="B291" s="266" t="s">
        <v>1733</v>
      </c>
      <c r="C291" s="266"/>
      <c r="D291" s="266" t="s">
        <v>1689</v>
      </c>
      <c r="E291" s="268"/>
      <c r="F291" s="358" t="s">
        <v>2545</v>
      </c>
      <c r="G291" s="268" t="s">
        <v>2085</v>
      </c>
      <c r="H291" s="270">
        <v>0.0359837962962963</v>
      </c>
      <c r="I291" s="271">
        <v>44168.66527777778</v>
      </c>
      <c r="J291" s="268"/>
      <c r="K291" s="271">
        <v>44169.076944444445</v>
      </c>
      <c r="L291" s="271" t="str">
        <f t="shared" si="32"/>
        <v>12/30/99 9:52</v>
      </c>
      <c r="M291" s="359" t="s">
        <v>2524</v>
      </c>
      <c r="N291" s="290"/>
      <c r="O291" s="276"/>
      <c r="P291" s="275"/>
      <c r="Q291" s="278"/>
      <c r="R291" s="278"/>
      <c r="S291" s="278"/>
      <c r="T291" s="278"/>
      <c r="U291" s="279"/>
      <c r="V291" s="279" t="s">
        <v>1685</v>
      </c>
      <c r="W291" s="280">
        <v>44173.0</v>
      </c>
      <c r="X291" s="281">
        <v>0.16666666666666666</v>
      </c>
      <c r="Y291" s="279" t="s">
        <v>1693</v>
      </c>
      <c r="Z291" s="282" t="s">
        <v>1570</v>
      </c>
      <c r="AA291" s="282" t="s">
        <v>2545</v>
      </c>
      <c r="AB291" s="283">
        <v>44170.0</v>
      </c>
      <c r="AC291" s="284"/>
      <c r="AD291" s="284"/>
    </row>
    <row r="292" ht="14.25" customHeight="1">
      <c r="A292" s="265">
        <v>44168.0</v>
      </c>
      <c r="B292" s="266" t="s">
        <v>1733</v>
      </c>
      <c r="C292" s="266"/>
      <c r="D292" s="266" t="s">
        <v>1831</v>
      </c>
      <c r="E292" s="268"/>
      <c r="F292" s="269" t="s">
        <v>2546</v>
      </c>
      <c r="G292" s="268" t="s">
        <v>1463</v>
      </c>
      <c r="H292" s="270">
        <v>0.003530092592592592</v>
      </c>
      <c r="I292" s="271">
        <v>44168.6375</v>
      </c>
      <c r="J292" s="268"/>
      <c r="K292" s="271">
        <v>44168.68263888889</v>
      </c>
      <c r="L292" s="271"/>
      <c r="M292" s="272" t="s">
        <v>2547</v>
      </c>
      <c r="N292" s="290"/>
      <c r="O292" s="276"/>
      <c r="P292" s="275"/>
      <c r="Q292" s="278"/>
      <c r="R292" s="278"/>
      <c r="S292" s="278"/>
      <c r="T292" s="278"/>
      <c r="U292" s="279"/>
      <c r="V292" s="279" t="s">
        <v>1685</v>
      </c>
      <c r="W292" s="280">
        <v>44173.0</v>
      </c>
      <c r="X292" s="281">
        <v>0.003472222222222222</v>
      </c>
      <c r="Y292" s="279" t="s">
        <v>1693</v>
      </c>
      <c r="Z292" s="282" t="s">
        <v>1570</v>
      </c>
      <c r="AA292" s="282">
        <v>6304512.0</v>
      </c>
      <c r="AB292" s="283">
        <v>44174.0</v>
      </c>
      <c r="AC292" s="284"/>
      <c r="AD292" s="284"/>
    </row>
    <row r="293" ht="14.25" customHeight="1">
      <c r="A293" s="265">
        <v>44168.0</v>
      </c>
      <c r="B293" s="356" t="s">
        <v>1746</v>
      </c>
      <c r="C293" s="266"/>
      <c r="D293" s="265" t="s">
        <v>1748</v>
      </c>
      <c r="E293" s="268"/>
      <c r="F293" s="358" t="s">
        <v>2548</v>
      </c>
      <c r="G293" s="268" t="s">
        <v>2085</v>
      </c>
      <c r="H293" s="270">
        <v>0.020231481481481482</v>
      </c>
      <c r="I293" s="271">
        <v>44169.33611111111</v>
      </c>
      <c r="J293" s="268"/>
      <c r="K293" s="271">
        <v>44169.73670138889</v>
      </c>
      <c r="L293" s="271" t="str">
        <f>K293-I293</f>
        <v>12/30/99 9:36</v>
      </c>
      <c r="M293" s="359" t="s">
        <v>2524</v>
      </c>
      <c r="N293" s="290"/>
      <c r="O293" s="276"/>
      <c r="P293" s="275"/>
      <c r="Q293" s="278"/>
      <c r="R293" s="278"/>
      <c r="S293" s="278"/>
      <c r="T293" s="278"/>
      <c r="U293" s="279"/>
      <c r="V293" s="279" t="s">
        <v>1738</v>
      </c>
      <c r="W293" s="280">
        <v>44174.0</v>
      </c>
      <c r="X293" s="281">
        <v>0.08333333333333333</v>
      </c>
      <c r="Y293" s="279" t="s">
        <v>1693</v>
      </c>
      <c r="Z293" s="282" t="s">
        <v>1570</v>
      </c>
      <c r="AA293" s="282" t="s">
        <v>2548</v>
      </c>
      <c r="AB293" s="283">
        <v>44170.0</v>
      </c>
      <c r="AC293" s="284"/>
      <c r="AD293" s="284"/>
    </row>
    <row r="294" ht="14.25" customHeight="1">
      <c r="A294" s="265">
        <v>44168.0</v>
      </c>
      <c r="B294" s="266" t="s">
        <v>1500</v>
      </c>
      <c r="C294" s="266" t="s">
        <v>2083</v>
      </c>
      <c r="D294" s="266" t="s">
        <v>1543</v>
      </c>
      <c r="E294" s="268"/>
      <c r="F294" s="291" t="s">
        <v>2549</v>
      </c>
      <c r="G294" s="268" t="s">
        <v>1463</v>
      </c>
      <c r="H294" s="270">
        <v>9.837962962962964E-4</v>
      </c>
      <c r="I294" s="271">
        <v>44170.652233796296</v>
      </c>
      <c r="J294" s="268"/>
      <c r="K294" s="271">
        <v>44170.652233796296</v>
      </c>
      <c r="L294" s="271"/>
      <c r="M294" s="307" t="s">
        <v>2550</v>
      </c>
      <c r="N294" s="273">
        <v>44170.65</v>
      </c>
      <c r="O294" s="276" t="s">
        <v>2551</v>
      </c>
      <c r="P294" s="268" t="s">
        <v>1463</v>
      </c>
      <c r="Q294" s="278" t="s">
        <v>1819</v>
      </c>
      <c r="R294" s="277">
        <v>44170.69872685185</v>
      </c>
      <c r="S294" s="278"/>
      <c r="T294" s="278" t="s">
        <v>2552</v>
      </c>
      <c r="U294" s="279"/>
      <c r="V294" s="279" t="s">
        <v>1500</v>
      </c>
      <c r="W294" s="280">
        <v>44173.0</v>
      </c>
      <c r="X294" s="281">
        <v>0.027777777777777776</v>
      </c>
      <c r="Y294" s="279" t="s">
        <v>1693</v>
      </c>
      <c r="Z294" s="282" t="s">
        <v>1570</v>
      </c>
      <c r="AA294" s="282">
        <v>6305677.0</v>
      </c>
      <c r="AB294" s="283">
        <v>44179.0</v>
      </c>
      <c r="AC294" s="284"/>
      <c r="AD294" s="284"/>
    </row>
    <row r="295" ht="14.25" customHeight="1">
      <c r="A295" s="265">
        <v>44168.0</v>
      </c>
      <c r="B295" s="266" t="s">
        <v>1500</v>
      </c>
      <c r="C295" s="266" t="s">
        <v>1450</v>
      </c>
      <c r="D295" s="266" t="s">
        <v>1543</v>
      </c>
      <c r="E295" s="268"/>
      <c r="F295" s="291" t="s">
        <v>2553</v>
      </c>
      <c r="G295" s="268" t="s">
        <v>1463</v>
      </c>
      <c r="H295" s="270">
        <v>9.837962962962964E-4</v>
      </c>
      <c r="I295" s="271">
        <v>44169.44824074074</v>
      </c>
      <c r="J295" s="268"/>
      <c r="K295" s="271">
        <v>44169.45518518519</v>
      </c>
      <c r="L295" s="271"/>
      <c r="M295" s="272" t="s">
        <v>2554</v>
      </c>
      <c r="N295" s="290"/>
      <c r="O295" s="276"/>
      <c r="P295" s="275"/>
      <c r="Q295" s="278"/>
      <c r="R295" s="278"/>
      <c r="S295" s="278"/>
      <c r="T295" s="278"/>
      <c r="U295" s="279"/>
      <c r="V295" s="279" t="s">
        <v>1824</v>
      </c>
      <c r="W295" s="280">
        <v>44187.0</v>
      </c>
      <c r="X295" s="281">
        <v>0.005046296296296296</v>
      </c>
      <c r="Y295" s="279" t="s">
        <v>1693</v>
      </c>
      <c r="Z295" s="282" t="s">
        <v>1570</v>
      </c>
      <c r="AA295" s="282">
        <v>6304513.0</v>
      </c>
      <c r="AB295" s="283">
        <v>44174.0</v>
      </c>
      <c r="AC295" s="284"/>
      <c r="AD295" s="284"/>
    </row>
    <row r="296" ht="14.25" customHeight="1">
      <c r="A296" s="265">
        <v>44169.0</v>
      </c>
      <c r="B296" s="266" t="s">
        <v>1685</v>
      </c>
      <c r="C296" s="266"/>
      <c r="D296" s="266" t="s">
        <v>1450</v>
      </c>
      <c r="E296" s="268"/>
      <c r="F296" s="358" t="s">
        <v>2555</v>
      </c>
      <c r="G296" s="268" t="s">
        <v>2085</v>
      </c>
      <c r="H296" s="270">
        <v>0.09722222222222222</v>
      </c>
      <c r="I296" s="271">
        <v>44169.44824074074</v>
      </c>
      <c r="J296" s="268"/>
      <c r="K296" s="271">
        <v>44169.482881944445</v>
      </c>
      <c r="L296" s="271" t="str">
        <f t="shared" ref="L296:L299" si="33">K296-I296</f>
        <v>12/30/99 0:49</v>
      </c>
      <c r="M296" s="359" t="s">
        <v>2524</v>
      </c>
      <c r="N296" s="290"/>
      <c r="O296" s="276"/>
      <c r="P296" s="275"/>
      <c r="Q296" s="278"/>
      <c r="R296" s="278"/>
      <c r="S296" s="278"/>
      <c r="T296" s="278"/>
      <c r="U296" s="279"/>
      <c r="V296" s="279" t="s">
        <v>1570</v>
      </c>
      <c r="W296" s="280">
        <v>44201.0</v>
      </c>
      <c r="X296" s="281">
        <v>0.2916666666666667</v>
      </c>
      <c r="Y296" s="279" t="s">
        <v>1693</v>
      </c>
      <c r="Z296" s="282" t="s">
        <v>1570</v>
      </c>
      <c r="AA296" s="282" t="s">
        <v>2555</v>
      </c>
      <c r="AB296" s="283">
        <v>44170.0</v>
      </c>
      <c r="AC296" s="284"/>
      <c r="AD296" s="284"/>
    </row>
    <row r="297" ht="14.25" customHeight="1">
      <c r="A297" s="265">
        <v>44169.0</v>
      </c>
      <c r="B297" s="266" t="s">
        <v>1783</v>
      </c>
      <c r="C297" s="266"/>
      <c r="D297" s="266" t="s">
        <v>1452</v>
      </c>
      <c r="E297" s="268"/>
      <c r="F297" s="358" t="s">
        <v>2556</v>
      </c>
      <c r="G297" s="268" t="s">
        <v>2085</v>
      </c>
      <c r="H297" s="270">
        <v>0.005358796296296296</v>
      </c>
      <c r="I297" s="271">
        <v>44169.44824074074</v>
      </c>
      <c r="J297" s="268"/>
      <c r="K297" s="271">
        <v>44169.90115740741</v>
      </c>
      <c r="L297" s="271" t="str">
        <f t="shared" si="33"/>
        <v>12/30/99 10:52</v>
      </c>
      <c r="M297" s="359" t="s">
        <v>2524</v>
      </c>
      <c r="N297" s="290"/>
      <c r="O297" s="276"/>
      <c r="P297" s="275"/>
      <c r="Q297" s="278"/>
      <c r="R297" s="278"/>
      <c r="S297" s="278"/>
      <c r="T297" s="278"/>
      <c r="U297" s="279"/>
      <c r="V297" s="279" t="s">
        <v>1783</v>
      </c>
      <c r="W297" s="280">
        <v>44169.0</v>
      </c>
      <c r="X297" s="281">
        <v>0.027777777777777776</v>
      </c>
      <c r="Y297" s="279" t="s">
        <v>1693</v>
      </c>
      <c r="Z297" s="282" t="s">
        <v>1570</v>
      </c>
      <c r="AA297" s="282" t="s">
        <v>2556</v>
      </c>
      <c r="AB297" s="283">
        <v>44170.0</v>
      </c>
      <c r="AC297" s="284"/>
      <c r="AD297" s="284"/>
    </row>
    <row r="298" ht="14.25" customHeight="1">
      <c r="A298" s="265">
        <v>44169.0</v>
      </c>
      <c r="B298" s="266" t="s">
        <v>1733</v>
      </c>
      <c r="C298" s="266"/>
      <c r="D298" s="266" t="s">
        <v>1689</v>
      </c>
      <c r="E298" s="268"/>
      <c r="F298" s="358" t="s">
        <v>2557</v>
      </c>
      <c r="G298" s="268" t="s">
        <v>2085</v>
      </c>
      <c r="H298" s="270">
        <v>0.03643518518518519</v>
      </c>
      <c r="I298" s="271">
        <v>44170.575</v>
      </c>
      <c r="J298" s="268"/>
      <c r="K298" s="271">
        <v>44170.65006944445</v>
      </c>
      <c r="L298" s="271" t="str">
        <f t="shared" si="33"/>
        <v>12/30/99 1:48</v>
      </c>
      <c r="M298" s="359" t="s">
        <v>2524</v>
      </c>
      <c r="N298" s="290"/>
      <c r="O298" s="276"/>
      <c r="P298" s="275"/>
      <c r="Q298" s="278"/>
      <c r="R298" s="278"/>
      <c r="S298" s="278"/>
      <c r="T298" s="278"/>
      <c r="U298" s="279"/>
      <c r="V298" s="279" t="s">
        <v>1685</v>
      </c>
      <c r="W298" s="280">
        <v>44174.0</v>
      </c>
      <c r="X298" s="281">
        <v>0.002777777777777778</v>
      </c>
      <c r="Y298" s="279" t="s">
        <v>1693</v>
      </c>
      <c r="Z298" s="282" t="s">
        <v>1570</v>
      </c>
      <c r="AA298" s="282" t="s">
        <v>2557</v>
      </c>
      <c r="AB298" s="283">
        <v>44170.0</v>
      </c>
      <c r="AC298" s="284"/>
      <c r="AD298" s="284"/>
    </row>
    <row r="299" ht="14.25" customHeight="1">
      <c r="A299" s="265">
        <v>44169.0</v>
      </c>
      <c r="B299" s="266" t="s">
        <v>1746</v>
      </c>
      <c r="C299" s="266"/>
      <c r="D299" s="265" t="s">
        <v>1748</v>
      </c>
      <c r="E299" s="268"/>
      <c r="F299" s="358" t="s">
        <v>2558</v>
      </c>
      <c r="G299" s="268" t="s">
        <v>2085</v>
      </c>
      <c r="H299" s="270">
        <v>0.018541666666666668</v>
      </c>
      <c r="I299" s="271">
        <v>44170.575</v>
      </c>
      <c r="J299" s="268"/>
      <c r="K299" s="271">
        <v>44170.6387962963</v>
      </c>
      <c r="L299" s="271" t="str">
        <f t="shared" si="33"/>
        <v>12/30/99 1:31</v>
      </c>
      <c r="M299" s="359" t="s">
        <v>2524</v>
      </c>
      <c r="N299" s="290"/>
      <c r="O299" s="276"/>
      <c r="P299" s="275"/>
      <c r="Q299" s="278"/>
      <c r="R299" s="278"/>
      <c r="S299" s="278"/>
      <c r="T299" s="278"/>
      <c r="U299" s="279"/>
      <c r="V299" s="279" t="s">
        <v>1738</v>
      </c>
      <c r="W299" s="280">
        <v>44175.0</v>
      </c>
      <c r="X299" s="281">
        <v>0.001388888888888889</v>
      </c>
      <c r="Y299" s="279" t="s">
        <v>1693</v>
      </c>
      <c r="Z299" s="282" t="s">
        <v>1570</v>
      </c>
      <c r="AA299" s="282" t="s">
        <v>2558</v>
      </c>
      <c r="AB299" s="283">
        <v>44170.0</v>
      </c>
      <c r="AC299" s="284"/>
      <c r="AD299" s="284"/>
    </row>
    <row r="300" ht="14.25" customHeight="1">
      <c r="A300" s="265">
        <v>44169.0</v>
      </c>
      <c r="B300" s="266" t="s">
        <v>1500</v>
      </c>
      <c r="C300" s="266"/>
      <c r="D300" s="266" t="s">
        <v>1831</v>
      </c>
      <c r="E300" s="268"/>
      <c r="F300" s="269" t="s">
        <v>2559</v>
      </c>
      <c r="G300" s="268" t="s">
        <v>1463</v>
      </c>
      <c r="H300" s="270">
        <v>0.0027546296296296294</v>
      </c>
      <c r="I300" s="271">
        <v>44170.65416666667</v>
      </c>
      <c r="J300" s="268"/>
      <c r="K300" s="271">
        <v>44170.699166666665</v>
      </c>
      <c r="L300" s="271"/>
      <c r="M300" s="278" t="s">
        <v>2560</v>
      </c>
      <c r="N300" s="290"/>
      <c r="O300" s="276"/>
      <c r="P300" s="275"/>
      <c r="Q300" s="278"/>
      <c r="R300" s="278"/>
      <c r="S300" s="278"/>
      <c r="T300" s="278"/>
      <c r="U300" s="279"/>
      <c r="V300" s="279" t="s">
        <v>1685</v>
      </c>
      <c r="W300" s="280">
        <v>44174.0</v>
      </c>
      <c r="X300" s="281">
        <v>0.002777777777777778</v>
      </c>
      <c r="Y300" s="279" t="s">
        <v>1693</v>
      </c>
      <c r="Z300" s="282" t="s">
        <v>1570</v>
      </c>
      <c r="AA300" s="282">
        <v>6305671.0</v>
      </c>
      <c r="AB300" s="283">
        <v>44179.0</v>
      </c>
      <c r="AC300" s="284"/>
      <c r="AD300" s="284"/>
    </row>
    <row r="301" ht="14.25" customHeight="1">
      <c r="A301" s="265">
        <v>44169.0</v>
      </c>
      <c r="B301" s="266" t="s">
        <v>1500</v>
      </c>
      <c r="C301" s="266" t="s">
        <v>1450</v>
      </c>
      <c r="D301" s="266" t="s">
        <v>2561</v>
      </c>
      <c r="E301" s="268"/>
      <c r="F301" s="269" t="s">
        <v>2562</v>
      </c>
      <c r="G301" s="268" t="s">
        <v>1463</v>
      </c>
      <c r="H301" s="270">
        <v>8.217592592592592E-4</v>
      </c>
      <c r="I301" s="271">
        <v>44186.915451388886</v>
      </c>
      <c r="J301" s="268"/>
      <c r="K301" s="271">
        <v>44187.24957175926</v>
      </c>
      <c r="L301" s="271"/>
      <c r="M301" s="278" t="s">
        <v>2563</v>
      </c>
      <c r="N301" s="290"/>
      <c r="O301" s="276"/>
      <c r="P301" s="275"/>
      <c r="Q301" s="278"/>
      <c r="R301" s="278"/>
      <c r="S301" s="278"/>
      <c r="T301" s="278"/>
      <c r="U301" s="279"/>
      <c r="V301" s="279" t="s">
        <v>1824</v>
      </c>
      <c r="W301" s="280">
        <v>44187.0</v>
      </c>
      <c r="X301" s="281">
        <v>0.01068287037037037</v>
      </c>
      <c r="Y301" s="279" t="s">
        <v>1693</v>
      </c>
      <c r="Z301" s="282" t="s">
        <v>1570</v>
      </c>
      <c r="AA301" s="282">
        <v>6310296.0</v>
      </c>
      <c r="AB301" s="283">
        <v>44187.0</v>
      </c>
      <c r="AC301" s="284"/>
      <c r="AD301" s="284"/>
    </row>
    <row r="302" ht="14.25" customHeight="1">
      <c r="A302" s="265">
        <v>44170.0</v>
      </c>
      <c r="B302" s="356"/>
      <c r="C302" s="266"/>
      <c r="D302" s="266" t="s">
        <v>1689</v>
      </c>
      <c r="E302" s="268"/>
      <c r="F302" s="358" t="s">
        <v>2564</v>
      </c>
      <c r="G302" s="268" t="s">
        <v>2085</v>
      </c>
      <c r="H302" s="270">
        <v>0.03607638888888889</v>
      </c>
      <c r="I302" s="271">
        <v>44170.64791666667</v>
      </c>
      <c r="J302" s="268"/>
      <c r="K302" s="271">
        <v>44170.71335648148</v>
      </c>
      <c r="L302" s="271" t="str">
        <f t="shared" ref="L302:L304" si="34">K302-I302</f>
        <v>12/30/99 1:34</v>
      </c>
      <c r="M302" s="359" t="s">
        <v>2524</v>
      </c>
      <c r="N302" s="290"/>
      <c r="O302" s="276"/>
      <c r="P302" s="275"/>
      <c r="Q302" s="278"/>
      <c r="R302" s="278"/>
      <c r="S302" s="278"/>
      <c r="T302" s="278"/>
      <c r="U302" s="279"/>
      <c r="V302" s="279" t="s">
        <v>1685</v>
      </c>
      <c r="W302" s="280">
        <v>44175.0</v>
      </c>
      <c r="X302" s="350"/>
      <c r="Y302" s="279" t="s">
        <v>1693</v>
      </c>
      <c r="Z302" s="282" t="s">
        <v>1570</v>
      </c>
      <c r="AA302" s="282" t="s">
        <v>2564</v>
      </c>
      <c r="AB302" s="283">
        <v>44172.0</v>
      </c>
      <c r="AC302" s="284"/>
      <c r="AD302" s="284"/>
    </row>
    <row r="303" ht="14.25" customHeight="1">
      <c r="A303" s="265">
        <v>44170.0</v>
      </c>
      <c r="B303" s="266"/>
      <c r="C303" s="266"/>
      <c r="D303" s="265" t="s">
        <v>1748</v>
      </c>
      <c r="E303" s="268"/>
      <c r="F303" s="358" t="s">
        <v>2565</v>
      </c>
      <c r="G303" s="268" t="s">
        <v>2085</v>
      </c>
      <c r="H303" s="270">
        <v>0.013020833333333334</v>
      </c>
      <c r="I303" s="271">
        <v>44170.84930555556</v>
      </c>
      <c r="J303" s="268"/>
      <c r="K303" s="271">
        <v>44170.89098379629</v>
      </c>
      <c r="L303" s="271" t="str">
        <f t="shared" si="34"/>
        <v>12/30/99 1:00</v>
      </c>
      <c r="M303" s="307" t="s">
        <v>2539</v>
      </c>
      <c r="N303" s="273">
        <v>44172.45347222222</v>
      </c>
      <c r="O303" s="276" t="s">
        <v>2566</v>
      </c>
      <c r="P303" s="275" t="s">
        <v>2085</v>
      </c>
      <c r="Q303" s="278" t="s">
        <v>1819</v>
      </c>
      <c r="R303" s="273">
        <v>44172.46666666667</v>
      </c>
      <c r="S303" s="278"/>
      <c r="T303" s="278" t="s">
        <v>2567</v>
      </c>
      <c r="U303" s="279"/>
      <c r="V303" s="279" t="s">
        <v>1738</v>
      </c>
      <c r="W303" s="280">
        <v>44176.0</v>
      </c>
      <c r="X303" s="279"/>
      <c r="Y303" s="279" t="s">
        <v>1693</v>
      </c>
      <c r="Z303" s="282" t="s">
        <v>1570</v>
      </c>
      <c r="AA303" s="282" t="s">
        <v>2565</v>
      </c>
      <c r="AB303" s="283">
        <v>44174.0</v>
      </c>
      <c r="AC303" s="284"/>
      <c r="AD303" s="284"/>
    </row>
    <row r="304" ht="14.25" customHeight="1">
      <c r="A304" s="265">
        <v>44171.0</v>
      </c>
      <c r="B304" s="266" t="s">
        <v>1783</v>
      </c>
      <c r="C304" s="266"/>
      <c r="D304" s="266" t="s">
        <v>1796</v>
      </c>
      <c r="E304" s="268"/>
      <c r="F304" s="358" t="s">
        <v>2568</v>
      </c>
      <c r="G304" s="268" t="s">
        <v>2085</v>
      </c>
      <c r="H304" s="270">
        <v>0.017534722222222222</v>
      </c>
      <c r="I304" s="271">
        <v>44172.645833333336</v>
      </c>
      <c r="J304" s="268"/>
      <c r="K304" s="271">
        <v>44172.6875</v>
      </c>
      <c r="L304" s="271" t="str">
        <f t="shared" si="34"/>
        <v>12/30/99 1:00</v>
      </c>
      <c r="M304" s="307" t="s">
        <v>2539</v>
      </c>
      <c r="N304" s="319">
        <v>44172.771527777775</v>
      </c>
      <c r="O304" s="301" t="s">
        <v>2569</v>
      </c>
      <c r="P304" s="317" t="s">
        <v>2085</v>
      </c>
      <c r="Q304" s="272" t="s">
        <v>2570</v>
      </c>
      <c r="R304" s="361">
        <v>44174.11888888889</v>
      </c>
      <c r="S304" s="362"/>
      <c r="T304" s="272" t="s">
        <v>2571</v>
      </c>
      <c r="U304" s="279"/>
      <c r="V304" s="279" t="s">
        <v>1783</v>
      </c>
      <c r="W304" s="280">
        <v>44193.0</v>
      </c>
      <c r="X304" s="281">
        <v>0.041666666666666664</v>
      </c>
      <c r="Y304" s="279" t="s">
        <v>1693</v>
      </c>
      <c r="Z304" s="282" t="s">
        <v>1570</v>
      </c>
      <c r="AA304" s="282" t="s">
        <v>2568</v>
      </c>
      <c r="AB304" s="283">
        <v>44174.0</v>
      </c>
      <c r="AC304" s="284"/>
      <c r="AD304" s="284"/>
    </row>
    <row r="305" ht="14.25" customHeight="1">
      <c r="A305" s="265">
        <v>44171.0</v>
      </c>
      <c r="B305" s="266" t="s">
        <v>1500</v>
      </c>
      <c r="C305" s="266" t="s">
        <v>1450</v>
      </c>
      <c r="D305" s="266" t="s">
        <v>1543</v>
      </c>
      <c r="E305" s="268"/>
      <c r="F305" s="269" t="s">
        <v>2572</v>
      </c>
      <c r="G305" s="268" t="s">
        <v>1463</v>
      </c>
      <c r="H305" s="270">
        <v>0.0024652777777777776</v>
      </c>
      <c r="I305" s="271">
        <v>44174.77793981481</v>
      </c>
      <c r="J305" s="268"/>
      <c r="K305" s="271">
        <v>44175.455555555556</v>
      </c>
      <c r="L305" s="271"/>
      <c r="M305" s="272" t="s">
        <v>2573</v>
      </c>
      <c r="N305" s="319"/>
      <c r="O305" s="301"/>
      <c r="P305" s="317"/>
      <c r="Q305" s="272"/>
      <c r="R305" s="361"/>
      <c r="S305" s="362"/>
      <c r="T305" s="272"/>
      <c r="U305" s="279"/>
      <c r="V305" s="279" t="s">
        <v>1824</v>
      </c>
      <c r="W305" s="280">
        <v>44187.0</v>
      </c>
      <c r="X305" s="281">
        <v>0.013668981481481482</v>
      </c>
      <c r="Y305" s="279" t="s">
        <v>1693</v>
      </c>
      <c r="Z305" s="282" t="s">
        <v>1570</v>
      </c>
      <c r="AA305" s="282">
        <v>6307667.0</v>
      </c>
      <c r="AB305" s="283">
        <v>44179.0</v>
      </c>
      <c r="AC305" s="284"/>
      <c r="AD305" s="284"/>
    </row>
    <row r="306" ht="14.25" customHeight="1">
      <c r="A306" s="265">
        <v>44172.0</v>
      </c>
      <c r="B306" s="266"/>
      <c r="C306" s="266"/>
      <c r="D306" s="266" t="s">
        <v>1450</v>
      </c>
      <c r="E306" s="268"/>
      <c r="F306" s="358" t="s">
        <v>2574</v>
      </c>
      <c r="G306" s="268" t="s">
        <v>2085</v>
      </c>
      <c r="H306" s="270">
        <v>0.09695601851851852</v>
      </c>
      <c r="I306" s="271">
        <v>44173.39027777778</v>
      </c>
      <c r="J306" s="268"/>
      <c r="K306" s="271">
        <v>44173.48224537037</v>
      </c>
      <c r="L306" s="271" t="str">
        <f t="shared" ref="L306:L309" si="35">K306-I306</f>
        <v>12/30/99 2:12</v>
      </c>
      <c r="M306" s="359" t="s">
        <v>2524</v>
      </c>
      <c r="N306" s="290"/>
      <c r="O306" s="276"/>
      <c r="P306" s="275"/>
      <c r="Q306" s="278"/>
      <c r="R306" s="278"/>
      <c r="S306" s="278"/>
      <c r="T306" s="278"/>
      <c r="U306" s="279"/>
      <c r="V306" s="279" t="s">
        <v>1824</v>
      </c>
      <c r="W306" s="280">
        <v>43834.0</v>
      </c>
      <c r="X306" s="281">
        <v>0.3541666666666667</v>
      </c>
      <c r="Y306" s="279" t="s">
        <v>1693</v>
      </c>
      <c r="Z306" s="282" t="s">
        <v>1570</v>
      </c>
      <c r="AA306" s="282" t="s">
        <v>2575</v>
      </c>
      <c r="AB306" s="283">
        <v>44174.0</v>
      </c>
      <c r="AC306" s="284"/>
      <c r="AD306" s="284"/>
    </row>
    <row r="307" ht="14.25" customHeight="1">
      <c r="A307" s="265">
        <v>44172.0</v>
      </c>
      <c r="B307" s="266" t="s">
        <v>1783</v>
      </c>
      <c r="C307" s="266"/>
      <c r="D307" s="266" t="s">
        <v>1452</v>
      </c>
      <c r="E307" s="268"/>
      <c r="F307" s="358" t="s">
        <v>2576</v>
      </c>
      <c r="G307" s="268" t="s">
        <v>2085</v>
      </c>
      <c r="H307" s="270">
        <v>0.009618055555555555</v>
      </c>
      <c r="I307" s="271">
        <v>44172.645833333336</v>
      </c>
      <c r="J307" s="268"/>
      <c r="K307" s="271">
        <v>44173.03680555556</v>
      </c>
      <c r="L307" s="271" t="str">
        <f t="shared" si="35"/>
        <v>12/30/99 9:23</v>
      </c>
      <c r="M307" s="359" t="s">
        <v>2524</v>
      </c>
      <c r="N307" s="290"/>
      <c r="O307" s="276"/>
      <c r="P307" s="275"/>
      <c r="Q307" s="278"/>
      <c r="R307" s="278"/>
      <c r="S307" s="278"/>
      <c r="T307" s="278"/>
      <c r="U307" s="279"/>
      <c r="V307" s="279" t="s">
        <v>1783</v>
      </c>
      <c r="W307" s="280">
        <v>44172.0</v>
      </c>
      <c r="X307" s="281">
        <v>0.03819444444444444</v>
      </c>
      <c r="Y307" s="279" t="s">
        <v>1693</v>
      </c>
      <c r="Z307" s="282" t="s">
        <v>1570</v>
      </c>
      <c r="AA307" s="282" t="s">
        <v>2576</v>
      </c>
      <c r="AB307" s="283">
        <v>44174.0</v>
      </c>
      <c r="AC307" s="284"/>
      <c r="AD307" s="284"/>
    </row>
    <row r="308" ht="14.25" customHeight="1">
      <c r="A308" s="265">
        <v>44172.0</v>
      </c>
      <c r="B308" s="266" t="s">
        <v>1685</v>
      </c>
      <c r="C308" s="266"/>
      <c r="D308" s="266" t="s">
        <v>1689</v>
      </c>
      <c r="E308" s="268"/>
      <c r="F308" s="358" t="s">
        <v>2577</v>
      </c>
      <c r="G308" s="268" t="s">
        <v>2085</v>
      </c>
      <c r="H308" s="270">
        <v>0.0365625</v>
      </c>
      <c r="I308" s="271">
        <v>44172.76388888889</v>
      </c>
      <c r="J308" s="268"/>
      <c r="K308" s="271">
        <v>44173.15277777778</v>
      </c>
      <c r="L308" s="271" t="str">
        <f t="shared" si="35"/>
        <v>12/30/99 9:20</v>
      </c>
      <c r="M308" s="359" t="s">
        <v>2524</v>
      </c>
      <c r="N308" s="290"/>
      <c r="O308" s="276"/>
      <c r="P308" s="275"/>
      <c r="Q308" s="278"/>
      <c r="R308" s="278"/>
      <c r="S308" s="278"/>
      <c r="T308" s="278"/>
      <c r="U308" s="279"/>
      <c r="V308" s="279" t="s">
        <v>1685</v>
      </c>
      <c r="W308" s="280">
        <v>44176.0</v>
      </c>
      <c r="X308" s="281">
        <v>0.20833333333333334</v>
      </c>
      <c r="Y308" s="279" t="s">
        <v>1693</v>
      </c>
      <c r="Z308" s="282" t="s">
        <v>1570</v>
      </c>
      <c r="AA308" s="282" t="s">
        <v>2577</v>
      </c>
      <c r="AB308" s="283">
        <v>44174.0</v>
      </c>
      <c r="AC308" s="284"/>
      <c r="AD308" s="284"/>
    </row>
    <row r="309" ht="14.25" customHeight="1">
      <c r="A309" s="265">
        <v>44172.0</v>
      </c>
      <c r="B309" s="266" t="s">
        <v>1746</v>
      </c>
      <c r="C309" s="266"/>
      <c r="D309" s="265" t="s">
        <v>1748</v>
      </c>
      <c r="E309" s="268"/>
      <c r="F309" s="358" t="s">
        <v>2578</v>
      </c>
      <c r="G309" s="268" t="s">
        <v>2085</v>
      </c>
      <c r="H309" s="270">
        <v>0.020196759259259258</v>
      </c>
      <c r="I309" s="271">
        <v>44173.39027777778</v>
      </c>
      <c r="J309" s="268"/>
      <c r="K309" s="271">
        <v>44173.40415509259</v>
      </c>
      <c r="L309" s="271" t="str">
        <f t="shared" si="35"/>
        <v>12/30/99 0:19</v>
      </c>
      <c r="M309" s="359" t="s">
        <v>2524</v>
      </c>
      <c r="N309" s="290"/>
      <c r="O309" s="276"/>
      <c r="P309" s="276"/>
      <c r="Q309" s="278"/>
      <c r="R309" s="278"/>
      <c r="S309" s="278"/>
      <c r="T309" s="278"/>
      <c r="U309" s="279"/>
      <c r="V309" s="279" t="s">
        <v>1772</v>
      </c>
      <c r="W309" s="280">
        <v>44180.0</v>
      </c>
      <c r="X309" s="281">
        <v>0.125</v>
      </c>
      <c r="Y309" s="279" t="s">
        <v>1693</v>
      </c>
      <c r="Z309" s="282" t="s">
        <v>1570</v>
      </c>
      <c r="AA309" s="282" t="s">
        <v>2578</v>
      </c>
      <c r="AB309" s="283">
        <v>44174.0</v>
      </c>
      <c r="AC309" s="284"/>
      <c r="AD309" s="284"/>
    </row>
    <row r="310" ht="14.25" customHeight="1">
      <c r="A310" s="265">
        <v>44172.0</v>
      </c>
      <c r="B310" s="266" t="s">
        <v>1500</v>
      </c>
      <c r="C310" s="266" t="s">
        <v>2346</v>
      </c>
      <c r="D310" s="265" t="s">
        <v>2561</v>
      </c>
      <c r="E310" s="268"/>
      <c r="F310" s="269" t="s">
        <v>2579</v>
      </c>
      <c r="G310" s="268" t="s">
        <v>1463</v>
      </c>
      <c r="H310" s="270">
        <v>0.06180555555555556</v>
      </c>
      <c r="I310" s="271">
        <v>44176.65416666667</v>
      </c>
      <c r="J310" s="268"/>
      <c r="K310" s="271">
        <v>44177.03</v>
      </c>
      <c r="L310" s="271"/>
      <c r="M310" s="272" t="s">
        <v>2580</v>
      </c>
      <c r="N310" s="290"/>
      <c r="O310" s="276"/>
      <c r="P310" s="276"/>
      <c r="Q310" s="278"/>
      <c r="R310" s="278"/>
      <c r="S310" s="278"/>
      <c r="T310" s="278"/>
      <c r="U310" s="279"/>
      <c r="V310" s="279" t="s">
        <v>1824</v>
      </c>
      <c r="W310" s="280">
        <v>44187.0</v>
      </c>
      <c r="X310" s="281">
        <v>0.010949074074074075</v>
      </c>
      <c r="Y310" s="279" t="s">
        <v>1693</v>
      </c>
      <c r="Z310" s="282" t="s">
        <v>1570</v>
      </c>
      <c r="AA310" s="282">
        <v>6307668.0</v>
      </c>
      <c r="AB310" s="283">
        <v>44179.0</v>
      </c>
      <c r="AC310" s="284"/>
      <c r="AD310" s="284"/>
    </row>
    <row r="311" ht="14.25" customHeight="1">
      <c r="A311" s="265">
        <v>44173.0</v>
      </c>
      <c r="B311" s="266" t="s">
        <v>1500</v>
      </c>
      <c r="C311" s="266"/>
      <c r="D311" s="266" t="s">
        <v>1450</v>
      </c>
      <c r="E311" s="268"/>
      <c r="F311" s="358" t="s">
        <v>2581</v>
      </c>
      <c r="G311" s="268" t="s">
        <v>2085</v>
      </c>
      <c r="H311" s="270">
        <v>0.09752314814814815</v>
      </c>
      <c r="I311" s="271">
        <v>44173.70694444444</v>
      </c>
      <c r="J311" s="268"/>
      <c r="K311" s="271">
        <v>44174.18284722222</v>
      </c>
      <c r="L311" s="271" t="str">
        <f t="shared" ref="L311:L314" si="36">K311-I311</f>
        <v>12/30/99 11:25</v>
      </c>
      <c r="M311" s="359" t="s">
        <v>2524</v>
      </c>
      <c r="N311" s="290"/>
      <c r="O311" s="276"/>
      <c r="P311" s="276"/>
      <c r="Q311" s="278"/>
      <c r="R311" s="278"/>
      <c r="S311" s="278"/>
      <c r="T311" s="278"/>
      <c r="U311" s="279"/>
      <c r="V311" s="279" t="s">
        <v>1570</v>
      </c>
      <c r="W311" s="280">
        <v>44202.0</v>
      </c>
      <c r="X311" s="281">
        <v>0.2916666666666667</v>
      </c>
      <c r="Y311" s="279" t="s">
        <v>1693</v>
      </c>
      <c r="Z311" s="282" t="s">
        <v>1570</v>
      </c>
      <c r="AA311" s="282" t="s">
        <v>2581</v>
      </c>
      <c r="AB311" s="283">
        <v>44174.0</v>
      </c>
      <c r="AC311" s="284"/>
      <c r="AD311" s="284"/>
    </row>
    <row r="312" ht="14.25" customHeight="1">
      <c r="A312" s="265">
        <v>44173.0</v>
      </c>
      <c r="B312" s="266" t="s">
        <v>1500</v>
      </c>
      <c r="C312" s="266"/>
      <c r="D312" s="266" t="s">
        <v>1452</v>
      </c>
      <c r="E312" s="268"/>
      <c r="F312" s="358" t="s">
        <v>2582</v>
      </c>
      <c r="G312" s="268" t="s">
        <v>2085</v>
      </c>
      <c r="H312" s="270">
        <v>0.007141203703703704</v>
      </c>
      <c r="I312" s="271">
        <v>44173.74375</v>
      </c>
      <c r="J312" s="268"/>
      <c r="K312" s="271">
        <v>44174.12936342593</v>
      </c>
      <c r="L312" s="271" t="str">
        <f t="shared" si="36"/>
        <v>12/30/99 9:15</v>
      </c>
      <c r="M312" s="359" t="s">
        <v>2524</v>
      </c>
      <c r="N312" s="290"/>
      <c r="O312" s="276"/>
      <c r="P312" s="276"/>
      <c r="Q312" s="278"/>
      <c r="R312" s="278"/>
      <c r="S312" s="278"/>
      <c r="T312" s="278"/>
      <c r="U312" s="279"/>
      <c r="V312" s="279" t="s">
        <v>1738</v>
      </c>
      <c r="W312" s="280">
        <v>44175.0</v>
      </c>
      <c r="X312" s="281">
        <v>0.027777777777777776</v>
      </c>
      <c r="Y312" s="279" t="s">
        <v>1693</v>
      </c>
      <c r="Z312" s="282" t="s">
        <v>1570</v>
      </c>
      <c r="AA312" s="282" t="s">
        <v>2582</v>
      </c>
      <c r="AB312" s="283">
        <v>44174.0</v>
      </c>
      <c r="AC312" s="284"/>
      <c r="AD312" s="284"/>
    </row>
    <row r="313" ht="14.25" customHeight="1">
      <c r="A313" s="265">
        <v>44173.0</v>
      </c>
      <c r="B313" s="266"/>
      <c r="C313" s="266"/>
      <c r="D313" s="266" t="s">
        <v>1689</v>
      </c>
      <c r="E313" s="268"/>
      <c r="F313" s="358" t="s">
        <v>2583</v>
      </c>
      <c r="G313" s="268" t="s">
        <v>2085</v>
      </c>
      <c r="H313" s="270">
        <v>0.03603009259259259</v>
      </c>
      <c r="I313" s="271">
        <v>44173.74375</v>
      </c>
      <c r="J313" s="268"/>
      <c r="K313" s="271">
        <v>44174.15363425926</v>
      </c>
      <c r="L313" s="271" t="str">
        <f t="shared" si="36"/>
        <v>12/30/99 9:50</v>
      </c>
      <c r="M313" s="359" t="s">
        <v>2524</v>
      </c>
      <c r="N313" s="290"/>
      <c r="O313" s="276"/>
      <c r="P313" s="276"/>
      <c r="Q313" s="278"/>
      <c r="R313" s="278"/>
      <c r="S313" s="278"/>
      <c r="T313" s="278"/>
      <c r="U313" s="279"/>
      <c r="V313" s="279" t="s">
        <v>1685</v>
      </c>
      <c r="W313" s="280">
        <v>44181.0</v>
      </c>
      <c r="X313" s="281">
        <v>0.16666666666666666</v>
      </c>
      <c r="Y313" s="279" t="s">
        <v>1693</v>
      </c>
      <c r="Z313" s="282" t="s">
        <v>1570</v>
      </c>
      <c r="AA313" s="282" t="s">
        <v>2583</v>
      </c>
      <c r="AB313" s="283">
        <v>44174.0</v>
      </c>
      <c r="AC313" s="284"/>
      <c r="AD313" s="284"/>
    </row>
    <row r="314" ht="14.25" customHeight="1">
      <c r="A314" s="265">
        <v>44173.0</v>
      </c>
      <c r="B314" s="266" t="s">
        <v>1746</v>
      </c>
      <c r="C314" s="266"/>
      <c r="D314" s="265" t="s">
        <v>1748</v>
      </c>
      <c r="E314" s="268"/>
      <c r="F314" s="358" t="s">
        <v>2584</v>
      </c>
      <c r="G314" s="268" t="s">
        <v>2085</v>
      </c>
      <c r="H314" s="270">
        <v>0.02048611111111111</v>
      </c>
      <c r="I314" s="271">
        <v>44174.40571759259</v>
      </c>
      <c r="J314" s="268"/>
      <c r="K314" s="271">
        <v>44174.80658564815</v>
      </c>
      <c r="L314" s="271" t="str">
        <f t="shared" si="36"/>
        <v>12/30/99 9:37</v>
      </c>
      <c r="M314" s="359" t="s">
        <v>2524</v>
      </c>
      <c r="N314" s="290"/>
      <c r="O314" s="276"/>
      <c r="P314" s="276"/>
      <c r="Q314" s="278"/>
      <c r="R314" s="278"/>
      <c r="S314" s="278"/>
      <c r="T314" s="278"/>
      <c r="U314" s="279"/>
      <c r="V314" s="279" t="s">
        <v>1772</v>
      </c>
      <c r="W314" s="280">
        <v>44181.0</v>
      </c>
      <c r="X314" s="281">
        <v>0.125</v>
      </c>
      <c r="Y314" s="279" t="s">
        <v>1693</v>
      </c>
      <c r="Z314" s="282" t="s">
        <v>1570</v>
      </c>
      <c r="AA314" s="282" t="s">
        <v>2584</v>
      </c>
      <c r="AB314" s="283">
        <v>44174.0</v>
      </c>
      <c r="AC314" s="284"/>
      <c r="AD314" s="284"/>
    </row>
    <row r="315" ht="14.25" customHeight="1">
      <c r="A315" s="265">
        <v>44173.0</v>
      </c>
      <c r="B315" s="266" t="s">
        <v>1500</v>
      </c>
      <c r="C315" s="266" t="s">
        <v>2346</v>
      </c>
      <c r="D315" s="265" t="s">
        <v>2561</v>
      </c>
      <c r="E315" s="268"/>
      <c r="F315" s="363" t="s">
        <v>2585</v>
      </c>
      <c r="G315" s="268" t="s">
        <v>1463</v>
      </c>
      <c r="H315" s="364">
        <v>0.08402777777777777</v>
      </c>
      <c r="I315" s="271">
        <v>44176.54375</v>
      </c>
      <c r="J315" s="268"/>
      <c r="K315" s="271">
        <v>44176.58435185185</v>
      </c>
      <c r="L315" s="271"/>
      <c r="M315" s="307" t="s">
        <v>2586</v>
      </c>
      <c r="N315" s="273">
        <v>44179.441666666666</v>
      </c>
      <c r="O315" s="276" t="s">
        <v>2587</v>
      </c>
      <c r="P315" s="268" t="s">
        <v>1463</v>
      </c>
      <c r="Q315" s="278" t="s">
        <v>1819</v>
      </c>
      <c r="R315" s="277">
        <v>44179.49039351852</v>
      </c>
      <c r="S315" s="278"/>
      <c r="T315" s="278" t="s">
        <v>2588</v>
      </c>
      <c r="U315" s="279"/>
      <c r="V315" s="279" t="s">
        <v>1824</v>
      </c>
      <c r="W315" s="280">
        <v>44187.0</v>
      </c>
      <c r="X315" s="281">
        <v>0.011377314814814814</v>
      </c>
      <c r="Y315" s="279" t="s">
        <v>1693</v>
      </c>
      <c r="Z315" s="282" t="s">
        <v>1570</v>
      </c>
      <c r="AA315" s="282">
        <v>6307669.0</v>
      </c>
      <c r="AB315" s="283">
        <v>44179.0</v>
      </c>
      <c r="AC315" s="284"/>
      <c r="AD315" s="284"/>
    </row>
    <row r="316" ht="14.25" customHeight="1">
      <c r="A316" s="265">
        <v>44174.0</v>
      </c>
      <c r="B316" s="266" t="s">
        <v>2589</v>
      </c>
      <c r="C316" s="266"/>
      <c r="D316" s="266" t="s">
        <v>1450</v>
      </c>
      <c r="E316" s="268"/>
      <c r="F316" s="365" t="s">
        <v>2590</v>
      </c>
      <c r="G316" s="268" t="s">
        <v>2085</v>
      </c>
      <c r="H316" s="366">
        <v>0.09791666666666667</v>
      </c>
      <c r="I316" s="271">
        <v>44175.407638888886</v>
      </c>
      <c r="J316" s="268"/>
      <c r="K316" s="271">
        <v>44175.495625</v>
      </c>
      <c r="L316" s="271" t="str">
        <f t="shared" ref="L316:L317" si="37">K316-I316</f>
        <v>12/30/99 2:06</v>
      </c>
      <c r="M316" s="359" t="s">
        <v>2524</v>
      </c>
      <c r="N316" s="290"/>
      <c r="O316" s="276"/>
      <c r="P316" s="276"/>
      <c r="Q316" s="278"/>
      <c r="R316" s="278"/>
      <c r="S316" s="278"/>
      <c r="T316" s="278"/>
      <c r="U316" s="279"/>
      <c r="V316" s="279" t="s">
        <v>1570</v>
      </c>
      <c r="W316" s="280">
        <v>44203.0</v>
      </c>
      <c r="X316" s="281">
        <v>0.3333333333333333</v>
      </c>
      <c r="Y316" s="279" t="s">
        <v>1693</v>
      </c>
      <c r="Z316" s="282" t="s">
        <v>53</v>
      </c>
      <c r="AA316" s="282" t="s">
        <v>2590</v>
      </c>
      <c r="AB316" s="283">
        <v>44175.0</v>
      </c>
      <c r="AC316" s="284"/>
      <c r="AD316" s="284"/>
    </row>
    <row r="317" ht="14.25" customHeight="1">
      <c r="A317" s="265">
        <v>44174.0</v>
      </c>
      <c r="B317" s="266" t="s">
        <v>1500</v>
      </c>
      <c r="C317" s="266"/>
      <c r="D317" s="266" t="s">
        <v>1452</v>
      </c>
      <c r="E317" s="268"/>
      <c r="F317" s="367" t="s">
        <v>2591</v>
      </c>
      <c r="G317" s="268" t="s">
        <v>2085</v>
      </c>
      <c r="H317" s="339">
        <v>0.007719907407407408</v>
      </c>
      <c r="I317" s="271">
        <v>44174.61944444444</v>
      </c>
      <c r="J317" s="268"/>
      <c r="K317" s="271">
        <v>44175.00336805556</v>
      </c>
      <c r="L317" s="271" t="str">
        <f t="shared" si="37"/>
        <v>12/30/99 9:12</v>
      </c>
      <c r="M317" s="359" t="s">
        <v>2524</v>
      </c>
      <c r="N317" s="290"/>
      <c r="O317" s="276"/>
      <c r="P317" s="276"/>
      <c r="Q317" s="278"/>
      <c r="R317" s="278"/>
      <c r="S317" s="278"/>
      <c r="T317" s="278"/>
      <c r="U317" s="279"/>
      <c r="V317" s="279" t="s">
        <v>1738</v>
      </c>
      <c r="W317" s="280">
        <v>44176.0</v>
      </c>
      <c r="X317" s="281">
        <v>0.027777777777777776</v>
      </c>
      <c r="Y317" s="279" t="s">
        <v>1693</v>
      </c>
      <c r="Z317" s="282" t="s">
        <v>1570</v>
      </c>
      <c r="AA317" s="282" t="s">
        <v>2591</v>
      </c>
      <c r="AB317" s="283">
        <v>44174.0</v>
      </c>
      <c r="AC317" s="284"/>
      <c r="AD317" s="284"/>
    </row>
    <row r="318" ht="14.25" customHeight="1">
      <c r="A318" s="265">
        <v>44174.0</v>
      </c>
      <c r="B318" s="266" t="s">
        <v>1685</v>
      </c>
      <c r="C318" s="266"/>
      <c r="D318" s="266" t="s">
        <v>1831</v>
      </c>
      <c r="E318" s="268"/>
      <c r="F318" s="368" t="s">
        <v>2592</v>
      </c>
      <c r="G318" s="268" t="s">
        <v>1463</v>
      </c>
      <c r="H318" s="339">
        <v>0.0029745370370370373</v>
      </c>
      <c r="I318" s="271">
        <v>44174.61944444444</v>
      </c>
      <c r="J318" s="268"/>
      <c r="K318" s="271">
        <v>44175.418854166666</v>
      </c>
      <c r="L318" s="271"/>
      <c r="M318" s="278" t="s">
        <v>2593</v>
      </c>
      <c r="N318" s="290"/>
      <c r="O318" s="276"/>
      <c r="P318" s="276"/>
      <c r="Q318" s="278"/>
      <c r="R318" s="278"/>
      <c r="S318" s="278"/>
      <c r="T318" s="278"/>
      <c r="U318" s="279"/>
      <c r="V318" s="279" t="s">
        <v>1685</v>
      </c>
      <c r="W318" s="280">
        <v>44180.0</v>
      </c>
      <c r="X318" s="281">
        <v>0.004166666666666667</v>
      </c>
      <c r="Y318" s="279" t="s">
        <v>1693</v>
      </c>
      <c r="Z318" s="282" t="s">
        <v>1570</v>
      </c>
      <c r="AA318" s="282">
        <v>6307670.0</v>
      </c>
      <c r="AB318" s="283">
        <v>44179.0</v>
      </c>
      <c r="AC318" s="284"/>
      <c r="AD318" s="284"/>
    </row>
    <row r="319" ht="14.25" customHeight="1">
      <c r="A319" s="265">
        <v>44174.0</v>
      </c>
      <c r="B319" s="266" t="s">
        <v>1685</v>
      </c>
      <c r="C319" s="266"/>
      <c r="D319" s="266" t="s">
        <v>1689</v>
      </c>
      <c r="E319" s="268"/>
      <c r="F319" s="367" t="s">
        <v>2594</v>
      </c>
      <c r="G319" s="268" t="s">
        <v>2085</v>
      </c>
      <c r="H319" s="339">
        <v>0.03791666666666667</v>
      </c>
      <c r="I319" s="271">
        <v>44174.61944444444</v>
      </c>
      <c r="J319" s="268"/>
      <c r="K319" s="271">
        <v>44175.02431712963</v>
      </c>
      <c r="L319" s="271" t="str">
        <f t="shared" ref="L319:L320" si="38">K319-I319</f>
        <v>12/30/99 9:43</v>
      </c>
      <c r="M319" s="359" t="s">
        <v>2524</v>
      </c>
      <c r="N319" s="290"/>
      <c r="O319" s="276"/>
      <c r="P319" s="276"/>
      <c r="Q319" s="278"/>
      <c r="R319" s="278"/>
      <c r="S319" s="278"/>
      <c r="T319" s="278"/>
      <c r="U319" s="279"/>
      <c r="V319" s="279" t="s">
        <v>1685</v>
      </c>
      <c r="W319" s="280">
        <v>44179.0</v>
      </c>
      <c r="X319" s="281">
        <v>0.16666666666666666</v>
      </c>
      <c r="Y319" s="279" t="s">
        <v>1693</v>
      </c>
      <c r="Z319" s="282" t="s">
        <v>1570</v>
      </c>
      <c r="AA319" s="282" t="s">
        <v>2594</v>
      </c>
      <c r="AB319" s="283">
        <v>44174.0</v>
      </c>
      <c r="AC319" s="284"/>
      <c r="AD319" s="284"/>
    </row>
    <row r="320" ht="14.25" customHeight="1">
      <c r="A320" s="265">
        <v>44174.0</v>
      </c>
      <c r="B320" s="266" t="s">
        <v>1746</v>
      </c>
      <c r="C320" s="266"/>
      <c r="D320" s="265" t="s">
        <v>1748</v>
      </c>
      <c r="E320" s="268"/>
      <c r="F320" s="358" t="s">
        <v>2595</v>
      </c>
      <c r="G320" s="268" t="s">
        <v>2085</v>
      </c>
      <c r="H320" s="270">
        <v>0.020277777777777777</v>
      </c>
      <c r="I320" s="271">
        <v>44175.407638888886</v>
      </c>
      <c r="J320" s="268"/>
      <c r="K320" s="271">
        <v>44175.43119212963</v>
      </c>
      <c r="L320" s="271" t="str">
        <f t="shared" si="38"/>
        <v>12/30/99 0:33</v>
      </c>
      <c r="M320" s="359" t="s">
        <v>2524</v>
      </c>
      <c r="N320" s="290"/>
      <c r="O320" s="276"/>
      <c r="P320" s="276"/>
      <c r="Q320" s="278"/>
      <c r="R320" s="278"/>
      <c r="S320" s="278"/>
      <c r="T320" s="278"/>
      <c r="U320" s="279"/>
      <c r="V320" s="279" t="s">
        <v>1772</v>
      </c>
      <c r="W320" s="280">
        <v>44182.0</v>
      </c>
      <c r="X320" s="281">
        <v>0.125</v>
      </c>
      <c r="Y320" s="279" t="s">
        <v>1693</v>
      </c>
      <c r="Z320" s="282" t="s">
        <v>53</v>
      </c>
      <c r="AA320" s="282" t="s">
        <v>2595</v>
      </c>
      <c r="AB320" s="283">
        <v>44175.0</v>
      </c>
      <c r="AC320" s="284"/>
      <c r="AD320" s="284"/>
    </row>
    <row r="321" ht="14.25" customHeight="1">
      <c r="A321" s="265">
        <v>44174.0</v>
      </c>
      <c r="B321" s="266" t="s">
        <v>1500</v>
      </c>
      <c r="C321" s="266" t="s">
        <v>2346</v>
      </c>
      <c r="D321" s="265" t="s">
        <v>2561</v>
      </c>
      <c r="E321" s="268"/>
      <c r="F321" s="269" t="s">
        <v>2596</v>
      </c>
      <c r="G321" s="268" t="s">
        <v>1463</v>
      </c>
      <c r="H321" s="270">
        <v>0.0021064814814814813</v>
      </c>
      <c r="I321" s="271">
        <v>44175.77777777778</v>
      </c>
      <c r="J321" s="268"/>
      <c r="K321" s="320">
        <v>44176.48761574074</v>
      </c>
      <c r="L321" s="271"/>
      <c r="M321" s="369" t="s">
        <v>2597</v>
      </c>
      <c r="N321" s="290"/>
      <c r="O321" s="276"/>
      <c r="P321" s="276"/>
      <c r="Q321" s="278"/>
      <c r="R321" s="278"/>
      <c r="S321" s="278"/>
      <c r="T321" s="278"/>
      <c r="U321" s="279"/>
      <c r="V321" s="279" t="s">
        <v>1824</v>
      </c>
      <c r="W321" s="280">
        <v>44187.0</v>
      </c>
      <c r="X321" s="281">
        <v>0.0103125</v>
      </c>
      <c r="Y321" s="279" t="s">
        <v>1693</v>
      </c>
      <c r="Z321" s="282" t="s">
        <v>1570</v>
      </c>
      <c r="AA321" s="282">
        <v>6307671.0</v>
      </c>
      <c r="AB321" s="283">
        <v>44179.0</v>
      </c>
      <c r="AC321" s="284"/>
      <c r="AD321" s="284"/>
    </row>
    <row r="322" ht="14.25" customHeight="1">
      <c r="A322" s="265">
        <v>44174.0</v>
      </c>
      <c r="B322" s="266" t="s">
        <v>1500</v>
      </c>
      <c r="C322" s="266" t="s">
        <v>1686</v>
      </c>
      <c r="D322" s="265" t="s">
        <v>2561</v>
      </c>
      <c r="E322" s="268"/>
      <c r="F322" s="269" t="s">
        <v>2598</v>
      </c>
      <c r="G322" s="268" t="s">
        <v>1463</v>
      </c>
      <c r="H322" s="270">
        <v>0.001412037037037037</v>
      </c>
      <c r="I322" s="271">
        <v>44176.70277777778</v>
      </c>
      <c r="J322" s="268"/>
      <c r="K322" s="320">
        <v>44177.084548611114</v>
      </c>
      <c r="L322" s="271"/>
      <c r="M322" s="369" t="s">
        <v>2599</v>
      </c>
      <c r="N322" s="290"/>
      <c r="O322" s="276"/>
      <c r="P322" s="276"/>
      <c r="Q322" s="278"/>
      <c r="R322" s="278"/>
      <c r="S322" s="278"/>
      <c r="T322" s="278"/>
      <c r="U322" s="279"/>
      <c r="V322" s="279" t="s">
        <v>1824</v>
      </c>
      <c r="W322" s="280">
        <v>44187.0</v>
      </c>
      <c r="X322" s="281">
        <v>0.006539351851851852</v>
      </c>
      <c r="Y322" s="279" t="s">
        <v>1693</v>
      </c>
      <c r="Z322" s="282" t="s">
        <v>1570</v>
      </c>
      <c r="AA322" s="282">
        <v>6307672.0</v>
      </c>
      <c r="AB322" s="283">
        <v>44179.0</v>
      </c>
      <c r="AC322" s="284"/>
      <c r="AD322" s="284"/>
    </row>
    <row r="323" ht="14.25" customHeight="1">
      <c r="A323" s="265">
        <v>44175.0</v>
      </c>
      <c r="B323" s="266" t="s">
        <v>1500</v>
      </c>
      <c r="C323" s="266" t="s">
        <v>2083</v>
      </c>
      <c r="D323" s="265" t="s">
        <v>2561</v>
      </c>
      <c r="E323" s="268"/>
      <c r="F323" s="269" t="s">
        <v>2600</v>
      </c>
      <c r="G323" s="268" t="s">
        <v>1463</v>
      </c>
      <c r="H323" s="270">
        <v>7.638888888888889E-4</v>
      </c>
      <c r="I323" s="271">
        <v>44175.745833333334</v>
      </c>
      <c r="J323" s="268"/>
      <c r="K323" s="271">
        <v>44176.14141203704</v>
      </c>
      <c r="L323" s="271"/>
      <c r="M323" s="272" t="s">
        <v>2601</v>
      </c>
      <c r="N323" s="290"/>
      <c r="O323" s="276"/>
      <c r="P323" s="276"/>
      <c r="Q323" s="278"/>
      <c r="R323" s="278"/>
      <c r="S323" s="278"/>
      <c r="T323" s="278"/>
      <c r="U323" s="279"/>
      <c r="V323" s="279" t="s">
        <v>1824</v>
      </c>
      <c r="W323" s="280">
        <v>44187.0</v>
      </c>
      <c r="X323" s="281">
        <v>0.009895833333333333</v>
      </c>
      <c r="Y323" s="279" t="s">
        <v>1693</v>
      </c>
      <c r="Z323" s="282" t="s">
        <v>1570</v>
      </c>
      <c r="AA323" s="282">
        <v>6307673.0</v>
      </c>
      <c r="AB323" s="283">
        <v>44179.0</v>
      </c>
      <c r="AC323" s="284"/>
      <c r="AD323" s="284"/>
    </row>
    <row r="324" ht="14.25" customHeight="1">
      <c r="A324" s="265">
        <v>44175.0</v>
      </c>
      <c r="B324" s="266" t="s">
        <v>1500</v>
      </c>
      <c r="C324" s="266" t="s">
        <v>2083</v>
      </c>
      <c r="D324" s="265" t="s">
        <v>2561</v>
      </c>
      <c r="E324" s="268"/>
      <c r="F324" s="269" t="s">
        <v>2602</v>
      </c>
      <c r="G324" s="268" t="s">
        <v>1463</v>
      </c>
      <c r="H324" s="270">
        <v>9.606481481481481E-4</v>
      </c>
      <c r="I324" s="271">
        <v>44175.745833333334</v>
      </c>
      <c r="J324" s="268"/>
      <c r="K324" s="271">
        <v>44176.136354166665</v>
      </c>
      <c r="L324" s="271"/>
      <c r="M324" s="272" t="s">
        <v>2603</v>
      </c>
      <c r="N324" s="290"/>
      <c r="O324" s="276"/>
      <c r="P324" s="276"/>
      <c r="Q324" s="278"/>
      <c r="R324" s="278"/>
      <c r="S324" s="278"/>
      <c r="T324" s="278"/>
      <c r="U324" s="279"/>
      <c r="V324" s="279" t="s">
        <v>1824</v>
      </c>
      <c r="W324" s="280">
        <v>44187.0</v>
      </c>
      <c r="X324" s="281">
        <v>0.007106481481481481</v>
      </c>
      <c r="Y324" s="279" t="s">
        <v>1693</v>
      </c>
      <c r="Z324" s="282" t="s">
        <v>1570</v>
      </c>
      <c r="AA324" s="282">
        <v>6307674.0</v>
      </c>
      <c r="AB324" s="283">
        <v>44179.0</v>
      </c>
      <c r="AC324" s="284"/>
      <c r="AD324" s="284"/>
    </row>
    <row r="325" ht="14.25" customHeight="1">
      <c r="A325" s="265">
        <v>44175.0</v>
      </c>
      <c r="B325" s="266" t="s">
        <v>1824</v>
      </c>
      <c r="C325" s="266"/>
      <c r="D325" s="266" t="s">
        <v>1450</v>
      </c>
      <c r="E325" s="268"/>
      <c r="F325" s="358" t="s">
        <v>2604</v>
      </c>
      <c r="G325" s="268" t="s">
        <v>2085</v>
      </c>
      <c r="H325" s="270">
        <v>0.09769675925925926</v>
      </c>
      <c r="I325" s="271">
        <v>44175.73888888889</v>
      </c>
      <c r="J325" s="268"/>
      <c r="K325" s="271">
        <v>44176.19976851852</v>
      </c>
      <c r="L325" s="271" t="str">
        <f t="shared" ref="L325:L332" si="39">K325-I325</f>
        <v>12/30/99 11:03</v>
      </c>
      <c r="M325" s="359" t="s">
        <v>2524</v>
      </c>
      <c r="N325" s="290"/>
      <c r="O325" s="276"/>
      <c r="P325" s="276"/>
      <c r="Q325" s="278"/>
      <c r="R325" s="278"/>
      <c r="S325" s="278"/>
      <c r="T325" s="278"/>
      <c r="U325" s="279"/>
      <c r="V325" s="279" t="s">
        <v>1570</v>
      </c>
      <c r="W325" s="280">
        <v>44204.0</v>
      </c>
      <c r="X325" s="281">
        <v>0.3333333333333333</v>
      </c>
      <c r="Y325" s="279" t="s">
        <v>1693</v>
      </c>
      <c r="Z325" s="282" t="s">
        <v>1570</v>
      </c>
      <c r="AA325" s="282" t="s">
        <v>2604</v>
      </c>
      <c r="AB325" s="283">
        <v>44175.0</v>
      </c>
      <c r="AC325" s="284"/>
      <c r="AD325" s="284"/>
    </row>
    <row r="326" ht="14.25" customHeight="1">
      <c r="A326" s="265">
        <v>44175.0</v>
      </c>
      <c r="B326" s="266" t="s">
        <v>1500</v>
      </c>
      <c r="C326" s="266"/>
      <c r="D326" s="266" t="s">
        <v>1452</v>
      </c>
      <c r="E326" s="268"/>
      <c r="F326" s="358" t="s">
        <v>2605</v>
      </c>
      <c r="G326" s="268" t="s">
        <v>2085</v>
      </c>
      <c r="H326" s="270">
        <v>0.00738425925925926</v>
      </c>
      <c r="I326" s="271">
        <v>44176.66111111111</v>
      </c>
      <c r="J326" s="268"/>
      <c r="K326" s="271">
        <v>44176.70172453704</v>
      </c>
      <c r="L326" s="271" t="str">
        <f t="shared" si="39"/>
        <v>12/30/99 0:58</v>
      </c>
      <c r="M326" s="307" t="s">
        <v>2539</v>
      </c>
      <c r="N326" s="319">
        <v>44179.441666666666</v>
      </c>
      <c r="O326" s="276" t="s">
        <v>2606</v>
      </c>
      <c r="P326" s="317" t="s">
        <v>2085</v>
      </c>
      <c r="Q326" s="278" t="s">
        <v>2570</v>
      </c>
      <c r="R326" s="277">
        <v>44180.47204861111</v>
      </c>
      <c r="S326" s="278"/>
      <c r="T326" s="278" t="s">
        <v>2607</v>
      </c>
      <c r="U326" s="279"/>
      <c r="V326" s="279" t="s">
        <v>1772</v>
      </c>
      <c r="W326" s="280">
        <v>44180.0</v>
      </c>
      <c r="X326" s="281">
        <v>0.041666666666666664</v>
      </c>
      <c r="Y326" s="279" t="s">
        <v>1693</v>
      </c>
      <c r="Z326" s="282" t="s">
        <v>1570</v>
      </c>
      <c r="AA326" s="282" t="s">
        <v>2605</v>
      </c>
      <c r="AB326" s="283">
        <v>44181.0</v>
      </c>
      <c r="AC326" s="284"/>
      <c r="AD326" s="284"/>
    </row>
    <row r="327" ht="14.25" customHeight="1">
      <c r="A327" s="265">
        <v>44175.0</v>
      </c>
      <c r="B327" s="266" t="s">
        <v>1685</v>
      </c>
      <c r="C327" s="266"/>
      <c r="D327" s="266" t="s">
        <v>1689</v>
      </c>
      <c r="E327" s="268"/>
      <c r="F327" s="358" t="s">
        <v>2608</v>
      </c>
      <c r="G327" s="268" t="s">
        <v>2085</v>
      </c>
      <c r="H327" s="270">
        <v>0.03608796296296297</v>
      </c>
      <c r="I327" s="271">
        <v>44175.73888888889</v>
      </c>
      <c r="J327" s="268"/>
      <c r="K327" s="271">
        <v>44176.144895833335</v>
      </c>
      <c r="L327" s="271" t="str">
        <f t="shared" si="39"/>
        <v>12/30/99 9:44</v>
      </c>
      <c r="M327" s="359" t="s">
        <v>2524</v>
      </c>
      <c r="N327" s="290"/>
      <c r="O327" s="276"/>
      <c r="P327" s="276"/>
      <c r="Q327" s="278"/>
      <c r="R327" s="278"/>
      <c r="S327" s="278"/>
      <c r="T327" s="278"/>
      <c r="U327" s="279"/>
      <c r="V327" s="279" t="s">
        <v>1685</v>
      </c>
      <c r="W327" s="280">
        <v>44182.0</v>
      </c>
      <c r="X327" s="281">
        <v>0.16666666666666666</v>
      </c>
      <c r="Y327" s="279" t="s">
        <v>1693</v>
      </c>
      <c r="Z327" s="282" t="s">
        <v>1570</v>
      </c>
      <c r="AA327" s="282" t="s">
        <v>2608</v>
      </c>
      <c r="AB327" s="283">
        <v>44175.0</v>
      </c>
      <c r="AC327" s="284"/>
      <c r="AD327" s="284"/>
    </row>
    <row r="328" ht="14.25" customHeight="1">
      <c r="A328" s="265">
        <v>44175.0</v>
      </c>
      <c r="B328" s="266" t="s">
        <v>1746</v>
      </c>
      <c r="C328" s="266"/>
      <c r="D328" s="265" t="s">
        <v>1748</v>
      </c>
      <c r="E328" s="268"/>
      <c r="F328" s="358" t="s">
        <v>2609</v>
      </c>
      <c r="G328" s="268" t="s">
        <v>2085</v>
      </c>
      <c r="H328" s="270">
        <v>0.02045138888888889</v>
      </c>
      <c r="I328" s="271">
        <v>44176.45277777778</v>
      </c>
      <c r="J328" s="268"/>
      <c r="K328" s="271">
        <v>44176.845405092594</v>
      </c>
      <c r="L328" s="271" t="str">
        <f t="shared" si="39"/>
        <v>12/30/99 9:25</v>
      </c>
      <c r="M328" s="359" t="s">
        <v>2524</v>
      </c>
      <c r="N328" s="290"/>
      <c r="O328" s="276"/>
      <c r="P328" s="276"/>
      <c r="Q328" s="278"/>
      <c r="R328" s="278"/>
      <c r="S328" s="278"/>
      <c r="T328" s="278"/>
      <c r="U328" s="279"/>
      <c r="V328" s="279" t="s">
        <v>1772</v>
      </c>
      <c r="W328" s="280">
        <v>44182.0</v>
      </c>
      <c r="X328" s="281">
        <v>0.125</v>
      </c>
      <c r="Y328" s="279" t="s">
        <v>1693</v>
      </c>
      <c r="Z328" s="282" t="s">
        <v>1570</v>
      </c>
      <c r="AA328" s="282" t="s">
        <v>2609</v>
      </c>
      <c r="AB328" s="283">
        <v>44176.0</v>
      </c>
      <c r="AC328" s="284"/>
      <c r="AD328" s="284"/>
    </row>
    <row r="329" ht="14.25" customHeight="1">
      <c r="A329" s="265">
        <v>44176.0</v>
      </c>
      <c r="B329" s="266" t="s">
        <v>1824</v>
      </c>
      <c r="C329" s="266"/>
      <c r="D329" s="266" t="s">
        <v>1450</v>
      </c>
      <c r="E329" s="268"/>
      <c r="F329" s="358" t="s">
        <v>2610</v>
      </c>
      <c r="G329" s="268" t="s">
        <v>2085</v>
      </c>
      <c r="H329" s="270">
        <v>0.09748842592592592</v>
      </c>
      <c r="I329" s="271">
        <v>44176.66111111111</v>
      </c>
      <c r="J329" s="268"/>
      <c r="K329" s="271">
        <v>44177.13315972222</v>
      </c>
      <c r="L329" s="271" t="str">
        <f t="shared" si="39"/>
        <v>12/30/99 11:19</v>
      </c>
      <c r="M329" s="359" t="s">
        <v>2524</v>
      </c>
      <c r="N329" s="290"/>
      <c r="O329" s="276"/>
      <c r="P329" s="276"/>
      <c r="Q329" s="278"/>
      <c r="R329" s="278"/>
      <c r="S329" s="278"/>
      <c r="T329" s="278"/>
      <c r="U329" s="279"/>
      <c r="V329" s="279" t="s">
        <v>1824</v>
      </c>
      <c r="W329" s="280">
        <v>44171.0</v>
      </c>
      <c r="X329" s="281">
        <v>0.3541666666666667</v>
      </c>
      <c r="Y329" s="279" t="s">
        <v>1693</v>
      </c>
      <c r="Z329" s="282" t="s">
        <v>1570</v>
      </c>
      <c r="AA329" s="282" t="s">
        <v>2610</v>
      </c>
      <c r="AB329" s="283">
        <v>44176.0</v>
      </c>
      <c r="AC329" s="284"/>
      <c r="AD329" s="284"/>
    </row>
    <row r="330" ht="14.25" customHeight="1">
      <c r="A330" s="265">
        <v>44176.0</v>
      </c>
      <c r="B330" s="266" t="s">
        <v>1500</v>
      </c>
      <c r="C330" s="266"/>
      <c r="D330" s="266" t="s">
        <v>1452</v>
      </c>
      <c r="E330" s="268"/>
      <c r="F330" s="358" t="s">
        <v>2611</v>
      </c>
      <c r="G330" s="268" t="s">
        <v>2085</v>
      </c>
      <c r="H330" s="270">
        <v>0.011076388888888887</v>
      </c>
      <c r="I330" s="271">
        <v>44176.46666666667</v>
      </c>
      <c r="J330" s="268"/>
      <c r="K330" s="271">
        <v>44176.861712962964</v>
      </c>
      <c r="L330" s="271" t="str">
        <f t="shared" si="39"/>
        <v>12/30/99 9:28</v>
      </c>
      <c r="M330" s="359" t="s">
        <v>2524</v>
      </c>
      <c r="N330" s="290"/>
      <c r="O330" s="276"/>
      <c r="P330" s="276"/>
      <c r="Q330" s="278"/>
      <c r="R330" s="278"/>
      <c r="S330" s="278"/>
      <c r="T330" s="278"/>
      <c r="U330" s="279"/>
      <c r="V330" s="279" t="s">
        <v>1772</v>
      </c>
      <c r="W330" s="280">
        <v>44180.0</v>
      </c>
      <c r="X330" s="281">
        <v>0.041666666666666664</v>
      </c>
      <c r="Y330" s="279" t="s">
        <v>1693</v>
      </c>
      <c r="Z330" s="282" t="s">
        <v>1570</v>
      </c>
      <c r="AA330" s="282" t="s">
        <v>2611</v>
      </c>
      <c r="AB330" s="283">
        <v>44176.0</v>
      </c>
      <c r="AC330" s="284"/>
      <c r="AD330" s="284"/>
    </row>
    <row r="331" ht="14.25" customHeight="1">
      <c r="A331" s="265">
        <v>44176.0</v>
      </c>
      <c r="B331" s="266" t="s">
        <v>1685</v>
      </c>
      <c r="C331" s="266"/>
      <c r="D331" s="266" t="s">
        <v>1689</v>
      </c>
      <c r="E331" s="268"/>
      <c r="F331" s="358" t="s">
        <v>2612</v>
      </c>
      <c r="G331" s="268" t="s">
        <v>2085</v>
      </c>
      <c r="H331" s="270">
        <v>0.03601851851851852</v>
      </c>
      <c r="I331" s="271">
        <v>44176.66111111111</v>
      </c>
      <c r="J331" s="268"/>
      <c r="K331" s="271">
        <v>44177.06673611111</v>
      </c>
      <c r="L331" s="271" t="str">
        <f t="shared" si="39"/>
        <v>12/30/99 9:44</v>
      </c>
      <c r="M331" s="359" t="s">
        <v>2524</v>
      </c>
      <c r="N331" s="290"/>
      <c r="O331" s="276"/>
      <c r="P331" s="276"/>
      <c r="Q331" s="278"/>
      <c r="R331" s="278"/>
      <c r="S331" s="278"/>
      <c r="T331" s="278"/>
      <c r="U331" s="279"/>
      <c r="V331" s="279" t="s">
        <v>1685</v>
      </c>
      <c r="W331" s="280">
        <v>44183.0</v>
      </c>
      <c r="X331" s="281">
        <v>0.16666666666666666</v>
      </c>
      <c r="Y331" s="279" t="s">
        <v>1693</v>
      </c>
      <c r="Z331" s="282" t="s">
        <v>1570</v>
      </c>
      <c r="AA331" s="282" t="s">
        <v>2612</v>
      </c>
      <c r="AB331" s="283">
        <v>44176.0</v>
      </c>
      <c r="AC331" s="284"/>
      <c r="AD331" s="284"/>
    </row>
    <row r="332" ht="14.25" customHeight="1">
      <c r="A332" s="265">
        <v>44176.0</v>
      </c>
      <c r="B332" s="266" t="s">
        <v>1746</v>
      </c>
      <c r="C332" s="266"/>
      <c r="D332" s="265" t="s">
        <v>1748</v>
      </c>
      <c r="E332" s="268"/>
      <c r="F332" s="358" t="s">
        <v>2613</v>
      </c>
      <c r="G332" s="268" t="s">
        <v>2085</v>
      </c>
      <c r="H332" s="270">
        <v>0.018854166666666665</v>
      </c>
      <c r="I332" s="271">
        <v>44179.40972222222</v>
      </c>
      <c r="J332" s="268"/>
      <c r="K332" s="271">
        <v>44179.46494212963</v>
      </c>
      <c r="L332" s="271" t="str">
        <f t="shared" si="39"/>
        <v>12/30/99 1:19</v>
      </c>
      <c r="M332" s="359" t="s">
        <v>2524</v>
      </c>
      <c r="N332" s="290"/>
      <c r="O332" s="276"/>
      <c r="P332" s="276"/>
      <c r="Q332" s="278"/>
      <c r="R332" s="278"/>
      <c r="S332" s="278"/>
      <c r="T332" s="278"/>
      <c r="U332" s="279"/>
      <c r="V332" s="279" t="s">
        <v>1772</v>
      </c>
      <c r="W332" s="280">
        <v>44183.0</v>
      </c>
      <c r="X332" s="281">
        <v>0.125</v>
      </c>
      <c r="Y332" s="279" t="s">
        <v>1693</v>
      </c>
      <c r="Z332" s="282" t="s">
        <v>53</v>
      </c>
      <c r="AA332" s="282" t="s">
        <v>2613</v>
      </c>
      <c r="AB332" s="283">
        <v>44179.0</v>
      </c>
      <c r="AC332" s="284"/>
      <c r="AD332" s="284"/>
    </row>
    <row r="333" ht="14.25" customHeight="1">
      <c r="A333" s="265">
        <v>44176.0</v>
      </c>
      <c r="B333" s="266" t="s">
        <v>1500</v>
      </c>
      <c r="C333" s="266" t="s">
        <v>2179</v>
      </c>
      <c r="D333" s="265" t="s">
        <v>1543</v>
      </c>
      <c r="E333" s="268"/>
      <c r="F333" s="363" t="s">
        <v>2614</v>
      </c>
      <c r="G333" s="268" t="s">
        <v>1463</v>
      </c>
      <c r="H333" s="270">
        <v>0.001597222222222222</v>
      </c>
      <c r="I333" s="271">
        <v>44187.78125</v>
      </c>
      <c r="J333" s="268"/>
      <c r="K333" s="271">
        <v>44187.83130787037</v>
      </c>
      <c r="L333" s="271"/>
      <c r="M333" s="272" t="s">
        <v>2615</v>
      </c>
      <c r="N333" s="290"/>
      <c r="O333" s="276"/>
      <c r="P333" s="276"/>
      <c r="Q333" s="278"/>
      <c r="R333" s="278"/>
      <c r="S333" s="278"/>
      <c r="T333" s="278"/>
      <c r="U333" s="279"/>
      <c r="V333" s="279" t="s">
        <v>1824</v>
      </c>
      <c r="W333" s="280">
        <v>44187.0</v>
      </c>
      <c r="X333" s="281">
        <v>0.006817129629629629</v>
      </c>
      <c r="Y333" s="279" t="s">
        <v>1693</v>
      </c>
      <c r="Z333" s="282" t="s">
        <v>1570</v>
      </c>
      <c r="AA333" s="282">
        <v>6310295.0</v>
      </c>
      <c r="AB333" s="283">
        <v>44187.0</v>
      </c>
      <c r="AC333" s="284"/>
      <c r="AD333" s="284"/>
    </row>
    <row r="334" ht="14.25" customHeight="1">
      <c r="A334" s="265">
        <v>44177.0</v>
      </c>
      <c r="B334" s="266" t="s">
        <v>1738</v>
      </c>
      <c r="C334" s="266"/>
      <c r="D334" s="266" t="s">
        <v>1689</v>
      </c>
      <c r="E334" s="268"/>
      <c r="F334" s="370" t="s">
        <v>2616</v>
      </c>
      <c r="G334" s="268" t="s">
        <v>2085</v>
      </c>
      <c r="H334" s="270">
        <v>0.03847222222222222</v>
      </c>
      <c r="I334" s="271">
        <v>44179.40972222222</v>
      </c>
      <c r="J334" s="268"/>
      <c r="K334" s="271">
        <v>44179.47587962963</v>
      </c>
      <c r="L334" s="271" t="str">
        <f t="shared" ref="L334:L344" si="40">K334-I334</f>
        <v>12/30/99 1:35</v>
      </c>
      <c r="M334" s="359" t="s">
        <v>2524</v>
      </c>
      <c r="N334" s="290"/>
      <c r="O334" s="276"/>
      <c r="P334" s="276"/>
      <c r="Q334" s="278"/>
      <c r="R334" s="278"/>
      <c r="S334" s="278"/>
      <c r="T334" s="278"/>
      <c r="U334" s="279"/>
      <c r="V334" s="279" t="s">
        <v>1746</v>
      </c>
      <c r="W334" s="280">
        <v>44186.0</v>
      </c>
      <c r="X334" s="281">
        <v>0.2222222222222222</v>
      </c>
      <c r="Y334" s="279" t="s">
        <v>1693</v>
      </c>
      <c r="Z334" s="282" t="s">
        <v>1570</v>
      </c>
      <c r="AA334" s="282" t="s">
        <v>2616</v>
      </c>
      <c r="AB334" s="283">
        <v>44179.0</v>
      </c>
      <c r="AC334" s="284"/>
      <c r="AD334" s="284"/>
    </row>
    <row r="335" ht="14.25" customHeight="1">
      <c r="A335" s="265">
        <v>44177.0</v>
      </c>
      <c r="B335" s="266" t="s">
        <v>2617</v>
      </c>
      <c r="C335" s="266"/>
      <c r="D335" s="265" t="s">
        <v>1748</v>
      </c>
      <c r="E335" s="268"/>
      <c r="F335" s="358" t="s">
        <v>2618</v>
      </c>
      <c r="G335" s="268" t="s">
        <v>2085</v>
      </c>
      <c r="H335" s="270">
        <v>0.011712962962962965</v>
      </c>
      <c r="I335" s="271">
        <v>44179.40972222222</v>
      </c>
      <c r="J335" s="268"/>
      <c r="K335" s="271">
        <v>44179.46787037037</v>
      </c>
      <c r="L335" s="271" t="str">
        <f t="shared" si="40"/>
        <v>12/30/99 1:23</v>
      </c>
      <c r="M335" s="359" t="s">
        <v>2524</v>
      </c>
      <c r="N335" s="290"/>
      <c r="O335" s="276"/>
      <c r="P335" s="276"/>
      <c r="Q335" s="278"/>
      <c r="R335" s="278"/>
      <c r="S335" s="278"/>
      <c r="T335" s="278"/>
      <c r="U335" s="279"/>
      <c r="V335" s="279" t="s">
        <v>1772</v>
      </c>
      <c r="W335" s="280">
        <v>44183.0</v>
      </c>
      <c r="X335" s="281">
        <v>0.125</v>
      </c>
      <c r="Y335" s="279" t="s">
        <v>1693</v>
      </c>
      <c r="Z335" s="282" t="s">
        <v>53</v>
      </c>
      <c r="AA335" s="282" t="s">
        <v>2618</v>
      </c>
      <c r="AB335" s="283">
        <v>44179.0</v>
      </c>
      <c r="AC335" s="284"/>
      <c r="AD335" s="284"/>
    </row>
    <row r="336" ht="14.25" customHeight="1">
      <c r="A336" s="265">
        <v>44178.0</v>
      </c>
      <c r="B336" s="266" t="s">
        <v>1500</v>
      </c>
      <c r="C336" s="266"/>
      <c r="D336" s="266" t="s">
        <v>1796</v>
      </c>
      <c r="E336" s="268"/>
      <c r="F336" s="358" t="s">
        <v>2619</v>
      </c>
      <c r="G336" s="268" t="s">
        <v>2085</v>
      </c>
      <c r="H336" s="270">
        <v>0.017662037037037035</v>
      </c>
      <c r="I336" s="271">
        <v>44180.44652777778</v>
      </c>
      <c r="J336" s="268"/>
      <c r="K336" s="271">
        <v>44180.50431712963</v>
      </c>
      <c r="L336" s="271" t="str">
        <f t="shared" si="40"/>
        <v>12/30/99 1:23</v>
      </c>
      <c r="M336" s="359" t="s">
        <v>2524</v>
      </c>
      <c r="N336" s="290"/>
      <c r="O336" s="276"/>
      <c r="P336" s="276"/>
      <c r="Q336" s="278"/>
      <c r="R336" s="278"/>
      <c r="S336" s="278"/>
      <c r="T336" s="278"/>
      <c r="U336" s="279"/>
      <c r="V336" s="279" t="s">
        <v>1570</v>
      </c>
      <c r="W336" s="280">
        <v>44183.0</v>
      </c>
      <c r="X336" s="281">
        <v>0.041666666666666664</v>
      </c>
      <c r="Y336" s="279" t="s">
        <v>1693</v>
      </c>
      <c r="Z336" s="282" t="s">
        <v>53</v>
      </c>
      <c r="AA336" s="282" t="s">
        <v>2619</v>
      </c>
      <c r="AB336" s="283">
        <v>44180.0</v>
      </c>
      <c r="AC336" s="284"/>
      <c r="AD336" s="284"/>
    </row>
    <row r="337" ht="14.25" customHeight="1">
      <c r="A337" s="265">
        <v>44179.0</v>
      </c>
      <c r="B337" s="266" t="s">
        <v>1824</v>
      </c>
      <c r="C337" s="266"/>
      <c r="D337" s="266" t="s">
        <v>1450</v>
      </c>
      <c r="E337" s="268"/>
      <c r="F337" s="358" t="s">
        <v>2620</v>
      </c>
      <c r="G337" s="268" t="s">
        <v>2085</v>
      </c>
      <c r="H337" s="270">
        <v>0.09723379629629629</v>
      </c>
      <c r="I337" s="271">
        <v>44180.43958333333</v>
      </c>
      <c r="J337" s="268"/>
      <c r="K337" s="271">
        <v>44180.57425925926</v>
      </c>
      <c r="L337" s="271" t="str">
        <f t="shared" si="40"/>
        <v>12/30/99 3:13</v>
      </c>
      <c r="M337" s="359" t="s">
        <v>2524</v>
      </c>
      <c r="N337" s="290"/>
      <c r="O337" s="276"/>
      <c r="P337" s="276"/>
      <c r="Q337" s="278"/>
      <c r="R337" s="278"/>
      <c r="S337" s="278"/>
      <c r="T337" s="278"/>
      <c r="U337" s="279"/>
      <c r="V337" s="279" t="s">
        <v>1824</v>
      </c>
      <c r="W337" s="280">
        <v>44172.0</v>
      </c>
      <c r="X337" s="281">
        <v>0.4166666666666667</v>
      </c>
      <c r="Y337" s="279" t="s">
        <v>1693</v>
      </c>
      <c r="Z337" s="282" t="s">
        <v>53</v>
      </c>
      <c r="AA337" s="282" t="s">
        <v>2620</v>
      </c>
      <c r="AB337" s="283">
        <v>44180.0</v>
      </c>
      <c r="AC337" s="284"/>
      <c r="AD337" s="284"/>
    </row>
    <row r="338" ht="14.25" customHeight="1">
      <c r="A338" s="265">
        <v>44179.0</v>
      </c>
      <c r="B338" s="266" t="s">
        <v>1500</v>
      </c>
      <c r="C338" s="266"/>
      <c r="D338" s="266" t="s">
        <v>1452</v>
      </c>
      <c r="E338" s="268"/>
      <c r="F338" s="358" t="s">
        <v>2621</v>
      </c>
      <c r="G338" s="268" t="s">
        <v>2085</v>
      </c>
      <c r="H338" s="270">
        <v>0.005763888888888889</v>
      </c>
      <c r="I338" s="271">
        <v>44179.48611111111</v>
      </c>
      <c r="J338" s="268"/>
      <c r="K338" s="271">
        <v>44179.870891203704</v>
      </c>
      <c r="L338" s="271" t="str">
        <f t="shared" si="40"/>
        <v>12/30/99 9:14</v>
      </c>
      <c r="M338" s="359" t="s">
        <v>2524</v>
      </c>
      <c r="N338" s="290"/>
      <c r="O338" s="276"/>
      <c r="P338" s="276"/>
      <c r="Q338" s="278"/>
      <c r="R338" s="278"/>
      <c r="S338" s="278"/>
      <c r="T338" s="278"/>
      <c r="U338" s="279"/>
      <c r="V338" s="279" t="s">
        <v>1772</v>
      </c>
      <c r="W338" s="280">
        <v>44181.0</v>
      </c>
      <c r="X338" s="281">
        <v>0.041666666666666664</v>
      </c>
      <c r="Y338" s="279" t="s">
        <v>1693</v>
      </c>
      <c r="Z338" s="282" t="s">
        <v>53</v>
      </c>
      <c r="AA338" s="282" t="s">
        <v>2621</v>
      </c>
      <c r="AB338" s="283">
        <v>44180.0</v>
      </c>
      <c r="AC338" s="284"/>
      <c r="AD338" s="284"/>
    </row>
    <row r="339" ht="14.25" customHeight="1">
      <c r="A339" s="265">
        <v>44179.0</v>
      </c>
      <c r="B339" s="266" t="s">
        <v>1685</v>
      </c>
      <c r="C339" s="266"/>
      <c r="D339" s="266" t="s">
        <v>1689</v>
      </c>
      <c r="E339" s="268"/>
      <c r="F339" s="358" t="s">
        <v>2622</v>
      </c>
      <c r="G339" s="268" t="s">
        <v>2085</v>
      </c>
      <c r="H339" s="270">
        <v>0.036944444444444446</v>
      </c>
      <c r="I339" s="271">
        <v>44180.43958333333</v>
      </c>
      <c r="J339" s="268"/>
      <c r="K339" s="271">
        <v>44180.86130787037</v>
      </c>
      <c r="L339" s="271" t="str">
        <f t="shared" si="40"/>
        <v>12/30/99 10:07</v>
      </c>
      <c r="M339" s="359" t="s">
        <v>2524</v>
      </c>
      <c r="N339" s="290"/>
      <c r="O339" s="276"/>
      <c r="P339" s="276"/>
      <c r="Q339" s="278"/>
      <c r="R339" s="278"/>
      <c r="S339" s="278"/>
      <c r="T339" s="278"/>
      <c r="U339" s="279"/>
      <c r="V339" s="279" t="s">
        <v>1746</v>
      </c>
      <c r="W339" s="280">
        <v>44187.0</v>
      </c>
      <c r="X339" s="279"/>
      <c r="Y339" s="279" t="s">
        <v>1693</v>
      </c>
      <c r="Z339" s="282" t="s">
        <v>53</v>
      </c>
      <c r="AA339" s="282" t="s">
        <v>2622</v>
      </c>
      <c r="AB339" s="283">
        <v>44180.0</v>
      </c>
      <c r="AC339" s="284"/>
      <c r="AD339" s="284"/>
    </row>
    <row r="340" ht="14.25" customHeight="1">
      <c r="A340" s="265">
        <v>44179.0</v>
      </c>
      <c r="B340" s="266" t="s">
        <v>1746</v>
      </c>
      <c r="C340" s="266"/>
      <c r="D340" s="265" t="s">
        <v>1748</v>
      </c>
      <c r="E340" s="268"/>
      <c r="F340" s="358" t="s">
        <v>2623</v>
      </c>
      <c r="G340" s="268" t="s">
        <v>2085</v>
      </c>
      <c r="H340" s="270">
        <v>0.019560185185185184</v>
      </c>
      <c r="I340" s="271">
        <v>44180.43958333333</v>
      </c>
      <c r="J340" s="268"/>
      <c r="K340" s="271">
        <v>44180.83605324074</v>
      </c>
      <c r="L340" s="271" t="str">
        <f t="shared" si="40"/>
        <v>12/30/99 9:30</v>
      </c>
      <c r="M340" s="359" t="s">
        <v>2524</v>
      </c>
      <c r="N340" s="290"/>
      <c r="O340" s="276"/>
      <c r="P340" s="276"/>
      <c r="Q340" s="278"/>
      <c r="R340" s="278"/>
      <c r="S340" s="278"/>
      <c r="T340" s="278"/>
      <c r="U340" s="279"/>
      <c r="V340" s="279" t="s">
        <v>1746</v>
      </c>
      <c r="W340" s="280">
        <v>44186.0</v>
      </c>
      <c r="X340" s="281">
        <v>0.15277777777777776</v>
      </c>
      <c r="Y340" s="279" t="s">
        <v>1693</v>
      </c>
      <c r="Z340" s="282" t="s">
        <v>53</v>
      </c>
      <c r="AA340" s="282" t="s">
        <v>2623</v>
      </c>
      <c r="AB340" s="283">
        <v>44180.0</v>
      </c>
      <c r="AC340" s="284"/>
      <c r="AD340" s="284"/>
    </row>
    <row r="341" ht="14.25" customHeight="1">
      <c r="A341" s="265">
        <v>44180.0</v>
      </c>
      <c r="B341" s="266" t="s">
        <v>1824</v>
      </c>
      <c r="C341" s="266"/>
      <c r="D341" s="266" t="s">
        <v>1450</v>
      </c>
      <c r="E341" s="268"/>
      <c r="F341" s="358" t="s">
        <v>2624</v>
      </c>
      <c r="G341" s="268" t="s">
        <v>2085</v>
      </c>
      <c r="H341" s="270">
        <v>0.09798611111111111</v>
      </c>
      <c r="I341" s="271">
        <v>44180.70347222222</v>
      </c>
      <c r="J341" s="268"/>
      <c r="K341" s="271">
        <v>44181.166979166665</v>
      </c>
      <c r="L341" s="271" t="str">
        <f t="shared" si="40"/>
        <v>12/30/99 11:07</v>
      </c>
      <c r="M341" s="359" t="s">
        <v>2524</v>
      </c>
      <c r="N341" s="290"/>
      <c r="O341" s="276"/>
      <c r="P341" s="276"/>
      <c r="Q341" s="278"/>
      <c r="R341" s="278"/>
      <c r="S341" s="278"/>
      <c r="T341" s="278"/>
      <c r="U341" s="279"/>
      <c r="V341" s="279" t="s">
        <v>1746</v>
      </c>
      <c r="W341" s="280" t="s">
        <v>2625</v>
      </c>
      <c r="X341" s="281">
        <v>0.6666666666666666</v>
      </c>
      <c r="Y341" s="279" t="s">
        <v>1693</v>
      </c>
      <c r="Z341" s="282" t="s">
        <v>1570</v>
      </c>
      <c r="AA341" s="282" t="s">
        <v>2624</v>
      </c>
      <c r="AB341" s="283">
        <v>44180.0</v>
      </c>
      <c r="AC341" s="284"/>
      <c r="AD341" s="284"/>
    </row>
    <row r="342" ht="14.25" customHeight="1">
      <c r="A342" s="265">
        <v>44180.0</v>
      </c>
      <c r="B342" s="266" t="s">
        <v>1772</v>
      </c>
      <c r="C342" s="266"/>
      <c r="D342" s="266" t="s">
        <v>1452</v>
      </c>
      <c r="E342" s="268"/>
      <c r="F342" s="358" t="s">
        <v>2626</v>
      </c>
      <c r="G342" s="268" t="s">
        <v>2085</v>
      </c>
      <c r="H342" s="270">
        <v>0.009641203703703704</v>
      </c>
      <c r="I342" s="271">
        <v>44180.69930555556</v>
      </c>
      <c r="J342" s="268"/>
      <c r="K342" s="271">
        <v>44181.63459490741</v>
      </c>
      <c r="L342" s="271" t="str">
        <f t="shared" si="40"/>
        <v>12/30/99 22:26</v>
      </c>
      <c r="M342" s="359" t="s">
        <v>2524</v>
      </c>
      <c r="N342" s="290"/>
      <c r="O342" s="276"/>
      <c r="P342" s="276"/>
      <c r="Q342" s="278"/>
      <c r="R342" s="278"/>
      <c r="S342" s="278"/>
      <c r="T342" s="278"/>
      <c r="U342" s="279"/>
      <c r="V342" s="279" t="s">
        <v>1772</v>
      </c>
      <c r="W342" s="280">
        <v>44181.0</v>
      </c>
      <c r="X342" s="281">
        <v>0.041666666666666664</v>
      </c>
      <c r="Y342" s="279" t="s">
        <v>1693</v>
      </c>
      <c r="Z342" s="282" t="s">
        <v>1570</v>
      </c>
      <c r="AA342" s="282" t="s">
        <v>2626</v>
      </c>
      <c r="AB342" s="283">
        <v>44180.0</v>
      </c>
      <c r="AC342" s="284"/>
      <c r="AD342" s="284"/>
    </row>
    <row r="343" ht="14.25" customHeight="1">
      <c r="A343" s="265">
        <v>44180.0</v>
      </c>
      <c r="B343" s="266" t="s">
        <v>1685</v>
      </c>
      <c r="C343" s="266"/>
      <c r="D343" s="266" t="s">
        <v>1689</v>
      </c>
      <c r="E343" s="268"/>
      <c r="F343" s="358" t="s">
        <v>2627</v>
      </c>
      <c r="G343" s="268" t="s">
        <v>2085</v>
      </c>
      <c r="H343" s="270">
        <v>0.039386574074074074</v>
      </c>
      <c r="I343" s="271">
        <v>44180.645833333336</v>
      </c>
      <c r="J343" s="268"/>
      <c r="K343" s="271">
        <v>44181.05679398148</v>
      </c>
      <c r="L343" s="271" t="str">
        <f t="shared" si="40"/>
        <v>12/30/99 9:51</v>
      </c>
      <c r="M343" s="359" t="s">
        <v>2524</v>
      </c>
      <c r="N343" s="290"/>
      <c r="O343" s="276"/>
      <c r="P343" s="276"/>
      <c r="Q343" s="278"/>
      <c r="R343" s="278"/>
      <c r="S343" s="278"/>
      <c r="T343" s="278"/>
      <c r="U343" s="279"/>
      <c r="V343" s="279" t="s">
        <v>1894</v>
      </c>
      <c r="W343" s="280">
        <v>44193.0</v>
      </c>
      <c r="X343" s="281">
        <v>0.16666666666666666</v>
      </c>
      <c r="Y343" s="279" t="s">
        <v>1693</v>
      </c>
      <c r="Z343" s="282" t="s">
        <v>1570</v>
      </c>
      <c r="AA343" s="282" t="s">
        <v>2627</v>
      </c>
      <c r="AB343" s="283">
        <v>44180.0</v>
      </c>
      <c r="AC343" s="284"/>
      <c r="AD343" s="284"/>
    </row>
    <row r="344" ht="14.25" customHeight="1">
      <c r="A344" s="265">
        <v>44180.0</v>
      </c>
      <c r="B344" s="266" t="s">
        <v>1746</v>
      </c>
      <c r="C344" s="266"/>
      <c r="D344" s="265" t="s">
        <v>1748</v>
      </c>
      <c r="E344" s="268"/>
      <c r="F344" s="358" t="s">
        <v>2628</v>
      </c>
      <c r="G344" s="268" t="s">
        <v>2085</v>
      </c>
      <c r="H344" s="270">
        <v>0.01986111111111111</v>
      </c>
      <c r="I344" s="271">
        <v>44181.08541666667</v>
      </c>
      <c r="J344" s="268"/>
      <c r="K344" s="271">
        <v>44181.47849537037</v>
      </c>
      <c r="L344" s="271" t="str">
        <f t="shared" si="40"/>
        <v>12/30/99 9:26</v>
      </c>
      <c r="M344" s="359" t="s">
        <v>2524</v>
      </c>
      <c r="N344" s="290"/>
      <c r="O344" s="276"/>
      <c r="P344" s="276"/>
      <c r="Q344" s="278"/>
      <c r="R344" s="278"/>
      <c r="S344" s="278"/>
      <c r="T344" s="278"/>
      <c r="U344" s="279"/>
      <c r="V344" s="279" t="s">
        <v>1733</v>
      </c>
      <c r="W344" s="280">
        <v>44187.0</v>
      </c>
      <c r="X344" s="281">
        <v>0.1388888888888889</v>
      </c>
      <c r="Y344" s="279" t="s">
        <v>1693</v>
      </c>
      <c r="Z344" s="282" t="s">
        <v>53</v>
      </c>
      <c r="AA344" s="282" t="s">
        <v>2628</v>
      </c>
      <c r="AB344" s="283">
        <v>44181.0</v>
      </c>
      <c r="AC344" s="284"/>
      <c r="AD344" s="284"/>
    </row>
    <row r="345" ht="14.25" customHeight="1">
      <c r="A345" s="265">
        <v>44180.0</v>
      </c>
      <c r="B345" s="266" t="s">
        <v>1500</v>
      </c>
      <c r="C345" s="266" t="s">
        <v>2083</v>
      </c>
      <c r="D345" s="265" t="s">
        <v>1543</v>
      </c>
      <c r="E345" s="268"/>
      <c r="F345" s="269" t="s">
        <v>2629</v>
      </c>
      <c r="G345" s="268" t="s">
        <v>1463</v>
      </c>
      <c r="H345" s="270">
        <v>0.0016435185185185183</v>
      </c>
      <c r="I345" s="271">
        <v>44190.73402777778</v>
      </c>
      <c r="J345" s="268"/>
      <c r="K345" s="271">
        <v>44190.82356481482</v>
      </c>
      <c r="L345" s="271"/>
      <c r="M345" s="307" t="s">
        <v>2630</v>
      </c>
      <c r="N345" s="273">
        <v>44190.875</v>
      </c>
      <c r="O345" s="276" t="s">
        <v>2631</v>
      </c>
      <c r="P345" s="268" t="s">
        <v>1463</v>
      </c>
      <c r="Q345" s="278" t="s">
        <v>1819</v>
      </c>
      <c r="R345" s="278"/>
      <c r="S345" s="278"/>
      <c r="T345" s="278" t="s">
        <v>2632</v>
      </c>
      <c r="U345" s="279"/>
      <c r="V345" s="279" t="s">
        <v>1570</v>
      </c>
      <c r="W345" s="280">
        <v>44206.0</v>
      </c>
      <c r="X345" s="281">
        <v>0.013888888888888888</v>
      </c>
      <c r="Y345" s="279" t="s">
        <v>1693</v>
      </c>
      <c r="Z345" s="282" t="s">
        <v>53</v>
      </c>
      <c r="AA345" s="282">
        <v>6310985.0</v>
      </c>
      <c r="AB345" s="283">
        <v>44193.0</v>
      </c>
      <c r="AC345" s="284"/>
      <c r="AD345" s="284"/>
    </row>
    <row r="346" ht="14.25" customHeight="1">
      <c r="A346" s="265">
        <v>44181.0</v>
      </c>
      <c r="B346" s="266" t="s">
        <v>1824</v>
      </c>
      <c r="C346" s="266"/>
      <c r="D346" s="266" t="s">
        <v>1450</v>
      </c>
      <c r="E346" s="268"/>
      <c r="F346" s="358" t="s">
        <v>2633</v>
      </c>
      <c r="G346" s="268" t="s">
        <v>2085</v>
      </c>
      <c r="H346" s="270">
        <v>0.09752314814814815</v>
      </c>
      <c r="I346" s="271">
        <v>44181.916666666664</v>
      </c>
      <c r="J346" s="268"/>
      <c r="K346" s="271">
        <v>44182.382581018515</v>
      </c>
      <c r="L346" s="271" t="str">
        <f t="shared" ref="L346:L349" si="41">K346-I346</f>
        <v>12/30/99 11:10</v>
      </c>
      <c r="M346" s="359" t="s">
        <v>2524</v>
      </c>
      <c r="N346" s="290"/>
      <c r="O346" s="276"/>
      <c r="P346" s="276"/>
      <c r="Q346" s="278"/>
      <c r="R346" s="278"/>
      <c r="S346" s="278"/>
      <c r="T346" s="278"/>
      <c r="U346" s="279"/>
      <c r="V346" s="279" t="s">
        <v>1824</v>
      </c>
      <c r="W346" s="280">
        <v>44208.0</v>
      </c>
      <c r="X346" s="281">
        <v>0.3541666666666667</v>
      </c>
      <c r="Y346" s="279" t="s">
        <v>1693</v>
      </c>
      <c r="Z346" s="282" t="s">
        <v>53</v>
      </c>
      <c r="AA346" s="282" t="s">
        <v>2633</v>
      </c>
      <c r="AB346" s="283">
        <v>44182.0</v>
      </c>
      <c r="AC346" s="284"/>
      <c r="AD346" s="284"/>
    </row>
    <row r="347" ht="14.25" customHeight="1">
      <c r="A347" s="265">
        <v>44181.0</v>
      </c>
      <c r="B347" s="266" t="s">
        <v>1772</v>
      </c>
      <c r="C347" s="266"/>
      <c r="D347" s="266" t="s">
        <v>1452</v>
      </c>
      <c r="E347" s="268"/>
      <c r="F347" s="358" t="s">
        <v>2634</v>
      </c>
      <c r="G347" s="268" t="s">
        <v>2085</v>
      </c>
      <c r="H347" s="270">
        <v>0.010266203703703703</v>
      </c>
      <c r="I347" s="271">
        <v>44181.92083333333</v>
      </c>
      <c r="J347" s="268"/>
      <c r="K347" s="271">
        <v>44182.823171296295</v>
      </c>
      <c r="L347" s="271" t="str">
        <f t="shared" si="41"/>
        <v>12/30/99 21:39</v>
      </c>
      <c r="M347" s="359" t="s">
        <v>2524</v>
      </c>
      <c r="N347" s="290"/>
      <c r="O347" s="276"/>
      <c r="P347" s="276"/>
      <c r="Q347" s="278"/>
      <c r="R347" s="278"/>
      <c r="S347" s="278"/>
      <c r="T347" s="278"/>
      <c r="U347" s="279"/>
      <c r="V347" s="279" t="s">
        <v>1772</v>
      </c>
      <c r="W347" s="280">
        <v>44182.0</v>
      </c>
      <c r="X347" s="281">
        <v>0.041666666666666664</v>
      </c>
      <c r="Y347" s="279" t="s">
        <v>1693</v>
      </c>
      <c r="Z347" s="282" t="s">
        <v>1570</v>
      </c>
      <c r="AA347" s="282" t="s">
        <v>2634</v>
      </c>
      <c r="AB347" s="283">
        <v>44182.0</v>
      </c>
      <c r="AC347" s="284"/>
      <c r="AD347" s="284"/>
    </row>
    <row r="348" ht="14.25" customHeight="1">
      <c r="A348" s="265">
        <v>44181.0</v>
      </c>
      <c r="B348" s="266" t="s">
        <v>1685</v>
      </c>
      <c r="C348" s="266"/>
      <c r="D348" s="266" t="s">
        <v>1689</v>
      </c>
      <c r="E348" s="268"/>
      <c r="F348" s="358" t="s">
        <v>2635</v>
      </c>
      <c r="G348" s="268" t="s">
        <v>2085</v>
      </c>
      <c r="H348" s="270">
        <v>0.036759259259259255</v>
      </c>
      <c r="I348" s="271">
        <v>44181.925</v>
      </c>
      <c r="J348" s="268"/>
      <c r="K348" s="271">
        <v>44182.328877314816</v>
      </c>
      <c r="L348" s="271" t="str">
        <f t="shared" si="41"/>
        <v>12/30/99 9:41</v>
      </c>
      <c r="M348" s="359" t="s">
        <v>2524</v>
      </c>
      <c r="N348" s="290"/>
      <c r="O348" s="276"/>
      <c r="P348" s="276"/>
      <c r="Q348" s="278"/>
      <c r="R348" s="278"/>
      <c r="S348" s="278"/>
      <c r="T348" s="278"/>
      <c r="U348" s="279"/>
      <c r="V348" s="279" t="s">
        <v>1894</v>
      </c>
      <c r="W348" s="280">
        <v>44192.0</v>
      </c>
      <c r="X348" s="281">
        <v>0.16666666666666666</v>
      </c>
      <c r="Y348" s="279" t="s">
        <v>1693</v>
      </c>
      <c r="Z348" s="282" t="s">
        <v>1570</v>
      </c>
      <c r="AA348" s="282" t="s">
        <v>2635</v>
      </c>
      <c r="AB348" s="283">
        <v>44181.0</v>
      </c>
      <c r="AC348" s="284"/>
      <c r="AD348" s="284"/>
    </row>
    <row r="349" ht="14.25" customHeight="1">
      <c r="A349" s="265">
        <v>44181.0</v>
      </c>
      <c r="B349" s="266" t="s">
        <v>1733</v>
      </c>
      <c r="C349" s="266"/>
      <c r="D349" s="265" t="s">
        <v>1748</v>
      </c>
      <c r="E349" s="268"/>
      <c r="F349" s="358" t="s">
        <v>2636</v>
      </c>
      <c r="G349" s="268" t="s">
        <v>2085</v>
      </c>
      <c r="H349" s="270">
        <v>0.01832175925925926</v>
      </c>
      <c r="I349" s="271">
        <v>44181.9375</v>
      </c>
      <c r="J349" s="268"/>
      <c r="K349" s="271">
        <v>44182.33248842593</v>
      </c>
      <c r="L349" s="271" t="str">
        <f t="shared" si="41"/>
        <v>12/30/99 9:28</v>
      </c>
      <c r="M349" s="359" t="s">
        <v>2524</v>
      </c>
      <c r="N349" s="290"/>
      <c r="O349" s="276"/>
      <c r="P349" s="276"/>
      <c r="Q349" s="278"/>
      <c r="R349" s="278"/>
      <c r="S349" s="278"/>
      <c r="T349" s="278"/>
      <c r="U349" s="279"/>
      <c r="V349" s="279" t="s">
        <v>1772</v>
      </c>
      <c r="W349" s="280">
        <v>44193.0</v>
      </c>
      <c r="X349" s="281">
        <v>0.125</v>
      </c>
      <c r="Y349" s="279" t="s">
        <v>1693</v>
      </c>
      <c r="Z349" s="282" t="s">
        <v>1570</v>
      </c>
      <c r="AA349" s="282" t="s">
        <v>2636</v>
      </c>
      <c r="AB349" s="283">
        <v>44181.0</v>
      </c>
      <c r="AC349" s="284"/>
      <c r="AD349" s="284"/>
    </row>
    <row r="350" ht="14.25" customHeight="1">
      <c r="A350" s="265">
        <v>44181.0</v>
      </c>
      <c r="B350" s="266" t="s">
        <v>1500</v>
      </c>
      <c r="C350" s="266" t="s">
        <v>2471</v>
      </c>
      <c r="D350" s="265" t="s">
        <v>1543</v>
      </c>
      <c r="E350" s="268"/>
      <c r="F350" s="269" t="s">
        <v>2637</v>
      </c>
      <c r="G350" s="268" t="s">
        <v>1463</v>
      </c>
      <c r="H350" s="270">
        <v>8.101851851851852E-4</v>
      </c>
      <c r="I350" s="271">
        <v>44187.915972222225</v>
      </c>
      <c r="J350" s="268"/>
      <c r="K350" s="271">
        <v>44187.95878472222</v>
      </c>
      <c r="L350" s="271"/>
      <c r="M350" s="272" t="s">
        <v>2638</v>
      </c>
      <c r="N350" s="290"/>
      <c r="O350" s="276"/>
      <c r="P350" s="276"/>
      <c r="Q350" s="278"/>
      <c r="R350" s="278"/>
      <c r="S350" s="278"/>
      <c r="T350" s="278"/>
      <c r="U350" s="279"/>
      <c r="V350" s="279" t="s">
        <v>1824</v>
      </c>
      <c r="W350" s="280">
        <v>44187.0</v>
      </c>
      <c r="X350" s="281">
        <v>0.008599537037037036</v>
      </c>
      <c r="Y350" s="279" t="s">
        <v>1693</v>
      </c>
      <c r="Z350" s="282" t="s">
        <v>1570</v>
      </c>
      <c r="AA350" s="282">
        <v>6310294.0</v>
      </c>
      <c r="AB350" s="283">
        <v>44187.0</v>
      </c>
      <c r="AC350" s="284"/>
      <c r="AD350" s="284"/>
    </row>
    <row r="351" ht="14.25" customHeight="1">
      <c r="A351" s="265">
        <v>44181.0</v>
      </c>
      <c r="B351" s="266" t="s">
        <v>1500</v>
      </c>
      <c r="C351" s="266" t="s">
        <v>2179</v>
      </c>
      <c r="D351" s="265" t="s">
        <v>1543</v>
      </c>
      <c r="E351" s="268"/>
      <c r="F351" s="269" t="s">
        <v>2639</v>
      </c>
      <c r="G351" s="268" t="s">
        <v>1463</v>
      </c>
      <c r="H351" s="270">
        <v>0.0014930555555555556</v>
      </c>
      <c r="I351" s="271">
        <v>44188.916666666664</v>
      </c>
      <c r="J351" s="268"/>
      <c r="K351" s="271">
        <v>44188.94021990741</v>
      </c>
      <c r="L351" s="271"/>
      <c r="M351" s="272" t="s">
        <v>2640</v>
      </c>
      <c r="N351" s="290"/>
      <c r="O351" s="276"/>
      <c r="P351" s="276"/>
      <c r="Q351" s="278"/>
      <c r="R351" s="278"/>
      <c r="S351" s="278"/>
      <c r="T351" s="278"/>
      <c r="U351" s="279"/>
      <c r="V351" s="279" t="s">
        <v>1570</v>
      </c>
      <c r="W351" s="280">
        <v>44206.0</v>
      </c>
      <c r="X351" s="281">
        <v>0.013888888888888888</v>
      </c>
      <c r="Y351" s="279" t="s">
        <v>1693</v>
      </c>
      <c r="Z351" s="282" t="s">
        <v>53</v>
      </c>
      <c r="AA351" s="282">
        <v>6310807.0</v>
      </c>
      <c r="AB351" s="283">
        <v>44190.0</v>
      </c>
      <c r="AC351" s="284"/>
      <c r="AD351" s="284"/>
    </row>
    <row r="352" ht="14.25" customHeight="1">
      <c r="A352" s="265">
        <v>44181.0</v>
      </c>
      <c r="B352" s="266" t="s">
        <v>1500</v>
      </c>
      <c r="C352" s="266" t="s">
        <v>2641</v>
      </c>
      <c r="D352" s="265" t="s">
        <v>1543</v>
      </c>
      <c r="E352" s="268"/>
      <c r="F352" s="269" t="s">
        <v>2642</v>
      </c>
      <c r="G352" s="268" t="s">
        <v>1463</v>
      </c>
      <c r="H352" s="270">
        <v>0.0021874999999999998</v>
      </c>
      <c r="I352" s="271">
        <v>44203.450694444444</v>
      </c>
      <c r="J352" s="268"/>
      <c r="K352" s="271">
        <v>44203.79387731481</v>
      </c>
      <c r="L352" s="271"/>
      <c r="M352" s="272" t="s">
        <v>2643</v>
      </c>
      <c r="N352" s="290"/>
      <c r="O352" s="276"/>
      <c r="P352" s="276"/>
      <c r="Q352" s="278"/>
      <c r="R352" s="278"/>
      <c r="S352" s="278"/>
      <c r="T352" s="278"/>
      <c r="U352" s="279"/>
      <c r="V352" s="279" t="s">
        <v>1500</v>
      </c>
      <c r="W352" s="280">
        <v>44207.0</v>
      </c>
      <c r="X352" s="281">
        <v>0.020833333333333332</v>
      </c>
      <c r="Y352" s="279" t="s">
        <v>28</v>
      </c>
      <c r="Z352" s="282" t="s">
        <v>53</v>
      </c>
      <c r="AA352" s="282">
        <v>6316365.0</v>
      </c>
      <c r="AB352" s="283">
        <v>44209.0</v>
      </c>
      <c r="AC352" s="284"/>
      <c r="AD352" s="284"/>
    </row>
    <row r="353" ht="14.25" customHeight="1">
      <c r="A353" s="265">
        <v>44182.0</v>
      </c>
      <c r="B353" s="266" t="s">
        <v>1824</v>
      </c>
      <c r="C353" s="266"/>
      <c r="D353" s="266" t="s">
        <v>1450</v>
      </c>
      <c r="E353" s="268"/>
      <c r="F353" s="358" t="s">
        <v>2644</v>
      </c>
      <c r="G353" s="268" t="s">
        <v>2085</v>
      </c>
      <c r="H353" s="270">
        <v>0.09784722222222221</v>
      </c>
      <c r="I353" s="271">
        <v>44182.822916666664</v>
      </c>
      <c r="J353" s="268"/>
      <c r="K353" s="271">
        <v>44183.304143518515</v>
      </c>
      <c r="L353" s="271" t="str">
        <f t="shared" ref="L353:L367" si="42">K353-I353</f>
        <v>12/30/99 11:32</v>
      </c>
      <c r="M353" s="359" t="s">
        <v>2524</v>
      </c>
      <c r="N353" s="290"/>
      <c r="O353" s="276"/>
      <c r="P353" s="276"/>
      <c r="Q353" s="278"/>
      <c r="R353" s="278"/>
      <c r="S353" s="278"/>
      <c r="T353" s="278"/>
      <c r="U353" s="279"/>
      <c r="V353" s="279" t="s">
        <v>1746</v>
      </c>
      <c r="W353" s="280" t="s">
        <v>2645</v>
      </c>
      <c r="X353" s="281">
        <v>0.6666666666666666</v>
      </c>
      <c r="Y353" s="279" t="s">
        <v>1693</v>
      </c>
      <c r="Z353" s="282" t="s">
        <v>53</v>
      </c>
      <c r="AA353" s="282" t="s">
        <v>2644</v>
      </c>
      <c r="AB353" s="283">
        <v>44183.0</v>
      </c>
      <c r="AC353" s="284"/>
      <c r="AD353" s="284"/>
    </row>
    <row r="354" ht="14.25" customHeight="1">
      <c r="A354" s="265">
        <v>44182.0</v>
      </c>
      <c r="B354" s="266" t="s">
        <v>1772</v>
      </c>
      <c r="C354" s="266"/>
      <c r="D354" s="266" t="s">
        <v>1452</v>
      </c>
      <c r="E354" s="268"/>
      <c r="F354" s="358" t="s">
        <v>2646</v>
      </c>
      <c r="G354" s="268" t="s">
        <v>2085</v>
      </c>
      <c r="H354" s="270">
        <v>0.008206018518518519</v>
      </c>
      <c r="I354" s="271">
        <v>44182.82638888889</v>
      </c>
      <c r="J354" s="268"/>
      <c r="K354" s="271">
        <v>44183.751435185186</v>
      </c>
      <c r="L354" s="271" t="str">
        <f t="shared" si="42"/>
        <v>12/30/99 22:12</v>
      </c>
      <c r="M354" s="359" t="s">
        <v>2524</v>
      </c>
      <c r="N354" s="290"/>
      <c r="O354" s="276"/>
      <c r="P354" s="276"/>
      <c r="Q354" s="278"/>
      <c r="R354" s="278"/>
      <c r="S354" s="278"/>
      <c r="T354" s="278"/>
      <c r="U354" s="279"/>
      <c r="V354" s="279" t="s">
        <v>1772</v>
      </c>
      <c r="W354" s="280">
        <v>44183.0</v>
      </c>
      <c r="X354" s="281">
        <v>0.041666666666666664</v>
      </c>
      <c r="Y354" s="279" t="s">
        <v>1693</v>
      </c>
      <c r="Z354" s="282" t="s">
        <v>1570</v>
      </c>
      <c r="AA354" s="282" t="s">
        <v>2646</v>
      </c>
      <c r="AB354" s="283">
        <v>44182.0</v>
      </c>
      <c r="AC354" s="284"/>
      <c r="AD354" s="284"/>
    </row>
    <row r="355" ht="14.25" customHeight="1">
      <c r="A355" s="265">
        <v>44182.0</v>
      </c>
      <c r="B355" s="266" t="s">
        <v>1685</v>
      </c>
      <c r="C355" s="266"/>
      <c r="D355" s="266" t="s">
        <v>1689</v>
      </c>
      <c r="E355" s="268"/>
      <c r="F355" s="358" t="s">
        <v>2647</v>
      </c>
      <c r="G355" s="268" t="s">
        <v>2085</v>
      </c>
      <c r="H355" s="288">
        <v>0.03636574074074074</v>
      </c>
      <c r="I355" s="271">
        <v>44182.82986111111</v>
      </c>
      <c r="J355" s="268"/>
      <c r="K355" s="271">
        <v>44183.24827546296</v>
      </c>
      <c r="L355" s="271" t="str">
        <f t="shared" si="42"/>
        <v>12/30/99 10:02</v>
      </c>
      <c r="M355" s="359" t="s">
        <v>2524</v>
      </c>
      <c r="N355" s="290"/>
      <c r="O355" s="276"/>
      <c r="P355" s="276"/>
      <c r="Q355" s="278"/>
      <c r="R355" s="278"/>
      <c r="S355" s="278"/>
      <c r="T355" s="278"/>
      <c r="U355" s="279"/>
      <c r="V355" s="279" t="s">
        <v>1685</v>
      </c>
      <c r="W355" s="280">
        <v>44183.0</v>
      </c>
      <c r="X355" s="281">
        <v>0.16666666666666666</v>
      </c>
      <c r="Y355" s="279" t="s">
        <v>1693</v>
      </c>
      <c r="Z355" s="282" t="s">
        <v>1570</v>
      </c>
      <c r="AA355" s="282" t="s">
        <v>2647</v>
      </c>
      <c r="AB355" s="283">
        <v>44182.0</v>
      </c>
      <c r="AC355" s="284"/>
      <c r="AD355" s="284"/>
    </row>
    <row r="356" ht="14.25" customHeight="1">
      <c r="A356" s="265">
        <v>44182.0</v>
      </c>
      <c r="B356" s="266" t="s">
        <v>1733</v>
      </c>
      <c r="C356" s="266"/>
      <c r="D356" s="265" t="s">
        <v>1748</v>
      </c>
      <c r="E356" s="268"/>
      <c r="F356" s="358" t="s">
        <v>2648</v>
      </c>
      <c r="G356" s="268" t="s">
        <v>2085</v>
      </c>
      <c r="H356" s="270">
        <v>0.019421296296296294</v>
      </c>
      <c r="I356" s="271">
        <v>44183.0</v>
      </c>
      <c r="J356" s="268"/>
      <c r="K356" s="271">
        <v>44183.389375</v>
      </c>
      <c r="L356" s="271" t="str">
        <f t="shared" si="42"/>
        <v>12/30/99 9:20</v>
      </c>
      <c r="M356" s="359" t="s">
        <v>2524</v>
      </c>
      <c r="N356" s="290"/>
      <c r="O356" s="276"/>
      <c r="P356" s="276"/>
      <c r="Q356" s="278"/>
      <c r="R356" s="278"/>
      <c r="S356" s="278"/>
      <c r="T356" s="278"/>
      <c r="U356" s="279"/>
      <c r="V356" s="279" t="s">
        <v>1772</v>
      </c>
      <c r="W356" s="280">
        <v>44193.0</v>
      </c>
      <c r="X356" s="281">
        <v>0.125</v>
      </c>
      <c r="Y356" s="279" t="s">
        <v>1693</v>
      </c>
      <c r="Z356" s="282" t="s">
        <v>53</v>
      </c>
      <c r="AA356" s="282" t="s">
        <v>2648</v>
      </c>
      <c r="AB356" s="283">
        <v>44183.0</v>
      </c>
      <c r="AC356" s="284"/>
      <c r="AD356" s="284"/>
    </row>
    <row r="357" ht="14.25" customHeight="1">
      <c r="A357" s="265">
        <v>44183.0</v>
      </c>
      <c r="B357" s="266" t="s">
        <v>1824</v>
      </c>
      <c r="C357" s="266"/>
      <c r="D357" s="266" t="s">
        <v>1450</v>
      </c>
      <c r="E357" s="268"/>
      <c r="F357" s="358" t="s">
        <v>2649</v>
      </c>
      <c r="G357" s="268" t="s">
        <v>2085</v>
      </c>
      <c r="H357" s="270">
        <v>0.09721064814814816</v>
      </c>
      <c r="I357" s="271">
        <v>44183.84166666667</v>
      </c>
      <c r="J357" s="268"/>
      <c r="K357" s="271">
        <v>44184.319652777776</v>
      </c>
      <c r="L357" s="271" t="str">
        <f t="shared" si="42"/>
        <v>12/30/99 11:28</v>
      </c>
      <c r="M357" s="359" t="s">
        <v>2524</v>
      </c>
      <c r="N357" s="290"/>
      <c r="O357" s="276"/>
      <c r="P357" s="276"/>
      <c r="Q357" s="278"/>
      <c r="R357" s="278"/>
      <c r="S357" s="278"/>
      <c r="T357" s="278"/>
      <c r="U357" s="279"/>
      <c r="V357" s="279" t="s">
        <v>1824</v>
      </c>
      <c r="W357" s="280">
        <v>44179.0</v>
      </c>
      <c r="X357" s="281">
        <v>0.3541666666666667</v>
      </c>
      <c r="Y357" s="279" t="s">
        <v>1693</v>
      </c>
      <c r="Z357" s="282" t="s">
        <v>1570</v>
      </c>
      <c r="AA357" s="282" t="s">
        <v>2649</v>
      </c>
      <c r="AB357" s="283">
        <v>44184.0</v>
      </c>
      <c r="AC357" s="284"/>
      <c r="AD357" s="284"/>
    </row>
    <row r="358" ht="14.25" customHeight="1">
      <c r="A358" s="265">
        <v>44183.0</v>
      </c>
      <c r="B358" s="266" t="s">
        <v>1772</v>
      </c>
      <c r="C358" s="266"/>
      <c r="D358" s="266" t="s">
        <v>1452</v>
      </c>
      <c r="E358" s="268"/>
      <c r="F358" s="358" t="s">
        <v>2650</v>
      </c>
      <c r="G358" s="268" t="s">
        <v>2085</v>
      </c>
      <c r="H358" s="270">
        <v>0.012951388888888887</v>
      </c>
      <c r="I358" s="271">
        <v>44183.84375</v>
      </c>
      <c r="J358" s="268"/>
      <c r="K358" s="271">
        <v>44186.621979166666</v>
      </c>
      <c r="L358" s="271" t="str">
        <f t="shared" si="42"/>
        <v>1/1/00 18:40</v>
      </c>
      <c r="M358" s="359" t="s">
        <v>2524</v>
      </c>
      <c r="N358" s="290"/>
      <c r="O358" s="276"/>
      <c r="P358" s="276"/>
      <c r="Q358" s="278"/>
      <c r="R358" s="278"/>
      <c r="S358" s="278"/>
      <c r="T358" s="278"/>
      <c r="U358" s="279"/>
      <c r="V358" s="279" t="s">
        <v>1733</v>
      </c>
      <c r="W358" s="280">
        <v>44186.0</v>
      </c>
      <c r="X358" s="281">
        <v>0.0763888888888889</v>
      </c>
      <c r="Y358" s="279" t="s">
        <v>1693</v>
      </c>
      <c r="Z358" s="282" t="s">
        <v>1570</v>
      </c>
      <c r="AA358" s="282" t="s">
        <v>2650</v>
      </c>
      <c r="AB358" s="283">
        <v>44184.0</v>
      </c>
      <c r="AC358" s="284"/>
      <c r="AD358" s="284"/>
    </row>
    <row r="359" ht="14.25" customHeight="1">
      <c r="A359" s="265">
        <v>44183.0</v>
      </c>
      <c r="B359" s="266" t="s">
        <v>1685</v>
      </c>
      <c r="C359" s="266"/>
      <c r="D359" s="266" t="s">
        <v>1689</v>
      </c>
      <c r="E359" s="268"/>
      <c r="F359" s="358" t="s">
        <v>2651</v>
      </c>
      <c r="G359" s="268" t="s">
        <v>2085</v>
      </c>
      <c r="H359" s="270">
        <v>0.037083333333333336</v>
      </c>
      <c r="I359" s="271">
        <v>44183.84652777778</v>
      </c>
      <c r="J359" s="268"/>
      <c r="K359" s="271">
        <v>44184.26599537037</v>
      </c>
      <c r="L359" s="271" t="str">
        <f t="shared" si="42"/>
        <v>12/30/99 10:04</v>
      </c>
      <c r="M359" s="359" t="s">
        <v>2524</v>
      </c>
      <c r="N359" s="290"/>
      <c r="O359" s="276"/>
      <c r="P359" s="276"/>
      <c r="Q359" s="278"/>
      <c r="R359" s="278"/>
      <c r="S359" s="278"/>
      <c r="T359" s="278"/>
      <c r="U359" s="279"/>
      <c r="V359" s="279" t="s">
        <v>1685</v>
      </c>
      <c r="W359" s="280">
        <v>44194.0</v>
      </c>
      <c r="X359" s="281">
        <v>0.15277777777777776</v>
      </c>
      <c r="Y359" s="279" t="s">
        <v>1693</v>
      </c>
      <c r="Z359" s="282" t="s">
        <v>1570</v>
      </c>
      <c r="AA359" s="282" t="s">
        <v>2651</v>
      </c>
      <c r="AB359" s="283">
        <v>44184.0</v>
      </c>
      <c r="AC359" s="284"/>
      <c r="AD359" s="284"/>
    </row>
    <row r="360" ht="14.25" customHeight="1">
      <c r="A360" s="265">
        <v>44183.0</v>
      </c>
      <c r="B360" s="266" t="s">
        <v>1733</v>
      </c>
      <c r="C360" s="266"/>
      <c r="D360" s="265" t="s">
        <v>1748</v>
      </c>
      <c r="E360" s="268"/>
      <c r="F360" s="358" t="s">
        <v>2652</v>
      </c>
      <c r="G360" s="268" t="s">
        <v>2085</v>
      </c>
      <c r="H360" s="270">
        <v>0.019780092592592592</v>
      </c>
      <c r="I360" s="271">
        <v>44183.93402777778</v>
      </c>
      <c r="J360" s="268"/>
      <c r="K360" s="271">
        <v>44184.323599537034</v>
      </c>
      <c r="L360" s="271" t="str">
        <f t="shared" si="42"/>
        <v>12/30/99 9:20</v>
      </c>
      <c r="M360" s="359" t="s">
        <v>2524</v>
      </c>
      <c r="N360" s="290"/>
      <c r="O360" s="276"/>
      <c r="P360" s="276"/>
      <c r="Q360" s="278"/>
      <c r="R360" s="278"/>
      <c r="S360" s="278"/>
      <c r="T360" s="278"/>
      <c r="U360" s="279"/>
      <c r="V360" s="279" t="s">
        <v>1772</v>
      </c>
      <c r="W360" s="280">
        <v>44194.0</v>
      </c>
      <c r="X360" s="281">
        <v>0.125</v>
      </c>
      <c r="Y360" s="279" t="s">
        <v>1693</v>
      </c>
      <c r="Z360" s="282" t="s">
        <v>1570</v>
      </c>
      <c r="AA360" s="282" t="s">
        <v>2652</v>
      </c>
      <c r="AB360" s="283">
        <v>44184.0</v>
      </c>
      <c r="AC360" s="284"/>
      <c r="AD360" s="284"/>
    </row>
    <row r="361" ht="14.25" customHeight="1">
      <c r="A361" s="265">
        <v>44184.0</v>
      </c>
      <c r="B361" s="266" t="s">
        <v>1685</v>
      </c>
      <c r="C361" s="266"/>
      <c r="D361" s="266" t="s">
        <v>1689</v>
      </c>
      <c r="E361" s="268"/>
      <c r="F361" s="358" t="s">
        <v>2653</v>
      </c>
      <c r="G361" s="268" t="s">
        <v>2085</v>
      </c>
      <c r="H361" s="270">
        <v>0.037638888888888895</v>
      </c>
      <c r="I361" s="271">
        <v>44186.71597222222</v>
      </c>
      <c r="J361" s="268"/>
      <c r="K361" s="271">
        <v>44186.78994212963</v>
      </c>
      <c r="L361" s="271" t="str">
        <f t="shared" si="42"/>
        <v>12/30/99 1:46</v>
      </c>
      <c r="M361" s="359" t="s">
        <v>2524</v>
      </c>
      <c r="N361" s="290"/>
      <c r="O361" s="276"/>
      <c r="P361" s="276"/>
      <c r="Q361" s="278"/>
      <c r="R361" s="278"/>
      <c r="S361" s="278"/>
      <c r="T361" s="278"/>
      <c r="U361" s="279"/>
      <c r="V361" s="279" t="s">
        <v>1783</v>
      </c>
      <c r="W361" s="280">
        <v>44194.0</v>
      </c>
      <c r="X361" s="281">
        <v>0.20833333333333334</v>
      </c>
      <c r="Y361" s="279" t="s">
        <v>1693</v>
      </c>
      <c r="Z361" s="282" t="s">
        <v>1570</v>
      </c>
      <c r="AA361" s="282" t="s">
        <v>2653</v>
      </c>
      <c r="AB361" s="283">
        <v>44186.0</v>
      </c>
      <c r="AC361" s="284"/>
      <c r="AD361" s="284"/>
    </row>
    <row r="362" ht="14.25" customHeight="1">
      <c r="A362" s="265">
        <v>44184.0</v>
      </c>
      <c r="B362" s="266" t="s">
        <v>1746</v>
      </c>
      <c r="C362" s="266"/>
      <c r="D362" s="265" t="s">
        <v>1748</v>
      </c>
      <c r="E362" s="268"/>
      <c r="F362" s="358" t="s">
        <v>2654</v>
      </c>
      <c r="G362" s="268" t="s">
        <v>2085</v>
      </c>
      <c r="H362" s="270">
        <v>0.01741898148148148</v>
      </c>
      <c r="I362" s="271">
        <v>44186.71597222222</v>
      </c>
      <c r="J362" s="268"/>
      <c r="K362" s="271">
        <v>44187.6724537037</v>
      </c>
      <c r="L362" s="271" t="str">
        <f t="shared" si="42"/>
        <v>12/30/99 22:57</v>
      </c>
      <c r="M362" s="359" t="s">
        <v>2524</v>
      </c>
      <c r="N362" s="273"/>
      <c r="O362" s="276"/>
      <c r="P362" s="317"/>
      <c r="Q362" s="278"/>
      <c r="R362" s="278"/>
      <c r="S362" s="278"/>
      <c r="T362" s="278"/>
      <c r="U362" s="279"/>
      <c r="V362" s="279" t="s">
        <v>1772</v>
      </c>
      <c r="W362" s="280">
        <v>44194.0</v>
      </c>
      <c r="X362" s="281">
        <v>0.125</v>
      </c>
      <c r="Y362" s="279" t="s">
        <v>1693</v>
      </c>
      <c r="Z362" s="282" t="s">
        <v>1570</v>
      </c>
      <c r="AA362" s="282" t="s">
        <v>2654</v>
      </c>
      <c r="AB362" s="283">
        <v>44187.0</v>
      </c>
      <c r="AC362" s="284"/>
      <c r="AD362" s="284"/>
    </row>
    <row r="363" ht="14.25" customHeight="1">
      <c r="A363" s="265">
        <v>44185.0</v>
      </c>
      <c r="B363" s="266" t="s">
        <v>1500</v>
      </c>
      <c r="C363" s="266"/>
      <c r="D363" s="266" t="s">
        <v>1796</v>
      </c>
      <c r="E363" s="268"/>
      <c r="F363" s="358" t="s">
        <v>2655</v>
      </c>
      <c r="G363" s="268" t="s">
        <v>2085</v>
      </c>
      <c r="H363" s="270">
        <v>0.01769675925925926</v>
      </c>
      <c r="I363" s="271">
        <v>44186.720138888886</v>
      </c>
      <c r="J363" s="268"/>
      <c r="K363" s="271">
        <v>44186.78155092592</v>
      </c>
      <c r="L363" s="271" t="str">
        <f t="shared" si="42"/>
        <v>12/30/99 1:28</v>
      </c>
      <c r="M363" s="359" t="s">
        <v>2524</v>
      </c>
      <c r="N363" s="290"/>
      <c r="O363" s="276"/>
      <c r="P363" s="276"/>
      <c r="Q363" s="278"/>
      <c r="R363" s="278"/>
      <c r="S363" s="278"/>
      <c r="T363" s="278"/>
      <c r="U363" s="279"/>
      <c r="V363" s="279" t="s">
        <v>1783</v>
      </c>
      <c r="W363" s="280" t="s">
        <v>2656</v>
      </c>
      <c r="X363" s="281">
        <v>0.041666666666666664</v>
      </c>
      <c r="Y363" s="279" t="s">
        <v>1693</v>
      </c>
      <c r="Z363" s="282" t="s">
        <v>1570</v>
      </c>
      <c r="AA363" s="282" t="s">
        <v>2655</v>
      </c>
      <c r="AB363" s="283">
        <v>44186.0</v>
      </c>
      <c r="AC363" s="284"/>
      <c r="AD363" s="284"/>
    </row>
    <row r="364" ht="14.25" customHeight="1">
      <c r="A364" s="265">
        <v>44186.0</v>
      </c>
      <c r="B364" s="266" t="s">
        <v>2030</v>
      </c>
      <c r="C364" s="266"/>
      <c r="D364" s="266" t="s">
        <v>1450</v>
      </c>
      <c r="E364" s="268"/>
      <c r="F364" s="371" t="s">
        <v>2657</v>
      </c>
      <c r="G364" s="268" t="s">
        <v>2085</v>
      </c>
      <c r="H364" s="270">
        <v>0.09719907407407408</v>
      </c>
      <c r="I364" s="271">
        <v>44186.71597222222</v>
      </c>
      <c r="J364" s="268"/>
      <c r="K364" s="271">
        <v>44186.87111111111</v>
      </c>
      <c r="L364" s="271" t="str">
        <f t="shared" si="42"/>
        <v>12/30/99 3:43</v>
      </c>
      <c r="M364" s="359" t="s">
        <v>2524</v>
      </c>
      <c r="N364" s="290"/>
      <c r="O364" s="276"/>
      <c r="P364" s="276"/>
      <c r="Q364" s="278"/>
      <c r="R364" s="278"/>
      <c r="S364" s="278"/>
      <c r="T364" s="278"/>
      <c r="U364" s="279"/>
      <c r="V364" s="279" t="s">
        <v>1733</v>
      </c>
      <c r="W364" s="280" t="s">
        <v>2658</v>
      </c>
      <c r="X364" s="281">
        <v>0.5833333333333334</v>
      </c>
      <c r="Y364" s="279" t="s">
        <v>1693</v>
      </c>
      <c r="Z364" s="282" t="s">
        <v>1570</v>
      </c>
      <c r="AA364" s="282" t="s">
        <v>2657</v>
      </c>
      <c r="AB364" s="283">
        <v>44186.0</v>
      </c>
      <c r="AC364" s="284"/>
      <c r="AD364" s="284"/>
    </row>
    <row r="365" ht="14.25" customHeight="1">
      <c r="A365" s="265">
        <v>44186.0</v>
      </c>
      <c r="B365" s="266" t="s">
        <v>1733</v>
      </c>
      <c r="C365" s="266"/>
      <c r="D365" s="266" t="s">
        <v>1452</v>
      </c>
      <c r="E365" s="268"/>
      <c r="F365" s="358" t="s">
        <v>2659</v>
      </c>
      <c r="G365" s="268" t="s">
        <v>2085</v>
      </c>
      <c r="H365" s="270">
        <v>0.0062268518518518515</v>
      </c>
      <c r="I365" s="271">
        <v>44186.71597222222</v>
      </c>
      <c r="J365" s="268"/>
      <c r="K365" s="271">
        <v>44186.77542824074</v>
      </c>
      <c r="L365" s="271" t="str">
        <f t="shared" si="42"/>
        <v>12/30/99 1:25</v>
      </c>
      <c r="M365" s="359" t="s">
        <v>2524</v>
      </c>
      <c r="N365" s="290"/>
      <c r="O365" s="276"/>
      <c r="P365" s="276"/>
      <c r="Q365" s="278"/>
      <c r="R365" s="278"/>
      <c r="S365" s="278"/>
      <c r="T365" s="278"/>
      <c r="U365" s="279"/>
      <c r="V365" s="279" t="s">
        <v>1733</v>
      </c>
      <c r="W365" s="280">
        <v>44187.0</v>
      </c>
      <c r="X365" s="281">
        <v>0.06597222222222222</v>
      </c>
      <c r="Y365" s="279" t="s">
        <v>1693</v>
      </c>
      <c r="Z365" s="282" t="s">
        <v>1570</v>
      </c>
      <c r="AA365" s="282" t="s">
        <v>2659</v>
      </c>
      <c r="AB365" s="283">
        <v>44187.0</v>
      </c>
      <c r="AC365" s="284"/>
      <c r="AD365" s="284"/>
    </row>
    <row r="366" ht="14.25" customHeight="1">
      <c r="A366" s="265">
        <v>44186.0</v>
      </c>
      <c r="B366" s="266" t="s">
        <v>1746</v>
      </c>
      <c r="C366" s="266"/>
      <c r="D366" s="266" t="s">
        <v>1689</v>
      </c>
      <c r="E366" s="268"/>
      <c r="F366" s="358" t="s">
        <v>2660</v>
      </c>
      <c r="G366" s="268" t="s">
        <v>2085</v>
      </c>
      <c r="H366" s="270">
        <v>0.03746527777777778</v>
      </c>
      <c r="I366" s="271">
        <v>44186.950694444444</v>
      </c>
      <c r="J366" s="268"/>
      <c r="K366" s="271">
        <v>44187.36162037037</v>
      </c>
      <c r="L366" s="271" t="str">
        <f t="shared" si="42"/>
        <v>12/30/99 9:51</v>
      </c>
      <c r="M366" s="359" t="s">
        <v>2524</v>
      </c>
      <c r="N366" s="290"/>
      <c r="O366" s="276"/>
      <c r="P366" s="276"/>
      <c r="Q366" s="278"/>
      <c r="R366" s="278"/>
      <c r="S366" s="278"/>
      <c r="T366" s="278"/>
      <c r="U366" s="279"/>
      <c r="V366" s="279" t="s">
        <v>1783</v>
      </c>
      <c r="W366" s="280" t="s">
        <v>2661</v>
      </c>
      <c r="X366" s="281">
        <v>0.20833333333333334</v>
      </c>
      <c r="Y366" s="279" t="s">
        <v>1693</v>
      </c>
      <c r="Z366" s="282" t="s">
        <v>1570</v>
      </c>
      <c r="AA366" s="282" t="s">
        <v>2660</v>
      </c>
      <c r="AB366" s="283">
        <v>44186.0</v>
      </c>
      <c r="AC366" s="284"/>
      <c r="AD366" s="284"/>
    </row>
    <row r="367" ht="14.25" customHeight="1">
      <c r="A367" s="265">
        <v>44186.0</v>
      </c>
      <c r="B367" s="266" t="s">
        <v>1500</v>
      </c>
      <c r="C367" s="266"/>
      <c r="D367" s="265" t="s">
        <v>1748</v>
      </c>
      <c r="E367" s="268"/>
      <c r="F367" s="358" t="s">
        <v>2662</v>
      </c>
      <c r="G367" s="268" t="s">
        <v>2085</v>
      </c>
      <c r="H367" s="270">
        <v>0.01947916666666667</v>
      </c>
      <c r="I367" s="271">
        <v>44186.950694444444</v>
      </c>
      <c r="J367" s="268"/>
      <c r="K367" s="271">
        <v>44187.34291666667</v>
      </c>
      <c r="L367" s="271" t="str">
        <f t="shared" si="42"/>
        <v>12/30/99 9:24</v>
      </c>
      <c r="M367" s="359" t="s">
        <v>2524</v>
      </c>
      <c r="N367" s="290"/>
      <c r="O367" s="276"/>
      <c r="P367" s="276"/>
      <c r="Q367" s="278"/>
      <c r="R367" s="278"/>
      <c r="S367" s="278"/>
      <c r="T367" s="278"/>
      <c r="U367" s="279"/>
      <c r="V367" s="279" t="s">
        <v>1570</v>
      </c>
      <c r="W367" s="280">
        <v>44197.0</v>
      </c>
      <c r="X367" s="281">
        <v>0.125</v>
      </c>
      <c r="Y367" s="279" t="s">
        <v>1693</v>
      </c>
      <c r="Z367" s="282" t="s">
        <v>1570</v>
      </c>
      <c r="AA367" s="282" t="s">
        <v>2662</v>
      </c>
      <c r="AB367" s="283">
        <v>44186.0</v>
      </c>
      <c r="AC367" s="284"/>
      <c r="AD367" s="284"/>
    </row>
    <row r="368" ht="14.25" customHeight="1">
      <c r="A368" s="265">
        <v>44186.0</v>
      </c>
      <c r="B368" s="266" t="s">
        <v>1500</v>
      </c>
      <c r="C368" s="266" t="s">
        <v>1450</v>
      </c>
      <c r="D368" s="265" t="s">
        <v>1543</v>
      </c>
      <c r="E368" s="268"/>
      <c r="F368" s="363" t="s">
        <v>2663</v>
      </c>
      <c r="G368" s="268" t="s">
        <v>1463</v>
      </c>
      <c r="H368" s="270">
        <v>9.837962962962964E-4</v>
      </c>
      <c r="I368" s="271">
        <v>44187.73055555556</v>
      </c>
      <c r="J368" s="268"/>
      <c r="K368" s="271">
        <v>44187.78016203704</v>
      </c>
      <c r="L368" s="271"/>
      <c r="M368" s="272" t="s">
        <v>2664</v>
      </c>
      <c r="N368" s="290"/>
      <c r="O368" s="276"/>
      <c r="P368" s="276"/>
      <c r="Q368" s="278"/>
      <c r="R368" s="278"/>
      <c r="S368" s="278"/>
      <c r="T368" s="278"/>
      <c r="U368" s="279"/>
      <c r="V368" s="279" t="s">
        <v>1824</v>
      </c>
      <c r="W368" s="280">
        <v>44188.0</v>
      </c>
      <c r="X368" s="281">
        <v>0.011574074074074075</v>
      </c>
      <c r="Y368" s="279" t="s">
        <v>1693</v>
      </c>
      <c r="Z368" s="282" t="s">
        <v>1570</v>
      </c>
      <c r="AA368" s="282">
        <v>6310293.0</v>
      </c>
      <c r="AB368" s="283">
        <v>44187.0</v>
      </c>
      <c r="AC368" s="284"/>
      <c r="AD368" s="284"/>
    </row>
    <row r="369" ht="14.25" customHeight="1">
      <c r="A369" s="265">
        <v>44187.0</v>
      </c>
      <c r="B369" s="266" t="s">
        <v>2030</v>
      </c>
      <c r="C369" s="266"/>
      <c r="D369" s="266" t="s">
        <v>1450</v>
      </c>
      <c r="E369" s="268"/>
      <c r="F369" s="371" t="s">
        <v>2665</v>
      </c>
      <c r="G369" s="268" t="s">
        <v>2085</v>
      </c>
      <c r="H369" s="270">
        <v>0.09375</v>
      </c>
      <c r="I369" s="271">
        <v>44187.66527777778</v>
      </c>
      <c r="J369" s="268"/>
      <c r="K369" s="271">
        <v>44187.801782407405</v>
      </c>
      <c r="L369" s="271" t="str">
        <f t="shared" ref="L369:L372" si="43">K369-I369</f>
        <v>12/30/99 3:16</v>
      </c>
      <c r="M369" s="359" t="s">
        <v>2524</v>
      </c>
      <c r="N369" s="290"/>
      <c r="O369" s="276"/>
      <c r="P369" s="276"/>
      <c r="Q369" s="278"/>
      <c r="R369" s="278"/>
      <c r="S369" s="278"/>
      <c r="T369" s="278"/>
      <c r="U369" s="279"/>
      <c r="V369" s="279" t="s">
        <v>1824</v>
      </c>
      <c r="W369" s="280">
        <v>44214.0</v>
      </c>
      <c r="X369" s="281">
        <v>0.3541666666666667</v>
      </c>
      <c r="Y369" s="279" t="s">
        <v>1693</v>
      </c>
      <c r="Z369" s="282" t="s">
        <v>1570</v>
      </c>
      <c r="AA369" s="282" t="s">
        <v>2665</v>
      </c>
      <c r="AB369" s="283">
        <v>44187.0</v>
      </c>
      <c r="AC369" s="284"/>
      <c r="AD369" s="284"/>
    </row>
    <row r="370" ht="14.25" customHeight="1">
      <c r="A370" s="265">
        <v>44187.0</v>
      </c>
      <c r="B370" s="266" t="s">
        <v>1733</v>
      </c>
      <c r="C370" s="266"/>
      <c r="D370" s="266" t="s">
        <v>1452</v>
      </c>
      <c r="E370" s="268"/>
      <c r="F370" s="358" t="s">
        <v>2666</v>
      </c>
      <c r="G370" s="268" t="s">
        <v>2085</v>
      </c>
      <c r="H370" s="270">
        <v>0.0059722222222222225</v>
      </c>
      <c r="I370" s="271">
        <v>44187.66527777778</v>
      </c>
      <c r="J370" s="268"/>
      <c r="K370" s="271">
        <v>44187.71994212963</v>
      </c>
      <c r="L370" s="271" t="str">
        <f t="shared" si="43"/>
        <v>12/30/99 1:18</v>
      </c>
      <c r="M370" s="359" t="s">
        <v>2524</v>
      </c>
      <c r="N370" s="290"/>
      <c r="O370" s="276"/>
      <c r="P370" s="276"/>
      <c r="Q370" s="278"/>
      <c r="R370" s="278"/>
      <c r="S370" s="278"/>
      <c r="T370" s="278"/>
      <c r="U370" s="279"/>
      <c r="V370" s="279" t="s">
        <v>1733</v>
      </c>
      <c r="W370" s="280">
        <v>44199.0</v>
      </c>
      <c r="X370" s="281">
        <v>0.041666666666666664</v>
      </c>
      <c r="Y370" s="279" t="s">
        <v>1693</v>
      </c>
      <c r="Z370" s="282" t="s">
        <v>1570</v>
      </c>
      <c r="AA370" s="282" t="s">
        <v>2666</v>
      </c>
      <c r="AB370" s="283">
        <v>44193.0</v>
      </c>
      <c r="AC370" s="284"/>
      <c r="AD370" s="284"/>
    </row>
    <row r="371" ht="14.25" customHeight="1">
      <c r="A371" s="265">
        <v>44187.0</v>
      </c>
      <c r="B371" s="266" t="s">
        <v>1746</v>
      </c>
      <c r="C371" s="266"/>
      <c r="D371" s="266" t="s">
        <v>1689</v>
      </c>
      <c r="E371" s="268"/>
      <c r="F371" s="358" t="s">
        <v>2667</v>
      </c>
      <c r="G371" s="268" t="s">
        <v>2085</v>
      </c>
      <c r="H371" s="270">
        <v>0.0378587962962963</v>
      </c>
      <c r="I371" s="271">
        <v>44187.919444444444</v>
      </c>
      <c r="J371" s="268"/>
      <c r="K371" s="271">
        <v>44188.32179398148</v>
      </c>
      <c r="L371" s="271" t="str">
        <f t="shared" si="43"/>
        <v>12/30/99 9:39</v>
      </c>
      <c r="M371" s="359" t="s">
        <v>2524</v>
      </c>
      <c r="N371" s="290"/>
      <c r="O371" s="276"/>
      <c r="P371" s="276"/>
      <c r="Q371" s="278"/>
      <c r="R371" s="278"/>
      <c r="S371" s="278"/>
      <c r="T371" s="278"/>
      <c r="U371" s="279"/>
      <c r="V371" s="279" t="s">
        <v>1783</v>
      </c>
      <c r="W371" s="280">
        <v>44195.0</v>
      </c>
      <c r="X371" s="281">
        <v>0.20833333333333334</v>
      </c>
      <c r="Y371" s="279" t="s">
        <v>1693</v>
      </c>
      <c r="Z371" s="282" t="s">
        <v>53</v>
      </c>
      <c r="AA371" s="282" t="s">
        <v>2667</v>
      </c>
      <c r="AB371" s="283">
        <v>44188.0</v>
      </c>
      <c r="AC371" s="284"/>
      <c r="AD371" s="284"/>
    </row>
    <row r="372" ht="14.25" customHeight="1">
      <c r="A372" s="265">
        <v>44187.0</v>
      </c>
      <c r="B372" s="266" t="s">
        <v>1500</v>
      </c>
      <c r="C372" s="266"/>
      <c r="D372" s="265" t="s">
        <v>1748</v>
      </c>
      <c r="E372" s="268"/>
      <c r="F372" s="358" t="s">
        <v>2668</v>
      </c>
      <c r="G372" s="268" t="s">
        <v>2085</v>
      </c>
      <c r="H372" s="270">
        <v>0.020949074074074075</v>
      </c>
      <c r="I372" s="271">
        <v>44187.919444444444</v>
      </c>
      <c r="J372" s="268"/>
      <c r="K372" s="271">
        <v>44188.31420138889</v>
      </c>
      <c r="L372" s="271" t="str">
        <f t="shared" si="43"/>
        <v>12/30/99 9:28</v>
      </c>
      <c r="M372" s="359" t="s">
        <v>2524</v>
      </c>
      <c r="N372" s="290"/>
      <c r="O372" s="276"/>
      <c r="P372" s="276"/>
      <c r="Q372" s="278"/>
      <c r="R372" s="278"/>
      <c r="S372" s="278"/>
      <c r="T372" s="278"/>
      <c r="U372" s="279"/>
      <c r="V372" s="279" t="s">
        <v>2030</v>
      </c>
      <c r="W372" s="280" t="s">
        <v>2669</v>
      </c>
      <c r="X372" s="281">
        <v>0.10416666666666667</v>
      </c>
      <c r="Y372" s="279" t="s">
        <v>1693</v>
      </c>
      <c r="Z372" s="282" t="s">
        <v>53</v>
      </c>
      <c r="AA372" s="282" t="s">
        <v>2668</v>
      </c>
      <c r="AB372" s="283">
        <v>44188.0</v>
      </c>
      <c r="AC372" s="284"/>
      <c r="AD372" s="284"/>
    </row>
    <row r="373" ht="14.25" customHeight="1">
      <c r="A373" s="265">
        <v>44187.0</v>
      </c>
      <c r="B373" s="266" t="s">
        <v>1500</v>
      </c>
      <c r="C373" s="266" t="s">
        <v>2083</v>
      </c>
      <c r="D373" s="265" t="s">
        <v>1543</v>
      </c>
      <c r="E373" s="268"/>
      <c r="F373" s="269" t="s">
        <v>2670</v>
      </c>
      <c r="G373" s="268" t="s">
        <v>1463</v>
      </c>
      <c r="H373" s="270">
        <v>0.0018171296296296297</v>
      </c>
      <c r="I373" s="271">
        <v>44190.70138888889</v>
      </c>
      <c r="J373" s="268"/>
      <c r="K373" s="271">
        <v>44190.74979166667</v>
      </c>
      <c r="L373" s="271"/>
      <c r="M373" s="272" t="s">
        <v>2671</v>
      </c>
      <c r="N373" s="290"/>
      <c r="O373" s="276"/>
      <c r="P373" s="276"/>
      <c r="Q373" s="278"/>
      <c r="R373" s="278"/>
      <c r="S373" s="278"/>
      <c r="T373" s="278"/>
      <c r="U373" s="279"/>
      <c r="V373" s="279" t="s">
        <v>1570</v>
      </c>
      <c r="W373" s="280">
        <v>44206.0</v>
      </c>
      <c r="X373" s="281">
        <v>0.013888888888888888</v>
      </c>
      <c r="Y373" s="279" t="s">
        <v>1693</v>
      </c>
      <c r="Z373" s="282" t="s">
        <v>53</v>
      </c>
      <c r="AA373" s="282">
        <v>6310889.0</v>
      </c>
      <c r="AB373" s="283">
        <v>44193.0</v>
      </c>
      <c r="AC373" s="284"/>
      <c r="AD373" s="284"/>
    </row>
    <row r="374" ht="14.25" customHeight="1">
      <c r="A374" s="265">
        <v>44188.0</v>
      </c>
      <c r="B374" s="266" t="s">
        <v>1824</v>
      </c>
      <c r="C374" s="266"/>
      <c r="D374" s="266" t="s">
        <v>1450</v>
      </c>
      <c r="E374" s="268"/>
      <c r="F374" s="358" t="s">
        <v>2672</v>
      </c>
      <c r="G374" s="268" t="s">
        <v>2085</v>
      </c>
      <c r="H374" s="270">
        <v>0.0974074074074074</v>
      </c>
      <c r="I374" s="271">
        <v>44188.67013888889</v>
      </c>
      <c r="J374" s="268"/>
      <c r="K374" s="271">
        <v>44188.80302083334</v>
      </c>
      <c r="L374" s="271" t="str">
        <f t="shared" ref="L374:L381" si="44">K374-I374</f>
        <v>12/30/99 3:11</v>
      </c>
      <c r="M374" s="359" t="s">
        <v>2524</v>
      </c>
      <c r="N374" s="290"/>
      <c r="O374" s="276"/>
      <c r="P374" s="276"/>
      <c r="Q374" s="278"/>
      <c r="R374" s="278"/>
      <c r="S374" s="278"/>
      <c r="T374" s="278"/>
      <c r="U374" s="279"/>
      <c r="V374" s="279" t="s">
        <v>1733</v>
      </c>
      <c r="W374" s="280">
        <v>44215.0</v>
      </c>
      <c r="X374" s="281">
        <v>0.3333333333333333</v>
      </c>
      <c r="Y374" s="279" t="s">
        <v>1693</v>
      </c>
      <c r="Z374" s="282" t="s">
        <v>53</v>
      </c>
      <c r="AA374" s="282" t="s">
        <v>2672</v>
      </c>
      <c r="AB374" s="283">
        <v>44189.0</v>
      </c>
      <c r="AC374" s="284"/>
      <c r="AD374" s="284"/>
    </row>
    <row r="375" ht="14.25" customHeight="1">
      <c r="A375" s="265">
        <v>44188.0</v>
      </c>
      <c r="B375" s="266" t="s">
        <v>1500</v>
      </c>
      <c r="C375" s="266"/>
      <c r="D375" s="266" t="s">
        <v>1452</v>
      </c>
      <c r="E375" s="268"/>
      <c r="F375" s="358" t="s">
        <v>2673</v>
      </c>
      <c r="G375" s="268" t="s">
        <v>2085</v>
      </c>
      <c r="H375" s="270">
        <v>0.007534722222222221</v>
      </c>
      <c r="I375" s="271">
        <v>44188.67013888889</v>
      </c>
      <c r="J375" s="268"/>
      <c r="K375" s="271">
        <v>44188.72451388889</v>
      </c>
      <c r="L375" s="271" t="str">
        <f t="shared" si="44"/>
        <v>12/30/99 1:18</v>
      </c>
      <c r="M375" s="359" t="s">
        <v>2524</v>
      </c>
      <c r="N375" s="290"/>
      <c r="O375" s="276"/>
      <c r="P375" s="276"/>
      <c r="Q375" s="278"/>
      <c r="R375" s="278"/>
      <c r="S375" s="278"/>
      <c r="T375" s="278"/>
      <c r="U375" s="279"/>
      <c r="V375" s="279" t="s">
        <v>1772</v>
      </c>
      <c r="W375" s="280">
        <v>44193.0</v>
      </c>
      <c r="X375" s="281">
        <v>0.041666666666666664</v>
      </c>
      <c r="Y375" s="279" t="s">
        <v>1693</v>
      </c>
      <c r="Z375" s="282" t="s">
        <v>53</v>
      </c>
      <c r="AA375" s="282" t="s">
        <v>2673</v>
      </c>
      <c r="AB375" s="283">
        <v>44189.0</v>
      </c>
      <c r="AC375" s="284"/>
      <c r="AD375" s="284"/>
    </row>
    <row r="376" ht="14.25" customHeight="1">
      <c r="A376" s="265">
        <v>44188.0</v>
      </c>
      <c r="B376" s="266" t="s">
        <v>1500</v>
      </c>
      <c r="C376" s="266"/>
      <c r="D376" s="266" t="s">
        <v>1689</v>
      </c>
      <c r="E376" s="268"/>
      <c r="F376" s="358" t="s">
        <v>2674</v>
      </c>
      <c r="G376" s="268" t="s">
        <v>2085</v>
      </c>
      <c r="H376" s="270">
        <v>0.03837962962962963</v>
      </c>
      <c r="I376" s="271">
        <v>44188.67013888889</v>
      </c>
      <c r="J376" s="268"/>
      <c r="K376" s="271">
        <v>44188.73998842593</v>
      </c>
      <c r="L376" s="271" t="str">
        <f t="shared" si="44"/>
        <v>12/30/99 1:40</v>
      </c>
      <c r="M376" s="359" t="s">
        <v>2524</v>
      </c>
      <c r="N376" s="290"/>
      <c r="O376" s="276"/>
      <c r="P376" s="276"/>
      <c r="Q376" s="278"/>
      <c r="R376" s="278"/>
      <c r="S376" s="278"/>
      <c r="T376" s="278"/>
      <c r="U376" s="279"/>
      <c r="V376" s="279" t="s">
        <v>1783</v>
      </c>
      <c r="W376" s="280">
        <v>44196.0</v>
      </c>
      <c r="X376" s="281">
        <v>0.20833333333333334</v>
      </c>
      <c r="Y376" s="279" t="s">
        <v>1693</v>
      </c>
      <c r="Z376" s="282" t="s">
        <v>53</v>
      </c>
      <c r="AA376" s="282" t="s">
        <v>2674</v>
      </c>
      <c r="AB376" s="283">
        <v>44189.0</v>
      </c>
      <c r="AC376" s="284"/>
      <c r="AD376" s="284"/>
    </row>
    <row r="377" ht="14.25" customHeight="1">
      <c r="A377" s="265">
        <v>44188.0</v>
      </c>
      <c r="B377" s="266" t="s">
        <v>1500</v>
      </c>
      <c r="C377" s="266"/>
      <c r="D377" s="265" t="s">
        <v>1748</v>
      </c>
      <c r="E377" s="268"/>
      <c r="F377" s="358" t="s">
        <v>2675</v>
      </c>
      <c r="G377" s="268" t="s">
        <v>2085</v>
      </c>
      <c r="H377" s="270">
        <v>0.022037037037037036</v>
      </c>
      <c r="I377" s="271">
        <v>44188.9125</v>
      </c>
      <c r="J377" s="268"/>
      <c r="K377" s="271">
        <v>44189.47696759259</v>
      </c>
      <c r="L377" s="271" t="str">
        <f t="shared" si="44"/>
        <v>12/30/99 13:32</v>
      </c>
      <c r="M377" s="359" t="s">
        <v>2524</v>
      </c>
      <c r="N377" s="290"/>
      <c r="O377" s="276"/>
      <c r="P377" s="276"/>
      <c r="Q377" s="278"/>
      <c r="R377" s="278"/>
      <c r="S377" s="278"/>
      <c r="T377" s="278"/>
      <c r="U377" s="279"/>
      <c r="V377" s="279" t="s">
        <v>1733</v>
      </c>
      <c r="W377" s="280">
        <v>44200.0</v>
      </c>
      <c r="X377" s="281">
        <v>0.08333333333333333</v>
      </c>
      <c r="Y377" s="279" t="s">
        <v>1693</v>
      </c>
      <c r="Z377" s="282" t="s">
        <v>53</v>
      </c>
      <c r="AA377" s="282" t="s">
        <v>2675</v>
      </c>
      <c r="AB377" s="283">
        <v>44189.0</v>
      </c>
      <c r="AC377" s="284"/>
      <c r="AD377" s="284"/>
    </row>
    <row r="378" ht="14.25" customHeight="1">
      <c r="A378" s="265">
        <v>44189.0</v>
      </c>
      <c r="B378" s="266" t="s">
        <v>1824</v>
      </c>
      <c r="C378" s="266"/>
      <c r="D378" s="266" t="s">
        <v>1450</v>
      </c>
      <c r="E378" s="268"/>
      <c r="F378" s="358" t="s">
        <v>2676</v>
      </c>
      <c r="G378" s="268" t="s">
        <v>2085</v>
      </c>
      <c r="H378" s="270">
        <v>0.09943287037037037</v>
      </c>
      <c r="I378" s="271">
        <v>44189.5375</v>
      </c>
      <c r="J378" s="268"/>
      <c r="K378" s="271">
        <v>44190.47314814815</v>
      </c>
      <c r="L378" s="271" t="str">
        <f t="shared" si="44"/>
        <v>12/30/99 22:27</v>
      </c>
      <c r="M378" s="359" t="s">
        <v>2524</v>
      </c>
      <c r="N378" s="290"/>
      <c r="O378" s="276"/>
      <c r="P378" s="276"/>
      <c r="Q378" s="278"/>
      <c r="R378" s="278"/>
      <c r="S378" s="278"/>
      <c r="T378" s="278"/>
      <c r="U378" s="279"/>
      <c r="V378" s="279" t="s">
        <v>1733</v>
      </c>
      <c r="W378" s="280">
        <v>44216.0</v>
      </c>
      <c r="X378" s="281">
        <v>0.4166666666666667</v>
      </c>
      <c r="Y378" s="279" t="s">
        <v>1693</v>
      </c>
      <c r="Z378" s="282" t="s">
        <v>53</v>
      </c>
      <c r="AA378" s="282" t="s">
        <v>2676</v>
      </c>
      <c r="AB378" s="283">
        <v>44190.0</v>
      </c>
      <c r="AC378" s="284"/>
      <c r="AD378" s="284"/>
    </row>
    <row r="379" ht="14.25" customHeight="1">
      <c r="A379" s="265">
        <v>44189.0</v>
      </c>
      <c r="B379" s="266" t="s">
        <v>1500</v>
      </c>
      <c r="C379" s="266"/>
      <c r="D379" s="266" t="s">
        <v>1452</v>
      </c>
      <c r="E379" s="268"/>
      <c r="F379" s="358" t="s">
        <v>2677</v>
      </c>
      <c r="G379" s="268" t="s">
        <v>2085</v>
      </c>
      <c r="H379" s="270">
        <v>0.011377314814814814</v>
      </c>
      <c r="I379" s="271">
        <v>44189.54583333333</v>
      </c>
      <c r="J379" s="268"/>
      <c r="K379" s="271">
        <v>44190.4740625</v>
      </c>
      <c r="L379" s="271" t="str">
        <f t="shared" si="44"/>
        <v>12/30/99 22:16</v>
      </c>
      <c r="M379" s="359" t="s">
        <v>2524</v>
      </c>
      <c r="N379" s="290"/>
      <c r="O379" s="276"/>
      <c r="P379" s="276"/>
      <c r="Q379" s="278"/>
      <c r="R379" s="278"/>
      <c r="S379" s="278"/>
      <c r="T379" s="278"/>
      <c r="U379" s="279"/>
      <c r="V379" s="279" t="s">
        <v>1772</v>
      </c>
      <c r="W379" s="280">
        <v>44194.0</v>
      </c>
      <c r="X379" s="281">
        <v>0.041666666666666664</v>
      </c>
      <c r="Y379" s="279" t="s">
        <v>1693</v>
      </c>
      <c r="Z379" s="282" t="s">
        <v>53</v>
      </c>
      <c r="AA379" s="282" t="s">
        <v>2677</v>
      </c>
      <c r="AB379" s="283">
        <v>44190.0</v>
      </c>
      <c r="AC379" s="284"/>
      <c r="AD379" s="284"/>
    </row>
    <row r="380" ht="14.25" customHeight="1">
      <c r="A380" s="265">
        <v>44189.0</v>
      </c>
      <c r="B380" s="266" t="s">
        <v>1500</v>
      </c>
      <c r="C380" s="266"/>
      <c r="D380" s="266" t="s">
        <v>1689</v>
      </c>
      <c r="E380" s="268"/>
      <c r="F380" s="358" t="s">
        <v>2678</v>
      </c>
      <c r="G380" s="268" t="s">
        <v>2085</v>
      </c>
      <c r="H380" s="270">
        <v>0.037662037037037036</v>
      </c>
      <c r="I380" s="271">
        <v>44189.67916666667</v>
      </c>
      <c r="J380" s="268"/>
      <c r="K380" s="271">
        <v>44190.47472222222</v>
      </c>
      <c r="L380" s="271" t="str">
        <f t="shared" si="44"/>
        <v>12/30/99 19:05</v>
      </c>
      <c r="M380" s="359" t="s">
        <v>2524</v>
      </c>
      <c r="N380" s="290"/>
      <c r="O380" s="276"/>
      <c r="P380" s="276"/>
      <c r="Q380" s="278"/>
      <c r="R380" s="278"/>
      <c r="S380" s="278"/>
      <c r="T380" s="278"/>
      <c r="U380" s="279"/>
      <c r="V380" s="279" t="s">
        <v>1783</v>
      </c>
      <c r="W380" s="280" t="s">
        <v>2679</v>
      </c>
      <c r="X380" s="281">
        <v>0.20833333333333334</v>
      </c>
      <c r="Y380" s="279" t="s">
        <v>1693</v>
      </c>
      <c r="Z380" s="282" t="s">
        <v>53</v>
      </c>
      <c r="AA380" s="282" t="s">
        <v>2678</v>
      </c>
      <c r="AB380" s="283">
        <v>44190.0</v>
      </c>
      <c r="AC380" s="284"/>
      <c r="AD380" s="284"/>
    </row>
    <row r="381" ht="14.25" customHeight="1">
      <c r="A381" s="265">
        <v>44189.0</v>
      </c>
      <c r="B381" s="266" t="s">
        <v>1500</v>
      </c>
      <c r="C381" s="266"/>
      <c r="D381" s="265" t="s">
        <v>1748</v>
      </c>
      <c r="E381" s="268"/>
      <c r="F381" s="358" t="s">
        <v>2680</v>
      </c>
      <c r="G381" s="268" t="s">
        <v>2085</v>
      </c>
      <c r="H381" s="270">
        <v>0.022326388888888885</v>
      </c>
      <c r="I381" s="271">
        <v>44190.64791666667</v>
      </c>
      <c r="J381" s="268"/>
      <c r="K381" s="271">
        <v>44190.66625</v>
      </c>
      <c r="L381" s="271" t="str">
        <f t="shared" si="44"/>
        <v>12/30/99 0:26</v>
      </c>
      <c r="M381" s="359" t="s">
        <v>2524</v>
      </c>
      <c r="N381" s="290"/>
      <c r="O381" s="276"/>
      <c r="P381" s="276"/>
      <c r="Q381" s="278"/>
      <c r="R381" s="278"/>
      <c r="S381" s="278"/>
      <c r="T381" s="278"/>
      <c r="U381" s="279"/>
      <c r="V381" s="279" t="s">
        <v>1783</v>
      </c>
      <c r="W381" s="280">
        <v>44200.0</v>
      </c>
      <c r="X381" s="281">
        <v>0.14583333333333334</v>
      </c>
      <c r="Y381" s="279" t="s">
        <v>1693</v>
      </c>
      <c r="Z381" s="282" t="s">
        <v>53</v>
      </c>
      <c r="AA381" s="282" t="s">
        <v>2680</v>
      </c>
      <c r="AB381" s="283">
        <v>44190.0</v>
      </c>
      <c r="AC381" s="284"/>
      <c r="AD381" s="284"/>
    </row>
    <row r="382" ht="14.25" customHeight="1">
      <c r="A382" s="265">
        <v>44189.0</v>
      </c>
      <c r="B382" s="266" t="s">
        <v>1500</v>
      </c>
      <c r="C382" s="266" t="s">
        <v>1686</v>
      </c>
      <c r="D382" s="265" t="s">
        <v>1543</v>
      </c>
      <c r="E382" s="268"/>
      <c r="F382" s="269" t="s">
        <v>2681</v>
      </c>
      <c r="G382" s="268" t="s">
        <v>1463</v>
      </c>
      <c r="H382" s="270">
        <v>0.0012152777777777778</v>
      </c>
      <c r="I382" s="271">
        <v>44193.68402777778</v>
      </c>
      <c r="J382" s="268"/>
      <c r="K382" s="271">
        <v>44194.020891203705</v>
      </c>
      <c r="L382" s="271"/>
      <c r="M382" s="272" t="s">
        <v>2682</v>
      </c>
      <c r="N382" s="290"/>
      <c r="O382" s="276"/>
      <c r="P382" s="276"/>
      <c r="Q382" s="278"/>
      <c r="R382" s="278"/>
      <c r="S382" s="278"/>
      <c r="T382" s="278"/>
      <c r="U382" s="279"/>
      <c r="V382" s="279" t="s">
        <v>1570</v>
      </c>
      <c r="W382" s="280">
        <v>44206.0</v>
      </c>
      <c r="X382" s="281">
        <v>0.013888888888888888</v>
      </c>
      <c r="Y382" s="279" t="s">
        <v>1693</v>
      </c>
      <c r="Z382" s="282" t="s">
        <v>1570</v>
      </c>
      <c r="AA382" s="282">
        <v>6312089.0</v>
      </c>
      <c r="AB382" s="283">
        <v>44195.0</v>
      </c>
      <c r="AC382" s="284"/>
      <c r="AD382" s="284"/>
    </row>
    <row r="383" ht="14.25" customHeight="1">
      <c r="A383" s="265">
        <v>44190.0</v>
      </c>
      <c r="B383" s="266" t="s">
        <v>1500</v>
      </c>
      <c r="C383" s="266"/>
      <c r="D383" s="266" t="s">
        <v>1689</v>
      </c>
      <c r="E383" s="268"/>
      <c r="F383" s="358" t="s">
        <v>2683</v>
      </c>
      <c r="G383" s="268" t="s">
        <v>2085</v>
      </c>
      <c r="H383" s="270">
        <v>0.04012731481481482</v>
      </c>
      <c r="I383" s="271">
        <v>44190.654861111114</v>
      </c>
      <c r="J383" s="268"/>
      <c r="K383" s="271">
        <v>44190.6781712963</v>
      </c>
      <c r="L383" s="271" t="str">
        <f t="shared" ref="L383:L384" si="45">K383-I383</f>
        <v>12/30/99 0:33</v>
      </c>
      <c r="M383" s="359" t="s">
        <v>2524</v>
      </c>
      <c r="N383" s="290"/>
      <c r="O383" s="276"/>
      <c r="P383" s="276"/>
      <c r="Q383" s="278"/>
      <c r="R383" s="278"/>
      <c r="S383" s="278"/>
      <c r="T383" s="278"/>
      <c r="U383" s="279"/>
      <c r="V383" s="279" t="s">
        <v>1783</v>
      </c>
      <c r="W383" s="280">
        <v>44197.0</v>
      </c>
      <c r="X383" s="281">
        <v>0.20833333333333334</v>
      </c>
      <c r="Y383" s="279" t="s">
        <v>1693</v>
      </c>
      <c r="Z383" s="282" t="s">
        <v>53</v>
      </c>
      <c r="AA383" s="282" t="s">
        <v>2683</v>
      </c>
      <c r="AB383" s="283">
        <v>44190.0</v>
      </c>
      <c r="AC383" s="284"/>
      <c r="AD383" s="284"/>
    </row>
    <row r="384" ht="14.25" customHeight="1">
      <c r="A384" s="265">
        <v>44190.0</v>
      </c>
      <c r="B384" s="266" t="s">
        <v>1500</v>
      </c>
      <c r="C384" s="266"/>
      <c r="D384" s="265" t="s">
        <v>1748</v>
      </c>
      <c r="E384" s="268"/>
      <c r="F384" s="358" t="s">
        <v>2684</v>
      </c>
      <c r="G384" s="268" t="s">
        <v>2085</v>
      </c>
      <c r="H384" s="270">
        <v>0.01884259259259259</v>
      </c>
      <c r="I384" s="271">
        <v>44190.90972222222</v>
      </c>
      <c r="J384" s="268"/>
      <c r="K384" s="271">
        <v>44191.26185185185</v>
      </c>
      <c r="L384" s="271" t="str">
        <f t="shared" si="45"/>
        <v>12/30/99 8:27</v>
      </c>
      <c r="M384" s="359" t="s">
        <v>2524</v>
      </c>
      <c r="N384" s="290"/>
      <c r="O384" s="276"/>
      <c r="P384" s="276"/>
      <c r="Q384" s="278"/>
      <c r="R384" s="278"/>
      <c r="S384" s="278"/>
      <c r="T384" s="278"/>
      <c r="U384" s="279"/>
      <c r="V384" s="279" t="s">
        <v>1783</v>
      </c>
      <c r="W384" s="280">
        <v>44200.0</v>
      </c>
      <c r="X384" s="281">
        <v>0.125</v>
      </c>
      <c r="Y384" s="279" t="s">
        <v>1693</v>
      </c>
      <c r="Z384" s="282" t="s">
        <v>53</v>
      </c>
      <c r="AA384" s="282" t="s">
        <v>2684</v>
      </c>
      <c r="AB384" s="283">
        <v>44190.0</v>
      </c>
      <c r="AC384" s="284"/>
      <c r="AD384" s="284"/>
    </row>
    <row r="385" ht="14.25" customHeight="1">
      <c r="A385" s="265">
        <v>44190.0</v>
      </c>
      <c r="B385" s="266" t="s">
        <v>1500</v>
      </c>
      <c r="C385" s="266" t="s">
        <v>1686</v>
      </c>
      <c r="D385" s="265" t="s">
        <v>1543</v>
      </c>
      <c r="E385" s="268"/>
      <c r="F385" s="269" t="s">
        <v>2685</v>
      </c>
      <c r="G385" s="268" t="s">
        <v>1463</v>
      </c>
      <c r="H385" s="270">
        <v>8.333333333333334E-4</v>
      </c>
      <c r="I385" s="271">
        <v>44193.575</v>
      </c>
      <c r="J385" s="268"/>
      <c r="K385" s="271">
        <v>44194.563368055555</v>
      </c>
      <c r="L385" s="271"/>
      <c r="M385" s="272" t="s">
        <v>2686</v>
      </c>
      <c r="N385" s="290"/>
      <c r="O385" s="276"/>
      <c r="P385" s="276"/>
      <c r="Q385" s="278"/>
      <c r="R385" s="278"/>
      <c r="S385" s="278"/>
      <c r="T385" s="278"/>
      <c r="U385" s="279"/>
      <c r="V385" s="279" t="s">
        <v>1570</v>
      </c>
      <c r="W385" s="280">
        <v>44206.0</v>
      </c>
      <c r="X385" s="281">
        <v>0.013888888888888888</v>
      </c>
      <c r="Y385" s="279" t="s">
        <v>1693</v>
      </c>
      <c r="Z385" s="282" t="s">
        <v>1570</v>
      </c>
      <c r="AA385" s="282">
        <v>6312090.0</v>
      </c>
      <c r="AB385" s="283">
        <v>44195.0</v>
      </c>
      <c r="AC385" s="284"/>
      <c r="AD385" s="284"/>
    </row>
    <row r="386" ht="14.25" customHeight="1">
      <c r="A386" s="265">
        <v>44191.0</v>
      </c>
      <c r="B386" s="266" t="s">
        <v>1685</v>
      </c>
      <c r="C386" s="266"/>
      <c r="D386" s="266" t="s">
        <v>1689</v>
      </c>
      <c r="E386" s="268"/>
      <c r="F386" s="358" t="s">
        <v>2687</v>
      </c>
      <c r="G386" s="268" t="s">
        <v>2085</v>
      </c>
      <c r="H386" s="270">
        <v>0.040219907407407406</v>
      </c>
      <c r="I386" s="271">
        <v>44192.808333333334</v>
      </c>
      <c r="J386" s="268"/>
      <c r="K386" s="271">
        <v>44192.89466435185</v>
      </c>
      <c r="L386" s="271" t="str">
        <f t="shared" ref="L386:L387" si="46">K386-I386</f>
        <v>12/30/99 2:04</v>
      </c>
      <c r="M386" s="359" t="s">
        <v>2524</v>
      </c>
      <c r="N386" s="290"/>
      <c r="O386" s="276"/>
      <c r="P386" s="276"/>
      <c r="Q386" s="278"/>
      <c r="R386" s="278"/>
      <c r="S386" s="278"/>
      <c r="T386" s="278"/>
      <c r="U386" s="279"/>
      <c r="V386" s="279" t="s">
        <v>1783</v>
      </c>
      <c r="W386" s="280">
        <v>44198.0</v>
      </c>
      <c r="X386" s="281">
        <v>0.20833333333333334</v>
      </c>
      <c r="Y386" s="279" t="s">
        <v>1693</v>
      </c>
      <c r="Z386" s="282" t="s">
        <v>53</v>
      </c>
      <c r="AA386" s="282" t="s">
        <v>2687</v>
      </c>
      <c r="AB386" s="283">
        <v>44193.0</v>
      </c>
      <c r="AC386" s="284"/>
      <c r="AD386" s="284"/>
    </row>
    <row r="387" ht="14.25" customHeight="1">
      <c r="A387" s="265">
        <v>44191.0</v>
      </c>
      <c r="B387" s="266" t="s">
        <v>1772</v>
      </c>
      <c r="C387" s="266"/>
      <c r="D387" s="265" t="s">
        <v>1748</v>
      </c>
      <c r="E387" s="268"/>
      <c r="F387" s="358" t="s">
        <v>2688</v>
      </c>
      <c r="G387" s="268" t="s">
        <v>2085</v>
      </c>
      <c r="H387" s="270">
        <v>0.019247685185185184</v>
      </c>
      <c r="I387" s="271">
        <v>44192.808333333334</v>
      </c>
      <c r="J387" s="268"/>
      <c r="K387" s="271">
        <v>44192.87079861111</v>
      </c>
      <c r="L387" s="271" t="str">
        <f t="shared" si="46"/>
        <v>12/30/99 1:29</v>
      </c>
      <c r="M387" s="359" t="s">
        <v>2524</v>
      </c>
      <c r="N387" s="290"/>
      <c r="O387" s="276"/>
      <c r="P387" s="276"/>
      <c r="Q387" s="278"/>
      <c r="R387" s="278"/>
      <c r="S387" s="278"/>
      <c r="T387" s="278"/>
      <c r="U387" s="279"/>
      <c r="V387" s="279" t="s">
        <v>1783</v>
      </c>
      <c r="W387" s="280">
        <v>44201.0</v>
      </c>
      <c r="X387" s="281">
        <v>0.125</v>
      </c>
      <c r="Y387" s="279" t="s">
        <v>1693</v>
      </c>
      <c r="Z387" s="282" t="s">
        <v>53</v>
      </c>
      <c r="AA387" s="282" t="s">
        <v>2688</v>
      </c>
      <c r="AB387" s="283">
        <v>44193.0</v>
      </c>
      <c r="AC387" s="284"/>
      <c r="AD387" s="284"/>
    </row>
    <row r="388" ht="14.25" customHeight="1">
      <c r="A388" s="265">
        <v>44191.0</v>
      </c>
      <c r="B388" s="266" t="s">
        <v>1500</v>
      </c>
      <c r="C388" s="266" t="s">
        <v>1686</v>
      </c>
      <c r="D388" s="265" t="s">
        <v>1543</v>
      </c>
      <c r="E388" s="268"/>
      <c r="F388" s="269" t="s">
        <v>2689</v>
      </c>
      <c r="G388" s="268" t="s">
        <v>1463</v>
      </c>
      <c r="H388" s="270">
        <v>0.0011226851851851851</v>
      </c>
      <c r="I388" s="271">
        <v>44193.57013888889</v>
      </c>
      <c r="J388" s="268"/>
      <c r="K388" s="271">
        <v>44193.91832175926</v>
      </c>
      <c r="L388" s="271"/>
      <c r="M388" s="272" t="s">
        <v>2690</v>
      </c>
      <c r="N388" s="290"/>
      <c r="O388" s="276"/>
      <c r="P388" s="276"/>
      <c r="Q388" s="278"/>
      <c r="R388" s="278"/>
      <c r="S388" s="278"/>
      <c r="T388" s="278"/>
      <c r="U388" s="279"/>
      <c r="V388" s="279" t="s">
        <v>1570</v>
      </c>
      <c r="W388" s="280">
        <v>44206.0</v>
      </c>
      <c r="X388" s="281">
        <v>0.013888888888888888</v>
      </c>
      <c r="Y388" s="279" t="s">
        <v>1693</v>
      </c>
      <c r="Z388" s="282" t="s">
        <v>1570</v>
      </c>
      <c r="AA388" s="282">
        <v>6312091.0</v>
      </c>
      <c r="AB388" s="283">
        <v>44195.0</v>
      </c>
      <c r="AC388" s="284"/>
      <c r="AD388" s="284"/>
    </row>
    <row r="389" ht="14.25" customHeight="1">
      <c r="A389" s="265">
        <v>44192.0</v>
      </c>
      <c r="B389" s="266" t="s">
        <v>1500</v>
      </c>
      <c r="C389" s="266"/>
      <c r="D389" s="266" t="s">
        <v>1796</v>
      </c>
      <c r="E389" s="268"/>
      <c r="F389" s="358" t="s">
        <v>2691</v>
      </c>
      <c r="G389" s="268" t="s">
        <v>2085</v>
      </c>
      <c r="H389" s="270">
        <v>0.01767361111111111</v>
      </c>
      <c r="I389" s="271">
        <v>44193.54027777778</v>
      </c>
      <c r="J389" s="268"/>
      <c r="K389" s="271">
        <v>44194.69097222222</v>
      </c>
      <c r="L389" s="271" t="str">
        <f t="shared" ref="L389:L954" si="47">K389-I389</f>
        <v>12/31/99 3:37</v>
      </c>
      <c r="M389" s="359" t="s">
        <v>2524</v>
      </c>
      <c r="N389" s="290"/>
      <c r="O389" s="276"/>
      <c r="P389" s="276"/>
      <c r="Q389" s="278"/>
      <c r="R389" s="278"/>
      <c r="S389" s="278"/>
      <c r="T389" s="278"/>
      <c r="U389" s="279"/>
      <c r="V389" s="279" t="s">
        <v>1783</v>
      </c>
      <c r="W389" s="280">
        <v>44194.0</v>
      </c>
      <c r="X389" s="281">
        <v>0.041666666666666664</v>
      </c>
      <c r="Y389" s="279" t="s">
        <v>1693</v>
      </c>
      <c r="Z389" s="282" t="s">
        <v>53</v>
      </c>
      <c r="AA389" s="282" t="s">
        <v>2691</v>
      </c>
      <c r="AB389" s="283">
        <v>44193.0</v>
      </c>
      <c r="AC389" s="284"/>
      <c r="AD389" s="284"/>
    </row>
    <row r="390" ht="14.25" customHeight="1">
      <c r="A390" s="265">
        <v>44193.0</v>
      </c>
      <c r="B390" s="266" t="s">
        <v>1824</v>
      </c>
      <c r="C390" s="266"/>
      <c r="D390" s="266" t="s">
        <v>1450</v>
      </c>
      <c r="E390" s="268"/>
      <c r="F390" s="358" t="s">
        <v>2692</v>
      </c>
      <c r="G390" s="268" t="s">
        <v>2085</v>
      </c>
      <c r="H390" s="270">
        <v>0.10009259259259258</v>
      </c>
      <c r="I390" s="271">
        <v>44193.731944444444</v>
      </c>
      <c r="J390" s="268"/>
      <c r="K390" s="271">
        <v>44194.444085648145</v>
      </c>
      <c r="L390" s="271" t="str">
        <f t="shared" si="47"/>
        <v>12/30/99 17:05</v>
      </c>
      <c r="M390" s="359" t="s">
        <v>2524</v>
      </c>
      <c r="N390" s="290"/>
      <c r="O390" s="276"/>
      <c r="P390" s="276"/>
      <c r="Q390" s="278"/>
      <c r="R390" s="278"/>
      <c r="S390" s="278"/>
      <c r="T390" s="278"/>
      <c r="U390" s="279"/>
      <c r="V390" s="279" t="s">
        <v>1824</v>
      </c>
      <c r="W390" s="280">
        <v>44216.0</v>
      </c>
      <c r="X390" s="281">
        <v>0.4166666666666667</v>
      </c>
      <c r="Y390" s="279" t="s">
        <v>1693</v>
      </c>
      <c r="Z390" s="282" t="s">
        <v>1570</v>
      </c>
      <c r="AA390" s="282" t="s">
        <v>2692</v>
      </c>
      <c r="AB390" s="283">
        <v>44193.0</v>
      </c>
      <c r="AC390" s="284"/>
      <c r="AD390" s="284"/>
    </row>
    <row r="391" ht="14.25" customHeight="1">
      <c r="A391" s="265">
        <v>44193.0</v>
      </c>
      <c r="B391" s="266" t="s">
        <v>1772</v>
      </c>
      <c r="C391" s="266"/>
      <c r="D391" s="266" t="s">
        <v>1452</v>
      </c>
      <c r="E391" s="268"/>
      <c r="F391" s="358" t="s">
        <v>2693</v>
      </c>
      <c r="G391" s="268" t="s">
        <v>2085</v>
      </c>
      <c r="H391" s="270">
        <v>0.012569444444444446</v>
      </c>
      <c r="I391" s="271">
        <v>44193.73541666667</v>
      </c>
      <c r="J391" s="268"/>
      <c r="K391" s="271">
        <v>44194.44615740741</v>
      </c>
      <c r="L391" s="271" t="str">
        <f t="shared" si="47"/>
        <v>12/30/99 17:03</v>
      </c>
      <c r="M391" s="359" t="s">
        <v>2524</v>
      </c>
      <c r="N391" s="290"/>
      <c r="O391" s="276"/>
      <c r="P391" s="276"/>
      <c r="Q391" s="278"/>
      <c r="R391" s="278"/>
      <c r="S391" s="278"/>
      <c r="T391" s="278"/>
      <c r="U391" s="279"/>
      <c r="V391" s="279" t="s">
        <v>1570</v>
      </c>
      <c r="W391" s="280">
        <v>44198.0</v>
      </c>
      <c r="X391" s="281">
        <v>0.020833333333333332</v>
      </c>
      <c r="Y391" s="279" t="s">
        <v>1693</v>
      </c>
      <c r="Z391" s="282" t="s">
        <v>1570</v>
      </c>
      <c r="AA391" s="282" t="s">
        <v>2693</v>
      </c>
      <c r="AB391" s="283">
        <v>44193.0</v>
      </c>
      <c r="AC391" s="284"/>
      <c r="AD391" s="284"/>
    </row>
    <row r="392" ht="14.25" customHeight="1">
      <c r="A392" s="265">
        <v>44193.0</v>
      </c>
      <c r="B392" s="266" t="s">
        <v>1500</v>
      </c>
      <c r="C392" s="266"/>
      <c r="D392" s="266" t="s">
        <v>1689</v>
      </c>
      <c r="E392" s="268"/>
      <c r="F392" s="358" t="s">
        <v>2694</v>
      </c>
      <c r="G392" s="268" t="s">
        <v>2085</v>
      </c>
      <c r="H392" s="270">
        <v>0.04083333333333333</v>
      </c>
      <c r="I392" s="271">
        <v>44194.74166666667</v>
      </c>
      <c r="J392" s="268"/>
      <c r="K392" s="271">
        <v>44194.447071759256</v>
      </c>
      <c r="L392" s="271" t="str">
        <f t="shared" si="47"/>
        <v>12/29/99 16:55</v>
      </c>
      <c r="M392" s="359" t="s">
        <v>2524</v>
      </c>
      <c r="N392" s="290"/>
      <c r="O392" s="276"/>
      <c r="P392" s="276"/>
      <c r="Q392" s="278"/>
      <c r="R392" s="278"/>
      <c r="S392" s="278"/>
      <c r="T392" s="278"/>
      <c r="U392" s="279"/>
      <c r="V392" s="279" t="s">
        <v>2030</v>
      </c>
      <c r="W392" s="280">
        <v>44200.0</v>
      </c>
      <c r="X392" s="281">
        <v>0.0020833333333333333</v>
      </c>
      <c r="Y392" s="279" t="s">
        <v>1693</v>
      </c>
      <c r="Z392" s="282" t="s">
        <v>1570</v>
      </c>
      <c r="AA392" s="282" t="s">
        <v>2694</v>
      </c>
      <c r="AB392" s="283">
        <v>44193.0</v>
      </c>
      <c r="AC392" s="284"/>
      <c r="AD392" s="284"/>
    </row>
    <row r="393" ht="14.25" customHeight="1">
      <c r="A393" s="265">
        <v>44193.0</v>
      </c>
      <c r="B393" s="266" t="s">
        <v>1733</v>
      </c>
      <c r="C393" s="266"/>
      <c r="D393" s="265" t="s">
        <v>1748</v>
      </c>
      <c r="E393" s="268"/>
      <c r="F393" s="358" t="s">
        <v>2695</v>
      </c>
      <c r="G393" s="268" t="s">
        <v>2085</v>
      </c>
      <c r="H393" s="270">
        <v>0.019398148148148147</v>
      </c>
      <c r="I393" s="271">
        <v>44195.936111111114</v>
      </c>
      <c r="J393" s="268"/>
      <c r="K393" s="271">
        <v>44194.447604166664</v>
      </c>
      <c r="L393" s="271" t="str">
        <f t="shared" si="47"/>
        <v>12/28/99 12:16</v>
      </c>
      <c r="M393" s="359" t="s">
        <v>2524</v>
      </c>
      <c r="N393" s="290"/>
      <c r="O393" s="276"/>
      <c r="P393" s="276"/>
      <c r="Q393" s="278"/>
      <c r="R393" s="278"/>
      <c r="S393" s="278"/>
      <c r="T393" s="278"/>
      <c r="U393" s="279"/>
      <c r="V393" s="279" t="s">
        <v>1783</v>
      </c>
      <c r="W393" s="280">
        <v>44201.0</v>
      </c>
      <c r="X393" s="281">
        <v>0.14583333333333334</v>
      </c>
      <c r="Y393" s="279" t="s">
        <v>1693</v>
      </c>
      <c r="Z393" s="282" t="s">
        <v>1570</v>
      </c>
      <c r="AA393" s="282" t="s">
        <v>2695</v>
      </c>
      <c r="AB393" s="283">
        <v>44193.0</v>
      </c>
      <c r="AC393" s="284"/>
      <c r="AD393" s="284"/>
    </row>
    <row r="394" ht="14.25" customHeight="1">
      <c r="A394" s="265">
        <v>44194.0</v>
      </c>
      <c r="B394" s="266" t="s">
        <v>1824</v>
      </c>
      <c r="C394" s="266"/>
      <c r="D394" s="266" t="s">
        <v>1450</v>
      </c>
      <c r="E394" s="268"/>
      <c r="F394" s="358" t="s">
        <v>2696</v>
      </c>
      <c r="G394" s="268" t="s">
        <v>2085</v>
      </c>
      <c r="H394" s="270">
        <v>0.09938657407407407</v>
      </c>
      <c r="I394" s="271">
        <v>44195.927083333336</v>
      </c>
      <c r="J394" s="268"/>
      <c r="K394" s="271">
        <v>44195.37670138889</v>
      </c>
      <c r="L394" s="271" t="str">
        <f t="shared" si="47"/>
        <v>12/29/99 10:47</v>
      </c>
      <c r="M394" s="359" t="s">
        <v>2524</v>
      </c>
      <c r="N394" s="290"/>
      <c r="O394" s="276"/>
      <c r="P394" s="276"/>
      <c r="Q394" s="278"/>
      <c r="R394" s="278"/>
      <c r="S394" s="278"/>
      <c r="T394" s="278"/>
      <c r="U394" s="279"/>
      <c r="V394" s="279" t="s">
        <v>1733</v>
      </c>
      <c r="W394" s="280">
        <v>44217.0</v>
      </c>
      <c r="X394" s="281">
        <v>0.4166666666666667</v>
      </c>
      <c r="Y394" s="279" t="s">
        <v>1693</v>
      </c>
      <c r="Z394" s="282" t="s">
        <v>1570</v>
      </c>
      <c r="AA394" s="282" t="s">
        <v>2696</v>
      </c>
      <c r="AB394" s="283">
        <v>44195.0</v>
      </c>
      <c r="AC394" s="284"/>
      <c r="AD394" s="284"/>
    </row>
    <row r="395" ht="14.25" customHeight="1">
      <c r="A395" s="265">
        <v>44194.0</v>
      </c>
      <c r="B395" s="266" t="s">
        <v>1772</v>
      </c>
      <c r="C395" s="266"/>
      <c r="D395" s="266" t="s">
        <v>1452</v>
      </c>
      <c r="E395" s="268"/>
      <c r="F395" s="358" t="s">
        <v>2697</v>
      </c>
      <c r="G395" s="268" t="s">
        <v>2085</v>
      </c>
      <c r="H395" s="270">
        <v>0.010358796296296295</v>
      </c>
      <c r="I395" s="271">
        <v>44195.927777777775</v>
      </c>
      <c r="J395" s="268"/>
      <c r="K395" s="271">
        <v>44195.2746412037</v>
      </c>
      <c r="L395" s="271" t="str">
        <f t="shared" si="47"/>
        <v>12/29/99 8:19</v>
      </c>
      <c r="M395" s="359" t="s">
        <v>2524</v>
      </c>
      <c r="N395" s="290"/>
      <c r="O395" s="276"/>
      <c r="P395" s="276"/>
      <c r="Q395" s="278"/>
      <c r="R395" s="278"/>
      <c r="S395" s="278"/>
      <c r="T395" s="278"/>
      <c r="U395" s="279"/>
      <c r="V395" s="279" t="s">
        <v>1570</v>
      </c>
      <c r="W395" s="280">
        <v>44198.0</v>
      </c>
      <c r="X395" s="281">
        <v>0.020833333333333332</v>
      </c>
      <c r="Y395" s="279" t="s">
        <v>1693</v>
      </c>
      <c r="Z395" s="282" t="s">
        <v>1570</v>
      </c>
      <c r="AA395" s="282" t="s">
        <v>2697</v>
      </c>
      <c r="AB395" s="283">
        <v>44194.0</v>
      </c>
      <c r="AC395" s="284"/>
      <c r="AD395" s="284"/>
    </row>
    <row r="396" ht="14.25" customHeight="1">
      <c r="A396" s="265">
        <v>44194.0</v>
      </c>
      <c r="B396" s="266" t="s">
        <v>1500</v>
      </c>
      <c r="C396" s="266"/>
      <c r="D396" s="266" t="s">
        <v>1689</v>
      </c>
      <c r="E396" s="268"/>
      <c r="F396" s="358" t="s">
        <v>2698</v>
      </c>
      <c r="G396" s="268" t="s">
        <v>2085</v>
      </c>
      <c r="H396" s="270">
        <v>0.039641203703703706</v>
      </c>
      <c r="I396" s="271">
        <v>44195.92847222222</v>
      </c>
      <c r="J396" s="268"/>
      <c r="K396" s="271">
        <v>44195.30267361111</v>
      </c>
      <c r="L396" s="271" t="str">
        <f t="shared" si="47"/>
        <v>12/29/99 8:58</v>
      </c>
      <c r="M396" s="359" t="s">
        <v>2524</v>
      </c>
      <c r="N396" s="290"/>
      <c r="O396" s="276"/>
      <c r="P396" s="276"/>
      <c r="Q396" s="278"/>
      <c r="R396" s="278"/>
      <c r="S396" s="278"/>
      <c r="T396" s="278"/>
      <c r="U396" s="279"/>
      <c r="V396" s="279" t="s">
        <v>2030</v>
      </c>
      <c r="W396" s="280">
        <v>44201.0</v>
      </c>
      <c r="X396" s="281">
        <v>0.125</v>
      </c>
      <c r="Y396" s="279" t="s">
        <v>1693</v>
      </c>
      <c r="Z396" s="282" t="s">
        <v>1570</v>
      </c>
      <c r="AA396" s="282" t="s">
        <v>2698</v>
      </c>
      <c r="AB396" s="283">
        <v>44194.0</v>
      </c>
      <c r="AC396" s="284"/>
      <c r="AD396" s="284"/>
    </row>
    <row r="397" ht="14.25" customHeight="1">
      <c r="A397" s="265">
        <v>44194.0</v>
      </c>
      <c r="B397" s="266" t="s">
        <v>1733</v>
      </c>
      <c r="C397" s="266"/>
      <c r="D397" s="265" t="s">
        <v>1748</v>
      </c>
      <c r="E397" s="268"/>
      <c r="F397" s="358" t="s">
        <v>2699</v>
      </c>
      <c r="G397" s="268" t="s">
        <v>2085</v>
      </c>
      <c r="H397" s="270">
        <v>0.020532407407407405</v>
      </c>
      <c r="I397" s="271">
        <v>44195.92986111111</v>
      </c>
      <c r="J397" s="268"/>
      <c r="K397" s="271">
        <v>44195.287083333336</v>
      </c>
      <c r="L397" s="271" t="str">
        <f t="shared" si="47"/>
        <v>12/29/99 8:34</v>
      </c>
      <c r="M397" s="359" t="s">
        <v>2524</v>
      </c>
      <c r="N397" s="290"/>
      <c r="O397" s="276"/>
      <c r="P397" s="276"/>
      <c r="Q397" s="278"/>
      <c r="R397" s="278"/>
      <c r="S397" s="278"/>
      <c r="T397" s="278"/>
      <c r="U397" s="279"/>
      <c r="V397" s="279" t="s">
        <v>1783</v>
      </c>
      <c r="W397" s="280">
        <v>44202.0</v>
      </c>
      <c r="X397" s="281">
        <v>0.125</v>
      </c>
      <c r="Y397" s="279" t="s">
        <v>1693</v>
      </c>
      <c r="Z397" s="282" t="s">
        <v>1570</v>
      </c>
      <c r="AA397" s="282" t="s">
        <v>2699</v>
      </c>
      <c r="AB397" s="283">
        <v>44194.0</v>
      </c>
      <c r="AC397" s="284"/>
      <c r="AD397" s="284"/>
    </row>
    <row r="398" ht="14.25" customHeight="1">
      <c r="A398" s="265">
        <v>44195.0</v>
      </c>
      <c r="B398" s="266" t="s">
        <v>1733</v>
      </c>
      <c r="C398" s="266"/>
      <c r="D398" s="266" t="s">
        <v>1450</v>
      </c>
      <c r="E398" s="268"/>
      <c r="F398" s="358" t="s">
        <v>2700</v>
      </c>
      <c r="G398" s="268" t="s">
        <v>2085</v>
      </c>
      <c r="H398" s="270">
        <v>0.0996412037037037</v>
      </c>
      <c r="I398" s="271">
        <v>44195.83611111111</v>
      </c>
      <c r="J398" s="268"/>
      <c r="K398" s="271">
        <v>44196.32840277778</v>
      </c>
      <c r="L398" s="271" t="str">
        <f t="shared" si="47"/>
        <v>12/30/99 11:48</v>
      </c>
      <c r="M398" s="359" t="s">
        <v>2524</v>
      </c>
      <c r="N398" s="290"/>
      <c r="O398" s="276"/>
      <c r="P398" s="276"/>
      <c r="Q398" s="278"/>
      <c r="R398" s="278"/>
      <c r="S398" s="278"/>
      <c r="T398" s="278"/>
      <c r="U398" s="279"/>
      <c r="V398" s="279" t="s">
        <v>1824</v>
      </c>
      <c r="W398" s="280">
        <v>44218.0</v>
      </c>
      <c r="X398" s="281">
        <v>0.3541666666666667</v>
      </c>
      <c r="Y398" s="279" t="s">
        <v>1693</v>
      </c>
      <c r="Z398" s="282" t="s">
        <v>1570</v>
      </c>
      <c r="AA398" s="282" t="s">
        <v>2700</v>
      </c>
      <c r="AB398" s="283">
        <v>44195.0</v>
      </c>
      <c r="AC398" s="284"/>
      <c r="AD398" s="284"/>
    </row>
    <row r="399" ht="14.25" customHeight="1">
      <c r="A399" s="265">
        <v>44195.0</v>
      </c>
      <c r="B399" s="266" t="s">
        <v>1733</v>
      </c>
      <c r="C399" s="266"/>
      <c r="D399" s="266" t="s">
        <v>1452</v>
      </c>
      <c r="E399" s="268"/>
      <c r="F399" s="358" t="s">
        <v>2701</v>
      </c>
      <c r="G399" s="268" t="s">
        <v>2085</v>
      </c>
      <c r="H399" s="270">
        <v>0.014050925925925927</v>
      </c>
      <c r="I399" s="271">
        <v>44195.83819444444</v>
      </c>
      <c r="J399" s="268"/>
      <c r="K399" s="271">
        <v>44196.23761574074</v>
      </c>
      <c r="L399" s="271" t="str">
        <f t="shared" si="47"/>
        <v>12/30/99 9:35</v>
      </c>
      <c r="M399" s="359" t="s">
        <v>2524</v>
      </c>
      <c r="N399" s="290"/>
      <c r="O399" s="276"/>
      <c r="P399" s="276"/>
      <c r="Q399" s="278"/>
      <c r="R399" s="278"/>
      <c r="S399" s="278"/>
      <c r="T399" s="278"/>
      <c r="U399" s="279"/>
      <c r="V399" s="279" t="s">
        <v>1783</v>
      </c>
      <c r="W399" s="280">
        <v>44202.0</v>
      </c>
      <c r="X399" s="281">
        <v>0.041666666666666664</v>
      </c>
      <c r="Y399" s="279" t="s">
        <v>1693</v>
      </c>
      <c r="Z399" s="282" t="s">
        <v>1570</v>
      </c>
      <c r="AA399" s="282" t="s">
        <v>2701</v>
      </c>
      <c r="AB399" s="283">
        <v>44195.0</v>
      </c>
      <c r="AC399" s="284"/>
      <c r="AD399" s="284"/>
    </row>
    <row r="400" ht="14.25" customHeight="1">
      <c r="A400" s="265">
        <v>44195.0</v>
      </c>
      <c r="B400" s="266" t="s">
        <v>1783</v>
      </c>
      <c r="C400" s="266"/>
      <c r="D400" s="266" t="s">
        <v>1689</v>
      </c>
      <c r="E400" s="268"/>
      <c r="F400" s="358" t="s">
        <v>2702</v>
      </c>
      <c r="G400" s="268" t="s">
        <v>2085</v>
      </c>
      <c r="H400" s="270">
        <v>0.040011574074074074</v>
      </c>
      <c r="I400" s="271">
        <v>44195.839583333334</v>
      </c>
      <c r="J400" s="268"/>
      <c r="K400" s="271">
        <v>44196.2590162037</v>
      </c>
      <c r="L400" s="271" t="str">
        <f t="shared" si="47"/>
        <v>12/30/99 10:03</v>
      </c>
      <c r="M400" s="359" t="s">
        <v>2524</v>
      </c>
      <c r="N400" s="290"/>
      <c r="O400" s="276"/>
      <c r="P400" s="276"/>
      <c r="Q400" s="278"/>
      <c r="R400" s="278"/>
      <c r="S400" s="278"/>
      <c r="T400" s="278"/>
      <c r="U400" s="279"/>
      <c r="V400" s="279" t="s">
        <v>2030</v>
      </c>
      <c r="W400" s="280" t="s">
        <v>2703</v>
      </c>
      <c r="X400" s="281">
        <v>0.14583333333333334</v>
      </c>
      <c r="Y400" s="279" t="s">
        <v>1693</v>
      </c>
      <c r="Z400" s="282" t="s">
        <v>1570</v>
      </c>
      <c r="AA400" s="282" t="s">
        <v>2702</v>
      </c>
      <c r="AB400" s="283">
        <v>44195.0</v>
      </c>
      <c r="AC400" s="284"/>
      <c r="AD400" s="284"/>
    </row>
    <row r="401" ht="14.25" customHeight="1">
      <c r="A401" s="265">
        <v>44195.0</v>
      </c>
      <c r="B401" s="266" t="s">
        <v>1733</v>
      </c>
      <c r="C401" s="266"/>
      <c r="D401" s="265" t="s">
        <v>1748</v>
      </c>
      <c r="E401" s="268"/>
      <c r="F401" s="358" t="s">
        <v>2704</v>
      </c>
      <c r="G401" s="268" t="s">
        <v>2085</v>
      </c>
      <c r="H401" s="270">
        <v>0.019768518518518515</v>
      </c>
      <c r="I401" s="271">
        <v>44195.850694444445</v>
      </c>
      <c r="J401" s="268"/>
      <c r="K401" s="271">
        <v>44196.253229166665</v>
      </c>
      <c r="L401" s="271" t="str">
        <f t="shared" si="47"/>
        <v>12/30/99 9:39</v>
      </c>
      <c r="M401" s="359" t="s">
        <v>2524</v>
      </c>
      <c r="N401" s="290"/>
      <c r="O401" s="276"/>
      <c r="P401" s="276"/>
      <c r="Q401" s="278"/>
      <c r="R401" s="278"/>
      <c r="S401" s="278"/>
      <c r="T401" s="278"/>
      <c r="U401" s="279"/>
      <c r="V401" s="279" t="s">
        <v>1783</v>
      </c>
      <c r="W401" s="280" t="s">
        <v>2705</v>
      </c>
      <c r="X401" s="281">
        <v>0.125</v>
      </c>
      <c r="Y401" s="279" t="s">
        <v>1693</v>
      </c>
      <c r="Z401" s="282" t="s">
        <v>1570</v>
      </c>
      <c r="AA401" s="282" t="s">
        <v>2704</v>
      </c>
      <c r="AB401" s="283">
        <v>44195.0</v>
      </c>
      <c r="AC401" s="284"/>
      <c r="AD401" s="284"/>
    </row>
    <row r="402" ht="14.25" customHeight="1">
      <c r="A402" s="265">
        <v>44196.0</v>
      </c>
      <c r="B402" s="266" t="s">
        <v>1733</v>
      </c>
      <c r="C402" s="266"/>
      <c r="D402" s="266" t="s">
        <v>1450</v>
      </c>
      <c r="E402" s="268"/>
      <c r="F402" s="358" t="s">
        <v>2706</v>
      </c>
      <c r="G402" s="268" t="s">
        <v>2085</v>
      </c>
      <c r="H402" s="288">
        <v>0.09953703703703703</v>
      </c>
      <c r="I402" s="271">
        <v>44196.53194444445</v>
      </c>
      <c r="J402" s="268"/>
      <c r="K402" s="271">
        <v>44197.000555555554</v>
      </c>
      <c r="L402" s="271" t="str">
        <f t="shared" si="47"/>
        <v>12/30/99 11:14</v>
      </c>
      <c r="M402" s="359" t="s">
        <v>2524</v>
      </c>
      <c r="N402" s="290"/>
      <c r="O402" s="276"/>
      <c r="P402" s="276"/>
      <c r="Q402" s="278"/>
      <c r="R402" s="278"/>
      <c r="S402" s="278"/>
      <c r="T402" s="278"/>
      <c r="U402" s="279"/>
      <c r="V402" s="279" t="s">
        <v>2030</v>
      </c>
      <c r="W402" s="280">
        <v>44225.0</v>
      </c>
      <c r="X402" s="281">
        <v>0.2638888888888889</v>
      </c>
      <c r="Y402" s="279" t="s">
        <v>1693</v>
      </c>
      <c r="Z402" s="282" t="s">
        <v>1570</v>
      </c>
      <c r="AA402" s="282" t="s">
        <v>2706</v>
      </c>
      <c r="AB402" s="283">
        <v>44196.0</v>
      </c>
      <c r="AC402" s="284"/>
      <c r="AD402" s="284"/>
    </row>
    <row r="403" ht="14.25" customHeight="1">
      <c r="A403" s="265">
        <v>44196.0</v>
      </c>
      <c r="B403" s="266" t="s">
        <v>1733</v>
      </c>
      <c r="C403" s="266"/>
      <c r="D403" s="266" t="s">
        <v>1452</v>
      </c>
      <c r="E403" s="268"/>
      <c r="F403" s="358" t="s">
        <v>2707</v>
      </c>
      <c r="G403" s="268" t="s">
        <v>2085</v>
      </c>
      <c r="H403" s="270">
        <v>0.010150462962962964</v>
      </c>
      <c r="I403" s="271">
        <v>44196.535416666666</v>
      </c>
      <c r="J403" s="268"/>
      <c r="K403" s="271">
        <v>44196.926469907405</v>
      </c>
      <c r="L403" s="271" t="str">
        <f t="shared" si="47"/>
        <v>12/30/99 9:23</v>
      </c>
      <c r="M403" s="359" t="s">
        <v>2524</v>
      </c>
      <c r="N403" s="290"/>
      <c r="O403" s="276"/>
      <c r="P403" s="276"/>
      <c r="Q403" s="278"/>
      <c r="R403" s="278"/>
      <c r="S403" s="278"/>
      <c r="T403" s="278"/>
      <c r="U403" s="279"/>
      <c r="V403" s="279" t="s">
        <v>1783</v>
      </c>
      <c r="W403" s="280">
        <v>44202.0</v>
      </c>
      <c r="X403" s="281">
        <v>0.034722222222222224</v>
      </c>
      <c r="Y403" s="279" t="s">
        <v>1693</v>
      </c>
      <c r="Z403" s="282" t="s">
        <v>1570</v>
      </c>
      <c r="AA403" s="282" t="s">
        <v>2707</v>
      </c>
      <c r="AB403" s="283">
        <v>44196.0</v>
      </c>
      <c r="AC403" s="284"/>
      <c r="AD403" s="284"/>
    </row>
    <row r="404" ht="14.25" customHeight="1">
      <c r="A404" s="265">
        <v>44196.0</v>
      </c>
      <c r="B404" s="266" t="s">
        <v>1783</v>
      </c>
      <c r="C404" s="266"/>
      <c r="D404" s="266" t="s">
        <v>1689</v>
      </c>
      <c r="E404" s="268"/>
      <c r="F404" s="358" t="s">
        <v>2708</v>
      </c>
      <c r="G404" s="268" t="s">
        <v>2085</v>
      </c>
      <c r="H404" s="270">
        <v>0.04092592592592593</v>
      </c>
      <c r="I404" s="271">
        <v>44196.652083333334</v>
      </c>
      <c r="J404" s="268"/>
      <c r="K404" s="271">
        <v>44197.058125</v>
      </c>
      <c r="L404" s="271" t="str">
        <f t="shared" si="47"/>
        <v>12/30/99 9:44</v>
      </c>
      <c r="M404" s="359" t="s">
        <v>2524</v>
      </c>
      <c r="N404" s="290"/>
      <c r="O404" s="276"/>
      <c r="P404" s="276"/>
      <c r="Q404" s="278"/>
      <c r="R404" s="278"/>
      <c r="S404" s="278"/>
      <c r="T404" s="278"/>
      <c r="U404" s="279"/>
      <c r="V404" s="279" t="s">
        <v>2030</v>
      </c>
      <c r="W404" s="280">
        <v>43836.0</v>
      </c>
      <c r="X404" s="281">
        <v>0.125</v>
      </c>
      <c r="Y404" s="279" t="s">
        <v>1693</v>
      </c>
      <c r="Z404" s="282" t="s">
        <v>1570</v>
      </c>
      <c r="AA404" s="282" t="s">
        <v>2708</v>
      </c>
      <c r="AB404" s="283">
        <v>44196.0</v>
      </c>
      <c r="AC404" s="284"/>
      <c r="AD404" s="284"/>
    </row>
    <row r="405" ht="14.25" customHeight="1">
      <c r="A405" s="265">
        <v>44196.0</v>
      </c>
      <c r="B405" s="266" t="s">
        <v>1733</v>
      </c>
      <c r="C405" s="266"/>
      <c r="D405" s="265" t="s">
        <v>1748</v>
      </c>
      <c r="E405" s="268"/>
      <c r="F405" s="358" t="s">
        <v>2709</v>
      </c>
      <c r="G405" s="268" t="s">
        <v>2085</v>
      </c>
      <c r="H405" s="270">
        <v>0.020648148148148148</v>
      </c>
      <c r="I405" s="271">
        <v>44197.73263888889</v>
      </c>
      <c r="J405" s="268"/>
      <c r="K405" s="271">
        <v>44198.08268518518</v>
      </c>
      <c r="L405" s="271" t="str">
        <f t="shared" si="47"/>
        <v>12/30/99 8:24</v>
      </c>
      <c r="M405" s="359" t="s">
        <v>2524</v>
      </c>
      <c r="N405" s="290"/>
      <c r="O405" s="276"/>
      <c r="P405" s="276"/>
      <c r="Q405" s="278"/>
      <c r="R405" s="278"/>
      <c r="S405" s="278"/>
      <c r="T405" s="278"/>
      <c r="U405" s="279"/>
      <c r="V405" s="279" t="s">
        <v>1733</v>
      </c>
      <c r="W405" s="280">
        <v>43836.0</v>
      </c>
      <c r="X405" s="281">
        <v>0.0763888888888889</v>
      </c>
      <c r="Y405" s="279" t="s">
        <v>1693</v>
      </c>
      <c r="Z405" s="282" t="s">
        <v>1570</v>
      </c>
      <c r="AA405" s="282" t="s">
        <v>2709</v>
      </c>
      <c r="AB405" s="283">
        <v>44200.0</v>
      </c>
      <c r="AC405" s="284"/>
      <c r="AD405" s="284"/>
    </row>
    <row r="406" ht="14.25" customHeight="1">
      <c r="A406" s="265">
        <v>44196.0</v>
      </c>
      <c r="B406" s="266" t="s">
        <v>1500</v>
      </c>
      <c r="C406" s="266" t="s">
        <v>1686</v>
      </c>
      <c r="D406" s="265" t="s">
        <v>1543</v>
      </c>
      <c r="E406" s="268"/>
      <c r="F406" s="291" t="s">
        <v>2710</v>
      </c>
      <c r="G406" s="268" t="s">
        <v>1463</v>
      </c>
      <c r="H406" s="270">
        <v>0.01877314814814815</v>
      </c>
      <c r="I406" s="271">
        <v>44200.592361111114</v>
      </c>
      <c r="J406" s="268"/>
      <c r="K406" s="271">
        <v>44200.74002314815</v>
      </c>
      <c r="L406" s="271" t="str">
        <f t="shared" si="47"/>
        <v>12/30/99 3:32</v>
      </c>
      <c r="M406" s="307" t="s">
        <v>2711</v>
      </c>
      <c r="N406" s="273">
        <v>44201.49652777778</v>
      </c>
      <c r="O406" s="276" t="s">
        <v>2710</v>
      </c>
      <c r="P406" s="317" t="s">
        <v>2085</v>
      </c>
      <c r="Q406" s="278" t="s">
        <v>1819</v>
      </c>
      <c r="R406" s="277">
        <v>44201.575208333335</v>
      </c>
      <c r="S406" s="278"/>
      <c r="T406" s="278" t="s">
        <v>2712</v>
      </c>
      <c r="U406" s="279"/>
      <c r="V406" s="279" t="s">
        <v>1685</v>
      </c>
      <c r="W406" s="280">
        <v>44207.0</v>
      </c>
      <c r="X406" s="279"/>
      <c r="Y406" s="279" t="s">
        <v>1693</v>
      </c>
      <c r="Z406" s="282" t="s">
        <v>53</v>
      </c>
      <c r="AA406" s="282">
        <v>6313122.0</v>
      </c>
      <c r="AB406" s="283">
        <v>44202.0</v>
      </c>
      <c r="AC406" s="284"/>
      <c r="AD406" s="284"/>
    </row>
    <row r="407" ht="14.25" customHeight="1">
      <c r="A407" s="265">
        <v>44196.0</v>
      </c>
      <c r="B407" s="266" t="s">
        <v>1500</v>
      </c>
      <c r="C407" s="266" t="s">
        <v>1686</v>
      </c>
      <c r="D407" s="265" t="s">
        <v>1543</v>
      </c>
      <c r="E407" s="268"/>
      <c r="F407" s="291" t="s">
        <v>2713</v>
      </c>
      <c r="G407" s="268" t="s">
        <v>1463</v>
      </c>
      <c r="H407" s="270">
        <v>0.0012037037037037038</v>
      </c>
      <c r="I407" s="271">
        <v>44201.592361111114</v>
      </c>
      <c r="J407" s="268"/>
      <c r="K407" s="271">
        <v>44201.946967592594</v>
      </c>
      <c r="L407" s="271" t="str">
        <f t="shared" si="47"/>
        <v>12/30/99 8:30</v>
      </c>
      <c r="M407" s="278" t="s">
        <v>2714</v>
      </c>
      <c r="N407" s="290"/>
      <c r="O407" s="276"/>
      <c r="P407" s="276"/>
      <c r="Q407" s="278"/>
      <c r="R407" s="278"/>
      <c r="S407" s="278"/>
      <c r="T407" s="278"/>
      <c r="U407" s="279"/>
      <c r="V407" s="279" t="s">
        <v>1570</v>
      </c>
      <c r="W407" s="280">
        <v>44206.0</v>
      </c>
      <c r="X407" s="281">
        <v>0.013888888888888888</v>
      </c>
      <c r="Y407" s="279" t="s">
        <v>1693</v>
      </c>
      <c r="Z407" s="282" t="s">
        <v>53</v>
      </c>
      <c r="AA407" s="282">
        <v>6313123.0</v>
      </c>
      <c r="AB407" s="283">
        <v>44202.0</v>
      </c>
      <c r="AC407" s="284"/>
      <c r="AD407" s="284"/>
    </row>
    <row r="408" ht="14.25" customHeight="1">
      <c r="A408" s="265">
        <v>44196.0</v>
      </c>
      <c r="B408" s="266" t="s">
        <v>1500</v>
      </c>
      <c r="C408" s="266" t="s">
        <v>1455</v>
      </c>
      <c r="D408" s="265" t="s">
        <v>1543</v>
      </c>
      <c r="E408" s="268"/>
      <c r="F408" s="291" t="s">
        <v>2715</v>
      </c>
      <c r="G408" s="268" t="s">
        <v>1463</v>
      </c>
      <c r="H408" s="270">
        <v>7.175925925925927E-4</v>
      </c>
      <c r="I408" s="271">
        <v>44201.65625</v>
      </c>
      <c r="J408" s="268"/>
      <c r="K408" s="271">
        <v>44202.03459490741</v>
      </c>
      <c r="L408" s="271" t="str">
        <f t="shared" si="47"/>
        <v>12/30/99 9:04</v>
      </c>
      <c r="M408" s="278" t="s">
        <v>2716</v>
      </c>
      <c r="N408" s="290"/>
      <c r="O408" s="276"/>
      <c r="P408" s="276"/>
      <c r="Q408" s="278"/>
      <c r="R408" s="278"/>
      <c r="S408" s="278"/>
      <c r="T408" s="278"/>
      <c r="U408" s="279"/>
      <c r="V408" s="279" t="s">
        <v>1570</v>
      </c>
      <c r="W408" s="280">
        <v>44206.0</v>
      </c>
      <c r="X408" s="281">
        <v>0.013888888888888888</v>
      </c>
      <c r="Y408" s="279" t="s">
        <v>1693</v>
      </c>
      <c r="Z408" s="282" t="s">
        <v>53</v>
      </c>
      <c r="AA408" s="282">
        <v>6313124.0</v>
      </c>
      <c r="AB408" s="283">
        <v>44202.0</v>
      </c>
      <c r="AC408" s="284"/>
      <c r="AD408" s="284"/>
    </row>
    <row r="409" ht="14.25" customHeight="1">
      <c r="A409" s="265">
        <v>44196.0</v>
      </c>
      <c r="B409" s="266" t="s">
        <v>1500</v>
      </c>
      <c r="C409" s="266" t="s">
        <v>2471</v>
      </c>
      <c r="D409" s="265" t="s">
        <v>1543</v>
      </c>
      <c r="E409" s="268"/>
      <c r="F409" s="291" t="s">
        <v>2717</v>
      </c>
      <c r="G409" s="268" t="s">
        <v>1463</v>
      </c>
      <c r="H409" s="270">
        <v>0.0016435185185185183</v>
      </c>
      <c r="I409" s="271">
        <v>44202.557222222225</v>
      </c>
      <c r="J409" s="268"/>
      <c r="K409" s="271">
        <v>44202.56416666666</v>
      </c>
      <c r="L409" s="271" t="str">
        <f t="shared" si="47"/>
        <v>12/30/99 0:10</v>
      </c>
      <c r="M409" s="278" t="s">
        <v>2718</v>
      </c>
      <c r="N409" s="290"/>
      <c r="O409" s="276"/>
      <c r="P409" s="276"/>
      <c r="Q409" s="278"/>
      <c r="R409" s="278"/>
      <c r="S409" s="278"/>
      <c r="T409" s="278"/>
      <c r="U409" s="279"/>
      <c r="V409" s="279" t="s">
        <v>1500</v>
      </c>
      <c r="W409" s="280">
        <v>44207.0</v>
      </c>
      <c r="X409" s="281">
        <v>0.020833333333333332</v>
      </c>
      <c r="Y409" s="279" t="s">
        <v>1693</v>
      </c>
      <c r="Z409" s="282" t="s">
        <v>53</v>
      </c>
      <c r="AA409" s="282">
        <v>6314440.0</v>
      </c>
      <c r="AB409" s="283">
        <v>44205.0</v>
      </c>
      <c r="AC409" s="284"/>
      <c r="AD409" s="284"/>
    </row>
    <row r="410" ht="14.25" customHeight="1">
      <c r="A410" s="265">
        <v>44196.0</v>
      </c>
      <c r="B410" s="266" t="s">
        <v>1500</v>
      </c>
      <c r="C410" s="266" t="s">
        <v>2179</v>
      </c>
      <c r="D410" s="265" t="s">
        <v>1543</v>
      </c>
      <c r="E410" s="268"/>
      <c r="F410" s="291" t="s">
        <v>2719</v>
      </c>
      <c r="G410" s="268" t="s">
        <v>1463</v>
      </c>
      <c r="H410" s="270">
        <v>0.0018981481481481482</v>
      </c>
      <c r="I410" s="271">
        <v>44202.65625</v>
      </c>
      <c r="J410" s="268"/>
      <c r="K410" s="271">
        <v>44203.03229166667</v>
      </c>
      <c r="L410" s="271" t="str">
        <f t="shared" si="47"/>
        <v>12/30/99 9:01</v>
      </c>
      <c r="M410" s="278" t="s">
        <v>2720</v>
      </c>
      <c r="N410" s="290"/>
      <c r="O410" s="276"/>
      <c r="P410" s="276"/>
      <c r="Q410" s="278"/>
      <c r="R410" s="278"/>
      <c r="S410" s="278"/>
      <c r="T410" s="278"/>
      <c r="U410" s="279"/>
      <c r="V410" s="279" t="s">
        <v>1570</v>
      </c>
      <c r="W410" s="280">
        <v>44206.0</v>
      </c>
      <c r="X410" s="281">
        <v>0.013888888888888888</v>
      </c>
      <c r="Y410" s="279" t="s">
        <v>1693</v>
      </c>
      <c r="Z410" s="282" t="s">
        <v>53</v>
      </c>
      <c r="AA410" s="282">
        <v>6314441.0</v>
      </c>
      <c r="AB410" s="283">
        <v>44205.0</v>
      </c>
      <c r="AC410" s="284"/>
      <c r="AD410" s="284"/>
    </row>
    <row r="411" ht="14.25" customHeight="1">
      <c r="A411" s="266"/>
      <c r="B411" s="266"/>
      <c r="C411" s="266"/>
      <c r="D411" s="266"/>
      <c r="E411" s="268"/>
      <c r="F411" s="291"/>
      <c r="G411" s="268"/>
      <c r="H411" s="268"/>
      <c r="I411" s="268"/>
      <c r="J411" s="268"/>
      <c r="K411" s="268"/>
      <c r="L411" s="271" t="str">
        <f t="shared" si="47"/>
        <v>12/30/99 0:00</v>
      </c>
      <c r="M411" s="278"/>
      <c r="N411" s="290"/>
      <c r="O411" s="276"/>
      <c r="P411" s="276"/>
      <c r="Q411" s="278"/>
      <c r="R411" s="278"/>
      <c r="S411" s="278"/>
      <c r="T411" s="278"/>
      <c r="U411" s="279"/>
      <c r="V411" s="279"/>
      <c r="W411" s="279"/>
      <c r="X411" s="279"/>
      <c r="Y411" s="279"/>
      <c r="Z411" s="282"/>
      <c r="AA411" s="282"/>
      <c r="AB411" s="282"/>
      <c r="AC411" s="284"/>
      <c r="AD411" s="284"/>
    </row>
    <row r="412" ht="14.25" customHeight="1">
      <c r="A412" s="266"/>
      <c r="B412" s="266"/>
      <c r="C412" s="266"/>
      <c r="D412" s="266"/>
      <c r="E412" s="268"/>
      <c r="F412" s="291"/>
      <c r="G412" s="268"/>
      <c r="H412" s="268"/>
      <c r="I412" s="268"/>
      <c r="J412" s="268"/>
      <c r="K412" s="268"/>
      <c r="L412" s="271" t="str">
        <f t="shared" si="47"/>
        <v>12/30/99 0:00</v>
      </c>
      <c r="M412" s="278"/>
      <c r="N412" s="290"/>
      <c r="O412" s="276"/>
      <c r="P412" s="276"/>
      <c r="Q412" s="278"/>
      <c r="R412" s="278"/>
      <c r="S412" s="278"/>
      <c r="T412" s="278"/>
      <c r="U412" s="279"/>
      <c r="V412" s="279"/>
      <c r="W412" s="279"/>
      <c r="X412" s="279"/>
      <c r="Y412" s="279"/>
      <c r="Z412" s="282"/>
      <c r="AA412" s="282"/>
      <c r="AB412" s="282"/>
      <c r="AC412" s="284"/>
      <c r="AD412" s="284"/>
    </row>
    <row r="413" ht="14.25" customHeight="1">
      <c r="A413" s="266"/>
      <c r="B413" s="266"/>
      <c r="C413" s="266"/>
      <c r="D413" s="266"/>
      <c r="E413" s="268"/>
      <c r="F413" s="291"/>
      <c r="G413" s="268"/>
      <c r="H413" s="268"/>
      <c r="I413" s="268"/>
      <c r="J413" s="268"/>
      <c r="K413" s="268"/>
      <c r="L413" s="271" t="str">
        <f t="shared" si="47"/>
        <v>12/30/99 0:00</v>
      </c>
      <c r="M413" s="278"/>
      <c r="N413" s="290"/>
      <c r="O413" s="276"/>
      <c r="P413" s="276"/>
      <c r="Q413" s="278"/>
      <c r="R413" s="278"/>
      <c r="S413" s="278"/>
      <c r="T413" s="278"/>
      <c r="U413" s="279"/>
      <c r="V413" s="279"/>
      <c r="W413" s="279"/>
      <c r="X413" s="279"/>
      <c r="Y413" s="279"/>
      <c r="Z413" s="282"/>
      <c r="AA413" s="282"/>
      <c r="AB413" s="282"/>
      <c r="AC413" s="284"/>
      <c r="AD413" s="284"/>
    </row>
    <row r="414" ht="14.25" customHeight="1">
      <c r="A414" s="266"/>
      <c r="B414" s="266"/>
      <c r="C414" s="266"/>
      <c r="D414" s="266"/>
      <c r="E414" s="268"/>
      <c r="F414" s="291"/>
      <c r="G414" s="268"/>
      <c r="H414" s="268"/>
      <c r="I414" s="268"/>
      <c r="J414" s="268"/>
      <c r="K414" s="268"/>
      <c r="L414" s="271" t="str">
        <f t="shared" si="47"/>
        <v>12/30/99 0:00</v>
      </c>
      <c r="M414" s="278"/>
      <c r="N414" s="290"/>
      <c r="O414" s="276"/>
      <c r="P414" s="276"/>
      <c r="Q414" s="278"/>
      <c r="R414" s="278"/>
      <c r="S414" s="278"/>
      <c r="T414" s="278"/>
      <c r="U414" s="279"/>
      <c r="V414" s="279"/>
      <c r="W414" s="279"/>
      <c r="X414" s="279"/>
      <c r="Y414" s="279"/>
      <c r="Z414" s="282"/>
      <c r="AA414" s="282"/>
      <c r="AB414" s="282"/>
      <c r="AC414" s="284"/>
      <c r="AD414" s="284"/>
    </row>
    <row r="415" ht="14.25" customHeight="1">
      <c r="A415" s="266"/>
      <c r="B415" s="266"/>
      <c r="C415" s="266"/>
      <c r="D415" s="266"/>
      <c r="E415" s="268"/>
      <c r="F415" s="291"/>
      <c r="G415" s="268"/>
      <c r="H415" s="268"/>
      <c r="I415" s="268"/>
      <c r="J415" s="268"/>
      <c r="K415" s="268"/>
      <c r="L415" s="271" t="str">
        <f t="shared" si="47"/>
        <v>12/30/99 0:00</v>
      </c>
      <c r="M415" s="278"/>
      <c r="N415" s="290"/>
      <c r="O415" s="276"/>
      <c r="P415" s="276"/>
      <c r="Q415" s="278"/>
      <c r="R415" s="278"/>
      <c r="S415" s="278"/>
      <c r="T415" s="278"/>
      <c r="U415" s="279"/>
      <c r="V415" s="279"/>
      <c r="W415" s="279"/>
      <c r="X415" s="279"/>
      <c r="Y415" s="279"/>
      <c r="Z415" s="282"/>
      <c r="AA415" s="282"/>
      <c r="AB415" s="282"/>
      <c r="AC415" s="284"/>
      <c r="AD415" s="284"/>
    </row>
    <row r="416" ht="14.25" customHeight="1">
      <c r="A416" s="266"/>
      <c r="B416" s="266"/>
      <c r="C416" s="266"/>
      <c r="D416" s="266"/>
      <c r="E416" s="268"/>
      <c r="F416" s="291"/>
      <c r="G416" s="268"/>
      <c r="H416" s="268"/>
      <c r="I416" s="268"/>
      <c r="J416" s="268"/>
      <c r="K416" s="268"/>
      <c r="L416" s="271" t="str">
        <f t="shared" si="47"/>
        <v>12/30/99 0:00</v>
      </c>
      <c r="M416" s="278"/>
      <c r="N416" s="290"/>
      <c r="O416" s="276"/>
      <c r="P416" s="276"/>
      <c r="Q416" s="278"/>
      <c r="R416" s="278"/>
      <c r="S416" s="278"/>
      <c r="T416" s="278"/>
      <c r="U416" s="279"/>
      <c r="V416" s="279"/>
      <c r="W416" s="279"/>
      <c r="X416" s="279"/>
      <c r="Y416" s="279"/>
      <c r="Z416" s="282"/>
      <c r="AA416" s="282"/>
      <c r="AB416" s="282"/>
      <c r="AC416" s="284"/>
      <c r="AD416" s="284"/>
    </row>
    <row r="417" ht="14.25" customHeight="1">
      <c r="A417" s="266"/>
      <c r="B417" s="266"/>
      <c r="C417" s="266"/>
      <c r="D417" s="266"/>
      <c r="E417" s="268"/>
      <c r="F417" s="291"/>
      <c r="G417" s="268"/>
      <c r="H417" s="268"/>
      <c r="I417" s="268"/>
      <c r="J417" s="268"/>
      <c r="K417" s="268"/>
      <c r="L417" s="271" t="str">
        <f t="shared" si="47"/>
        <v>12/30/99 0:00</v>
      </c>
      <c r="M417" s="278"/>
      <c r="N417" s="290"/>
      <c r="O417" s="276"/>
      <c r="P417" s="276"/>
      <c r="Q417" s="278"/>
      <c r="R417" s="278"/>
      <c r="S417" s="278"/>
      <c r="T417" s="278"/>
      <c r="U417" s="279"/>
      <c r="V417" s="279"/>
      <c r="W417" s="279"/>
      <c r="X417" s="279"/>
      <c r="Y417" s="279"/>
      <c r="Z417" s="282"/>
      <c r="AA417" s="282"/>
      <c r="AB417" s="282"/>
      <c r="AC417" s="284"/>
      <c r="AD417" s="284"/>
    </row>
    <row r="418" ht="14.25" customHeight="1">
      <c r="A418" s="266"/>
      <c r="B418" s="266"/>
      <c r="C418" s="266"/>
      <c r="D418" s="266"/>
      <c r="E418" s="268"/>
      <c r="F418" s="291"/>
      <c r="G418" s="268"/>
      <c r="H418" s="268"/>
      <c r="I418" s="268"/>
      <c r="J418" s="268"/>
      <c r="K418" s="268"/>
      <c r="L418" s="271" t="str">
        <f t="shared" si="47"/>
        <v>12/30/99 0:00</v>
      </c>
      <c r="M418" s="278"/>
      <c r="N418" s="290"/>
      <c r="O418" s="276"/>
      <c r="P418" s="276"/>
      <c r="Q418" s="278"/>
      <c r="R418" s="278"/>
      <c r="S418" s="278"/>
      <c r="T418" s="278"/>
      <c r="U418" s="279"/>
      <c r="V418" s="279"/>
      <c r="W418" s="279"/>
      <c r="X418" s="279"/>
      <c r="Y418" s="279"/>
      <c r="Z418" s="282"/>
      <c r="AA418" s="282"/>
      <c r="AB418" s="282"/>
      <c r="AC418" s="284"/>
      <c r="AD418" s="284"/>
    </row>
    <row r="419" ht="14.25" customHeight="1">
      <c r="A419" s="266"/>
      <c r="B419" s="266"/>
      <c r="C419" s="266"/>
      <c r="D419" s="266"/>
      <c r="E419" s="268"/>
      <c r="F419" s="291"/>
      <c r="G419" s="268"/>
      <c r="H419" s="268"/>
      <c r="I419" s="268"/>
      <c r="J419" s="268"/>
      <c r="K419" s="268"/>
      <c r="L419" s="271" t="str">
        <f t="shared" si="47"/>
        <v>12/30/99 0:00</v>
      </c>
      <c r="M419" s="278"/>
      <c r="N419" s="290"/>
      <c r="O419" s="276"/>
      <c r="P419" s="276"/>
      <c r="Q419" s="278"/>
      <c r="R419" s="278"/>
      <c r="S419" s="278"/>
      <c r="T419" s="278"/>
      <c r="U419" s="279"/>
      <c r="V419" s="279"/>
      <c r="W419" s="279"/>
      <c r="X419" s="279"/>
      <c r="Y419" s="279"/>
      <c r="Z419" s="282"/>
      <c r="AA419" s="282"/>
      <c r="AB419" s="282"/>
      <c r="AC419" s="284"/>
      <c r="AD419" s="284"/>
    </row>
    <row r="420" ht="14.25" customHeight="1">
      <c r="A420" s="266"/>
      <c r="B420" s="266"/>
      <c r="C420" s="266"/>
      <c r="D420" s="266"/>
      <c r="E420" s="268"/>
      <c r="F420" s="291"/>
      <c r="G420" s="268"/>
      <c r="H420" s="268"/>
      <c r="I420" s="268"/>
      <c r="J420" s="268"/>
      <c r="K420" s="268"/>
      <c r="L420" s="271" t="str">
        <f t="shared" si="47"/>
        <v>12/30/99 0:00</v>
      </c>
      <c r="M420" s="278"/>
      <c r="N420" s="290"/>
      <c r="O420" s="276"/>
      <c r="P420" s="276"/>
      <c r="Q420" s="278"/>
      <c r="R420" s="278"/>
      <c r="S420" s="278"/>
      <c r="T420" s="278"/>
      <c r="U420" s="279"/>
      <c r="V420" s="279"/>
      <c r="W420" s="279"/>
      <c r="X420" s="279"/>
      <c r="Y420" s="279"/>
      <c r="Z420" s="282"/>
      <c r="AA420" s="282"/>
      <c r="AB420" s="282"/>
      <c r="AC420" s="284"/>
      <c r="AD420" s="284"/>
    </row>
    <row r="421" ht="14.25" customHeight="1">
      <c r="A421" s="266"/>
      <c r="B421" s="266"/>
      <c r="C421" s="266"/>
      <c r="D421" s="266"/>
      <c r="E421" s="268"/>
      <c r="F421" s="291"/>
      <c r="G421" s="268"/>
      <c r="H421" s="268"/>
      <c r="I421" s="268"/>
      <c r="J421" s="268"/>
      <c r="K421" s="268"/>
      <c r="L421" s="271" t="str">
        <f t="shared" si="47"/>
        <v>12/30/99 0:00</v>
      </c>
      <c r="M421" s="278"/>
      <c r="N421" s="290"/>
      <c r="O421" s="276"/>
      <c r="P421" s="276"/>
      <c r="Q421" s="278"/>
      <c r="R421" s="278"/>
      <c r="S421" s="278"/>
      <c r="T421" s="278"/>
      <c r="U421" s="279"/>
      <c r="V421" s="279"/>
      <c r="W421" s="279"/>
      <c r="X421" s="279"/>
      <c r="Y421" s="279"/>
      <c r="Z421" s="282"/>
      <c r="AA421" s="282"/>
      <c r="AB421" s="282"/>
      <c r="AC421" s="284"/>
      <c r="AD421" s="284"/>
    </row>
    <row r="422" ht="14.25" customHeight="1">
      <c r="A422" s="266"/>
      <c r="B422" s="266"/>
      <c r="C422" s="266"/>
      <c r="D422" s="266"/>
      <c r="E422" s="268"/>
      <c r="F422" s="291"/>
      <c r="G422" s="268"/>
      <c r="H422" s="268"/>
      <c r="I422" s="268"/>
      <c r="J422" s="268"/>
      <c r="K422" s="268"/>
      <c r="L422" s="271" t="str">
        <f t="shared" si="47"/>
        <v>12/30/99 0:00</v>
      </c>
      <c r="M422" s="278"/>
      <c r="N422" s="290"/>
      <c r="O422" s="276"/>
      <c r="P422" s="276"/>
      <c r="Q422" s="278"/>
      <c r="R422" s="278"/>
      <c r="S422" s="278"/>
      <c r="T422" s="278"/>
      <c r="U422" s="279"/>
      <c r="V422" s="279"/>
      <c r="W422" s="279"/>
      <c r="X422" s="279"/>
      <c r="Y422" s="279"/>
      <c r="Z422" s="282"/>
      <c r="AA422" s="282"/>
      <c r="AB422" s="282"/>
      <c r="AC422" s="284"/>
      <c r="AD422" s="284"/>
    </row>
    <row r="423" ht="14.25" customHeight="1">
      <c r="A423" s="266"/>
      <c r="B423" s="266"/>
      <c r="C423" s="266"/>
      <c r="D423" s="266"/>
      <c r="E423" s="268"/>
      <c r="F423" s="291"/>
      <c r="G423" s="268"/>
      <c r="H423" s="268"/>
      <c r="I423" s="268"/>
      <c r="J423" s="268"/>
      <c r="K423" s="268"/>
      <c r="L423" s="271" t="str">
        <f t="shared" si="47"/>
        <v>12/30/99 0:00</v>
      </c>
      <c r="M423" s="278"/>
      <c r="N423" s="290"/>
      <c r="O423" s="276"/>
      <c r="P423" s="276"/>
      <c r="Q423" s="278"/>
      <c r="R423" s="278"/>
      <c r="S423" s="278"/>
      <c r="T423" s="278"/>
      <c r="U423" s="279"/>
      <c r="V423" s="279"/>
      <c r="W423" s="279"/>
      <c r="X423" s="279"/>
      <c r="Y423" s="279"/>
      <c r="Z423" s="282"/>
      <c r="AA423" s="282"/>
      <c r="AB423" s="282"/>
      <c r="AC423" s="284"/>
      <c r="AD423" s="284"/>
    </row>
    <row r="424" ht="14.25" customHeight="1">
      <c r="A424" s="266"/>
      <c r="B424" s="266"/>
      <c r="C424" s="266"/>
      <c r="D424" s="266"/>
      <c r="E424" s="268"/>
      <c r="F424" s="291"/>
      <c r="G424" s="268"/>
      <c r="H424" s="268"/>
      <c r="I424" s="268"/>
      <c r="J424" s="268"/>
      <c r="K424" s="268"/>
      <c r="L424" s="271" t="str">
        <f t="shared" si="47"/>
        <v>12/30/99 0:00</v>
      </c>
      <c r="M424" s="278"/>
      <c r="N424" s="290"/>
      <c r="O424" s="276"/>
      <c r="P424" s="276"/>
      <c r="Q424" s="278"/>
      <c r="R424" s="278"/>
      <c r="S424" s="278"/>
      <c r="T424" s="278"/>
      <c r="U424" s="279"/>
      <c r="V424" s="279"/>
      <c r="W424" s="279"/>
      <c r="X424" s="279"/>
      <c r="Y424" s="279"/>
      <c r="Z424" s="282"/>
      <c r="AA424" s="282"/>
      <c r="AB424" s="282"/>
      <c r="AC424" s="284"/>
      <c r="AD424" s="284"/>
    </row>
    <row r="425" ht="14.25" customHeight="1">
      <c r="A425" s="266"/>
      <c r="B425" s="266"/>
      <c r="C425" s="266"/>
      <c r="D425" s="266"/>
      <c r="E425" s="268"/>
      <c r="F425" s="291"/>
      <c r="G425" s="268"/>
      <c r="H425" s="268"/>
      <c r="I425" s="268"/>
      <c r="J425" s="268"/>
      <c r="K425" s="268"/>
      <c r="L425" s="271" t="str">
        <f t="shared" si="47"/>
        <v>12/30/99 0:00</v>
      </c>
      <c r="M425" s="278"/>
      <c r="N425" s="290"/>
      <c r="O425" s="276"/>
      <c r="P425" s="276"/>
      <c r="Q425" s="278"/>
      <c r="R425" s="278"/>
      <c r="S425" s="278"/>
      <c r="T425" s="278"/>
      <c r="U425" s="279"/>
      <c r="V425" s="279"/>
      <c r="W425" s="279"/>
      <c r="X425" s="279"/>
      <c r="Y425" s="279"/>
      <c r="Z425" s="282"/>
      <c r="AA425" s="282"/>
      <c r="AB425" s="282"/>
      <c r="AC425" s="284"/>
      <c r="AD425" s="284"/>
    </row>
    <row r="426" ht="14.25" customHeight="1">
      <c r="A426" s="266"/>
      <c r="B426" s="266"/>
      <c r="C426" s="266"/>
      <c r="D426" s="266"/>
      <c r="E426" s="268"/>
      <c r="F426" s="291"/>
      <c r="G426" s="268"/>
      <c r="H426" s="268"/>
      <c r="I426" s="268"/>
      <c r="J426" s="268"/>
      <c r="K426" s="268"/>
      <c r="L426" s="271" t="str">
        <f t="shared" si="47"/>
        <v>12/30/99 0:00</v>
      </c>
      <c r="M426" s="278"/>
      <c r="N426" s="290"/>
      <c r="O426" s="276"/>
      <c r="P426" s="276"/>
      <c r="Q426" s="278"/>
      <c r="R426" s="278"/>
      <c r="S426" s="278"/>
      <c r="T426" s="278"/>
      <c r="U426" s="279"/>
      <c r="V426" s="279"/>
      <c r="W426" s="279"/>
      <c r="X426" s="279"/>
      <c r="Y426" s="279"/>
      <c r="Z426" s="282"/>
      <c r="AA426" s="282"/>
      <c r="AB426" s="282"/>
      <c r="AC426" s="284"/>
      <c r="AD426" s="284"/>
    </row>
    <row r="427" ht="14.25" customHeight="1">
      <c r="A427" s="266"/>
      <c r="B427" s="266"/>
      <c r="C427" s="266"/>
      <c r="D427" s="266"/>
      <c r="E427" s="268"/>
      <c r="F427" s="291"/>
      <c r="G427" s="268"/>
      <c r="H427" s="268"/>
      <c r="I427" s="268"/>
      <c r="J427" s="268"/>
      <c r="K427" s="268"/>
      <c r="L427" s="271" t="str">
        <f t="shared" si="47"/>
        <v>12/30/99 0:00</v>
      </c>
      <c r="M427" s="278"/>
      <c r="N427" s="290"/>
      <c r="O427" s="276"/>
      <c r="P427" s="276"/>
      <c r="Q427" s="278"/>
      <c r="R427" s="278"/>
      <c r="S427" s="278"/>
      <c r="T427" s="278"/>
      <c r="U427" s="279"/>
      <c r="V427" s="279"/>
      <c r="W427" s="279"/>
      <c r="X427" s="279"/>
      <c r="Y427" s="279"/>
      <c r="Z427" s="282"/>
      <c r="AA427" s="282"/>
      <c r="AB427" s="282"/>
      <c r="AC427" s="284"/>
      <c r="AD427" s="284"/>
    </row>
    <row r="428" ht="14.25" customHeight="1">
      <c r="A428" s="266"/>
      <c r="B428" s="266"/>
      <c r="C428" s="266"/>
      <c r="D428" s="266"/>
      <c r="E428" s="268"/>
      <c r="F428" s="291"/>
      <c r="G428" s="268"/>
      <c r="H428" s="268"/>
      <c r="I428" s="268"/>
      <c r="J428" s="268"/>
      <c r="K428" s="268"/>
      <c r="L428" s="271" t="str">
        <f t="shared" si="47"/>
        <v>12/30/99 0:00</v>
      </c>
      <c r="M428" s="278"/>
      <c r="N428" s="290"/>
      <c r="O428" s="276"/>
      <c r="P428" s="276"/>
      <c r="Q428" s="278"/>
      <c r="R428" s="278"/>
      <c r="S428" s="278"/>
      <c r="T428" s="278"/>
      <c r="U428" s="279"/>
      <c r="V428" s="279"/>
      <c r="W428" s="279"/>
      <c r="X428" s="279"/>
      <c r="Y428" s="279"/>
      <c r="Z428" s="282"/>
      <c r="AA428" s="282"/>
      <c r="AB428" s="282"/>
      <c r="AC428" s="284"/>
      <c r="AD428" s="284"/>
    </row>
    <row r="429" ht="14.25" customHeight="1">
      <c r="A429" s="266"/>
      <c r="B429" s="266"/>
      <c r="C429" s="266"/>
      <c r="D429" s="266"/>
      <c r="E429" s="268"/>
      <c r="F429" s="291"/>
      <c r="G429" s="268"/>
      <c r="H429" s="268"/>
      <c r="I429" s="268"/>
      <c r="J429" s="268"/>
      <c r="K429" s="268"/>
      <c r="L429" s="271" t="str">
        <f t="shared" si="47"/>
        <v>12/30/99 0:00</v>
      </c>
      <c r="M429" s="278"/>
      <c r="N429" s="290"/>
      <c r="O429" s="276"/>
      <c r="P429" s="276"/>
      <c r="Q429" s="278"/>
      <c r="R429" s="278"/>
      <c r="S429" s="278"/>
      <c r="T429" s="278"/>
      <c r="U429" s="279"/>
      <c r="V429" s="279"/>
      <c r="W429" s="279"/>
      <c r="X429" s="279"/>
      <c r="Y429" s="279"/>
      <c r="Z429" s="282"/>
      <c r="AA429" s="282"/>
      <c r="AB429" s="282"/>
      <c r="AC429" s="284"/>
      <c r="AD429" s="284"/>
    </row>
    <row r="430" ht="14.25" customHeight="1">
      <c r="A430" s="266"/>
      <c r="B430" s="266"/>
      <c r="C430" s="266"/>
      <c r="D430" s="266"/>
      <c r="E430" s="268"/>
      <c r="F430" s="291"/>
      <c r="G430" s="268"/>
      <c r="H430" s="268"/>
      <c r="I430" s="268"/>
      <c r="J430" s="268"/>
      <c r="K430" s="268"/>
      <c r="L430" s="271" t="str">
        <f t="shared" si="47"/>
        <v>12/30/99 0:00</v>
      </c>
      <c r="M430" s="278"/>
      <c r="N430" s="290"/>
      <c r="O430" s="276"/>
      <c r="P430" s="276"/>
      <c r="Q430" s="278"/>
      <c r="R430" s="278"/>
      <c r="S430" s="278"/>
      <c r="T430" s="278"/>
      <c r="U430" s="279"/>
      <c r="V430" s="279"/>
      <c r="W430" s="279"/>
      <c r="X430" s="279"/>
      <c r="Y430" s="279"/>
      <c r="Z430" s="282"/>
      <c r="AA430" s="282"/>
      <c r="AB430" s="282"/>
      <c r="AC430" s="284"/>
      <c r="AD430" s="284"/>
    </row>
    <row r="431" ht="14.25" customHeight="1">
      <c r="A431" s="266"/>
      <c r="B431" s="266"/>
      <c r="C431" s="266"/>
      <c r="D431" s="266"/>
      <c r="E431" s="268"/>
      <c r="F431" s="291"/>
      <c r="G431" s="268"/>
      <c r="H431" s="268"/>
      <c r="I431" s="268"/>
      <c r="J431" s="268"/>
      <c r="K431" s="268"/>
      <c r="L431" s="271" t="str">
        <f t="shared" si="47"/>
        <v>12/30/99 0:00</v>
      </c>
      <c r="M431" s="278"/>
      <c r="N431" s="290"/>
      <c r="O431" s="276"/>
      <c r="P431" s="276"/>
      <c r="Q431" s="278"/>
      <c r="R431" s="278"/>
      <c r="S431" s="278"/>
      <c r="T431" s="278"/>
      <c r="U431" s="279"/>
      <c r="V431" s="279"/>
      <c r="W431" s="279"/>
      <c r="X431" s="279"/>
      <c r="Y431" s="279"/>
      <c r="Z431" s="282"/>
      <c r="AA431" s="282"/>
      <c r="AB431" s="282"/>
      <c r="AC431" s="284"/>
      <c r="AD431" s="284"/>
    </row>
    <row r="432" ht="14.25" customHeight="1">
      <c r="A432" s="266"/>
      <c r="B432" s="266"/>
      <c r="C432" s="266"/>
      <c r="D432" s="266"/>
      <c r="E432" s="268"/>
      <c r="F432" s="291"/>
      <c r="G432" s="268"/>
      <c r="H432" s="268"/>
      <c r="I432" s="268"/>
      <c r="J432" s="268"/>
      <c r="K432" s="268"/>
      <c r="L432" s="271" t="str">
        <f t="shared" si="47"/>
        <v>12/30/99 0:00</v>
      </c>
      <c r="M432" s="278"/>
      <c r="N432" s="290"/>
      <c r="O432" s="276"/>
      <c r="P432" s="276"/>
      <c r="Q432" s="278"/>
      <c r="R432" s="278"/>
      <c r="S432" s="278"/>
      <c r="T432" s="278"/>
      <c r="U432" s="279"/>
      <c r="V432" s="279"/>
      <c r="W432" s="279"/>
      <c r="X432" s="279"/>
      <c r="Y432" s="279"/>
      <c r="Z432" s="282"/>
      <c r="AA432" s="282"/>
      <c r="AB432" s="282"/>
      <c r="AC432" s="284"/>
      <c r="AD432" s="284"/>
    </row>
    <row r="433" ht="14.25" customHeight="1">
      <c r="A433" s="266"/>
      <c r="B433" s="266"/>
      <c r="C433" s="266"/>
      <c r="D433" s="266"/>
      <c r="E433" s="268"/>
      <c r="F433" s="291"/>
      <c r="G433" s="268"/>
      <c r="H433" s="268"/>
      <c r="I433" s="268"/>
      <c r="J433" s="268"/>
      <c r="K433" s="268"/>
      <c r="L433" s="271" t="str">
        <f t="shared" si="47"/>
        <v>12/30/99 0:00</v>
      </c>
      <c r="M433" s="278"/>
      <c r="N433" s="290"/>
      <c r="O433" s="276"/>
      <c r="P433" s="276"/>
      <c r="Q433" s="278"/>
      <c r="R433" s="278"/>
      <c r="S433" s="278"/>
      <c r="T433" s="278"/>
      <c r="U433" s="279"/>
      <c r="V433" s="279"/>
      <c r="W433" s="279"/>
      <c r="X433" s="279"/>
      <c r="Y433" s="279"/>
      <c r="Z433" s="282"/>
      <c r="AA433" s="282"/>
      <c r="AB433" s="282"/>
      <c r="AC433" s="284"/>
      <c r="AD433" s="284"/>
    </row>
    <row r="434" ht="14.25" customHeight="1">
      <c r="A434" s="266"/>
      <c r="B434" s="266"/>
      <c r="C434" s="266"/>
      <c r="D434" s="266"/>
      <c r="E434" s="268"/>
      <c r="F434" s="291"/>
      <c r="G434" s="268"/>
      <c r="H434" s="268"/>
      <c r="I434" s="268"/>
      <c r="J434" s="268"/>
      <c r="K434" s="268"/>
      <c r="L434" s="271" t="str">
        <f t="shared" si="47"/>
        <v>12/30/99 0:00</v>
      </c>
      <c r="M434" s="278"/>
      <c r="N434" s="290"/>
      <c r="O434" s="276"/>
      <c r="P434" s="276"/>
      <c r="Q434" s="278"/>
      <c r="R434" s="278"/>
      <c r="S434" s="278"/>
      <c r="T434" s="278"/>
      <c r="U434" s="279"/>
      <c r="V434" s="279"/>
      <c r="W434" s="279"/>
      <c r="X434" s="279"/>
      <c r="Y434" s="279"/>
      <c r="Z434" s="282"/>
      <c r="AA434" s="282"/>
      <c r="AB434" s="282"/>
      <c r="AC434" s="284"/>
      <c r="AD434" s="284"/>
    </row>
    <row r="435" ht="14.25" customHeight="1">
      <c r="A435" s="266"/>
      <c r="B435" s="266"/>
      <c r="C435" s="266"/>
      <c r="D435" s="266"/>
      <c r="E435" s="268"/>
      <c r="F435" s="291"/>
      <c r="G435" s="268"/>
      <c r="H435" s="268"/>
      <c r="I435" s="268"/>
      <c r="J435" s="268"/>
      <c r="K435" s="268"/>
      <c r="L435" s="271" t="str">
        <f t="shared" si="47"/>
        <v>12/30/99 0:00</v>
      </c>
      <c r="M435" s="278"/>
      <c r="N435" s="290"/>
      <c r="O435" s="276"/>
      <c r="P435" s="276"/>
      <c r="Q435" s="278"/>
      <c r="R435" s="278"/>
      <c r="S435" s="278"/>
      <c r="T435" s="278"/>
      <c r="U435" s="279"/>
      <c r="V435" s="279"/>
      <c r="W435" s="279"/>
      <c r="X435" s="279"/>
      <c r="Y435" s="279"/>
      <c r="Z435" s="282"/>
      <c r="AA435" s="282"/>
      <c r="AB435" s="282"/>
      <c r="AC435" s="284"/>
      <c r="AD435" s="284"/>
    </row>
    <row r="436" ht="14.25" customHeight="1">
      <c r="A436" s="266"/>
      <c r="B436" s="266"/>
      <c r="C436" s="266"/>
      <c r="D436" s="266"/>
      <c r="E436" s="268"/>
      <c r="F436" s="291"/>
      <c r="G436" s="268"/>
      <c r="H436" s="268"/>
      <c r="I436" s="268"/>
      <c r="J436" s="268"/>
      <c r="K436" s="268"/>
      <c r="L436" s="271" t="str">
        <f t="shared" si="47"/>
        <v>12/30/99 0:00</v>
      </c>
      <c r="M436" s="278"/>
      <c r="N436" s="290"/>
      <c r="O436" s="276"/>
      <c r="P436" s="276"/>
      <c r="Q436" s="278"/>
      <c r="R436" s="278"/>
      <c r="S436" s="278"/>
      <c r="T436" s="278"/>
      <c r="U436" s="279"/>
      <c r="V436" s="279"/>
      <c r="W436" s="279"/>
      <c r="X436" s="279"/>
      <c r="Y436" s="279"/>
      <c r="Z436" s="282"/>
      <c r="AA436" s="282"/>
      <c r="AB436" s="282"/>
      <c r="AC436" s="284"/>
      <c r="AD436" s="284"/>
    </row>
    <row r="437" ht="14.25" customHeight="1">
      <c r="A437" s="266"/>
      <c r="B437" s="266"/>
      <c r="C437" s="266"/>
      <c r="D437" s="266"/>
      <c r="E437" s="268"/>
      <c r="F437" s="291"/>
      <c r="G437" s="268"/>
      <c r="H437" s="268"/>
      <c r="I437" s="268"/>
      <c r="J437" s="268"/>
      <c r="K437" s="268"/>
      <c r="L437" s="271" t="str">
        <f t="shared" si="47"/>
        <v>12/30/99 0:00</v>
      </c>
      <c r="M437" s="278"/>
      <c r="N437" s="290"/>
      <c r="O437" s="276"/>
      <c r="P437" s="276"/>
      <c r="Q437" s="278"/>
      <c r="R437" s="278"/>
      <c r="S437" s="278"/>
      <c r="T437" s="278"/>
      <c r="U437" s="279"/>
      <c r="V437" s="279"/>
      <c r="W437" s="279"/>
      <c r="X437" s="279"/>
      <c r="Y437" s="279"/>
      <c r="Z437" s="282"/>
      <c r="AA437" s="282"/>
      <c r="AB437" s="282"/>
      <c r="AC437" s="284"/>
      <c r="AD437" s="284"/>
    </row>
    <row r="438" ht="14.25" customHeight="1">
      <c r="A438" s="266"/>
      <c r="B438" s="266"/>
      <c r="C438" s="266"/>
      <c r="D438" s="266"/>
      <c r="E438" s="268"/>
      <c r="F438" s="291"/>
      <c r="G438" s="268"/>
      <c r="H438" s="268"/>
      <c r="I438" s="268"/>
      <c r="J438" s="268"/>
      <c r="K438" s="268"/>
      <c r="L438" s="271" t="str">
        <f t="shared" si="47"/>
        <v>12/30/99 0:00</v>
      </c>
      <c r="M438" s="278"/>
      <c r="N438" s="290"/>
      <c r="O438" s="276"/>
      <c r="P438" s="276"/>
      <c r="Q438" s="278"/>
      <c r="R438" s="278"/>
      <c r="S438" s="278"/>
      <c r="T438" s="278"/>
      <c r="U438" s="279"/>
      <c r="V438" s="279"/>
      <c r="W438" s="279"/>
      <c r="X438" s="279"/>
      <c r="Y438" s="279"/>
      <c r="Z438" s="282"/>
      <c r="AA438" s="282"/>
      <c r="AB438" s="282"/>
      <c r="AC438" s="284"/>
      <c r="AD438" s="284"/>
    </row>
    <row r="439" ht="14.25" customHeight="1">
      <c r="A439" s="266"/>
      <c r="B439" s="266"/>
      <c r="C439" s="266"/>
      <c r="D439" s="266"/>
      <c r="E439" s="268"/>
      <c r="F439" s="291"/>
      <c r="G439" s="268"/>
      <c r="H439" s="268"/>
      <c r="I439" s="268"/>
      <c r="J439" s="268"/>
      <c r="K439" s="268"/>
      <c r="L439" s="271" t="str">
        <f t="shared" si="47"/>
        <v>12/30/99 0:00</v>
      </c>
      <c r="M439" s="278"/>
      <c r="N439" s="290"/>
      <c r="O439" s="276"/>
      <c r="P439" s="276"/>
      <c r="Q439" s="278"/>
      <c r="R439" s="278"/>
      <c r="S439" s="278"/>
      <c r="T439" s="278"/>
      <c r="U439" s="279"/>
      <c r="V439" s="279"/>
      <c r="W439" s="279"/>
      <c r="X439" s="279"/>
      <c r="Y439" s="279"/>
      <c r="Z439" s="282"/>
      <c r="AA439" s="282"/>
      <c r="AB439" s="282"/>
      <c r="AC439" s="284"/>
      <c r="AD439" s="284"/>
    </row>
    <row r="440" ht="14.25" customHeight="1">
      <c r="A440" s="266"/>
      <c r="B440" s="266"/>
      <c r="C440" s="266"/>
      <c r="D440" s="266"/>
      <c r="E440" s="268"/>
      <c r="F440" s="291"/>
      <c r="G440" s="268"/>
      <c r="H440" s="268"/>
      <c r="I440" s="268"/>
      <c r="J440" s="268"/>
      <c r="K440" s="268"/>
      <c r="L440" s="271" t="str">
        <f t="shared" si="47"/>
        <v>12/30/99 0:00</v>
      </c>
      <c r="M440" s="278"/>
      <c r="N440" s="290"/>
      <c r="O440" s="276"/>
      <c r="P440" s="276"/>
      <c r="Q440" s="278"/>
      <c r="R440" s="278"/>
      <c r="S440" s="278"/>
      <c r="T440" s="278"/>
      <c r="U440" s="279"/>
      <c r="V440" s="279"/>
      <c r="W440" s="279"/>
      <c r="X440" s="279"/>
      <c r="Y440" s="279"/>
      <c r="Z440" s="282"/>
      <c r="AA440" s="282"/>
      <c r="AB440" s="282"/>
      <c r="AC440" s="284"/>
      <c r="AD440" s="284"/>
    </row>
    <row r="441" ht="14.25" customHeight="1">
      <c r="A441" s="266"/>
      <c r="B441" s="266"/>
      <c r="C441" s="266"/>
      <c r="D441" s="266"/>
      <c r="E441" s="268"/>
      <c r="F441" s="291"/>
      <c r="G441" s="268"/>
      <c r="H441" s="268"/>
      <c r="I441" s="268"/>
      <c r="J441" s="268"/>
      <c r="K441" s="268"/>
      <c r="L441" s="271" t="str">
        <f t="shared" si="47"/>
        <v>12/30/99 0:00</v>
      </c>
      <c r="M441" s="278"/>
      <c r="N441" s="290"/>
      <c r="O441" s="276"/>
      <c r="P441" s="276"/>
      <c r="Q441" s="278"/>
      <c r="R441" s="278"/>
      <c r="S441" s="278"/>
      <c r="T441" s="278"/>
      <c r="U441" s="279"/>
      <c r="V441" s="279"/>
      <c r="W441" s="279"/>
      <c r="X441" s="279"/>
      <c r="Y441" s="279"/>
      <c r="Z441" s="282"/>
      <c r="AA441" s="282"/>
      <c r="AB441" s="282"/>
      <c r="AC441" s="284"/>
      <c r="AD441" s="284"/>
    </row>
    <row r="442" ht="14.25" customHeight="1">
      <c r="A442" s="266"/>
      <c r="B442" s="266"/>
      <c r="C442" s="266"/>
      <c r="D442" s="266"/>
      <c r="E442" s="268"/>
      <c r="F442" s="291"/>
      <c r="G442" s="268"/>
      <c r="H442" s="268"/>
      <c r="I442" s="268"/>
      <c r="J442" s="268"/>
      <c r="K442" s="268"/>
      <c r="L442" s="271" t="str">
        <f t="shared" si="47"/>
        <v>12/30/99 0:00</v>
      </c>
      <c r="M442" s="278"/>
      <c r="N442" s="290"/>
      <c r="O442" s="276"/>
      <c r="P442" s="276"/>
      <c r="Q442" s="278"/>
      <c r="R442" s="278"/>
      <c r="S442" s="278"/>
      <c r="T442" s="278"/>
      <c r="U442" s="279"/>
      <c r="V442" s="279"/>
      <c r="W442" s="279"/>
      <c r="X442" s="279"/>
      <c r="Y442" s="279"/>
      <c r="Z442" s="282"/>
      <c r="AA442" s="282"/>
      <c r="AB442" s="282"/>
      <c r="AC442" s="284"/>
      <c r="AD442" s="284"/>
    </row>
    <row r="443" ht="14.25" customHeight="1">
      <c r="A443" s="266"/>
      <c r="B443" s="266"/>
      <c r="C443" s="266"/>
      <c r="D443" s="266"/>
      <c r="E443" s="268"/>
      <c r="F443" s="291"/>
      <c r="G443" s="268"/>
      <c r="H443" s="268"/>
      <c r="I443" s="268"/>
      <c r="J443" s="268"/>
      <c r="K443" s="268"/>
      <c r="L443" s="271" t="str">
        <f t="shared" si="47"/>
        <v>12/30/99 0:00</v>
      </c>
      <c r="M443" s="278"/>
      <c r="N443" s="290"/>
      <c r="O443" s="276"/>
      <c r="P443" s="276"/>
      <c r="Q443" s="278"/>
      <c r="R443" s="278"/>
      <c r="S443" s="278"/>
      <c r="T443" s="278"/>
      <c r="U443" s="279"/>
      <c r="V443" s="279"/>
      <c r="W443" s="279"/>
      <c r="X443" s="279"/>
      <c r="Y443" s="279"/>
      <c r="Z443" s="282"/>
      <c r="AA443" s="282"/>
      <c r="AB443" s="282"/>
      <c r="AC443" s="284"/>
      <c r="AD443" s="284"/>
    </row>
    <row r="444" ht="14.25" customHeight="1">
      <c r="A444" s="266"/>
      <c r="B444" s="266"/>
      <c r="C444" s="266"/>
      <c r="D444" s="266"/>
      <c r="E444" s="268"/>
      <c r="F444" s="291"/>
      <c r="G444" s="268"/>
      <c r="H444" s="268"/>
      <c r="I444" s="268"/>
      <c r="J444" s="268"/>
      <c r="K444" s="268"/>
      <c r="L444" s="271" t="str">
        <f t="shared" si="47"/>
        <v>12/30/99 0:00</v>
      </c>
      <c r="M444" s="278"/>
      <c r="N444" s="290"/>
      <c r="O444" s="276"/>
      <c r="P444" s="276"/>
      <c r="Q444" s="278"/>
      <c r="R444" s="278"/>
      <c r="S444" s="278"/>
      <c r="T444" s="278"/>
      <c r="U444" s="279"/>
      <c r="V444" s="279"/>
      <c r="W444" s="279"/>
      <c r="X444" s="279"/>
      <c r="Y444" s="279"/>
      <c r="Z444" s="282"/>
      <c r="AA444" s="282"/>
      <c r="AB444" s="282"/>
      <c r="AC444" s="284"/>
      <c r="AD444" s="284"/>
    </row>
    <row r="445" ht="14.25" customHeight="1">
      <c r="A445" s="266"/>
      <c r="B445" s="266"/>
      <c r="C445" s="266"/>
      <c r="D445" s="266"/>
      <c r="E445" s="268"/>
      <c r="F445" s="291"/>
      <c r="G445" s="268"/>
      <c r="H445" s="268"/>
      <c r="I445" s="268"/>
      <c r="J445" s="268"/>
      <c r="K445" s="268"/>
      <c r="L445" s="271" t="str">
        <f t="shared" si="47"/>
        <v>12/30/99 0:00</v>
      </c>
      <c r="M445" s="278"/>
      <c r="N445" s="290"/>
      <c r="O445" s="276"/>
      <c r="P445" s="276"/>
      <c r="Q445" s="278"/>
      <c r="R445" s="278"/>
      <c r="S445" s="278"/>
      <c r="T445" s="278"/>
      <c r="U445" s="279"/>
      <c r="V445" s="279"/>
      <c r="W445" s="279"/>
      <c r="X445" s="279"/>
      <c r="Y445" s="279"/>
      <c r="Z445" s="282"/>
      <c r="AA445" s="282"/>
      <c r="AB445" s="282"/>
      <c r="AC445" s="284"/>
      <c r="AD445" s="284"/>
    </row>
    <row r="446" ht="14.25" customHeight="1">
      <c r="A446" s="266"/>
      <c r="B446" s="266"/>
      <c r="C446" s="266"/>
      <c r="D446" s="266"/>
      <c r="E446" s="268"/>
      <c r="F446" s="291"/>
      <c r="G446" s="268"/>
      <c r="H446" s="268"/>
      <c r="I446" s="268"/>
      <c r="J446" s="268"/>
      <c r="K446" s="268"/>
      <c r="L446" s="271" t="str">
        <f t="shared" si="47"/>
        <v>12/30/99 0:00</v>
      </c>
      <c r="M446" s="278"/>
      <c r="N446" s="290"/>
      <c r="O446" s="276"/>
      <c r="P446" s="276"/>
      <c r="Q446" s="278"/>
      <c r="R446" s="278"/>
      <c r="S446" s="278"/>
      <c r="T446" s="278"/>
      <c r="U446" s="279"/>
      <c r="V446" s="279"/>
      <c r="W446" s="279"/>
      <c r="X446" s="279"/>
      <c r="Y446" s="279"/>
      <c r="Z446" s="282"/>
      <c r="AA446" s="282"/>
      <c r="AB446" s="282"/>
      <c r="AC446" s="284"/>
      <c r="AD446" s="284"/>
    </row>
    <row r="447" ht="14.25" customHeight="1">
      <c r="A447" s="266"/>
      <c r="B447" s="266"/>
      <c r="C447" s="266"/>
      <c r="D447" s="266"/>
      <c r="E447" s="268"/>
      <c r="F447" s="291"/>
      <c r="G447" s="268"/>
      <c r="H447" s="268"/>
      <c r="I447" s="268"/>
      <c r="J447" s="268"/>
      <c r="K447" s="268"/>
      <c r="L447" s="271" t="str">
        <f t="shared" si="47"/>
        <v>12/30/99 0:00</v>
      </c>
      <c r="M447" s="278"/>
      <c r="N447" s="290"/>
      <c r="O447" s="276"/>
      <c r="P447" s="276"/>
      <c r="Q447" s="278"/>
      <c r="R447" s="278"/>
      <c r="S447" s="278"/>
      <c r="T447" s="278"/>
      <c r="U447" s="279"/>
      <c r="V447" s="279"/>
      <c r="W447" s="279"/>
      <c r="X447" s="279"/>
      <c r="Y447" s="279"/>
      <c r="Z447" s="282"/>
      <c r="AA447" s="282"/>
      <c r="AB447" s="282"/>
      <c r="AC447" s="284"/>
      <c r="AD447" s="284"/>
    </row>
    <row r="448" ht="14.25" customHeight="1">
      <c r="A448" s="266"/>
      <c r="B448" s="266"/>
      <c r="C448" s="266"/>
      <c r="D448" s="266"/>
      <c r="E448" s="268"/>
      <c r="F448" s="291"/>
      <c r="G448" s="268"/>
      <c r="H448" s="268"/>
      <c r="I448" s="268"/>
      <c r="J448" s="268"/>
      <c r="K448" s="268"/>
      <c r="L448" s="271" t="str">
        <f t="shared" si="47"/>
        <v>12/30/99 0:00</v>
      </c>
      <c r="M448" s="278"/>
      <c r="N448" s="290"/>
      <c r="O448" s="276"/>
      <c r="P448" s="276"/>
      <c r="Q448" s="278"/>
      <c r="R448" s="278"/>
      <c r="S448" s="278"/>
      <c r="T448" s="278"/>
      <c r="U448" s="279"/>
      <c r="V448" s="279"/>
      <c r="W448" s="279"/>
      <c r="X448" s="279"/>
      <c r="Y448" s="279"/>
      <c r="Z448" s="282"/>
      <c r="AA448" s="282"/>
      <c r="AB448" s="282"/>
      <c r="AC448" s="284"/>
      <c r="AD448" s="284"/>
    </row>
    <row r="449" ht="14.25" customHeight="1">
      <c r="A449" s="266"/>
      <c r="B449" s="266"/>
      <c r="C449" s="266"/>
      <c r="D449" s="266"/>
      <c r="E449" s="268"/>
      <c r="F449" s="291"/>
      <c r="G449" s="268"/>
      <c r="H449" s="268"/>
      <c r="I449" s="268"/>
      <c r="J449" s="268"/>
      <c r="K449" s="268"/>
      <c r="L449" s="271" t="str">
        <f t="shared" si="47"/>
        <v>12/30/99 0:00</v>
      </c>
      <c r="M449" s="278"/>
      <c r="N449" s="290"/>
      <c r="O449" s="276"/>
      <c r="P449" s="276"/>
      <c r="Q449" s="278"/>
      <c r="R449" s="278"/>
      <c r="S449" s="278"/>
      <c r="T449" s="278"/>
      <c r="U449" s="279"/>
      <c r="V449" s="279"/>
      <c r="W449" s="279"/>
      <c r="X449" s="279"/>
      <c r="Y449" s="279"/>
      <c r="Z449" s="282"/>
      <c r="AA449" s="282"/>
      <c r="AB449" s="282"/>
      <c r="AC449" s="284"/>
      <c r="AD449" s="284"/>
    </row>
    <row r="450" ht="14.25" customHeight="1">
      <c r="A450" s="266"/>
      <c r="B450" s="266"/>
      <c r="C450" s="266"/>
      <c r="D450" s="266"/>
      <c r="E450" s="268"/>
      <c r="F450" s="291"/>
      <c r="G450" s="268"/>
      <c r="H450" s="268"/>
      <c r="I450" s="268"/>
      <c r="J450" s="268"/>
      <c r="K450" s="268"/>
      <c r="L450" s="271" t="str">
        <f t="shared" si="47"/>
        <v>12/30/99 0:00</v>
      </c>
      <c r="M450" s="278"/>
      <c r="N450" s="290"/>
      <c r="O450" s="276"/>
      <c r="P450" s="276"/>
      <c r="Q450" s="278"/>
      <c r="R450" s="278"/>
      <c r="S450" s="278"/>
      <c r="T450" s="278"/>
      <c r="U450" s="279"/>
      <c r="V450" s="279"/>
      <c r="W450" s="279"/>
      <c r="X450" s="279"/>
      <c r="Y450" s="279"/>
      <c r="Z450" s="282"/>
      <c r="AA450" s="282"/>
      <c r="AB450" s="282"/>
      <c r="AC450" s="284"/>
      <c r="AD450" s="284"/>
    </row>
    <row r="451" ht="14.25" customHeight="1">
      <c r="A451" s="266"/>
      <c r="B451" s="266"/>
      <c r="C451" s="266"/>
      <c r="D451" s="266"/>
      <c r="E451" s="268"/>
      <c r="F451" s="291"/>
      <c r="G451" s="268"/>
      <c r="H451" s="268"/>
      <c r="I451" s="268"/>
      <c r="J451" s="268"/>
      <c r="K451" s="268"/>
      <c r="L451" s="271" t="str">
        <f t="shared" si="47"/>
        <v>12/30/99 0:00</v>
      </c>
      <c r="M451" s="278"/>
      <c r="N451" s="290"/>
      <c r="O451" s="276"/>
      <c r="P451" s="276"/>
      <c r="Q451" s="278"/>
      <c r="R451" s="278"/>
      <c r="S451" s="278"/>
      <c r="T451" s="278"/>
      <c r="U451" s="279"/>
      <c r="V451" s="279"/>
      <c r="W451" s="279"/>
      <c r="X451" s="279"/>
      <c r="Y451" s="279"/>
      <c r="Z451" s="282"/>
      <c r="AA451" s="282"/>
      <c r="AB451" s="282"/>
      <c r="AC451" s="284"/>
      <c r="AD451" s="284"/>
    </row>
    <row r="452" ht="14.25" customHeight="1">
      <c r="A452" s="266"/>
      <c r="B452" s="266"/>
      <c r="C452" s="266"/>
      <c r="D452" s="266"/>
      <c r="E452" s="268"/>
      <c r="F452" s="291"/>
      <c r="G452" s="268"/>
      <c r="H452" s="268"/>
      <c r="I452" s="268"/>
      <c r="J452" s="268"/>
      <c r="K452" s="268"/>
      <c r="L452" s="271" t="str">
        <f t="shared" si="47"/>
        <v>12/30/99 0:00</v>
      </c>
      <c r="M452" s="278"/>
      <c r="N452" s="290"/>
      <c r="O452" s="276"/>
      <c r="P452" s="276"/>
      <c r="Q452" s="278"/>
      <c r="R452" s="278"/>
      <c r="S452" s="278"/>
      <c r="T452" s="278"/>
      <c r="U452" s="279"/>
      <c r="V452" s="279"/>
      <c r="W452" s="279"/>
      <c r="X452" s="279"/>
      <c r="Y452" s="279"/>
      <c r="Z452" s="282"/>
      <c r="AA452" s="282"/>
      <c r="AB452" s="282"/>
      <c r="AC452" s="284"/>
      <c r="AD452" s="284"/>
    </row>
    <row r="453" ht="14.25" customHeight="1">
      <c r="A453" s="266"/>
      <c r="B453" s="266"/>
      <c r="C453" s="266"/>
      <c r="D453" s="266"/>
      <c r="E453" s="268"/>
      <c r="F453" s="291"/>
      <c r="G453" s="268"/>
      <c r="H453" s="268"/>
      <c r="I453" s="268"/>
      <c r="J453" s="268"/>
      <c r="K453" s="268"/>
      <c r="L453" s="271" t="str">
        <f t="shared" si="47"/>
        <v>12/30/99 0:00</v>
      </c>
      <c r="M453" s="278"/>
      <c r="N453" s="290"/>
      <c r="O453" s="276"/>
      <c r="P453" s="276"/>
      <c r="Q453" s="278"/>
      <c r="R453" s="278"/>
      <c r="S453" s="278"/>
      <c r="T453" s="278"/>
      <c r="U453" s="279"/>
      <c r="V453" s="279"/>
      <c r="W453" s="279"/>
      <c r="X453" s="279"/>
      <c r="Y453" s="279"/>
      <c r="Z453" s="282"/>
      <c r="AA453" s="282"/>
      <c r="AB453" s="282"/>
      <c r="AC453" s="284"/>
      <c r="AD453" s="284"/>
    </row>
    <row r="454" ht="14.25" customHeight="1">
      <c r="A454" s="266"/>
      <c r="B454" s="266"/>
      <c r="C454" s="266"/>
      <c r="D454" s="266"/>
      <c r="E454" s="268"/>
      <c r="F454" s="291"/>
      <c r="G454" s="268"/>
      <c r="H454" s="268"/>
      <c r="I454" s="268"/>
      <c r="J454" s="268"/>
      <c r="K454" s="268"/>
      <c r="L454" s="271" t="str">
        <f t="shared" si="47"/>
        <v>12/30/99 0:00</v>
      </c>
      <c r="M454" s="278"/>
      <c r="N454" s="290"/>
      <c r="O454" s="276"/>
      <c r="P454" s="276"/>
      <c r="Q454" s="278"/>
      <c r="R454" s="278"/>
      <c r="S454" s="278"/>
      <c r="T454" s="278"/>
      <c r="U454" s="279"/>
      <c r="V454" s="279"/>
      <c r="W454" s="279"/>
      <c r="X454" s="279"/>
      <c r="Y454" s="279"/>
      <c r="Z454" s="282"/>
      <c r="AA454" s="282"/>
      <c r="AB454" s="282"/>
      <c r="AC454" s="284"/>
      <c r="AD454" s="284"/>
    </row>
    <row r="455" ht="14.25" customHeight="1">
      <c r="A455" s="266"/>
      <c r="B455" s="266"/>
      <c r="C455" s="266"/>
      <c r="D455" s="266"/>
      <c r="E455" s="268"/>
      <c r="F455" s="291"/>
      <c r="G455" s="268"/>
      <c r="H455" s="268"/>
      <c r="I455" s="268"/>
      <c r="J455" s="268"/>
      <c r="K455" s="268"/>
      <c r="L455" s="271" t="str">
        <f t="shared" si="47"/>
        <v>12/30/99 0:00</v>
      </c>
      <c r="M455" s="278"/>
      <c r="N455" s="290"/>
      <c r="O455" s="276"/>
      <c r="P455" s="276"/>
      <c r="Q455" s="278"/>
      <c r="R455" s="278"/>
      <c r="S455" s="278"/>
      <c r="T455" s="278"/>
      <c r="U455" s="279"/>
      <c r="V455" s="279"/>
      <c r="W455" s="279"/>
      <c r="X455" s="279"/>
      <c r="Y455" s="279"/>
      <c r="Z455" s="282"/>
      <c r="AA455" s="282"/>
      <c r="AB455" s="282"/>
      <c r="AC455" s="284"/>
      <c r="AD455" s="284"/>
    </row>
    <row r="456" ht="14.25" customHeight="1">
      <c r="A456" s="266"/>
      <c r="B456" s="266"/>
      <c r="C456" s="266"/>
      <c r="D456" s="266"/>
      <c r="E456" s="268"/>
      <c r="F456" s="291"/>
      <c r="G456" s="268"/>
      <c r="H456" s="268"/>
      <c r="I456" s="268"/>
      <c r="J456" s="268"/>
      <c r="K456" s="268"/>
      <c r="L456" s="271" t="str">
        <f t="shared" si="47"/>
        <v>12/30/99 0:00</v>
      </c>
      <c r="M456" s="278"/>
      <c r="N456" s="290"/>
      <c r="O456" s="276"/>
      <c r="P456" s="276"/>
      <c r="Q456" s="278"/>
      <c r="R456" s="278"/>
      <c r="S456" s="278"/>
      <c r="T456" s="278"/>
      <c r="U456" s="279"/>
      <c r="V456" s="279"/>
      <c r="W456" s="279"/>
      <c r="X456" s="279"/>
      <c r="Y456" s="279"/>
      <c r="Z456" s="282"/>
      <c r="AA456" s="282"/>
      <c r="AB456" s="282"/>
      <c r="AC456" s="284"/>
      <c r="AD456" s="284"/>
    </row>
    <row r="457" ht="14.25" customHeight="1">
      <c r="A457" s="266"/>
      <c r="B457" s="266"/>
      <c r="C457" s="266"/>
      <c r="D457" s="266"/>
      <c r="E457" s="268"/>
      <c r="F457" s="291"/>
      <c r="G457" s="268"/>
      <c r="H457" s="268"/>
      <c r="I457" s="268"/>
      <c r="J457" s="268"/>
      <c r="K457" s="268"/>
      <c r="L457" s="271" t="str">
        <f t="shared" si="47"/>
        <v>12/30/99 0:00</v>
      </c>
      <c r="M457" s="278"/>
      <c r="N457" s="290"/>
      <c r="O457" s="276"/>
      <c r="P457" s="276"/>
      <c r="Q457" s="278"/>
      <c r="R457" s="278"/>
      <c r="S457" s="278"/>
      <c r="T457" s="278"/>
      <c r="U457" s="279"/>
      <c r="V457" s="279"/>
      <c r="W457" s="279"/>
      <c r="X457" s="279"/>
      <c r="Y457" s="279"/>
      <c r="Z457" s="282"/>
      <c r="AA457" s="282"/>
      <c r="AB457" s="282"/>
      <c r="AC457" s="284"/>
      <c r="AD457" s="284"/>
    </row>
    <row r="458" ht="14.25" customHeight="1">
      <c r="A458" s="266"/>
      <c r="B458" s="266"/>
      <c r="C458" s="266"/>
      <c r="D458" s="266"/>
      <c r="E458" s="268"/>
      <c r="F458" s="291"/>
      <c r="G458" s="268"/>
      <c r="H458" s="268"/>
      <c r="I458" s="268"/>
      <c r="J458" s="268"/>
      <c r="K458" s="268"/>
      <c r="L458" s="271" t="str">
        <f t="shared" si="47"/>
        <v>12/30/99 0:00</v>
      </c>
      <c r="M458" s="278"/>
      <c r="N458" s="290"/>
      <c r="O458" s="276"/>
      <c r="P458" s="276"/>
      <c r="Q458" s="278"/>
      <c r="R458" s="278"/>
      <c r="S458" s="278"/>
      <c r="T458" s="278"/>
      <c r="U458" s="279"/>
      <c r="V458" s="279"/>
      <c r="W458" s="279"/>
      <c r="X458" s="279"/>
      <c r="Y458" s="279"/>
      <c r="Z458" s="282"/>
      <c r="AA458" s="282"/>
      <c r="AB458" s="282"/>
      <c r="AC458" s="284"/>
      <c r="AD458" s="284"/>
    </row>
    <row r="459" ht="14.25" customHeight="1">
      <c r="A459" s="266"/>
      <c r="B459" s="266"/>
      <c r="C459" s="266"/>
      <c r="D459" s="266"/>
      <c r="E459" s="268"/>
      <c r="F459" s="291"/>
      <c r="G459" s="268"/>
      <c r="H459" s="268"/>
      <c r="I459" s="268"/>
      <c r="J459" s="268"/>
      <c r="K459" s="268"/>
      <c r="L459" s="271" t="str">
        <f t="shared" si="47"/>
        <v>12/30/99 0:00</v>
      </c>
      <c r="M459" s="278"/>
      <c r="N459" s="290"/>
      <c r="O459" s="276"/>
      <c r="P459" s="276"/>
      <c r="Q459" s="278"/>
      <c r="R459" s="278"/>
      <c r="S459" s="278"/>
      <c r="T459" s="278"/>
      <c r="U459" s="279"/>
      <c r="V459" s="279"/>
      <c r="W459" s="279"/>
      <c r="X459" s="279"/>
      <c r="Y459" s="279"/>
      <c r="Z459" s="282"/>
      <c r="AA459" s="282"/>
      <c r="AB459" s="282"/>
      <c r="AC459" s="284"/>
      <c r="AD459" s="284"/>
    </row>
    <row r="460" ht="14.25" customHeight="1">
      <c r="A460" s="266"/>
      <c r="B460" s="266"/>
      <c r="C460" s="266"/>
      <c r="D460" s="266"/>
      <c r="E460" s="268"/>
      <c r="F460" s="291"/>
      <c r="G460" s="268"/>
      <c r="H460" s="268"/>
      <c r="I460" s="268"/>
      <c r="J460" s="268"/>
      <c r="K460" s="268"/>
      <c r="L460" s="271" t="str">
        <f t="shared" si="47"/>
        <v>12/30/99 0:00</v>
      </c>
      <c r="M460" s="278"/>
      <c r="N460" s="290"/>
      <c r="O460" s="276"/>
      <c r="P460" s="276"/>
      <c r="Q460" s="278"/>
      <c r="R460" s="278"/>
      <c r="S460" s="278"/>
      <c r="T460" s="278"/>
      <c r="U460" s="279"/>
      <c r="V460" s="279"/>
      <c r="W460" s="279"/>
      <c r="X460" s="279"/>
      <c r="Y460" s="279"/>
      <c r="Z460" s="282"/>
      <c r="AA460" s="282"/>
      <c r="AB460" s="282"/>
      <c r="AC460" s="284"/>
      <c r="AD460" s="284"/>
    </row>
    <row r="461" ht="14.25" customHeight="1">
      <c r="A461" s="266"/>
      <c r="B461" s="266"/>
      <c r="C461" s="266"/>
      <c r="D461" s="266"/>
      <c r="E461" s="268"/>
      <c r="F461" s="291"/>
      <c r="G461" s="268"/>
      <c r="H461" s="268"/>
      <c r="I461" s="268"/>
      <c r="J461" s="268"/>
      <c r="K461" s="268"/>
      <c r="L461" s="271" t="str">
        <f t="shared" si="47"/>
        <v>12/30/99 0:00</v>
      </c>
      <c r="M461" s="278"/>
      <c r="N461" s="290"/>
      <c r="O461" s="276"/>
      <c r="P461" s="276"/>
      <c r="Q461" s="278"/>
      <c r="R461" s="278"/>
      <c r="S461" s="278"/>
      <c r="T461" s="278"/>
      <c r="U461" s="279"/>
      <c r="V461" s="279"/>
      <c r="W461" s="279"/>
      <c r="X461" s="279"/>
      <c r="Y461" s="279"/>
      <c r="Z461" s="282"/>
      <c r="AA461" s="282"/>
      <c r="AB461" s="282"/>
      <c r="AC461" s="284"/>
      <c r="AD461" s="284"/>
    </row>
    <row r="462" ht="14.25" customHeight="1">
      <c r="A462" s="266"/>
      <c r="B462" s="266"/>
      <c r="C462" s="266"/>
      <c r="D462" s="266"/>
      <c r="E462" s="268"/>
      <c r="F462" s="291"/>
      <c r="G462" s="268"/>
      <c r="H462" s="268"/>
      <c r="I462" s="268"/>
      <c r="J462" s="268"/>
      <c r="K462" s="268"/>
      <c r="L462" s="271" t="str">
        <f t="shared" si="47"/>
        <v>12/30/99 0:00</v>
      </c>
      <c r="M462" s="278"/>
      <c r="N462" s="290"/>
      <c r="O462" s="276"/>
      <c r="P462" s="276"/>
      <c r="Q462" s="278"/>
      <c r="R462" s="278"/>
      <c r="S462" s="278"/>
      <c r="T462" s="278"/>
      <c r="U462" s="279"/>
      <c r="V462" s="279"/>
      <c r="W462" s="279"/>
      <c r="X462" s="279"/>
      <c r="Y462" s="279"/>
      <c r="Z462" s="282"/>
      <c r="AA462" s="282"/>
      <c r="AB462" s="282"/>
      <c r="AC462" s="284"/>
      <c r="AD462" s="284"/>
    </row>
    <row r="463" ht="14.25" customHeight="1">
      <c r="A463" s="266"/>
      <c r="B463" s="266"/>
      <c r="C463" s="266"/>
      <c r="D463" s="266"/>
      <c r="E463" s="268"/>
      <c r="F463" s="291"/>
      <c r="G463" s="268"/>
      <c r="H463" s="268"/>
      <c r="I463" s="268"/>
      <c r="J463" s="268"/>
      <c r="K463" s="268"/>
      <c r="L463" s="271" t="str">
        <f t="shared" si="47"/>
        <v>12/30/99 0:00</v>
      </c>
      <c r="M463" s="278"/>
      <c r="N463" s="290"/>
      <c r="O463" s="276"/>
      <c r="P463" s="276"/>
      <c r="Q463" s="278"/>
      <c r="R463" s="278"/>
      <c r="S463" s="278"/>
      <c r="T463" s="278"/>
      <c r="U463" s="279"/>
      <c r="V463" s="279"/>
      <c r="W463" s="279"/>
      <c r="X463" s="279"/>
      <c r="Y463" s="279"/>
      <c r="Z463" s="282"/>
      <c r="AA463" s="282"/>
      <c r="AB463" s="282"/>
      <c r="AC463" s="284"/>
      <c r="AD463" s="284"/>
    </row>
    <row r="464" ht="14.25" customHeight="1">
      <c r="A464" s="266"/>
      <c r="B464" s="266"/>
      <c r="C464" s="266"/>
      <c r="D464" s="266"/>
      <c r="E464" s="268"/>
      <c r="F464" s="291"/>
      <c r="G464" s="268"/>
      <c r="H464" s="268"/>
      <c r="I464" s="268"/>
      <c r="J464" s="268"/>
      <c r="K464" s="268"/>
      <c r="L464" s="271" t="str">
        <f t="shared" si="47"/>
        <v>12/30/99 0:00</v>
      </c>
      <c r="M464" s="278"/>
      <c r="N464" s="290"/>
      <c r="O464" s="276"/>
      <c r="P464" s="276"/>
      <c r="Q464" s="278"/>
      <c r="R464" s="278"/>
      <c r="S464" s="278"/>
      <c r="T464" s="278"/>
      <c r="U464" s="279"/>
      <c r="V464" s="279"/>
      <c r="W464" s="279"/>
      <c r="X464" s="279"/>
      <c r="Y464" s="279"/>
      <c r="Z464" s="282"/>
      <c r="AA464" s="282"/>
      <c r="AB464" s="282"/>
      <c r="AC464" s="284"/>
      <c r="AD464" s="284"/>
    </row>
    <row r="465" ht="14.25" customHeight="1">
      <c r="A465" s="266"/>
      <c r="B465" s="266"/>
      <c r="C465" s="266"/>
      <c r="D465" s="266"/>
      <c r="E465" s="268"/>
      <c r="F465" s="291"/>
      <c r="G465" s="268"/>
      <c r="H465" s="268"/>
      <c r="I465" s="268"/>
      <c r="J465" s="268"/>
      <c r="K465" s="268"/>
      <c r="L465" s="271" t="str">
        <f t="shared" si="47"/>
        <v>12/30/99 0:00</v>
      </c>
      <c r="M465" s="278"/>
      <c r="N465" s="290"/>
      <c r="O465" s="276"/>
      <c r="P465" s="276"/>
      <c r="Q465" s="278"/>
      <c r="R465" s="278"/>
      <c r="S465" s="278"/>
      <c r="T465" s="278"/>
      <c r="U465" s="279"/>
      <c r="V465" s="279"/>
      <c r="W465" s="279"/>
      <c r="X465" s="279"/>
      <c r="Y465" s="279"/>
      <c r="Z465" s="282"/>
      <c r="AA465" s="282"/>
      <c r="AB465" s="282"/>
      <c r="AC465" s="284"/>
      <c r="AD465" s="284"/>
    </row>
    <row r="466" ht="14.25" customHeight="1">
      <c r="A466" s="266"/>
      <c r="B466" s="266"/>
      <c r="C466" s="266"/>
      <c r="D466" s="266"/>
      <c r="E466" s="268"/>
      <c r="F466" s="291"/>
      <c r="G466" s="268"/>
      <c r="H466" s="268"/>
      <c r="I466" s="268"/>
      <c r="J466" s="268"/>
      <c r="K466" s="268"/>
      <c r="L466" s="271" t="str">
        <f t="shared" si="47"/>
        <v>12/30/99 0:00</v>
      </c>
      <c r="M466" s="278"/>
      <c r="N466" s="290"/>
      <c r="O466" s="276"/>
      <c r="P466" s="276"/>
      <c r="Q466" s="278"/>
      <c r="R466" s="278"/>
      <c r="S466" s="278"/>
      <c r="T466" s="278"/>
      <c r="U466" s="279"/>
      <c r="V466" s="279"/>
      <c r="W466" s="279"/>
      <c r="X466" s="279"/>
      <c r="Y466" s="279"/>
      <c r="Z466" s="282"/>
      <c r="AA466" s="282"/>
      <c r="AB466" s="282"/>
      <c r="AC466" s="284"/>
      <c r="AD466" s="284"/>
    </row>
    <row r="467" ht="14.25" customHeight="1">
      <c r="A467" s="266"/>
      <c r="B467" s="266"/>
      <c r="C467" s="266"/>
      <c r="D467" s="266"/>
      <c r="E467" s="268"/>
      <c r="F467" s="291"/>
      <c r="G467" s="268"/>
      <c r="H467" s="268"/>
      <c r="I467" s="268"/>
      <c r="J467" s="268"/>
      <c r="K467" s="268"/>
      <c r="L467" s="271" t="str">
        <f t="shared" si="47"/>
        <v>12/30/99 0:00</v>
      </c>
      <c r="M467" s="278"/>
      <c r="N467" s="290"/>
      <c r="O467" s="276"/>
      <c r="P467" s="276"/>
      <c r="Q467" s="278"/>
      <c r="R467" s="278"/>
      <c r="S467" s="278"/>
      <c r="T467" s="278"/>
      <c r="U467" s="279"/>
      <c r="V467" s="279"/>
      <c r="W467" s="279"/>
      <c r="X467" s="279"/>
      <c r="Y467" s="279"/>
      <c r="Z467" s="282"/>
      <c r="AA467" s="282"/>
      <c r="AB467" s="282"/>
      <c r="AC467" s="284"/>
      <c r="AD467" s="284"/>
    </row>
    <row r="468" ht="14.25" customHeight="1">
      <c r="A468" s="266"/>
      <c r="B468" s="266"/>
      <c r="C468" s="266"/>
      <c r="D468" s="266"/>
      <c r="E468" s="268"/>
      <c r="F468" s="291"/>
      <c r="G468" s="268"/>
      <c r="H468" s="268"/>
      <c r="I468" s="268"/>
      <c r="J468" s="268"/>
      <c r="K468" s="268"/>
      <c r="L468" s="271" t="str">
        <f t="shared" si="47"/>
        <v>12/30/99 0:00</v>
      </c>
      <c r="M468" s="278"/>
      <c r="N468" s="290"/>
      <c r="O468" s="276"/>
      <c r="P468" s="276"/>
      <c r="Q468" s="278"/>
      <c r="R468" s="278"/>
      <c r="S468" s="278"/>
      <c r="T468" s="278"/>
      <c r="U468" s="279"/>
      <c r="V468" s="279"/>
      <c r="W468" s="279"/>
      <c r="X468" s="279"/>
      <c r="Y468" s="279"/>
      <c r="Z468" s="282"/>
      <c r="AA468" s="282"/>
      <c r="AB468" s="282"/>
      <c r="AC468" s="284"/>
      <c r="AD468" s="284"/>
    </row>
    <row r="469" ht="14.25" customHeight="1">
      <c r="A469" s="266"/>
      <c r="B469" s="266"/>
      <c r="C469" s="266"/>
      <c r="D469" s="266"/>
      <c r="E469" s="268"/>
      <c r="F469" s="291"/>
      <c r="G469" s="268"/>
      <c r="H469" s="268"/>
      <c r="I469" s="268"/>
      <c r="J469" s="268"/>
      <c r="K469" s="268"/>
      <c r="L469" s="271" t="str">
        <f t="shared" si="47"/>
        <v>12/30/99 0:00</v>
      </c>
      <c r="M469" s="278"/>
      <c r="N469" s="290"/>
      <c r="O469" s="276"/>
      <c r="P469" s="276"/>
      <c r="Q469" s="278"/>
      <c r="R469" s="278"/>
      <c r="S469" s="278"/>
      <c r="T469" s="278"/>
      <c r="U469" s="279"/>
      <c r="V469" s="279"/>
      <c r="W469" s="279"/>
      <c r="X469" s="279"/>
      <c r="Y469" s="279"/>
      <c r="Z469" s="282"/>
      <c r="AA469" s="282"/>
      <c r="AB469" s="282"/>
      <c r="AC469" s="284"/>
      <c r="AD469" s="284"/>
    </row>
    <row r="470" ht="14.25" customHeight="1">
      <c r="A470" s="266"/>
      <c r="B470" s="266"/>
      <c r="C470" s="266"/>
      <c r="D470" s="266"/>
      <c r="E470" s="268"/>
      <c r="F470" s="291"/>
      <c r="G470" s="268"/>
      <c r="H470" s="268"/>
      <c r="I470" s="268"/>
      <c r="J470" s="268"/>
      <c r="K470" s="268"/>
      <c r="L470" s="271" t="str">
        <f t="shared" si="47"/>
        <v>12/30/99 0:00</v>
      </c>
      <c r="M470" s="278"/>
      <c r="N470" s="290"/>
      <c r="O470" s="276"/>
      <c r="P470" s="276"/>
      <c r="Q470" s="278"/>
      <c r="R470" s="278"/>
      <c r="S470" s="278"/>
      <c r="T470" s="278"/>
      <c r="U470" s="279"/>
      <c r="V470" s="279"/>
      <c r="W470" s="279"/>
      <c r="X470" s="279"/>
      <c r="Y470" s="279"/>
      <c r="Z470" s="282"/>
      <c r="AA470" s="282"/>
      <c r="AB470" s="282"/>
      <c r="AC470" s="284"/>
      <c r="AD470" s="284"/>
    </row>
    <row r="471" ht="14.25" customHeight="1">
      <c r="A471" s="266"/>
      <c r="B471" s="266"/>
      <c r="C471" s="266"/>
      <c r="D471" s="266"/>
      <c r="E471" s="268"/>
      <c r="F471" s="291"/>
      <c r="G471" s="268"/>
      <c r="H471" s="268"/>
      <c r="I471" s="268"/>
      <c r="J471" s="268"/>
      <c r="K471" s="268"/>
      <c r="L471" s="271" t="str">
        <f t="shared" si="47"/>
        <v>12/30/99 0:00</v>
      </c>
      <c r="M471" s="278"/>
      <c r="N471" s="290"/>
      <c r="O471" s="276"/>
      <c r="P471" s="276"/>
      <c r="Q471" s="278"/>
      <c r="R471" s="278"/>
      <c r="S471" s="278"/>
      <c r="T471" s="278"/>
      <c r="U471" s="279"/>
      <c r="V471" s="279"/>
      <c r="W471" s="279"/>
      <c r="X471" s="279"/>
      <c r="Y471" s="279"/>
      <c r="Z471" s="282"/>
      <c r="AA471" s="282"/>
      <c r="AB471" s="282"/>
      <c r="AC471" s="284"/>
      <c r="AD471" s="284"/>
    </row>
    <row r="472" ht="14.25" customHeight="1">
      <c r="A472" s="266"/>
      <c r="B472" s="266"/>
      <c r="C472" s="266"/>
      <c r="D472" s="266"/>
      <c r="E472" s="268"/>
      <c r="F472" s="291"/>
      <c r="G472" s="268"/>
      <c r="H472" s="268"/>
      <c r="I472" s="268"/>
      <c r="J472" s="268"/>
      <c r="K472" s="268"/>
      <c r="L472" s="271" t="str">
        <f t="shared" si="47"/>
        <v>12/30/99 0:00</v>
      </c>
      <c r="M472" s="278"/>
      <c r="N472" s="290"/>
      <c r="O472" s="276"/>
      <c r="P472" s="276"/>
      <c r="Q472" s="278"/>
      <c r="R472" s="278"/>
      <c r="S472" s="278"/>
      <c r="T472" s="278"/>
      <c r="U472" s="279"/>
      <c r="V472" s="279"/>
      <c r="W472" s="279"/>
      <c r="X472" s="279"/>
      <c r="Y472" s="279"/>
      <c r="Z472" s="282"/>
      <c r="AA472" s="282"/>
      <c r="AB472" s="282"/>
      <c r="AC472" s="284"/>
      <c r="AD472" s="284"/>
    </row>
    <row r="473" ht="14.25" customHeight="1">
      <c r="A473" s="266"/>
      <c r="B473" s="266"/>
      <c r="C473" s="266"/>
      <c r="D473" s="266"/>
      <c r="E473" s="268"/>
      <c r="F473" s="291"/>
      <c r="G473" s="268"/>
      <c r="H473" s="268"/>
      <c r="I473" s="268"/>
      <c r="J473" s="268"/>
      <c r="K473" s="268"/>
      <c r="L473" s="271" t="str">
        <f t="shared" si="47"/>
        <v>12/30/99 0:00</v>
      </c>
      <c r="M473" s="278"/>
      <c r="N473" s="290"/>
      <c r="O473" s="276"/>
      <c r="P473" s="276"/>
      <c r="Q473" s="278"/>
      <c r="R473" s="278"/>
      <c r="S473" s="278"/>
      <c r="T473" s="278"/>
      <c r="U473" s="279"/>
      <c r="V473" s="279"/>
      <c r="W473" s="279"/>
      <c r="X473" s="279"/>
      <c r="Y473" s="279"/>
      <c r="Z473" s="282"/>
      <c r="AA473" s="282"/>
      <c r="AB473" s="282"/>
      <c r="AC473" s="284"/>
      <c r="AD473" s="284"/>
    </row>
    <row r="474" ht="14.25" customHeight="1">
      <c r="A474" s="266"/>
      <c r="B474" s="266"/>
      <c r="C474" s="266"/>
      <c r="D474" s="266"/>
      <c r="E474" s="268"/>
      <c r="F474" s="291"/>
      <c r="G474" s="268"/>
      <c r="H474" s="268"/>
      <c r="I474" s="268"/>
      <c r="J474" s="268"/>
      <c r="K474" s="268"/>
      <c r="L474" s="271" t="str">
        <f t="shared" si="47"/>
        <v>12/30/99 0:00</v>
      </c>
      <c r="M474" s="278"/>
      <c r="N474" s="290"/>
      <c r="O474" s="276"/>
      <c r="P474" s="276"/>
      <c r="Q474" s="278"/>
      <c r="R474" s="278"/>
      <c r="S474" s="278"/>
      <c r="T474" s="278"/>
      <c r="U474" s="279"/>
      <c r="V474" s="279"/>
      <c r="W474" s="279"/>
      <c r="X474" s="279"/>
      <c r="Y474" s="279"/>
      <c r="Z474" s="282"/>
      <c r="AA474" s="282"/>
      <c r="AB474" s="282"/>
      <c r="AC474" s="284"/>
      <c r="AD474" s="284"/>
    </row>
    <row r="475" ht="14.25" customHeight="1">
      <c r="A475" s="266"/>
      <c r="B475" s="266"/>
      <c r="C475" s="266"/>
      <c r="D475" s="266"/>
      <c r="E475" s="268"/>
      <c r="F475" s="291"/>
      <c r="G475" s="268"/>
      <c r="H475" s="268"/>
      <c r="I475" s="268"/>
      <c r="J475" s="268"/>
      <c r="K475" s="268"/>
      <c r="L475" s="271" t="str">
        <f t="shared" si="47"/>
        <v>12/30/99 0:00</v>
      </c>
      <c r="M475" s="278"/>
      <c r="N475" s="290"/>
      <c r="O475" s="276"/>
      <c r="P475" s="276"/>
      <c r="Q475" s="278"/>
      <c r="R475" s="278"/>
      <c r="S475" s="278"/>
      <c r="T475" s="278"/>
      <c r="U475" s="279"/>
      <c r="V475" s="279"/>
      <c r="W475" s="279"/>
      <c r="X475" s="279"/>
      <c r="Y475" s="279"/>
      <c r="Z475" s="282"/>
      <c r="AA475" s="282"/>
      <c r="AB475" s="282"/>
      <c r="AC475" s="284"/>
      <c r="AD475" s="284"/>
    </row>
    <row r="476" ht="14.25" customHeight="1">
      <c r="A476" s="266"/>
      <c r="B476" s="266"/>
      <c r="C476" s="266"/>
      <c r="D476" s="266"/>
      <c r="E476" s="268"/>
      <c r="F476" s="291"/>
      <c r="G476" s="268"/>
      <c r="H476" s="268"/>
      <c r="I476" s="268"/>
      <c r="J476" s="268"/>
      <c r="K476" s="268"/>
      <c r="L476" s="271" t="str">
        <f t="shared" si="47"/>
        <v>12/30/99 0:00</v>
      </c>
      <c r="M476" s="278"/>
      <c r="N476" s="290"/>
      <c r="O476" s="276"/>
      <c r="P476" s="276"/>
      <c r="Q476" s="278"/>
      <c r="R476" s="278"/>
      <c r="S476" s="278"/>
      <c r="T476" s="278"/>
      <c r="U476" s="279"/>
      <c r="V476" s="279"/>
      <c r="W476" s="279"/>
      <c r="X476" s="279"/>
      <c r="Y476" s="279"/>
      <c r="Z476" s="282"/>
      <c r="AA476" s="282"/>
      <c r="AB476" s="282"/>
      <c r="AC476" s="284"/>
      <c r="AD476" s="284"/>
    </row>
    <row r="477" ht="14.25" customHeight="1">
      <c r="A477" s="266"/>
      <c r="B477" s="266"/>
      <c r="C477" s="266"/>
      <c r="D477" s="266"/>
      <c r="E477" s="268"/>
      <c r="F477" s="291"/>
      <c r="G477" s="268"/>
      <c r="H477" s="268"/>
      <c r="I477" s="268"/>
      <c r="J477" s="268"/>
      <c r="K477" s="268"/>
      <c r="L477" s="271" t="str">
        <f t="shared" si="47"/>
        <v>12/30/99 0:00</v>
      </c>
      <c r="M477" s="278"/>
      <c r="N477" s="290"/>
      <c r="O477" s="276"/>
      <c r="P477" s="276"/>
      <c r="Q477" s="278"/>
      <c r="R477" s="278"/>
      <c r="S477" s="278"/>
      <c r="T477" s="278"/>
      <c r="U477" s="279"/>
      <c r="V477" s="279"/>
      <c r="W477" s="279"/>
      <c r="X477" s="279"/>
      <c r="Y477" s="279"/>
      <c r="Z477" s="282"/>
      <c r="AA477" s="282"/>
      <c r="AB477" s="282"/>
      <c r="AC477" s="284"/>
      <c r="AD477" s="284"/>
    </row>
    <row r="478" ht="14.25" customHeight="1">
      <c r="A478" s="266"/>
      <c r="B478" s="266"/>
      <c r="C478" s="266"/>
      <c r="D478" s="266"/>
      <c r="E478" s="268"/>
      <c r="F478" s="291"/>
      <c r="G478" s="268"/>
      <c r="H478" s="268"/>
      <c r="I478" s="268"/>
      <c r="J478" s="268"/>
      <c r="K478" s="268"/>
      <c r="L478" s="271" t="str">
        <f t="shared" si="47"/>
        <v>12/30/99 0:00</v>
      </c>
      <c r="M478" s="278"/>
      <c r="N478" s="290"/>
      <c r="O478" s="276"/>
      <c r="P478" s="276"/>
      <c r="Q478" s="278"/>
      <c r="R478" s="278"/>
      <c r="S478" s="278"/>
      <c r="T478" s="278"/>
      <c r="U478" s="279"/>
      <c r="V478" s="279"/>
      <c r="W478" s="279"/>
      <c r="X478" s="279"/>
      <c r="Y478" s="279"/>
      <c r="Z478" s="282"/>
      <c r="AA478" s="282"/>
      <c r="AB478" s="282"/>
      <c r="AC478" s="284"/>
      <c r="AD478" s="284"/>
    </row>
    <row r="479" ht="14.25" customHeight="1">
      <c r="A479" s="266"/>
      <c r="B479" s="266"/>
      <c r="C479" s="266"/>
      <c r="D479" s="266"/>
      <c r="E479" s="268"/>
      <c r="F479" s="291"/>
      <c r="G479" s="268"/>
      <c r="H479" s="268"/>
      <c r="I479" s="268"/>
      <c r="J479" s="268"/>
      <c r="K479" s="268"/>
      <c r="L479" s="271" t="str">
        <f t="shared" si="47"/>
        <v>12/30/99 0:00</v>
      </c>
      <c r="M479" s="278"/>
      <c r="N479" s="290"/>
      <c r="O479" s="276"/>
      <c r="P479" s="276"/>
      <c r="Q479" s="278"/>
      <c r="R479" s="278"/>
      <c r="S479" s="278"/>
      <c r="T479" s="278"/>
      <c r="U479" s="279"/>
      <c r="V479" s="279"/>
      <c r="W479" s="279"/>
      <c r="X479" s="279"/>
      <c r="Y479" s="279"/>
      <c r="Z479" s="282"/>
      <c r="AA479" s="282"/>
      <c r="AB479" s="282"/>
      <c r="AC479" s="284"/>
      <c r="AD479" s="284"/>
    </row>
    <row r="480" ht="14.25" customHeight="1">
      <c r="A480" s="266"/>
      <c r="B480" s="266"/>
      <c r="C480" s="266"/>
      <c r="D480" s="266"/>
      <c r="E480" s="268"/>
      <c r="F480" s="291"/>
      <c r="G480" s="268"/>
      <c r="H480" s="268"/>
      <c r="I480" s="268"/>
      <c r="J480" s="268"/>
      <c r="K480" s="268"/>
      <c r="L480" s="271" t="str">
        <f t="shared" si="47"/>
        <v>12/30/99 0:00</v>
      </c>
      <c r="M480" s="278"/>
      <c r="N480" s="290"/>
      <c r="O480" s="276"/>
      <c r="P480" s="276"/>
      <c r="Q480" s="278"/>
      <c r="R480" s="278"/>
      <c r="S480" s="278"/>
      <c r="T480" s="278"/>
      <c r="U480" s="279"/>
      <c r="V480" s="279"/>
      <c r="W480" s="279"/>
      <c r="X480" s="279"/>
      <c r="Y480" s="279"/>
      <c r="Z480" s="282"/>
      <c r="AA480" s="282"/>
      <c r="AB480" s="282"/>
      <c r="AC480" s="284"/>
      <c r="AD480" s="284"/>
    </row>
    <row r="481" ht="14.25" customHeight="1">
      <c r="A481" s="266"/>
      <c r="B481" s="266"/>
      <c r="C481" s="266"/>
      <c r="D481" s="266"/>
      <c r="E481" s="268"/>
      <c r="F481" s="291"/>
      <c r="G481" s="268"/>
      <c r="H481" s="268"/>
      <c r="I481" s="268"/>
      <c r="J481" s="268"/>
      <c r="K481" s="268"/>
      <c r="L481" s="271" t="str">
        <f t="shared" si="47"/>
        <v>12/30/99 0:00</v>
      </c>
      <c r="M481" s="278"/>
      <c r="N481" s="290"/>
      <c r="O481" s="276"/>
      <c r="P481" s="276"/>
      <c r="Q481" s="278"/>
      <c r="R481" s="278"/>
      <c r="S481" s="278"/>
      <c r="T481" s="278"/>
      <c r="U481" s="279"/>
      <c r="V481" s="279"/>
      <c r="W481" s="279"/>
      <c r="X481" s="279"/>
      <c r="Y481" s="279"/>
      <c r="Z481" s="282"/>
      <c r="AA481" s="282"/>
      <c r="AB481" s="282"/>
      <c r="AC481" s="284"/>
      <c r="AD481" s="284"/>
    </row>
    <row r="482" ht="14.25" customHeight="1">
      <c r="A482" s="266"/>
      <c r="B482" s="266"/>
      <c r="C482" s="266"/>
      <c r="D482" s="266"/>
      <c r="E482" s="268"/>
      <c r="F482" s="291"/>
      <c r="G482" s="268"/>
      <c r="H482" s="268"/>
      <c r="I482" s="268"/>
      <c r="J482" s="268"/>
      <c r="K482" s="268"/>
      <c r="L482" s="271" t="str">
        <f t="shared" si="47"/>
        <v>12/30/99 0:00</v>
      </c>
      <c r="M482" s="278"/>
      <c r="N482" s="290"/>
      <c r="O482" s="276"/>
      <c r="P482" s="276"/>
      <c r="Q482" s="278"/>
      <c r="R482" s="278"/>
      <c r="S482" s="278"/>
      <c r="T482" s="278"/>
      <c r="U482" s="279"/>
      <c r="V482" s="279"/>
      <c r="W482" s="279"/>
      <c r="X482" s="279"/>
      <c r="Y482" s="279"/>
      <c r="Z482" s="282"/>
      <c r="AA482" s="282"/>
      <c r="AB482" s="282"/>
      <c r="AC482" s="284"/>
      <c r="AD482" s="284"/>
    </row>
    <row r="483" ht="14.25" customHeight="1">
      <c r="A483" s="266"/>
      <c r="B483" s="266"/>
      <c r="C483" s="266"/>
      <c r="D483" s="266"/>
      <c r="E483" s="268"/>
      <c r="F483" s="291"/>
      <c r="G483" s="268"/>
      <c r="H483" s="268"/>
      <c r="I483" s="268"/>
      <c r="J483" s="268"/>
      <c r="K483" s="268"/>
      <c r="L483" s="271" t="str">
        <f t="shared" si="47"/>
        <v>12/30/99 0:00</v>
      </c>
      <c r="M483" s="278"/>
      <c r="N483" s="290"/>
      <c r="O483" s="276"/>
      <c r="P483" s="276"/>
      <c r="Q483" s="278"/>
      <c r="R483" s="278"/>
      <c r="S483" s="278"/>
      <c r="T483" s="278"/>
      <c r="U483" s="279"/>
      <c r="V483" s="279"/>
      <c r="W483" s="279"/>
      <c r="X483" s="279"/>
      <c r="Y483" s="279"/>
      <c r="Z483" s="282"/>
      <c r="AA483" s="282"/>
      <c r="AB483" s="282"/>
      <c r="AC483" s="284"/>
      <c r="AD483" s="284"/>
    </row>
    <row r="484" ht="14.25" customHeight="1">
      <c r="A484" s="266"/>
      <c r="B484" s="266"/>
      <c r="C484" s="266"/>
      <c r="D484" s="266"/>
      <c r="E484" s="268"/>
      <c r="F484" s="291"/>
      <c r="G484" s="268"/>
      <c r="H484" s="268"/>
      <c r="I484" s="268"/>
      <c r="J484" s="268"/>
      <c r="K484" s="268"/>
      <c r="L484" s="271" t="str">
        <f t="shared" si="47"/>
        <v>12/30/99 0:00</v>
      </c>
      <c r="M484" s="278"/>
      <c r="N484" s="290"/>
      <c r="O484" s="276"/>
      <c r="P484" s="276"/>
      <c r="Q484" s="278"/>
      <c r="R484" s="278"/>
      <c r="S484" s="278"/>
      <c r="T484" s="278"/>
      <c r="U484" s="279"/>
      <c r="V484" s="279"/>
      <c r="W484" s="279"/>
      <c r="X484" s="279"/>
      <c r="Y484" s="279"/>
      <c r="Z484" s="282"/>
      <c r="AA484" s="282"/>
      <c r="AB484" s="282"/>
      <c r="AC484" s="284"/>
      <c r="AD484" s="284"/>
    </row>
    <row r="485" ht="14.25" customHeight="1">
      <c r="A485" s="266"/>
      <c r="B485" s="266"/>
      <c r="C485" s="266"/>
      <c r="D485" s="266"/>
      <c r="E485" s="268"/>
      <c r="F485" s="291"/>
      <c r="G485" s="268"/>
      <c r="H485" s="268"/>
      <c r="I485" s="268"/>
      <c r="J485" s="268"/>
      <c r="K485" s="268"/>
      <c r="L485" s="271" t="str">
        <f t="shared" si="47"/>
        <v>12/30/99 0:00</v>
      </c>
      <c r="M485" s="278"/>
      <c r="N485" s="290"/>
      <c r="O485" s="276"/>
      <c r="P485" s="276"/>
      <c r="Q485" s="278"/>
      <c r="R485" s="278"/>
      <c r="S485" s="278"/>
      <c r="T485" s="278"/>
      <c r="U485" s="279"/>
      <c r="V485" s="279"/>
      <c r="W485" s="279"/>
      <c r="X485" s="279"/>
      <c r="Y485" s="279"/>
      <c r="Z485" s="282"/>
      <c r="AA485" s="282"/>
      <c r="AB485" s="282"/>
      <c r="AC485" s="284"/>
      <c r="AD485" s="284"/>
    </row>
    <row r="486" ht="14.25" customHeight="1">
      <c r="A486" s="266"/>
      <c r="B486" s="266"/>
      <c r="C486" s="266"/>
      <c r="D486" s="266"/>
      <c r="E486" s="268"/>
      <c r="F486" s="291"/>
      <c r="G486" s="268"/>
      <c r="H486" s="268"/>
      <c r="I486" s="268"/>
      <c r="J486" s="268"/>
      <c r="K486" s="268"/>
      <c r="L486" s="271" t="str">
        <f t="shared" si="47"/>
        <v>12/30/99 0:00</v>
      </c>
      <c r="M486" s="278"/>
      <c r="N486" s="290"/>
      <c r="O486" s="276"/>
      <c r="P486" s="276"/>
      <c r="Q486" s="278"/>
      <c r="R486" s="278"/>
      <c r="S486" s="278"/>
      <c r="T486" s="278"/>
      <c r="U486" s="279"/>
      <c r="V486" s="279"/>
      <c r="W486" s="279"/>
      <c r="X486" s="279"/>
      <c r="Y486" s="279"/>
      <c r="Z486" s="282"/>
      <c r="AA486" s="282"/>
      <c r="AB486" s="282"/>
      <c r="AC486" s="284"/>
      <c r="AD486" s="284"/>
    </row>
    <row r="487" ht="14.25" customHeight="1">
      <c r="A487" s="266"/>
      <c r="B487" s="266"/>
      <c r="C487" s="266"/>
      <c r="D487" s="266"/>
      <c r="E487" s="268"/>
      <c r="F487" s="291"/>
      <c r="G487" s="268"/>
      <c r="H487" s="268"/>
      <c r="I487" s="268"/>
      <c r="J487" s="268"/>
      <c r="K487" s="268"/>
      <c r="L487" s="271" t="str">
        <f t="shared" si="47"/>
        <v>12/30/99 0:00</v>
      </c>
      <c r="M487" s="278"/>
      <c r="N487" s="290"/>
      <c r="O487" s="276"/>
      <c r="P487" s="276"/>
      <c r="Q487" s="278"/>
      <c r="R487" s="278"/>
      <c r="S487" s="278"/>
      <c r="T487" s="278"/>
      <c r="U487" s="279"/>
      <c r="V487" s="279"/>
      <c r="W487" s="279"/>
      <c r="X487" s="279"/>
      <c r="Y487" s="279"/>
      <c r="Z487" s="282"/>
      <c r="AA487" s="282"/>
      <c r="AB487" s="282"/>
      <c r="AC487" s="284"/>
      <c r="AD487" s="284"/>
    </row>
    <row r="488" ht="14.25" customHeight="1">
      <c r="A488" s="266"/>
      <c r="B488" s="266"/>
      <c r="C488" s="266"/>
      <c r="D488" s="266"/>
      <c r="E488" s="268"/>
      <c r="F488" s="291"/>
      <c r="G488" s="268"/>
      <c r="H488" s="268"/>
      <c r="I488" s="268"/>
      <c r="J488" s="268"/>
      <c r="K488" s="268"/>
      <c r="L488" s="271" t="str">
        <f t="shared" si="47"/>
        <v>12/30/99 0:00</v>
      </c>
      <c r="M488" s="278"/>
      <c r="N488" s="290"/>
      <c r="O488" s="276"/>
      <c r="P488" s="276"/>
      <c r="Q488" s="278"/>
      <c r="R488" s="278"/>
      <c r="S488" s="278"/>
      <c r="T488" s="278"/>
      <c r="U488" s="279"/>
      <c r="V488" s="279"/>
      <c r="W488" s="279"/>
      <c r="X488" s="279"/>
      <c r="Y488" s="279"/>
      <c r="Z488" s="282"/>
      <c r="AA488" s="282"/>
      <c r="AB488" s="282"/>
      <c r="AC488" s="284"/>
      <c r="AD488" s="284"/>
    </row>
    <row r="489" ht="14.25" customHeight="1">
      <c r="A489" s="266"/>
      <c r="B489" s="266"/>
      <c r="C489" s="266"/>
      <c r="D489" s="266"/>
      <c r="E489" s="268"/>
      <c r="F489" s="291"/>
      <c r="G489" s="268"/>
      <c r="H489" s="268"/>
      <c r="I489" s="268"/>
      <c r="J489" s="268"/>
      <c r="K489" s="268"/>
      <c r="L489" s="271" t="str">
        <f t="shared" si="47"/>
        <v>12/30/99 0:00</v>
      </c>
      <c r="M489" s="278"/>
      <c r="N489" s="290"/>
      <c r="O489" s="276"/>
      <c r="P489" s="276"/>
      <c r="Q489" s="278"/>
      <c r="R489" s="278"/>
      <c r="S489" s="278"/>
      <c r="T489" s="278"/>
      <c r="U489" s="279"/>
      <c r="V489" s="279"/>
      <c r="W489" s="279"/>
      <c r="X489" s="279"/>
      <c r="Y489" s="279"/>
      <c r="Z489" s="282"/>
      <c r="AA489" s="282"/>
      <c r="AB489" s="282"/>
      <c r="AC489" s="284"/>
      <c r="AD489" s="284"/>
    </row>
    <row r="490" ht="14.25" customHeight="1">
      <c r="A490" s="266"/>
      <c r="B490" s="266"/>
      <c r="C490" s="266"/>
      <c r="D490" s="266"/>
      <c r="E490" s="268"/>
      <c r="F490" s="291"/>
      <c r="G490" s="268"/>
      <c r="H490" s="268"/>
      <c r="I490" s="268"/>
      <c r="J490" s="268"/>
      <c r="K490" s="268"/>
      <c r="L490" s="271" t="str">
        <f t="shared" si="47"/>
        <v>12/30/99 0:00</v>
      </c>
      <c r="M490" s="278"/>
      <c r="N490" s="290"/>
      <c r="O490" s="276"/>
      <c r="P490" s="276"/>
      <c r="Q490" s="278"/>
      <c r="R490" s="278"/>
      <c r="S490" s="278"/>
      <c r="T490" s="278"/>
      <c r="U490" s="279"/>
      <c r="V490" s="279"/>
      <c r="W490" s="279"/>
      <c r="X490" s="279"/>
      <c r="Y490" s="279"/>
      <c r="Z490" s="282"/>
      <c r="AA490" s="282"/>
      <c r="AB490" s="282"/>
      <c r="AC490" s="284"/>
      <c r="AD490" s="284"/>
    </row>
    <row r="491" ht="14.25" customHeight="1">
      <c r="A491" s="266"/>
      <c r="B491" s="266"/>
      <c r="C491" s="266"/>
      <c r="D491" s="266"/>
      <c r="E491" s="268"/>
      <c r="F491" s="291"/>
      <c r="G491" s="268"/>
      <c r="H491" s="268"/>
      <c r="I491" s="268"/>
      <c r="J491" s="268"/>
      <c r="K491" s="268"/>
      <c r="L491" s="271" t="str">
        <f t="shared" si="47"/>
        <v>12/30/99 0:00</v>
      </c>
      <c r="M491" s="278"/>
      <c r="N491" s="290"/>
      <c r="O491" s="276"/>
      <c r="P491" s="276"/>
      <c r="Q491" s="278"/>
      <c r="R491" s="278"/>
      <c r="S491" s="278"/>
      <c r="T491" s="278"/>
      <c r="U491" s="279"/>
      <c r="V491" s="279"/>
      <c r="W491" s="279"/>
      <c r="X491" s="279"/>
      <c r="Y491" s="279"/>
      <c r="Z491" s="282"/>
      <c r="AA491" s="282"/>
      <c r="AB491" s="282"/>
      <c r="AC491" s="284"/>
      <c r="AD491" s="284"/>
    </row>
    <row r="492" ht="14.25" customHeight="1">
      <c r="A492" s="266"/>
      <c r="B492" s="266"/>
      <c r="C492" s="266"/>
      <c r="D492" s="266"/>
      <c r="E492" s="268"/>
      <c r="F492" s="291"/>
      <c r="G492" s="268"/>
      <c r="H492" s="268"/>
      <c r="I492" s="268"/>
      <c r="J492" s="268"/>
      <c r="K492" s="268"/>
      <c r="L492" s="271" t="str">
        <f t="shared" si="47"/>
        <v>12/30/99 0:00</v>
      </c>
      <c r="M492" s="278"/>
      <c r="N492" s="290"/>
      <c r="O492" s="276"/>
      <c r="P492" s="276"/>
      <c r="Q492" s="278"/>
      <c r="R492" s="278"/>
      <c r="S492" s="278"/>
      <c r="T492" s="278"/>
      <c r="U492" s="279"/>
      <c r="V492" s="279"/>
      <c r="W492" s="279"/>
      <c r="X492" s="279"/>
      <c r="Y492" s="279"/>
      <c r="Z492" s="282"/>
      <c r="AA492" s="282"/>
      <c r="AB492" s="282"/>
      <c r="AC492" s="284"/>
      <c r="AD492" s="284"/>
    </row>
    <row r="493" ht="14.25" customHeight="1">
      <c r="A493" s="266"/>
      <c r="B493" s="266"/>
      <c r="C493" s="266"/>
      <c r="D493" s="266"/>
      <c r="E493" s="268"/>
      <c r="F493" s="291"/>
      <c r="G493" s="268"/>
      <c r="H493" s="268"/>
      <c r="I493" s="268"/>
      <c r="J493" s="268"/>
      <c r="K493" s="268"/>
      <c r="L493" s="271" t="str">
        <f t="shared" si="47"/>
        <v>12/30/99 0:00</v>
      </c>
      <c r="M493" s="278"/>
      <c r="N493" s="290"/>
      <c r="O493" s="276"/>
      <c r="P493" s="276"/>
      <c r="Q493" s="278"/>
      <c r="R493" s="278"/>
      <c r="S493" s="278"/>
      <c r="T493" s="278"/>
      <c r="U493" s="279"/>
      <c r="V493" s="279"/>
      <c r="W493" s="279"/>
      <c r="X493" s="279"/>
      <c r="Y493" s="279"/>
      <c r="Z493" s="282"/>
      <c r="AA493" s="282"/>
      <c r="AB493" s="282"/>
      <c r="AC493" s="284"/>
      <c r="AD493" s="284"/>
    </row>
    <row r="494" ht="14.25" customHeight="1">
      <c r="A494" s="266"/>
      <c r="B494" s="266"/>
      <c r="C494" s="266"/>
      <c r="D494" s="266"/>
      <c r="E494" s="268"/>
      <c r="F494" s="291"/>
      <c r="G494" s="268"/>
      <c r="H494" s="268"/>
      <c r="I494" s="268"/>
      <c r="J494" s="268"/>
      <c r="K494" s="268"/>
      <c r="L494" s="271" t="str">
        <f t="shared" si="47"/>
        <v>12/30/99 0:00</v>
      </c>
      <c r="M494" s="278"/>
      <c r="N494" s="290"/>
      <c r="O494" s="276"/>
      <c r="P494" s="276"/>
      <c r="Q494" s="278"/>
      <c r="R494" s="278"/>
      <c r="S494" s="278"/>
      <c r="T494" s="278"/>
      <c r="U494" s="279"/>
      <c r="V494" s="279"/>
      <c r="W494" s="279"/>
      <c r="X494" s="279"/>
      <c r="Y494" s="279"/>
      <c r="Z494" s="282"/>
      <c r="AA494" s="282"/>
      <c r="AB494" s="282"/>
      <c r="AC494" s="284"/>
      <c r="AD494" s="284"/>
    </row>
    <row r="495" ht="14.25" customHeight="1">
      <c r="A495" s="266"/>
      <c r="B495" s="266"/>
      <c r="C495" s="266"/>
      <c r="D495" s="266"/>
      <c r="E495" s="268"/>
      <c r="F495" s="291"/>
      <c r="G495" s="268"/>
      <c r="H495" s="268"/>
      <c r="I495" s="268"/>
      <c r="J495" s="268"/>
      <c r="K495" s="268"/>
      <c r="L495" s="271" t="str">
        <f t="shared" si="47"/>
        <v>12/30/99 0:00</v>
      </c>
      <c r="M495" s="278"/>
      <c r="N495" s="290"/>
      <c r="O495" s="276"/>
      <c r="P495" s="276"/>
      <c r="Q495" s="278"/>
      <c r="R495" s="278"/>
      <c r="S495" s="278"/>
      <c r="T495" s="278"/>
      <c r="U495" s="279"/>
      <c r="V495" s="279"/>
      <c r="W495" s="279"/>
      <c r="X495" s="279"/>
      <c r="Y495" s="279"/>
      <c r="Z495" s="282"/>
      <c r="AA495" s="282"/>
      <c r="AB495" s="282"/>
      <c r="AC495" s="284"/>
      <c r="AD495" s="284"/>
    </row>
    <row r="496" ht="14.25" customHeight="1">
      <c r="A496" s="266"/>
      <c r="B496" s="266"/>
      <c r="C496" s="266"/>
      <c r="D496" s="266"/>
      <c r="E496" s="268"/>
      <c r="F496" s="291"/>
      <c r="G496" s="268"/>
      <c r="H496" s="268"/>
      <c r="I496" s="268"/>
      <c r="J496" s="268"/>
      <c r="K496" s="268"/>
      <c r="L496" s="271" t="str">
        <f t="shared" si="47"/>
        <v>12/30/99 0:00</v>
      </c>
      <c r="M496" s="278"/>
      <c r="N496" s="290"/>
      <c r="O496" s="276"/>
      <c r="P496" s="276"/>
      <c r="Q496" s="278"/>
      <c r="R496" s="278"/>
      <c r="S496" s="278"/>
      <c r="T496" s="278"/>
      <c r="U496" s="279"/>
      <c r="V496" s="279"/>
      <c r="W496" s="279"/>
      <c r="X496" s="279"/>
      <c r="Y496" s="279"/>
      <c r="Z496" s="282"/>
      <c r="AA496" s="282"/>
      <c r="AB496" s="282"/>
      <c r="AC496" s="284"/>
      <c r="AD496" s="284"/>
    </row>
    <row r="497" ht="14.25" customHeight="1">
      <c r="A497" s="266"/>
      <c r="B497" s="266"/>
      <c r="C497" s="266"/>
      <c r="D497" s="266"/>
      <c r="E497" s="268"/>
      <c r="F497" s="291"/>
      <c r="G497" s="268"/>
      <c r="H497" s="268"/>
      <c r="I497" s="268"/>
      <c r="J497" s="268"/>
      <c r="K497" s="268"/>
      <c r="L497" s="271" t="str">
        <f t="shared" si="47"/>
        <v>12/30/99 0:00</v>
      </c>
      <c r="M497" s="278"/>
      <c r="N497" s="290"/>
      <c r="O497" s="276"/>
      <c r="P497" s="276"/>
      <c r="Q497" s="278"/>
      <c r="R497" s="278"/>
      <c r="S497" s="278"/>
      <c r="T497" s="278"/>
      <c r="U497" s="279"/>
      <c r="V497" s="279"/>
      <c r="W497" s="279"/>
      <c r="X497" s="279"/>
      <c r="Y497" s="279"/>
      <c r="Z497" s="282"/>
      <c r="AA497" s="282"/>
      <c r="AB497" s="282"/>
      <c r="AC497" s="284"/>
      <c r="AD497" s="284"/>
    </row>
    <row r="498" ht="14.25" customHeight="1">
      <c r="A498" s="266"/>
      <c r="B498" s="266"/>
      <c r="C498" s="266"/>
      <c r="D498" s="266"/>
      <c r="E498" s="268"/>
      <c r="F498" s="291"/>
      <c r="G498" s="268"/>
      <c r="H498" s="268"/>
      <c r="I498" s="268"/>
      <c r="J498" s="268"/>
      <c r="K498" s="268"/>
      <c r="L498" s="271" t="str">
        <f t="shared" si="47"/>
        <v>12/30/99 0:00</v>
      </c>
      <c r="M498" s="278"/>
      <c r="N498" s="290"/>
      <c r="O498" s="276"/>
      <c r="P498" s="276"/>
      <c r="Q498" s="278"/>
      <c r="R498" s="278"/>
      <c r="S498" s="278"/>
      <c r="T498" s="278"/>
      <c r="U498" s="279"/>
      <c r="V498" s="279"/>
      <c r="W498" s="279"/>
      <c r="X498" s="279"/>
      <c r="Y498" s="279"/>
      <c r="Z498" s="282"/>
      <c r="AA498" s="282"/>
      <c r="AB498" s="282"/>
      <c r="AC498" s="284"/>
      <c r="AD498" s="284"/>
    </row>
    <row r="499" ht="14.25" customHeight="1">
      <c r="A499" s="266"/>
      <c r="B499" s="266"/>
      <c r="C499" s="266"/>
      <c r="D499" s="266"/>
      <c r="E499" s="268"/>
      <c r="F499" s="291"/>
      <c r="G499" s="268"/>
      <c r="H499" s="268"/>
      <c r="I499" s="268"/>
      <c r="J499" s="268"/>
      <c r="K499" s="268"/>
      <c r="L499" s="271" t="str">
        <f t="shared" si="47"/>
        <v>12/30/99 0:00</v>
      </c>
      <c r="M499" s="278"/>
      <c r="N499" s="290"/>
      <c r="O499" s="276"/>
      <c r="P499" s="276"/>
      <c r="Q499" s="278"/>
      <c r="R499" s="278"/>
      <c r="S499" s="278"/>
      <c r="T499" s="278"/>
      <c r="U499" s="279"/>
      <c r="V499" s="279"/>
      <c r="W499" s="279"/>
      <c r="X499" s="279"/>
      <c r="Y499" s="279"/>
      <c r="Z499" s="282"/>
      <c r="AA499" s="282"/>
      <c r="AB499" s="282"/>
      <c r="AC499" s="284"/>
      <c r="AD499" s="284"/>
    </row>
    <row r="500" ht="14.25" customHeight="1">
      <c r="A500" s="266"/>
      <c r="B500" s="266"/>
      <c r="C500" s="266"/>
      <c r="D500" s="266"/>
      <c r="E500" s="268"/>
      <c r="F500" s="291"/>
      <c r="G500" s="268"/>
      <c r="H500" s="268"/>
      <c r="I500" s="268"/>
      <c r="J500" s="268"/>
      <c r="K500" s="268"/>
      <c r="L500" s="271" t="str">
        <f t="shared" si="47"/>
        <v>12/30/99 0:00</v>
      </c>
      <c r="M500" s="278"/>
      <c r="N500" s="290"/>
      <c r="O500" s="276"/>
      <c r="P500" s="276"/>
      <c r="Q500" s="278"/>
      <c r="R500" s="278"/>
      <c r="S500" s="278"/>
      <c r="T500" s="278"/>
      <c r="U500" s="279"/>
      <c r="V500" s="279"/>
      <c r="W500" s="279"/>
      <c r="X500" s="279"/>
      <c r="Y500" s="279"/>
      <c r="Z500" s="282"/>
      <c r="AA500" s="282"/>
      <c r="AB500" s="282"/>
      <c r="AC500" s="284"/>
      <c r="AD500" s="284"/>
    </row>
    <row r="501" ht="14.25" customHeight="1">
      <c r="A501" s="266"/>
      <c r="B501" s="266"/>
      <c r="C501" s="266"/>
      <c r="D501" s="266"/>
      <c r="E501" s="268"/>
      <c r="F501" s="291"/>
      <c r="G501" s="268"/>
      <c r="H501" s="268"/>
      <c r="I501" s="268"/>
      <c r="J501" s="268"/>
      <c r="K501" s="268"/>
      <c r="L501" s="271" t="str">
        <f t="shared" si="47"/>
        <v>12/30/99 0:00</v>
      </c>
      <c r="M501" s="278"/>
      <c r="N501" s="290"/>
      <c r="O501" s="276"/>
      <c r="P501" s="276"/>
      <c r="Q501" s="278"/>
      <c r="R501" s="278"/>
      <c r="S501" s="278"/>
      <c r="T501" s="278"/>
      <c r="U501" s="279"/>
      <c r="V501" s="279"/>
      <c r="W501" s="279"/>
      <c r="X501" s="279"/>
      <c r="Y501" s="279"/>
      <c r="Z501" s="282"/>
      <c r="AA501" s="282"/>
      <c r="AB501" s="282"/>
      <c r="AC501" s="284"/>
      <c r="AD501" s="284"/>
    </row>
    <row r="502" ht="14.25" customHeight="1">
      <c r="A502" s="266"/>
      <c r="B502" s="266"/>
      <c r="C502" s="266"/>
      <c r="D502" s="266"/>
      <c r="E502" s="268"/>
      <c r="F502" s="291"/>
      <c r="G502" s="268"/>
      <c r="H502" s="268"/>
      <c r="I502" s="268"/>
      <c r="J502" s="268"/>
      <c r="K502" s="268"/>
      <c r="L502" s="271" t="str">
        <f t="shared" si="47"/>
        <v>12/30/99 0:00</v>
      </c>
      <c r="M502" s="278"/>
      <c r="N502" s="290"/>
      <c r="O502" s="276"/>
      <c r="P502" s="276"/>
      <c r="Q502" s="278"/>
      <c r="R502" s="278"/>
      <c r="S502" s="278"/>
      <c r="T502" s="278"/>
      <c r="U502" s="279"/>
      <c r="V502" s="279"/>
      <c r="W502" s="279"/>
      <c r="X502" s="279"/>
      <c r="Y502" s="279"/>
      <c r="Z502" s="282"/>
      <c r="AA502" s="282"/>
      <c r="AB502" s="282"/>
      <c r="AC502" s="284"/>
      <c r="AD502" s="284"/>
    </row>
    <row r="503" ht="14.25" customHeight="1">
      <c r="A503" s="266"/>
      <c r="B503" s="266"/>
      <c r="C503" s="266"/>
      <c r="D503" s="266"/>
      <c r="E503" s="268"/>
      <c r="F503" s="291"/>
      <c r="G503" s="268"/>
      <c r="H503" s="268"/>
      <c r="I503" s="268"/>
      <c r="J503" s="268"/>
      <c r="K503" s="268"/>
      <c r="L503" s="271" t="str">
        <f t="shared" si="47"/>
        <v>12/30/99 0:00</v>
      </c>
      <c r="M503" s="278"/>
      <c r="N503" s="290"/>
      <c r="O503" s="276"/>
      <c r="P503" s="276"/>
      <c r="Q503" s="278"/>
      <c r="R503" s="278"/>
      <c r="S503" s="278"/>
      <c r="T503" s="278"/>
      <c r="U503" s="279"/>
      <c r="V503" s="279"/>
      <c r="W503" s="279"/>
      <c r="X503" s="279"/>
      <c r="Y503" s="279"/>
      <c r="Z503" s="282"/>
      <c r="AA503" s="282"/>
      <c r="AB503" s="282"/>
      <c r="AC503" s="284"/>
      <c r="AD503" s="284"/>
    </row>
    <row r="504" ht="14.25" customHeight="1">
      <c r="A504" s="266"/>
      <c r="B504" s="266"/>
      <c r="C504" s="266"/>
      <c r="D504" s="266"/>
      <c r="E504" s="268"/>
      <c r="F504" s="291"/>
      <c r="G504" s="268"/>
      <c r="H504" s="268"/>
      <c r="I504" s="268"/>
      <c r="J504" s="268"/>
      <c r="K504" s="268"/>
      <c r="L504" s="271" t="str">
        <f t="shared" si="47"/>
        <v>12/30/99 0:00</v>
      </c>
      <c r="M504" s="278"/>
      <c r="N504" s="290"/>
      <c r="O504" s="276"/>
      <c r="P504" s="276"/>
      <c r="Q504" s="278"/>
      <c r="R504" s="278"/>
      <c r="S504" s="278"/>
      <c r="T504" s="278"/>
      <c r="U504" s="279"/>
      <c r="V504" s="279"/>
      <c r="W504" s="279"/>
      <c r="X504" s="279"/>
      <c r="Y504" s="279"/>
      <c r="Z504" s="282"/>
      <c r="AA504" s="282"/>
      <c r="AB504" s="282"/>
      <c r="AC504" s="284"/>
      <c r="AD504" s="284"/>
    </row>
    <row r="505" ht="14.25" customHeight="1">
      <c r="A505" s="266"/>
      <c r="B505" s="266"/>
      <c r="C505" s="266"/>
      <c r="D505" s="266"/>
      <c r="E505" s="268"/>
      <c r="F505" s="291"/>
      <c r="G505" s="268"/>
      <c r="H505" s="268"/>
      <c r="I505" s="268"/>
      <c r="J505" s="268"/>
      <c r="K505" s="268"/>
      <c r="L505" s="271" t="str">
        <f t="shared" si="47"/>
        <v>12/30/99 0:00</v>
      </c>
      <c r="M505" s="278"/>
      <c r="N505" s="290"/>
      <c r="O505" s="276"/>
      <c r="P505" s="276"/>
      <c r="Q505" s="278"/>
      <c r="R505" s="278"/>
      <c r="S505" s="278"/>
      <c r="T505" s="278"/>
      <c r="U505" s="279"/>
      <c r="V505" s="279"/>
      <c r="W505" s="279"/>
      <c r="X505" s="279"/>
      <c r="Y505" s="279"/>
      <c r="Z505" s="282"/>
      <c r="AA505" s="282"/>
      <c r="AB505" s="282"/>
      <c r="AC505" s="284"/>
      <c r="AD505" s="284"/>
    </row>
    <row r="506" ht="14.25" customHeight="1">
      <c r="A506" s="266"/>
      <c r="B506" s="266"/>
      <c r="C506" s="266"/>
      <c r="D506" s="266"/>
      <c r="E506" s="268"/>
      <c r="F506" s="291"/>
      <c r="G506" s="268"/>
      <c r="H506" s="268"/>
      <c r="I506" s="268"/>
      <c r="J506" s="268"/>
      <c r="K506" s="268"/>
      <c r="L506" s="271" t="str">
        <f t="shared" si="47"/>
        <v>12/30/99 0:00</v>
      </c>
      <c r="M506" s="278"/>
      <c r="N506" s="290"/>
      <c r="O506" s="276"/>
      <c r="P506" s="276"/>
      <c r="Q506" s="278"/>
      <c r="R506" s="278"/>
      <c r="S506" s="278"/>
      <c r="T506" s="278"/>
      <c r="U506" s="279"/>
      <c r="V506" s="279"/>
      <c r="W506" s="279"/>
      <c r="X506" s="279"/>
      <c r="Y506" s="279"/>
      <c r="Z506" s="282"/>
      <c r="AA506" s="282"/>
      <c r="AB506" s="282"/>
      <c r="AC506" s="284"/>
      <c r="AD506" s="284"/>
    </row>
    <row r="507" ht="14.25" customHeight="1">
      <c r="A507" s="266"/>
      <c r="B507" s="266"/>
      <c r="C507" s="266"/>
      <c r="D507" s="266"/>
      <c r="E507" s="268"/>
      <c r="F507" s="291"/>
      <c r="G507" s="268"/>
      <c r="H507" s="268"/>
      <c r="I507" s="268"/>
      <c r="J507" s="268"/>
      <c r="K507" s="268"/>
      <c r="L507" s="271" t="str">
        <f t="shared" si="47"/>
        <v>12/30/99 0:00</v>
      </c>
      <c r="M507" s="278"/>
      <c r="N507" s="290"/>
      <c r="O507" s="276"/>
      <c r="P507" s="276"/>
      <c r="Q507" s="278"/>
      <c r="R507" s="278"/>
      <c r="S507" s="278"/>
      <c r="T507" s="278"/>
      <c r="U507" s="279"/>
      <c r="V507" s="279"/>
      <c r="W507" s="279"/>
      <c r="X507" s="279"/>
      <c r="Y507" s="279"/>
      <c r="Z507" s="282"/>
      <c r="AA507" s="282"/>
      <c r="AB507" s="282"/>
      <c r="AC507" s="284"/>
      <c r="AD507" s="284"/>
    </row>
    <row r="508" ht="14.25" customHeight="1">
      <c r="A508" s="266"/>
      <c r="B508" s="266"/>
      <c r="C508" s="266"/>
      <c r="D508" s="266"/>
      <c r="E508" s="268"/>
      <c r="F508" s="291"/>
      <c r="G508" s="268"/>
      <c r="H508" s="268"/>
      <c r="I508" s="268"/>
      <c r="J508" s="268"/>
      <c r="K508" s="268"/>
      <c r="L508" s="271" t="str">
        <f t="shared" si="47"/>
        <v>12/30/99 0:00</v>
      </c>
      <c r="M508" s="278"/>
      <c r="N508" s="290"/>
      <c r="O508" s="276"/>
      <c r="P508" s="276"/>
      <c r="Q508" s="278"/>
      <c r="R508" s="278"/>
      <c r="S508" s="278"/>
      <c r="T508" s="278"/>
      <c r="U508" s="279"/>
      <c r="V508" s="279"/>
      <c r="W508" s="279"/>
      <c r="X508" s="279"/>
      <c r="Y508" s="279"/>
      <c r="Z508" s="282"/>
      <c r="AA508" s="282"/>
      <c r="AB508" s="282"/>
      <c r="AC508" s="284"/>
      <c r="AD508" s="284"/>
    </row>
    <row r="509" ht="14.25" customHeight="1">
      <c r="A509" s="266"/>
      <c r="B509" s="266"/>
      <c r="C509" s="266"/>
      <c r="D509" s="266"/>
      <c r="E509" s="268"/>
      <c r="F509" s="291"/>
      <c r="G509" s="268"/>
      <c r="H509" s="268"/>
      <c r="I509" s="268"/>
      <c r="J509" s="268"/>
      <c r="K509" s="268"/>
      <c r="L509" s="271" t="str">
        <f t="shared" si="47"/>
        <v>12/30/99 0:00</v>
      </c>
      <c r="M509" s="278"/>
      <c r="N509" s="290"/>
      <c r="O509" s="276"/>
      <c r="P509" s="276"/>
      <c r="Q509" s="278"/>
      <c r="R509" s="278"/>
      <c r="S509" s="278"/>
      <c r="T509" s="278"/>
      <c r="U509" s="279"/>
      <c r="V509" s="279"/>
      <c r="W509" s="279"/>
      <c r="X509" s="279"/>
      <c r="Y509" s="279"/>
      <c r="Z509" s="282"/>
      <c r="AA509" s="282"/>
      <c r="AB509" s="282"/>
      <c r="AC509" s="284"/>
      <c r="AD509" s="284"/>
    </row>
    <row r="510" ht="14.25" customHeight="1">
      <c r="A510" s="266"/>
      <c r="B510" s="266"/>
      <c r="C510" s="266"/>
      <c r="D510" s="266"/>
      <c r="E510" s="268"/>
      <c r="F510" s="291"/>
      <c r="G510" s="268"/>
      <c r="H510" s="268"/>
      <c r="I510" s="268"/>
      <c r="J510" s="268"/>
      <c r="K510" s="268"/>
      <c r="L510" s="271" t="str">
        <f t="shared" si="47"/>
        <v>12/30/99 0:00</v>
      </c>
      <c r="M510" s="278"/>
      <c r="N510" s="290"/>
      <c r="O510" s="276"/>
      <c r="P510" s="276"/>
      <c r="Q510" s="278"/>
      <c r="R510" s="278"/>
      <c r="S510" s="278"/>
      <c r="T510" s="278"/>
      <c r="U510" s="279"/>
      <c r="V510" s="279"/>
      <c r="W510" s="279"/>
      <c r="X510" s="279"/>
      <c r="Y510" s="279"/>
      <c r="Z510" s="282"/>
      <c r="AA510" s="282"/>
      <c r="AB510" s="282"/>
      <c r="AC510" s="284"/>
      <c r="AD510" s="284"/>
    </row>
    <row r="511" ht="14.25" customHeight="1">
      <c r="A511" s="266"/>
      <c r="B511" s="266"/>
      <c r="C511" s="266"/>
      <c r="D511" s="266"/>
      <c r="E511" s="268"/>
      <c r="F511" s="291"/>
      <c r="G511" s="268"/>
      <c r="H511" s="268"/>
      <c r="I511" s="268"/>
      <c r="J511" s="268"/>
      <c r="K511" s="268"/>
      <c r="L511" s="271" t="str">
        <f t="shared" si="47"/>
        <v>12/30/99 0:00</v>
      </c>
      <c r="M511" s="278"/>
      <c r="N511" s="290"/>
      <c r="O511" s="276"/>
      <c r="P511" s="276"/>
      <c r="Q511" s="278"/>
      <c r="R511" s="278"/>
      <c r="S511" s="278"/>
      <c r="T511" s="278"/>
      <c r="U511" s="279"/>
      <c r="V511" s="279"/>
      <c r="W511" s="279"/>
      <c r="X511" s="279"/>
      <c r="Y511" s="279"/>
      <c r="Z511" s="282"/>
      <c r="AA511" s="282"/>
      <c r="AB511" s="282"/>
      <c r="AC511" s="284"/>
      <c r="AD511" s="284"/>
    </row>
    <row r="512" ht="14.25" customHeight="1">
      <c r="A512" s="266"/>
      <c r="B512" s="266"/>
      <c r="C512" s="266"/>
      <c r="D512" s="266"/>
      <c r="E512" s="268"/>
      <c r="F512" s="291"/>
      <c r="G512" s="268"/>
      <c r="H512" s="268"/>
      <c r="I512" s="268"/>
      <c r="J512" s="268"/>
      <c r="K512" s="268"/>
      <c r="L512" s="271" t="str">
        <f t="shared" si="47"/>
        <v>12/30/99 0:00</v>
      </c>
      <c r="M512" s="278"/>
      <c r="N512" s="290"/>
      <c r="O512" s="276"/>
      <c r="P512" s="276"/>
      <c r="Q512" s="278"/>
      <c r="R512" s="278"/>
      <c r="S512" s="278"/>
      <c r="T512" s="278"/>
      <c r="U512" s="279"/>
      <c r="V512" s="279"/>
      <c r="W512" s="279"/>
      <c r="X512" s="279"/>
      <c r="Y512" s="279"/>
      <c r="Z512" s="282"/>
      <c r="AA512" s="282"/>
      <c r="AB512" s="282"/>
      <c r="AC512" s="284"/>
      <c r="AD512" s="284"/>
    </row>
    <row r="513" ht="14.25" customHeight="1">
      <c r="A513" s="266"/>
      <c r="B513" s="266"/>
      <c r="C513" s="266"/>
      <c r="D513" s="266"/>
      <c r="E513" s="268"/>
      <c r="F513" s="291"/>
      <c r="G513" s="268"/>
      <c r="H513" s="268"/>
      <c r="I513" s="268"/>
      <c r="J513" s="268"/>
      <c r="K513" s="268"/>
      <c r="L513" s="271" t="str">
        <f t="shared" si="47"/>
        <v>12/30/99 0:00</v>
      </c>
      <c r="M513" s="278"/>
      <c r="N513" s="290"/>
      <c r="O513" s="276"/>
      <c r="P513" s="276"/>
      <c r="Q513" s="278"/>
      <c r="R513" s="278"/>
      <c r="S513" s="278"/>
      <c r="T513" s="278"/>
      <c r="U513" s="279"/>
      <c r="V513" s="279"/>
      <c r="W513" s="279"/>
      <c r="X513" s="279"/>
      <c r="Y513" s="279"/>
      <c r="Z513" s="282"/>
      <c r="AA513" s="282"/>
      <c r="AB513" s="282"/>
      <c r="AC513" s="284"/>
      <c r="AD513" s="284"/>
    </row>
    <row r="514" ht="14.25" customHeight="1">
      <c r="A514" s="266"/>
      <c r="B514" s="266"/>
      <c r="C514" s="266"/>
      <c r="D514" s="266"/>
      <c r="E514" s="268"/>
      <c r="F514" s="291"/>
      <c r="G514" s="268"/>
      <c r="H514" s="268"/>
      <c r="I514" s="268"/>
      <c r="J514" s="268"/>
      <c r="K514" s="268"/>
      <c r="L514" s="271" t="str">
        <f t="shared" si="47"/>
        <v>12/30/99 0:00</v>
      </c>
      <c r="M514" s="278"/>
      <c r="N514" s="290"/>
      <c r="O514" s="276"/>
      <c r="P514" s="276"/>
      <c r="Q514" s="278"/>
      <c r="R514" s="278"/>
      <c r="S514" s="278"/>
      <c r="T514" s="278"/>
      <c r="U514" s="279"/>
      <c r="V514" s="279"/>
      <c r="W514" s="279"/>
      <c r="X514" s="279"/>
      <c r="Y514" s="279"/>
      <c r="Z514" s="282"/>
      <c r="AA514" s="282"/>
      <c r="AB514" s="282"/>
      <c r="AC514" s="284"/>
      <c r="AD514" s="284"/>
    </row>
    <row r="515" ht="14.25" customHeight="1">
      <c r="A515" s="266"/>
      <c r="B515" s="266"/>
      <c r="C515" s="266"/>
      <c r="D515" s="266"/>
      <c r="E515" s="268"/>
      <c r="F515" s="291"/>
      <c r="G515" s="268"/>
      <c r="H515" s="268"/>
      <c r="I515" s="268"/>
      <c r="J515" s="268"/>
      <c r="K515" s="268"/>
      <c r="L515" s="271" t="str">
        <f t="shared" si="47"/>
        <v>12/30/99 0:00</v>
      </c>
      <c r="M515" s="278"/>
      <c r="N515" s="290"/>
      <c r="O515" s="276"/>
      <c r="P515" s="276"/>
      <c r="Q515" s="278"/>
      <c r="R515" s="278"/>
      <c r="S515" s="278"/>
      <c r="T515" s="278"/>
      <c r="U515" s="279"/>
      <c r="V515" s="279"/>
      <c r="W515" s="279"/>
      <c r="X515" s="279"/>
      <c r="Y515" s="279"/>
      <c r="Z515" s="282"/>
      <c r="AA515" s="282"/>
      <c r="AB515" s="282"/>
      <c r="AC515" s="284"/>
      <c r="AD515" s="284"/>
    </row>
    <row r="516" ht="14.25" customHeight="1">
      <c r="A516" s="266"/>
      <c r="B516" s="266"/>
      <c r="C516" s="266"/>
      <c r="D516" s="266"/>
      <c r="E516" s="268"/>
      <c r="F516" s="291"/>
      <c r="G516" s="268"/>
      <c r="H516" s="268"/>
      <c r="I516" s="268"/>
      <c r="J516" s="268"/>
      <c r="K516" s="268"/>
      <c r="L516" s="271" t="str">
        <f t="shared" si="47"/>
        <v>12/30/99 0:00</v>
      </c>
      <c r="M516" s="278"/>
      <c r="N516" s="290"/>
      <c r="O516" s="276"/>
      <c r="P516" s="276"/>
      <c r="Q516" s="278"/>
      <c r="R516" s="278"/>
      <c r="S516" s="278"/>
      <c r="T516" s="278"/>
      <c r="U516" s="279"/>
      <c r="V516" s="279"/>
      <c r="W516" s="279"/>
      <c r="X516" s="279"/>
      <c r="Y516" s="279"/>
      <c r="Z516" s="282"/>
      <c r="AA516" s="282"/>
      <c r="AB516" s="282"/>
      <c r="AC516" s="284"/>
      <c r="AD516" s="284"/>
    </row>
    <row r="517" ht="14.25" customHeight="1">
      <c r="A517" s="266"/>
      <c r="B517" s="266"/>
      <c r="C517" s="266"/>
      <c r="D517" s="266"/>
      <c r="E517" s="268"/>
      <c r="F517" s="291"/>
      <c r="G517" s="268"/>
      <c r="H517" s="268"/>
      <c r="I517" s="268"/>
      <c r="J517" s="268"/>
      <c r="K517" s="268"/>
      <c r="L517" s="271" t="str">
        <f t="shared" si="47"/>
        <v>12/30/99 0:00</v>
      </c>
      <c r="M517" s="278"/>
      <c r="N517" s="290"/>
      <c r="O517" s="276"/>
      <c r="P517" s="276"/>
      <c r="Q517" s="278"/>
      <c r="R517" s="278"/>
      <c r="S517" s="278"/>
      <c r="T517" s="278"/>
      <c r="U517" s="279"/>
      <c r="V517" s="279"/>
      <c r="W517" s="279"/>
      <c r="X517" s="279"/>
      <c r="Y517" s="279"/>
      <c r="Z517" s="282"/>
      <c r="AA517" s="282"/>
      <c r="AB517" s="282"/>
      <c r="AC517" s="284"/>
      <c r="AD517" s="284"/>
    </row>
    <row r="518" ht="14.25" customHeight="1">
      <c r="A518" s="266"/>
      <c r="B518" s="266"/>
      <c r="C518" s="266"/>
      <c r="D518" s="266"/>
      <c r="E518" s="268"/>
      <c r="F518" s="291"/>
      <c r="G518" s="268"/>
      <c r="H518" s="268"/>
      <c r="I518" s="268"/>
      <c r="J518" s="268"/>
      <c r="K518" s="268"/>
      <c r="L518" s="271" t="str">
        <f t="shared" si="47"/>
        <v>12/30/99 0:00</v>
      </c>
      <c r="M518" s="278"/>
      <c r="N518" s="290"/>
      <c r="O518" s="276"/>
      <c r="P518" s="276"/>
      <c r="Q518" s="278"/>
      <c r="R518" s="278"/>
      <c r="S518" s="278"/>
      <c r="T518" s="278"/>
      <c r="U518" s="279"/>
      <c r="V518" s="279"/>
      <c r="W518" s="279"/>
      <c r="X518" s="279"/>
      <c r="Y518" s="279"/>
      <c r="Z518" s="282"/>
      <c r="AA518" s="282"/>
      <c r="AB518" s="282"/>
      <c r="AC518" s="284"/>
      <c r="AD518" s="284"/>
    </row>
    <row r="519" ht="14.25" customHeight="1">
      <c r="A519" s="266"/>
      <c r="B519" s="266"/>
      <c r="C519" s="266"/>
      <c r="D519" s="266"/>
      <c r="E519" s="268"/>
      <c r="F519" s="291"/>
      <c r="G519" s="268"/>
      <c r="H519" s="268"/>
      <c r="I519" s="268"/>
      <c r="J519" s="268"/>
      <c r="K519" s="268"/>
      <c r="L519" s="271" t="str">
        <f t="shared" si="47"/>
        <v>12/30/99 0:00</v>
      </c>
      <c r="M519" s="278"/>
      <c r="N519" s="290"/>
      <c r="O519" s="276"/>
      <c r="P519" s="276"/>
      <c r="Q519" s="278"/>
      <c r="R519" s="278"/>
      <c r="S519" s="278"/>
      <c r="T519" s="278"/>
      <c r="U519" s="279"/>
      <c r="V519" s="279"/>
      <c r="W519" s="279"/>
      <c r="X519" s="279"/>
      <c r="Y519" s="279"/>
      <c r="Z519" s="282"/>
      <c r="AA519" s="282"/>
      <c r="AB519" s="282"/>
      <c r="AC519" s="284"/>
      <c r="AD519" s="284"/>
    </row>
    <row r="520" ht="14.25" customHeight="1">
      <c r="A520" s="266"/>
      <c r="B520" s="266"/>
      <c r="C520" s="266"/>
      <c r="D520" s="266"/>
      <c r="E520" s="268"/>
      <c r="F520" s="291"/>
      <c r="G520" s="268"/>
      <c r="H520" s="268"/>
      <c r="I520" s="268"/>
      <c r="J520" s="268"/>
      <c r="K520" s="268"/>
      <c r="L520" s="271" t="str">
        <f t="shared" si="47"/>
        <v>12/30/99 0:00</v>
      </c>
      <c r="M520" s="278"/>
      <c r="N520" s="290"/>
      <c r="O520" s="276"/>
      <c r="P520" s="276"/>
      <c r="Q520" s="278"/>
      <c r="R520" s="278"/>
      <c r="S520" s="278"/>
      <c r="T520" s="278"/>
      <c r="U520" s="279"/>
      <c r="V520" s="279"/>
      <c r="W520" s="279"/>
      <c r="X520" s="279"/>
      <c r="Y520" s="279"/>
      <c r="Z520" s="282"/>
      <c r="AA520" s="282"/>
      <c r="AB520" s="282"/>
      <c r="AC520" s="284"/>
      <c r="AD520" s="284"/>
    </row>
    <row r="521" ht="14.25" customHeight="1">
      <c r="A521" s="266"/>
      <c r="B521" s="266"/>
      <c r="C521" s="266"/>
      <c r="D521" s="266"/>
      <c r="E521" s="268"/>
      <c r="F521" s="291"/>
      <c r="G521" s="268"/>
      <c r="H521" s="268"/>
      <c r="I521" s="268"/>
      <c r="J521" s="268"/>
      <c r="K521" s="268"/>
      <c r="L521" s="271" t="str">
        <f t="shared" si="47"/>
        <v>12/30/99 0:00</v>
      </c>
      <c r="M521" s="278"/>
      <c r="N521" s="290"/>
      <c r="O521" s="276"/>
      <c r="P521" s="276"/>
      <c r="Q521" s="278"/>
      <c r="R521" s="278"/>
      <c r="S521" s="278"/>
      <c r="T521" s="278"/>
      <c r="U521" s="279"/>
      <c r="V521" s="279"/>
      <c r="W521" s="279"/>
      <c r="X521" s="279"/>
      <c r="Y521" s="279"/>
      <c r="Z521" s="282"/>
      <c r="AA521" s="282"/>
      <c r="AB521" s="282"/>
      <c r="AC521" s="284"/>
      <c r="AD521" s="284"/>
    </row>
    <row r="522" ht="14.25" customHeight="1">
      <c r="A522" s="266"/>
      <c r="B522" s="266"/>
      <c r="C522" s="266"/>
      <c r="D522" s="266"/>
      <c r="E522" s="268"/>
      <c r="F522" s="291"/>
      <c r="G522" s="268"/>
      <c r="H522" s="268"/>
      <c r="I522" s="268"/>
      <c r="J522" s="268"/>
      <c r="K522" s="268"/>
      <c r="L522" s="271" t="str">
        <f t="shared" si="47"/>
        <v>12/30/99 0:00</v>
      </c>
      <c r="M522" s="278"/>
      <c r="N522" s="290"/>
      <c r="O522" s="276"/>
      <c r="P522" s="276"/>
      <c r="Q522" s="278"/>
      <c r="R522" s="278"/>
      <c r="S522" s="278"/>
      <c r="T522" s="278"/>
      <c r="U522" s="279"/>
      <c r="V522" s="279"/>
      <c r="W522" s="279"/>
      <c r="X522" s="279"/>
      <c r="Y522" s="279"/>
      <c r="Z522" s="282"/>
      <c r="AA522" s="282"/>
      <c r="AB522" s="282"/>
      <c r="AC522" s="284"/>
      <c r="AD522" s="284"/>
    </row>
    <row r="523" ht="14.25" customHeight="1">
      <c r="A523" s="266"/>
      <c r="B523" s="266"/>
      <c r="C523" s="266"/>
      <c r="D523" s="266"/>
      <c r="E523" s="268"/>
      <c r="F523" s="291"/>
      <c r="G523" s="268"/>
      <c r="H523" s="268"/>
      <c r="I523" s="268"/>
      <c r="J523" s="268"/>
      <c r="K523" s="268"/>
      <c r="L523" s="271" t="str">
        <f t="shared" si="47"/>
        <v>12/30/99 0:00</v>
      </c>
      <c r="M523" s="278"/>
      <c r="N523" s="290"/>
      <c r="O523" s="276"/>
      <c r="P523" s="276"/>
      <c r="Q523" s="278"/>
      <c r="R523" s="278"/>
      <c r="S523" s="278"/>
      <c r="T523" s="278"/>
      <c r="U523" s="279"/>
      <c r="V523" s="279"/>
      <c r="W523" s="279"/>
      <c r="X523" s="279"/>
      <c r="Y523" s="279"/>
      <c r="Z523" s="282"/>
      <c r="AA523" s="282"/>
      <c r="AB523" s="282"/>
      <c r="AC523" s="284"/>
      <c r="AD523" s="284"/>
    </row>
    <row r="524" ht="14.25" customHeight="1">
      <c r="A524" s="266"/>
      <c r="B524" s="266"/>
      <c r="C524" s="266"/>
      <c r="D524" s="266"/>
      <c r="E524" s="268"/>
      <c r="F524" s="291"/>
      <c r="G524" s="268"/>
      <c r="H524" s="268"/>
      <c r="I524" s="268"/>
      <c r="J524" s="268"/>
      <c r="K524" s="268"/>
      <c r="L524" s="271" t="str">
        <f t="shared" si="47"/>
        <v>12/30/99 0:00</v>
      </c>
      <c r="M524" s="278"/>
      <c r="N524" s="290"/>
      <c r="O524" s="276"/>
      <c r="P524" s="276"/>
      <c r="Q524" s="278"/>
      <c r="R524" s="278"/>
      <c r="S524" s="278"/>
      <c r="T524" s="278"/>
      <c r="U524" s="279"/>
      <c r="V524" s="279"/>
      <c r="W524" s="279"/>
      <c r="X524" s="279"/>
      <c r="Y524" s="279"/>
      <c r="Z524" s="282"/>
      <c r="AA524" s="282"/>
      <c r="AB524" s="282"/>
      <c r="AC524" s="284"/>
      <c r="AD524" s="284"/>
    </row>
    <row r="525" ht="14.25" customHeight="1">
      <c r="A525" s="266"/>
      <c r="B525" s="266"/>
      <c r="C525" s="266"/>
      <c r="D525" s="266"/>
      <c r="E525" s="268"/>
      <c r="F525" s="291"/>
      <c r="G525" s="268"/>
      <c r="H525" s="268"/>
      <c r="I525" s="268"/>
      <c r="J525" s="268"/>
      <c r="K525" s="268"/>
      <c r="L525" s="271" t="str">
        <f t="shared" si="47"/>
        <v>12/30/99 0:00</v>
      </c>
      <c r="M525" s="278"/>
      <c r="N525" s="290"/>
      <c r="O525" s="276"/>
      <c r="P525" s="276"/>
      <c r="Q525" s="278"/>
      <c r="R525" s="278"/>
      <c r="S525" s="278"/>
      <c r="T525" s="278"/>
      <c r="U525" s="279"/>
      <c r="V525" s="279"/>
      <c r="W525" s="279"/>
      <c r="X525" s="279"/>
      <c r="Y525" s="279"/>
      <c r="Z525" s="282"/>
      <c r="AA525" s="282"/>
      <c r="AB525" s="282"/>
      <c r="AC525" s="284"/>
      <c r="AD525" s="284"/>
    </row>
    <row r="526" ht="14.25" customHeight="1">
      <c r="A526" s="266"/>
      <c r="B526" s="266"/>
      <c r="C526" s="266"/>
      <c r="D526" s="266"/>
      <c r="E526" s="268"/>
      <c r="F526" s="291"/>
      <c r="G526" s="268"/>
      <c r="H526" s="268"/>
      <c r="I526" s="268"/>
      <c r="J526" s="268"/>
      <c r="K526" s="268"/>
      <c r="L526" s="271" t="str">
        <f t="shared" si="47"/>
        <v>12/30/99 0:00</v>
      </c>
      <c r="M526" s="278"/>
      <c r="N526" s="290"/>
      <c r="O526" s="276"/>
      <c r="P526" s="276"/>
      <c r="Q526" s="278"/>
      <c r="R526" s="278"/>
      <c r="S526" s="278"/>
      <c r="T526" s="278"/>
      <c r="U526" s="279"/>
      <c r="V526" s="279"/>
      <c r="W526" s="279"/>
      <c r="X526" s="279"/>
      <c r="Y526" s="279"/>
      <c r="Z526" s="282"/>
      <c r="AA526" s="282"/>
      <c r="AB526" s="282"/>
      <c r="AC526" s="284"/>
      <c r="AD526" s="284"/>
    </row>
    <row r="527" ht="14.25" customHeight="1">
      <c r="A527" s="266"/>
      <c r="B527" s="266"/>
      <c r="C527" s="266"/>
      <c r="D527" s="266"/>
      <c r="E527" s="268"/>
      <c r="F527" s="291"/>
      <c r="G527" s="268"/>
      <c r="H527" s="268"/>
      <c r="I527" s="268"/>
      <c r="J527" s="268"/>
      <c r="K527" s="268"/>
      <c r="L527" s="271" t="str">
        <f t="shared" si="47"/>
        <v>12/30/99 0:00</v>
      </c>
      <c r="M527" s="278"/>
      <c r="N527" s="290"/>
      <c r="O527" s="276"/>
      <c r="P527" s="276"/>
      <c r="Q527" s="278"/>
      <c r="R527" s="278"/>
      <c r="S527" s="278"/>
      <c r="T527" s="278"/>
      <c r="U527" s="279"/>
      <c r="V527" s="279"/>
      <c r="W527" s="279"/>
      <c r="X527" s="279"/>
      <c r="Y527" s="279"/>
      <c r="Z527" s="282"/>
      <c r="AA527" s="282"/>
      <c r="AB527" s="282"/>
      <c r="AC527" s="284"/>
      <c r="AD527" s="284"/>
    </row>
    <row r="528" ht="14.25" customHeight="1">
      <c r="A528" s="266"/>
      <c r="B528" s="266"/>
      <c r="C528" s="266"/>
      <c r="D528" s="266"/>
      <c r="E528" s="268"/>
      <c r="F528" s="291"/>
      <c r="G528" s="268"/>
      <c r="H528" s="268"/>
      <c r="I528" s="268"/>
      <c r="J528" s="268"/>
      <c r="K528" s="268"/>
      <c r="L528" s="271" t="str">
        <f t="shared" si="47"/>
        <v>12/30/99 0:00</v>
      </c>
      <c r="M528" s="278"/>
      <c r="N528" s="290"/>
      <c r="O528" s="276"/>
      <c r="P528" s="276"/>
      <c r="Q528" s="278"/>
      <c r="R528" s="278"/>
      <c r="S528" s="278"/>
      <c r="T528" s="278"/>
      <c r="U528" s="279"/>
      <c r="V528" s="279"/>
      <c r="W528" s="279"/>
      <c r="X528" s="279"/>
      <c r="Y528" s="279"/>
      <c r="Z528" s="282"/>
      <c r="AA528" s="282"/>
      <c r="AB528" s="282"/>
      <c r="AC528" s="284"/>
      <c r="AD528" s="284"/>
    </row>
    <row r="529" ht="14.25" customHeight="1">
      <c r="A529" s="266"/>
      <c r="B529" s="266"/>
      <c r="C529" s="266"/>
      <c r="D529" s="266"/>
      <c r="E529" s="268"/>
      <c r="F529" s="291"/>
      <c r="G529" s="268"/>
      <c r="H529" s="268"/>
      <c r="I529" s="268"/>
      <c r="J529" s="268"/>
      <c r="K529" s="268"/>
      <c r="L529" s="271" t="str">
        <f t="shared" si="47"/>
        <v>12/30/99 0:00</v>
      </c>
      <c r="M529" s="278"/>
      <c r="N529" s="290"/>
      <c r="O529" s="276"/>
      <c r="P529" s="276"/>
      <c r="Q529" s="278"/>
      <c r="R529" s="278"/>
      <c r="S529" s="278"/>
      <c r="T529" s="278"/>
      <c r="U529" s="279"/>
      <c r="V529" s="279"/>
      <c r="W529" s="279"/>
      <c r="X529" s="279"/>
      <c r="Y529" s="279"/>
      <c r="Z529" s="282"/>
      <c r="AA529" s="282"/>
      <c r="AB529" s="282"/>
      <c r="AC529" s="284"/>
      <c r="AD529" s="284"/>
    </row>
    <row r="530" ht="14.25" customHeight="1">
      <c r="A530" s="266"/>
      <c r="B530" s="266"/>
      <c r="C530" s="266"/>
      <c r="D530" s="266"/>
      <c r="E530" s="268"/>
      <c r="F530" s="291"/>
      <c r="G530" s="268"/>
      <c r="H530" s="268"/>
      <c r="I530" s="268"/>
      <c r="J530" s="268"/>
      <c r="K530" s="268"/>
      <c r="L530" s="271" t="str">
        <f t="shared" si="47"/>
        <v>12/30/99 0:00</v>
      </c>
      <c r="M530" s="278"/>
      <c r="N530" s="290"/>
      <c r="O530" s="276"/>
      <c r="P530" s="276"/>
      <c r="Q530" s="278"/>
      <c r="R530" s="278"/>
      <c r="S530" s="278"/>
      <c r="T530" s="278"/>
      <c r="U530" s="279"/>
      <c r="V530" s="279"/>
      <c r="W530" s="279"/>
      <c r="X530" s="279"/>
      <c r="Y530" s="279"/>
      <c r="Z530" s="282"/>
      <c r="AA530" s="282"/>
      <c r="AB530" s="282"/>
      <c r="AC530" s="284"/>
      <c r="AD530" s="284"/>
    </row>
    <row r="531" ht="14.25" customHeight="1">
      <c r="A531" s="266"/>
      <c r="B531" s="266"/>
      <c r="C531" s="266"/>
      <c r="D531" s="266"/>
      <c r="E531" s="268"/>
      <c r="F531" s="291"/>
      <c r="G531" s="268"/>
      <c r="H531" s="268"/>
      <c r="I531" s="268"/>
      <c r="J531" s="268"/>
      <c r="K531" s="268"/>
      <c r="L531" s="271" t="str">
        <f t="shared" si="47"/>
        <v>12/30/99 0:00</v>
      </c>
      <c r="M531" s="278"/>
      <c r="N531" s="290"/>
      <c r="O531" s="276"/>
      <c r="P531" s="276"/>
      <c r="Q531" s="278"/>
      <c r="R531" s="278"/>
      <c r="S531" s="278"/>
      <c r="T531" s="278"/>
      <c r="U531" s="279"/>
      <c r="V531" s="279"/>
      <c r="W531" s="279"/>
      <c r="X531" s="279"/>
      <c r="Y531" s="279"/>
      <c r="Z531" s="282"/>
      <c r="AA531" s="282"/>
      <c r="AB531" s="282"/>
      <c r="AC531" s="284"/>
      <c r="AD531" s="284"/>
    </row>
    <row r="532" ht="14.25" customHeight="1">
      <c r="A532" s="266"/>
      <c r="B532" s="266"/>
      <c r="C532" s="266"/>
      <c r="D532" s="266"/>
      <c r="E532" s="268"/>
      <c r="F532" s="291"/>
      <c r="G532" s="268"/>
      <c r="H532" s="268"/>
      <c r="I532" s="268"/>
      <c r="J532" s="268"/>
      <c r="K532" s="268"/>
      <c r="L532" s="271" t="str">
        <f t="shared" si="47"/>
        <v>12/30/99 0:00</v>
      </c>
      <c r="M532" s="278"/>
      <c r="N532" s="290"/>
      <c r="O532" s="276"/>
      <c r="P532" s="276"/>
      <c r="Q532" s="278"/>
      <c r="R532" s="278"/>
      <c r="S532" s="278"/>
      <c r="T532" s="278"/>
      <c r="U532" s="279"/>
      <c r="V532" s="279"/>
      <c r="W532" s="279"/>
      <c r="X532" s="279"/>
      <c r="Y532" s="279"/>
      <c r="Z532" s="282"/>
      <c r="AA532" s="282"/>
      <c r="AB532" s="282"/>
      <c r="AC532" s="284"/>
      <c r="AD532" s="284"/>
    </row>
    <row r="533" ht="14.25" customHeight="1">
      <c r="A533" s="266"/>
      <c r="B533" s="266"/>
      <c r="C533" s="266"/>
      <c r="D533" s="266"/>
      <c r="E533" s="268"/>
      <c r="F533" s="291"/>
      <c r="G533" s="268"/>
      <c r="H533" s="268"/>
      <c r="I533" s="268"/>
      <c r="J533" s="268"/>
      <c r="K533" s="268"/>
      <c r="L533" s="271" t="str">
        <f t="shared" si="47"/>
        <v>12/30/99 0:00</v>
      </c>
      <c r="M533" s="278"/>
      <c r="N533" s="290"/>
      <c r="O533" s="276"/>
      <c r="P533" s="276"/>
      <c r="Q533" s="278"/>
      <c r="R533" s="278"/>
      <c r="S533" s="278"/>
      <c r="T533" s="278"/>
      <c r="U533" s="279"/>
      <c r="V533" s="279"/>
      <c r="W533" s="279"/>
      <c r="X533" s="279"/>
      <c r="Y533" s="279"/>
      <c r="Z533" s="282"/>
      <c r="AA533" s="282"/>
      <c r="AB533" s="282"/>
      <c r="AC533" s="284"/>
      <c r="AD533" s="284"/>
    </row>
    <row r="534" ht="14.25" customHeight="1">
      <c r="A534" s="266"/>
      <c r="B534" s="266"/>
      <c r="C534" s="266"/>
      <c r="D534" s="266"/>
      <c r="E534" s="268"/>
      <c r="F534" s="291"/>
      <c r="G534" s="268"/>
      <c r="H534" s="268"/>
      <c r="I534" s="268"/>
      <c r="J534" s="268"/>
      <c r="K534" s="268"/>
      <c r="L534" s="271" t="str">
        <f t="shared" si="47"/>
        <v>12/30/99 0:00</v>
      </c>
      <c r="M534" s="278"/>
      <c r="N534" s="290"/>
      <c r="O534" s="276"/>
      <c r="P534" s="276"/>
      <c r="Q534" s="278"/>
      <c r="R534" s="278"/>
      <c r="S534" s="278"/>
      <c r="T534" s="278"/>
      <c r="U534" s="279"/>
      <c r="V534" s="279"/>
      <c r="W534" s="279"/>
      <c r="X534" s="279"/>
      <c r="Y534" s="279"/>
      <c r="Z534" s="282"/>
      <c r="AA534" s="282"/>
      <c r="AB534" s="282"/>
      <c r="AC534" s="284"/>
      <c r="AD534" s="284"/>
    </row>
    <row r="535" ht="14.25" customHeight="1">
      <c r="A535" s="266"/>
      <c r="B535" s="266"/>
      <c r="C535" s="266"/>
      <c r="D535" s="266"/>
      <c r="E535" s="268"/>
      <c r="F535" s="291"/>
      <c r="G535" s="268"/>
      <c r="H535" s="268"/>
      <c r="I535" s="268"/>
      <c r="J535" s="268"/>
      <c r="K535" s="268"/>
      <c r="L535" s="271" t="str">
        <f t="shared" si="47"/>
        <v>12/30/99 0:00</v>
      </c>
      <c r="M535" s="278"/>
      <c r="N535" s="290"/>
      <c r="O535" s="276"/>
      <c r="P535" s="276"/>
      <c r="Q535" s="278"/>
      <c r="R535" s="278"/>
      <c r="S535" s="278"/>
      <c r="T535" s="278"/>
      <c r="U535" s="279"/>
      <c r="V535" s="279"/>
      <c r="W535" s="279"/>
      <c r="X535" s="279"/>
      <c r="Y535" s="279"/>
      <c r="Z535" s="282"/>
      <c r="AA535" s="282"/>
      <c r="AB535" s="282"/>
      <c r="AC535" s="284"/>
      <c r="AD535" s="284"/>
    </row>
    <row r="536" ht="14.25" customHeight="1">
      <c r="A536" s="266"/>
      <c r="B536" s="266"/>
      <c r="C536" s="266"/>
      <c r="D536" s="266"/>
      <c r="E536" s="268"/>
      <c r="F536" s="291"/>
      <c r="G536" s="268"/>
      <c r="H536" s="268"/>
      <c r="I536" s="268"/>
      <c r="J536" s="268"/>
      <c r="K536" s="268"/>
      <c r="L536" s="271" t="str">
        <f t="shared" si="47"/>
        <v>12/30/99 0:00</v>
      </c>
      <c r="M536" s="278"/>
      <c r="N536" s="290"/>
      <c r="O536" s="276"/>
      <c r="P536" s="276"/>
      <c r="Q536" s="278"/>
      <c r="R536" s="278"/>
      <c r="S536" s="278"/>
      <c r="T536" s="278"/>
      <c r="U536" s="279"/>
      <c r="V536" s="279"/>
      <c r="W536" s="279"/>
      <c r="X536" s="279"/>
      <c r="Y536" s="279"/>
      <c r="Z536" s="282"/>
      <c r="AA536" s="282"/>
      <c r="AB536" s="282"/>
      <c r="AC536" s="284"/>
      <c r="AD536" s="284"/>
    </row>
    <row r="537" ht="14.25" customHeight="1">
      <c r="A537" s="266"/>
      <c r="B537" s="266"/>
      <c r="C537" s="266"/>
      <c r="D537" s="266"/>
      <c r="E537" s="268"/>
      <c r="F537" s="291"/>
      <c r="G537" s="268"/>
      <c r="H537" s="268"/>
      <c r="I537" s="268"/>
      <c r="J537" s="268"/>
      <c r="K537" s="268"/>
      <c r="L537" s="271" t="str">
        <f t="shared" si="47"/>
        <v>12/30/99 0:00</v>
      </c>
      <c r="M537" s="278"/>
      <c r="N537" s="290"/>
      <c r="O537" s="276"/>
      <c r="P537" s="276"/>
      <c r="Q537" s="278"/>
      <c r="R537" s="278"/>
      <c r="S537" s="278"/>
      <c r="T537" s="278"/>
      <c r="U537" s="279"/>
      <c r="V537" s="279"/>
      <c r="W537" s="279"/>
      <c r="X537" s="279"/>
      <c r="Y537" s="279"/>
      <c r="Z537" s="282"/>
      <c r="AA537" s="282"/>
      <c r="AB537" s="282"/>
      <c r="AC537" s="284"/>
      <c r="AD537" s="284"/>
    </row>
    <row r="538" ht="14.25" customHeight="1">
      <c r="A538" s="266"/>
      <c r="B538" s="266"/>
      <c r="C538" s="266"/>
      <c r="D538" s="266"/>
      <c r="E538" s="268"/>
      <c r="F538" s="291"/>
      <c r="G538" s="268"/>
      <c r="H538" s="268"/>
      <c r="I538" s="268"/>
      <c r="J538" s="268"/>
      <c r="K538" s="268"/>
      <c r="L538" s="271" t="str">
        <f t="shared" si="47"/>
        <v>12/30/99 0:00</v>
      </c>
      <c r="M538" s="278"/>
      <c r="N538" s="290"/>
      <c r="O538" s="276"/>
      <c r="P538" s="276"/>
      <c r="Q538" s="278"/>
      <c r="R538" s="278"/>
      <c r="S538" s="278"/>
      <c r="T538" s="278"/>
      <c r="U538" s="279"/>
      <c r="V538" s="279"/>
      <c r="W538" s="279"/>
      <c r="X538" s="279"/>
      <c r="Y538" s="279"/>
      <c r="Z538" s="282"/>
      <c r="AA538" s="282"/>
      <c r="AB538" s="282"/>
      <c r="AC538" s="284"/>
      <c r="AD538" s="284"/>
    </row>
    <row r="539" ht="14.25" customHeight="1">
      <c r="A539" s="266"/>
      <c r="B539" s="266"/>
      <c r="C539" s="266"/>
      <c r="D539" s="266"/>
      <c r="E539" s="268"/>
      <c r="F539" s="291"/>
      <c r="G539" s="268"/>
      <c r="H539" s="268"/>
      <c r="I539" s="268"/>
      <c r="J539" s="268"/>
      <c r="K539" s="268"/>
      <c r="L539" s="271" t="str">
        <f t="shared" si="47"/>
        <v>12/30/99 0:00</v>
      </c>
      <c r="M539" s="278"/>
      <c r="N539" s="290"/>
      <c r="O539" s="276"/>
      <c r="P539" s="276"/>
      <c r="Q539" s="278"/>
      <c r="R539" s="278"/>
      <c r="S539" s="278"/>
      <c r="T539" s="278"/>
      <c r="U539" s="279"/>
      <c r="V539" s="279"/>
      <c r="W539" s="279"/>
      <c r="X539" s="279"/>
      <c r="Y539" s="279"/>
      <c r="Z539" s="282"/>
      <c r="AA539" s="282"/>
      <c r="AB539" s="282"/>
      <c r="AC539" s="284"/>
      <c r="AD539" s="284"/>
    </row>
    <row r="540" ht="14.25" customHeight="1">
      <c r="A540" s="266"/>
      <c r="B540" s="266"/>
      <c r="C540" s="266"/>
      <c r="D540" s="266"/>
      <c r="E540" s="268"/>
      <c r="F540" s="291"/>
      <c r="G540" s="268"/>
      <c r="H540" s="268"/>
      <c r="I540" s="268"/>
      <c r="J540" s="268"/>
      <c r="K540" s="268"/>
      <c r="L540" s="271" t="str">
        <f t="shared" si="47"/>
        <v>12/30/99 0:00</v>
      </c>
      <c r="M540" s="278"/>
      <c r="N540" s="290"/>
      <c r="O540" s="276"/>
      <c r="P540" s="276"/>
      <c r="Q540" s="278"/>
      <c r="R540" s="278"/>
      <c r="S540" s="278"/>
      <c r="T540" s="278"/>
      <c r="U540" s="279"/>
      <c r="V540" s="279"/>
      <c r="W540" s="279"/>
      <c r="X540" s="279"/>
      <c r="Y540" s="279"/>
      <c r="Z540" s="282"/>
      <c r="AA540" s="282"/>
      <c r="AB540" s="282"/>
      <c r="AC540" s="284"/>
      <c r="AD540" s="284"/>
    </row>
    <row r="541" ht="14.25" customHeight="1">
      <c r="A541" s="266"/>
      <c r="B541" s="266"/>
      <c r="C541" s="266"/>
      <c r="D541" s="266"/>
      <c r="E541" s="268"/>
      <c r="F541" s="291"/>
      <c r="G541" s="268"/>
      <c r="H541" s="268"/>
      <c r="I541" s="268"/>
      <c r="J541" s="268"/>
      <c r="K541" s="268"/>
      <c r="L541" s="271" t="str">
        <f t="shared" si="47"/>
        <v>12/30/99 0:00</v>
      </c>
      <c r="M541" s="278"/>
      <c r="N541" s="290"/>
      <c r="O541" s="276"/>
      <c r="P541" s="276"/>
      <c r="Q541" s="278"/>
      <c r="R541" s="278"/>
      <c r="S541" s="278"/>
      <c r="T541" s="278"/>
      <c r="U541" s="279"/>
      <c r="V541" s="279"/>
      <c r="W541" s="279"/>
      <c r="X541" s="279"/>
      <c r="Y541" s="279"/>
      <c r="Z541" s="282"/>
      <c r="AA541" s="282"/>
      <c r="AB541" s="282"/>
      <c r="AC541" s="284"/>
      <c r="AD541" s="284"/>
    </row>
    <row r="542" ht="14.25" customHeight="1">
      <c r="A542" s="266"/>
      <c r="B542" s="266"/>
      <c r="C542" s="266"/>
      <c r="D542" s="266"/>
      <c r="E542" s="268"/>
      <c r="F542" s="291"/>
      <c r="G542" s="268"/>
      <c r="H542" s="268"/>
      <c r="I542" s="268"/>
      <c r="J542" s="268"/>
      <c r="K542" s="268"/>
      <c r="L542" s="271" t="str">
        <f t="shared" si="47"/>
        <v>12/30/99 0:00</v>
      </c>
      <c r="M542" s="278"/>
      <c r="N542" s="290"/>
      <c r="O542" s="276"/>
      <c r="P542" s="276"/>
      <c r="Q542" s="278"/>
      <c r="R542" s="278"/>
      <c r="S542" s="278"/>
      <c r="T542" s="278"/>
      <c r="U542" s="279"/>
      <c r="V542" s="279"/>
      <c r="W542" s="279"/>
      <c r="X542" s="279"/>
      <c r="Y542" s="279"/>
      <c r="Z542" s="282"/>
      <c r="AA542" s="282"/>
      <c r="AB542" s="282"/>
      <c r="AC542" s="284"/>
      <c r="AD542" s="284"/>
    </row>
    <row r="543" ht="14.25" customHeight="1">
      <c r="A543" s="266"/>
      <c r="B543" s="266"/>
      <c r="C543" s="266"/>
      <c r="D543" s="266"/>
      <c r="E543" s="268"/>
      <c r="F543" s="291"/>
      <c r="G543" s="268"/>
      <c r="H543" s="268"/>
      <c r="I543" s="268"/>
      <c r="J543" s="268"/>
      <c r="K543" s="268"/>
      <c r="L543" s="271" t="str">
        <f t="shared" si="47"/>
        <v>12/30/99 0:00</v>
      </c>
      <c r="M543" s="278"/>
      <c r="N543" s="290"/>
      <c r="O543" s="276"/>
      <c r="P543" s="276"/>
      <c r="Q543" s="278"/>
      <c r="R543" s="278"/>
      <c r="S543" s="278"/>
      <c r="T543" s="278"/>
      <c r="U543" s="279"/>
      <c r="V543" s="279"/>
      <c r="W543" s="279"/>
      <c r="X543" s="279"/>
      <c r="Y543" s="279"/>
      <c r="Z543" s="282"/>
      <c r="AA543" s="282"/>
      <c r="AB543" s="282"/>
      <c r="AC543" s="284"/>
      <c r="AD543" s="284"/>
    </row>
    <row r="544" ht="14.25" customHeight="1">
      <c r="A544" s="266"/>
      <c r="B544" s="266"/>
      <c r="C544" s="266"/>
      <c r="D544" s="266"/>
      <c r="E544" s="268"/>
      <c r="F544" s="291"/>
      <c r="G544" s="268"/>
      <c r="H544" s="268"/>
      <c r="I544" s="268"/>
      <c r="J544" s="268"/>
      <c r="K544" s="268"/>
      <c r="L544" s="271" t="str">
        <f t="shared" si="47"/>
        <v>12/30/99 0:00</v>
      </c>
      <c r="M544" s="278"/>
      <c r="N544" s="290"/>
      <c r="O544" s="276"/>
      <c r="P544" s="276"/>
      <c r="Q544" s="278"/>
      <c r="R544" s="278"/>
      <c r="S544" s="278"/>
      <c r="T544" s="278"/>
      <c r="U544" s="279"/>
      <c r="V544" s="279"/>
      <c r="W544" s="279"/>
      <c r="X544" s="279"/>
      <c r="Y544" s="279"/>
      <c r="Z544" s="282"/>
      <c r="AA544" s="282"/>
      <c r="AB544" s="282"/>
      <c r="AC544" s="284"/>
      <c r="AD544" s="284"/>
    </row>
    <row r="545" ht="14.25" customHeight="1">
      <c r="A545" s="266"/>
      <c r="B545" s="266"/>
      <c r="C545" s="266"/>
      <c r="D545" s="266"/>
      <c r="E545" s="268"/>
      <c r="F545" s="291"/>
      <c r="G545" s="268"/>
      <c r="H545" s="268"/>
      <c r="I545" s="268"/>
      <c r="J545" s="268"/>
      <c r="K545" s="268"/>
      <c r="L545" s="271" t="str">
        <f t="shared" si="47"/>
        <v>12/30/99 0:00</v>
      </c>
      <c r="M545" s="278"/>
      <c r="N545" s="290"/>
      <c r="O545" s="276"/>
      <c r="P545" s="276"/>
      <c r="Q545" s="278"/>
      <c r="R545" s="278"/>
      <c r="S545" s="278"/>
      <c r="T545" s="278"/>
      <c r="U545" s="279"/>
      <c r="V545" s="279"/>
      <c r="W545" s="279"/>
      <c r="X545" s="279"/>
      <c r="Y545" s="279"/>
      <c r="Z545" s="282"/>
      <c r="AA545" s="282"/>
      <c r="AB545" s="282"/>
      <c r="AC545" s="284"/>
      <c r="AD545" s="284"/>
    </row>
    <row r="546" ht="14.25" customHeight="1">
      <c r="A546" s="266"/>
      <c r="B546" s="266"/>
      <c r="C546" s="266"/>
      <c r="D546" s="266"/>
      <c r="E546" s="268"/>
      <c r="F546" s="291"/>
      <c r="G546" s="268"/>
      <c r="H546" s="268"/>
      <c r="I546" s="268"/>
      <c r="J546" s="268"/>
      <c r="K546" s="268"/>
      <c r="L546" s="271" t="str">
        <f t="shared" si="47"/>
        <v>12/30/99 0:00</v>
      </c>
      <c r="M546" s="278"/>
      <c r="N546" s="290"/>
      <c r="O546" s="276"/>
      <c r="P546" s="276"/>
      <c r="Q546" s="278"/>
      <c r="R546" s="278"/>
      <c r="S546" s="278"/>
      <c r="T546" s="278"/>
      <c r="U546" s="279"/>
      <c r="V546" s="279"/>
      <c r="W546" s="279"/>
      <c r="X546" s="279"/>
      <c r="Y546" s="279"/>
      <c r="Z546" s="282"/>
      <c r="AA546" s="282"/>
      <c r="AB546" s="282"/>
      <c r="AC546" s="284"/>
      <c r="AD546" s="284"/>
    </row>
    <row r="547" ht="14.25" customHeight="1">
      <c r="A547" s="266"/>
      <c r="B547" s="266"/>
      <c r="C547" s="266"/>
      <c r="D547" s="266"/>
      <c r="E547" s="268"/>
      <c r="F547" s="291"/>
      <c r="G547" s="268"/>
      <c r="H547" s="268"/>
      <c r="I547" s="268"/>
      <c r="J547" s="268"/>
      <c r="K547" s="268"/>
      <c r="L547" s="271" t="str">
        <f t="shared" si="47"/>
        <v>12/30/99 0:00</v>
      </c>
      <c r="M547" s="278"/>
      <c r="N547" s="290"/>
      <c r="O547" s="276"/>
      <c r="P547" s="276"/>
      <c r="Q547" s="278"/>
      <c r="R547" s="278"/>
      <c r="S547" s="278"/>
      <c r="T547" s="278"/>
      <c r="U547" s="279"/>
      <c r="V547" s="279"/>
      <c r="W547" s="279"/>
      <c r="X547" s="279"/>
      <c r="Y547" s="279"/>
      <c r="Z547" s="282"/>
      <c r="AA547" s="282"/>
      <c r="AB547" s="282"/>
      <c r="AC547" s="284"/>
      <c r="AD547" s="284"/>
    </row>
    <row r="548" ht="14.25" customHeight="1">
      <c r="A548" s="266"/>
      <c r="B548" s="266"/>
      <c r="C548" s="266"/>
      <c r="D548" s="266"/>
      <c r="E548" s="268"/>
      <c r="F548" s="291"/>
      <c r="G548" s="268"/>
      <c r="H548" s="268"/>
      <c r="I548" s="268"/>
      <c r="J548" s="268"/>
      <c r="K548" s="268"/>
      <c r="L548" s="271" t="str">
        <f t="shared" si="47"/>
        <v>12/30/99 0:00</v>
      </c>
      <c r="M548" s="278"/>
      <c r="N548" s="290"/>
      <c r="O548" s="276"/>
      <c r="P548" s="276"/>
      <c r="Q548" s="278"/>
      <c r="R548" s="278"/>
      <c r="S548" s="278"/>
      <c r="T548" s="278"/>
      <c r="U548" s="279"/>
      <c r="V548" s="279"/>
      <c r="W548" s="279"/>
      <c r="X548" s="279"/>
      <c r="Y548" s="279"/>
      <c r="Z548" s="282"/>
      <c r="AA548" s="282"/>
      <c r="AB548" s="282"/>
      <c r="AC548" s="284"/>
      <c r="AD548" s="284"/>
    </row>
    <row r="549" ht="14.25" customHeight="1">
      <c r="A549" s="266"/>
      <c r="B549" s="266"/>
      <c r="C549" s="266"/>
      <c r="D549" s="266"/>
      <c r="E549" s="268"/>
      <c r="F549" s="291"/>
      <c r="G549" s="268"/>
      <c r="H549" s="268"/>
      <c r="I549" s="268"/>
      <c r="J549" s="268"/>
      <c r="K549" s="268"/>
      <c r="L549" s="271" t="str">
        <f t="shared" si="47"/>
        <v>12/30/99 0:00</v>
      </c>
      <c r="M549" s="278"/>
      <c r="N549" s="290"/>
      <c r="O549" s="276"/>
      <c r="P549" s="276"/>
      <c r="Q549" s="278"/>
      <c r="R549" s="278"/>
      <c r="S549" s="278"/>
      <c r="T549" s="278"/>
      <c r="U549" s="279"/>
      <c r="V549" s="279"/>
      <c r="W549" s="279"/>
      <c r="X549" s="279"/>
      <c r="Y549" s="279"/>
      <c r="Z549" s="282"/>
      <c r="AA549" s="282"/>
      <c r="AB549" s="282"/>
      <c r="AC549" s="284"/>
      <c r="AD549" s="284"/>
    </row>
    <row r="550" ht="14.25" customHeight="1">
      <c r="A550" s="266"/>
      <c r="B550" s="266"/>
      <c r="C550" s="266"/>
      <c r="D550" s="266"/>
      <c r="E550" s="268"/>
      <c r="F550" s="291"/>
      <c r="G550" s="268"/>
      <c r="H550" s="268"/>
      <c r="I550" s="268"/>
      <c r="J550" s="268"/>
      <c r="K550" s="268"/>
      <c r="L550" s="271" t="str">
        <f t="shared" si="47"/>
        <v>12/30/99 0:00</v>
      </c>
      <c r="M550" s="278"/>
      <c r="N550" s="290"/>
      <c r="O550" s="276"/>
      <c r="P550" s="276"/>
      <c r="Q550" s="278"/>
      <c r="R550" s="278"/>
      <c r="S550" s="278"/>
      <c r="T550" s="278"/>
      <c r="U550" s="279"/>
      <c r="V550" s="279"/>
      <c r="W550" s="279"/>
      <c r="X550" s="279"/>
      <c r="Y550" s="279"/>
      <c r="Z550" s="282"/>
      <c r="AA550" s="282"/>
      <c r="AB550" s="282"/>
      <c r="AC550" s="284"/>
      <c r="AD550" s="284"/>
    </row>
    <row r="551" ht="14.25" customHeight="1">
      <c r="A551" s="266"/>
      <c r="B551" s="266"/>
      <c r="C551" s="266"/>
      <c r="D551" s="266"/>
      <c r="E551" s="268"/>
      <c r="F551" s="291"/>
      <c r="G551" s="268"/>
      <c r="H551" s="268"/>
      <c r="I551" s="268"/>
      <c r="J551" s="268"/>
      <c r="K551" s="268"/>
      <c r="L551" s="271" t="str">
        <f t="shared" si="47"/>
        <v>12/30/99 0:00</v>
      </c>
      <c r="M551" s="278"/>
      <c r="N551" s="290"/>
      <c r="O551" s="276"/>
      <c r="P551" s="276"/>
      <c r="Q551" s="278"/>
      <c r="R551" s="278"/>
      <c r="S551" s="278"/>
      <c r="T551" s="278"/>
      <c r="U551" s="279"/>
      <c r="V551" s="279"/>
      <c r="W551" s="279"/>
      <c r="X551" s="279"/>
      <c r="Y551" s="279"/>
      <c r="Z551" s="282"/>
      <c r="AA551" s="282"/>
      <c r="AB551" s="282"/>
      <c r="AC551" s="284"/>
      <c r="AD551" s="284"/>
    </row>
    <row r="552" ht="14.25" customHeight="1">
      <c r="A552" s="266"/>
      <c r="B552" s="266"/>
      <c r="C552" s="266"/>
      <c r="D552" s="266"/>
      <c r="E552" s="268"/>
      <c r="F552" s="291"/>
      <c r="G552" s="268"/>
      <c r="H552" s="268"/>
      <c r="I552" s="268"/>
      <c r="J552" s="268"/>
      <c r="K552" s="268"/>
      <c r="L552" s="271" t="str">
        <f t="shared" si="47"/>
        <v>12/30/99 0:00</v>
      </c>
      <c r="M552" s="278"/>
      <c r="N552" s="290"/>
      <c r="O552" s="276"/>
      <c r="P552" s="276"/>
      <c r="Q552" s="278"/>
      <c r="R552" s="278"/>
      <c r="S552" s="278"/>
      <c r="T552" s="278"/>
      <c r="U552" s="279"/>
      <c r="V552" s="279"/>
      <c r="W552" s="279"/>
      <c r="X552" s="279"/>
      <c r="Y552" s="279"/>
      <c r="Z552" s="282"/>
      <c r="AA552" s="282"/>
      <c r="AB552" s="282"/>
      <c r="AC552" s="284"/>
      <c r="AD552" s="284"/>
    </row>
    <row r="553" ht="14.25" customHeight="1">
      <c r="A553" s="266"/>
      <c r="B553" s="266"/>
      <c r="C553" s="266"/>
      <c r="D553" s="266"/>
      <c r="E553" s="268"/>
      <c r="F553" s="291"/>
      <c r="G553" s="268"/>
      <c r="H553" s="268"/>
      <c r="I553" s="268"/>
      <c r="J553" s="268"/>
      <c r="K553" s="268"/>
      <c r="L553" s="271" t="str">
        <f t="shared" si="47"/>
        <v>12/30/99 0:00</v>
      </c>
      <c r="M553" s="278"/>
      <c r="N553" s="290"/>
      <c r="O553" s="276"/>
      <c r="P553" s="276"/>
      <c r="Q553" s="278"/>
      <c r="R553" s="278"/>
      <c r="S553" s="278"/>
      <c r="T553" s="278"/>
      <c r="U553" s="279"/>
      <c r="V553" s="279"/>
      <c r="W553" s="279"/>
      <c r="X553" s="279"/>
      <c r="Y553" s="279"/>
      <c r="Z553" s="282"/>
      <c r="AA553" s="282"/>
      <c r="AB553" s="282"/>
      <c r="AC553" s="284"/>
      <c r="AD553" s="284"/>
    </row>
    <row r="554" ht="14.25" customHeight="1">
      <c r="A554" s="266"/>
      <c r="B554" s="266"/>
      <c r="C554" s="266"/>
      <c r="D554" s="266"/>
      <c r="E554" s="268"/>
      <c r="F554" s="291"/>
      <c r="G554" s="268"/>
      <c r="H554" s="268"/>
      <c r="I554" s="268"/>
      <c r="J554" s="268"/>
      <c r="K554" s="268"/>
      <c r="L554" s="271" t="str">
        <f t="shared" si="47"/>
        <v>12/30/99 0:00</v>
      </c>
      <c r="M554" s="278"/>
      <c r="N554" s="290"/>
      <c r="O554" s="276"/>
      <c r="P554" s="276"/>
      <c r="Q554" s="278"/>
      <c r="R554" s="278"/>
      <c r="S554" s="278"/>
      <c r="T554" s="278"/>
      <c r="U554" s="279"/>
      <c r="V554" s="279"/>
      <c r="W554" s="279"/>
      <c r="X554" s="279"/>
      <c r="Y554" s="279"/>
      <c r="Z554" s="282"/>
      <c r="AA554" s="282"/>
      <c r="AB554" s="282"/>
      <c r="AC554" s="284"/>
      <c r="AD554" s="284"/>
    </row>
    <row r="555" ht="14.25" customHeight="1">
      <c r="A555" s="266"/>
      <c r="B555" s="266"/>
      <c r="C555" s="266"/>
      <c r="D555" s="266"/>
      <c r="E555" s="268"/>
      <c r="F555" s="291"/>
      <c r="G555" s="268"/>
      <c r="H555" s="268"/>
      <c r="I555" s="268"/>
      <c r="J555" s="268"/>
      <c r="K555" s="268"/>
      <c r="L555" s="271" t="str">
        <f t="shared" si="47"/>
        <v>12/30/99 0:00</v>
      </c>
      <c r="M555" s="278"/>
      <c r="N555" s="290"/>
      <c r="O555" s="276"/>
      <c r="P555" s="276"/>
      <c r="Q555" s="278"/>
      <c r="R555" s="278"/>
      <c r="S555" s="278"/>
      <c r="T555" s="278"/>
      <c r="U555" s="279"/>
      <c r="V555" s="279"/>
      <c r="W555" s="279"/>
      <c r="X555" s="279"/>
      <c r="Y555" s="279"/>
      <c r="Z555" s="282"/>
      <c r="AA555" s="282"/>
      <c r="AB555" s="282"/>
      <c r="AC555" s="284"/>
      <c r="AD555" s="284"/>
    </row>
    <row r="556" ht="14.25" customHeight="1">
      <c r="A556" s="266"/>
      <c r="B556" s="266"/>
      <c r="C556" s="266"/>
      <c r="D556" s="266"/>
      <c r="E556" s="268"/>
      <c r="F556" s="291"/>
      <c r="G556" s="268"/>
      <c r="H556" s="268"/>
      <c r="I556" s="268"/>
      <c r="J556" s="268"/>
      <c r="K556" s="268"/>
      <c r="L556" s="271" t="str">
        <f t="shared" si="47"/>
        <v>12/30/99 0:00</v>
      </c>
      <c r="M556" s="278"/>
      <c r="N556" s="290"/>
      <c r="O556" s="276"/>
      <c r="P556" s="276"/>
      <c r="Q556" s="278"/>
      <c r="R556" s="278"/>
      <c r="S556" s="278"/>
      <c r="T556" s="278"/>
      <c r="U556" s="279"/>
      <c r="V556" s="279"/>
      <c r="W556" s="279"/>
      <c r="X556" s="279"/>
      <c r="Y556" s="279"/>
      <c r="Z556" s="282"/>
      <c r="AA556" s="282"/>
      <c r="AB556" s="282"/>
      <c r="AC556" s="284"/>
      <c r="AD556" s="284"/>
    </row>
    <row r="557" ht="14.25" customHeight="1">
      <c r="A557" s="266"/>
      <c r="B557" s="266"/>
      <c r="C557" s="266"/>
      <c r="D557" s="266"/>
      <c r="E557" s="268"/>
      <c r="F557" s="291"/>
      <c r="G557" s="268"/>
      <c r="H557" s="268"/>
      <c r="I557" s="268"/>
      <c r="J557" s="268"/>
      <c r="K557" s="268"/>
      <c r="L557" s="271" t="str">
        <f t="shared" si="47"/>
        <v>12/30/99 0:00</v>
      </c>
      <c r="M557" s="278"/>
      <c r="N557" s="290"/>
      <c r="O557" s="276"/>
      <c r="P557" s="276"/>
      <c r="Q557" s="278"/>
      <c r="R557" s="278"/>
      <c r="S557" s="278"/>
      <c r="T557" s="278"/>
      <c r="U557" s="279"/>
      <c r="V557" s="279"/>
      <c r="W557" s="279"/>
      <c r="X557" s="279"/>
      <c r="Y557" s="279"/>
      <c r="Z557" s="282"/>
      <c r="AA557" s="282"/>
      <c r="AB557" s="282"/>
      <c r="AC557" s="284"/>
      <c r="AD557" s="284"/>
    </row>
    <row r="558" ht="14.25" customHeight="1">
      <c r="A558" s="266"/>
      <c r="B558" s="266"/>
      <c r="C558" s="266"/>
      <c r="D558" s="266"/>
      <c r="E558" s="268"/>
      <c r="F558" s="291"/>
      <c r="G558" s="268"/>
      <c r="H558" s="268"/>
      <c r="I558" s="268"/>
      <c r="J558" s="268"/>
      <c r="K558" s="268"/>
      <c r="L558" s="271" t="str">
        <f t="shared" si="47"/>
        <v>12/30/99 0:00</v>
      </c>
      <c r="M558" s="278"/>
      <c r="N558" s="290"/>
      <c r="O558" s="276"/>
      <c r="P558" s="276"/>
      <c r="Q558" s="278"/>
      <c r="R558" s="278"/>
      <c r="S558" s="278"/>
      <c r="T558" s="278"/>
      <c r="U558" s="279"/>
      <c r="V558" s="279"/>
      <c r="W558" s="279"/>
      <c r="X558" s="279"/>
      <c r="Y558" s="279"/>
      <c r="Z558" s="282"/>
      <c r="AA558" s="282"/>
      <c r="AB558" s="282"/>
      <c r="AC558" s="284"/>
      <c r="AD558" s="284"/>
    </row>
    <row r="559" ht="14.25" customHeight="1">
      <c r="A559" s="266"/>
      <c r="B559" s="266"/>
      <c r="C559" s="266"/>
      <c r="D559" s="266"/>
      <c r="E559" s="268"/>
      <c r="F559" s="291"/>
      <c r="G559" s="268"/>
      <c r="H559" s="268"/>
      <c r="I559" s="268"/>
      <c r="J559" s="268"/>
      <c r="K559" s="268"/>
      <c r="L559" s="271" t="str">
        <f t="shared" si="47"/>
        <v>12/30/99 0:00</v>
      </c>
      <c r="M559" s="278"/>
      <c r="N559" s="290"/>
      <c r="O559" s="276"/>
      <c r="P559" s="276"/>
      <c r="Q559" s="278"/>
      <c r="R559" s="278"/>
      <c r="S559" s="278"/>
      <c r="T559" s="278"/>
      <c r="U559" s="279"/>
      <c r="V559" s="279"/>
      <c r="W559" s="279"/>
      <c r="X559" s="279"/>
      <c r="Y559" s="279"/>
      <c r="Z559" s="282"/>
      <c r="AA559" s="282"/>
      <c r="AB559" s="282"/>
      <c r="AC559" s="284"/>
      <c r="AD559" s="284"/>
    </row>
    <row r="560" ht="14.25" customHeight="1">
      <c r="A560" s="266"/>
      <c r="B560" s="266"/>
      <c r="C560" s="266"/>
      <c r="D560" s="266"/>
      <c r="E560" s="268"/>
      <c r="F560" s="291"/>
      <c r="G560" s="268"/>
      <c r="H560" s="268"/>
      <c r="I560" s="268"/>
      <c r="J560" s="268"/>
      <c r="K560" s="268"/>
      <c r="L560" s="271" t="str">
        <f t="shared" si="47"/>
        <v>12/30/99 0:00</v>
      </c>
      <c r="M560" s="278"/>
      <c r="N560" s="290"/>
      <c r="O560" s="276"/>
      <c r="P560" s="276"/>
      <c r="Q560" s="278"/>
      <c r="R560" s="278"/>
      <c r="S560" s="278"/>
      <c r="T560" s="278"/>
      <c r="U560" s="279"/>
      <c r="V560" s="279"/>
      <c r="W560" s="279"/>
      <c r="X560" s="279"/>
      <c r="Y560" s="279"/>
      <c r="Z560" s="282"/>
      <c r="AA560" s="282"/>
      <c r="AB560" s="282"/>
      <c r="AC560" s="284"/>
      <c r="AD560" s="284"/>
    </row>
    <row r="561" ht="14.25" customHeight="1">
      <c r="A561" s="266"/>
      <c r="B561" s="266"/>
      <c r="C561" s="266"/>
      <c r="D561" s="266"/>
      <c r="E561" s="268"/>
      <c r="F561" s="291"/>
      <c r="G561" s="268"/>
      <c r="H561" s="268"/>
      <c r="I561" s="268"/>
      <c r="J561" s="268"/>
      <c r="K561" s="268"/>
      <c r="L561" s="271" t="str">
        <f t="shared" si="47"/>
        <v>12/30/99 0:00</v>
      </c>
      <c r="M561" s="278"/>
      <c r="N561" s="290"/>
      <c r="O561" s="276"/>
      <c r="P561" s="276"/>
      <c r="Q561" s="278"/>
      <c r="R561" s="278"/>
      <c r="S561" s="278"/>
      <c r="T561" s="278"/>
      <c r="U561" s="279"/>
      <c r="V561" s="279"/>
      <c r="W561" s="279"/>
      <c r="X561" s="279"/>
      <c r="Y561" s="279"/>
      <c r="Z561" s="282"/>
      <c r="AA561" s="282"/>
      <c r="AB561" s="282"/>
      <c r="AC561" s="284"/>
      <c r="AD561" s="284"/>
    </row>
    <row r="562" ht="14.25" customHeight="1">
      <c r="A562" s="266"/>
      <c r="B562" s="266"/>
      <c r="C562" s="266"/>
      <c r="D562" s="266"/>
      <c r="E562" s="268"/>
      <c r="F562" s="291"/>
      <c r="G562" s="268"/>
      <c r="H562" s="268"/>
      <c r="I562" s="268"/>
      <c r="J562" s="268"/>
      <c r="K562" s="268"/>
      <c r="L562" s="271" t="str">
        <f t="shared" si="47"/>
        <v>12/30/99 0:00</v>
      </c>
      <c r="M562" s="278"/>
      <c r="N562" s="290"/>
      <c r="O562" s="276"/>
      <c r="P562" s="276"/>
      <c r="Q562" s="278"/>
      <c r="R562" s="278"/>
      <c r="S562" s="278"/>
      <c r="T562" s="278"/>
      <c r="U562" s="279"/>
      <c r="V562" s="279"/>
      <c r="W562" s="279"/>
      <c r="X562" s="279"/>
      <c r="Y562" s="279"/>
      <c r="Z562" s="282"/>
      <c r="AA562" s="282"/>
      <c r="AB562" s="282"/>
      <c r="AC562" s="284"/>
      <c r="AD562" s="284"/>
    </row>
    <row r="563" ht="14.25" customHeight="1">
      <c r="A563" s="266"/>
      <c r="B563" s="266"/>
      <c r="C563" s="266"/>
      <c r="D563" s="266"/>
      <c r="E563" s="268"/>
      <c r="F563" s="291"/>
      <c r="G563" s="268"/>
      <c r="H563" s="268"/>
      <c r="I563" s="268"/>
      <c r="J563" s="268"/>
      <c r="K563" s="268"/>
      <c r="L563" s="271" t="str">
        <f t="shared" si="47"/>
        <v>12/30/99 0:00</v>
      </c>
      <c r="M563" s="278"/>
      <c r="N563" s="290"/>
      <c r="O563" s="276"/>
      <c r="P563" s="276"/>
      <c r="Q563" s="278"/>
      <c r="R563" s="278"/>
      <c r="S563" s="278"/>
      <c r="T563" s="278"/>
      <c r="U563" s="279"/>
      <c r="V563" s="279"/>
      <c r="W563" s="279"/>
      <c r="X563" s="279"/>
      <c r="Y563" s="279"/>
      <c r="Z563" s="282"/>
      <c r="AA563" s="282"/>
      <c r="AB563" s="282"/>
      <c r="AC563" s="284"/>
      <c r="AD563" s="284"/>
    </row>
    <row r="564" ht="14.25" customHeight="1">
      <c r="A564" s="266"/>
      <c r="B564" s="266"/>
      <c r="C564" s="266"/>
      <c r="D564" s="266"/>
      <c r="E564" s="268"/>
      <c r="F564" s="291"/>
      <c r="G564" s="268"/>
      <c r="H564" s="268"/>
      <c r="I564" s="268"/>
      <c r="J564" s="268"/>
      <c r="K564" s="268"/>
      <c r="L564" s="271" t="str">
        <f t="shared" si="47"/>
        <v>12/30/99 0:00</v>
      </c>
      <c r="M564" s="278"/>
      <c r="N564" s="290"/>
      <c r="O564" s="276"/>
      <c r="P564" s="276"/>
      <c r="Q564" s="278"/>
      <c r="R564" s="278"/>
      <c r="S564" s="278"/>
      <c r="T564" s="278"/>
      <c r="U564" s="279"/>
      <c r="V564" s="279"/>
      <c r="W564" s="279"/>
      <c r="X564" s="279"/>
      <c r="Y564" s="279"/>
      <c r="Z564" s="282"/>
      <c r="AA564" s="282"/>
      <c r="AB564" s="282"/>
      <c r="AC564" s="284"/>
      <c r="AD564" s="284"/>
    </row>
    <row r="565" ht="14.25" customHeight="1">
      <c r="A565" s="266"/>
      <c r="B565" s="266"/>
      <c r="C565" s="266"/>
      <c r="D565" s="266"/>
      <c r="E565" s="268"/>
      <c r="F565" s="291"/>
      <c r="G565" s="268"/>
      <c r="H565" s="268"/>
      <c r="I565" s="268"/>
      <c r="J565" s="268"/>
      <c r="K565" s="268"/>
      <c r="L565" s="271" t="str">
        <f t="shared" si="47"/>
        <v>12/30/99 0:00</v>
      </c>
      <c r="M565" s="278"/>
      <c r="N565" s="290"/>
      <c r="O565" s="276"/>
      <c r="P565" s="276"/>
      <c r="Q565" s="278"/>
      <c r="R565" s="278"/>
      <c r="S565" s="278"/>
      <c r="T565" s="278"/>
      <c r="U565" s="279"/>
      <c r="V565" s="279"/>
      <c r="W565" s="279"/>
      <c r="X565" s="279"/>
      <c r="Y565" s="279"/>
      <c r="Z565" s="282"/>
      <c r="AA565" s="282"/>
      <c r="AB565" s="282"/>
      <c r="AC565" s="284"/>
      <c r="AD565" s="284"/>
    </row>
    <row r="566" ht="14.25" customHeight="1">
      <c r="A566" s="266"/>
      <c r="B566" s="266"/>
      <c r="C566" s="266"/>
      <c r="D566" s="266"/>
      <c r="E566" s="268"/>
      <c r="F566" s="291"/>
      <c r="G566" s="268"/>
      <c r="H566" s="268"/>
      <c r="I566" s="268"/>
      <c r="J566" s="268"/>
      <c r="K566" s="268"/>
      <c r="L566" s="271" t="str">
        <f t="shared" si="47"/>
        <v>12/30/99 0:00</v>
      </c>
      <c r="M566" s="278"/>
      <c r="N566" s="290"/>
      <c r="O566" s="276"/>
      <c r="P566" s="276"/>
      <c r="Q566" s="278"/>
      <c r="R566" s="278"/>
      <c r="S566" s="278"/>
      <c r="T566" s="278"/>
      <c r="U566" s="279"/>
      <c r="V566" s="279"/>
      <c r="W566" s="279"/>
      <c r="X566" s="279"/>
      <c r="Y566" s="279"/>
      <c r="Z566" s="282"/>
      <c r="AA566" s="282"/>
      <c r="AB566" s="282"/>
      <c r="AC566" s="284"/>
      <c r="AD566" s="284"/>
    </row>
    <row r="567" ht="14.25" customHeight="1">
      <c r="A567" s="266"/>
      <c r="B567" s="266"/>
      <c r="C567" s="266"/>
      <c r="D567" s="266"/>
      <c r="E567" s="268"/>
      <c r="F567" s="291"/>
      <c r="G567" s="268"/>
      <c r="H567" s="268"/>
      <c r="I567" s="268"/>
      <c r="J567" s="268"/>
      <c r="K567" s="268"/>
      <c r="L567" s="271" t="str">
        <f t="shared" si="47"/>
        <v>12/30/99 0:00</v>
      </c>
      <c r="M567" s="278"/>
      <c r="N567" s="290"/>
      <c r="O567" s="276"/>
      <c r="P567" s="276"/>
      <c r="Q567" s="278"/>
      <c r="R567" s="278"/>
      <c r="S567" s="278"/>
      <c r="T567" s="278"/>
      <c r="U567" s="279"/>
      <c r="V567" s="279"/>
      <c r="W567" s="279"/>
      <c r="X567" s="279"/>
      <c r="Y567" s="279"/>
      <c r="Z567" s="282"/>
      <c r="AA567" s="282"/>
      <c r="AB567" s="282"/>
      <c r="AC567" s="284"/>
      <c r="AD567" s="284"/>
    </row>
    <row r="568" ht="14.25" customHeight="1">
      <c r="A568" s="266"/>
      <c r="B568" s="266"/>
      <c r="C568" s="266"/>
      <c r="D568" s="266"/>
      <c r="E568" s="268"/>
      <c r="F568" s="291"/>
      <c r="G568" s="268"/>
      <c r="H568" s="268"/>
      <c r="I568" s="268"/>
      <c r="J568" s="268"/>
      <c r="K568" s="268"/>
      <c r="L568" s="271" t="str">
        <f t="shared" si="47"/>
        <v>12/30/99 0:00</v>
      </c>
      <c r="M568" s="278"/>
      <c r="N568" s="290"/>
      <c r="O568" s="276"/>
      <c r="P568" s="276"/>
      <c r="Q568" s="278"/>
      <c r="R568" s="278"/>
      <c r="S568" s="278"/>
      <c r="T568" s="278"/>
      <c r="U568" s="279"/>
      <c r="V568" s="279"/>
      <c r="W568" s="279"/>
      <c r="X568" s="279"/>
      <c r="Y568" s="279"/>
      <c r="Z568" s="282"/>
      <c r="AA568" s="282"/>
      <c r="AB568" s="282"/>
      <c r="AC568" s="284"/>
      <c r="AD568" s="284"/>
    </row>
    <row r="569" ht="14.25" customHeight="1">
      <c r="A569" s="266"/>
      <c r="B569" s="266"/>
      <c r="C569" s="266"/>
      <c r="D569" s="266"/>
      <c r="E569" s="268"/>
      <c r="F569" s="291"/>
      <c r="G569" s="268"/>
      <c r="H569" s="268"/>
      <c r="I569" s="268"/>
      <c r="J569" s="268"/>
      <c r="K569" s="268"/>
      <c r="L569" s="271" t="str">
        <f t="shared" si="47"/>
        <v>12/30/99 0:00</v>
      </c>
      <c r="M569" s="278"/>
      <c r="N569" s="290"/>
      <c r="O569" s="276"/>
      <c r="P569" s="276"/>
      <c r="Q569" s="278"/>
      <c r="R569" s="278"/>
      <c r="S569" s="278"/>
      <c r="T569" s="278"/>
      <c r="U569" s="279"/>
      <c r="V569" s="279"/>
      <c r="W569" s="279"/>
      <c r="X569" s="279"/>
      <c r="Y569" s="279"/>
      <c r="Z569" s="282"/>
      <c r="AA569" s="282"/>
      <c r="AB569" s="282"/>
      <c r="AC569" s="284"/>
      <c r="AD569" s="284"/>
    </row>
    <row r="570" ht="14.25" customHeight="1">
      <c r="A570" s="266"/>
      <c r="B570" s="266"/>
      <c r="C570" s="266"/>
      <c r="D570" s="266"/>
      <c r="E570" s="268"/>
      <c r="F570" s="291"/>
      <c r="G570" s="268"/>
      <c r="H570" s="268"/>
      <c r="I570" s="268"/>
      <c r="J570" s="268"/>
      <c r="K570" s="268"/>
      <c r="L570" s="271" t="str">
        <f t="shared" si="47"/>
        <v>12/30/99 0:00</v>
      </c>
      <c r="M570" s="278"/>
      <c r="N570" s="290"/>
      <c r="O570" s="276"/>
      <c r="P570" s="276"/>
      <c r="Q570" s="278"/>
      <c r="R570" s="278"/>
      <c r="S570" s="278"/>
      <c r="T570" s="278"/>
      <c r="U570" s="279"/>
      <c r="V570" s="279"/>
      <c r="W570" s="279"/>
      <c r="X570" s="279"/>
      <c r="Y570" s="279"/>
      <c r="Z570" s="282"/>
      <c r="AA570" s="282"/>
      <c r="AB570" s="282"/>
      <c r="AC570" s="284"/>
      <c r="AD570" s="284"/>
    </row>
    <row r="571" ht="14.25" customHeight="1">
      <c r="A571" s="266"/>
      <c r="B571" s="266"/>
      <c r="C571" s="266"/>
      <c r="D571" s="266"/>
      <c r="E571" s="268"/>
      <c r="F571" s="291"/>
      <c r="G571" s="268"/>
      <c r="H571" s="268"/>
      <c r="I571" s="268"/>
      <c r="J571" s="268"/>
      <c r="K571" s="268"/>
      <c r="L571" s="271" t="str">
        <f t="shared" si="47"/>
        <v>12/30/99 0:00</v>
      </c>
      <c r="M571" s="278"/>
      <c r="N571" s="290"/>
      <c r="O571" s="276"/>
      <c r="P571" s="276"/>
      <c r="Q571" s="278"/>
      <c r="R571" s="278"/>
      <c r="S571" s="278"/>
      <c r="T571" s="278"/>
      <c r="U571" s="279"/>
      <c r="V571" s="279"/>
      <c r="W571" s="279"/>
      <c r="X571" s="279"/>
      <c r="Y571" s="279"/>
      <c r="Z571" s="282"/>
      <c r="AA571" s="282"/>
      <c r="AB571" s="282"/>
      <c r="AC571" s="284"/>
      <c r="AD571" s="284"/>
    </row>
    <row r="572" ht="14.25" customHeight="1">
      <c r="A572" s="266"/>
      <c r="B572" s="266"/>
      <c r="C572" s="266"/>
      <c r="D572" s="266"/>
      <c r="E572" s="268"/>
      <c r="F572" s="291"/>
      <c r="G572" s="268"/>
      <c r="H572" s="268"/>
      <c r="I572" s="268"/>
      <c r="J572" s="268"/>
      <c r="K572" s="268"/>
      <c r="L572" s="271" t="str">
        <f t="shared" si="47"/>
        <v>12/30/99 0:00</v>
      </c>
      <c r="M572" s="278"/>
      <c r="N572" s="290"/>
      <c r="O572" s="276"/>
      <c r="P572" s="276"/>
      <c r="Q572" s="278"/>
      <c r="R572" s="278"/>
      <c r="S572" s="278"/>
      <c r="T572" s="278"/>
      <c r="U572" s="279"/>
      <c r="V572" s="279"/>
      <c r="W572" s="279"/>
      <c r="X572" s="279"/>
      <c r="Y572" s="279"/>
      <c r="Z572" s="282"/>
      <c r="AA572" s="282"/>
      <c r="AB572" s="282"/>
      <c r="AC572" s="284"/>
      <c r="AD572" s="284"/>
    </row>
    <row r="573" ht="14.25" customHeight="1">
      <c r="A573" s="266"/>
      <c r="B573" s="266"/>
      <c r="C573" s="266"/>
      <c r="D573" s="266"/>
      <c r="E573" s="268"/>
      <c r="F573" s="291"/>
      <c r="G573" s="268"/>
      <c r="H573" s="268"/>
      <c r="I573" s="268"/>
      <c r="J573" s="268"/>
      <c r="K573" s="268"/>
      <c r="L573" s="271" t="str">
        <f t="shared" si="47"/>
        <v>12/30/99 0:00</v>
      </c>
      <c r="M573" s="278"/>
      <c r="N573" s="290"/>
      <c r="O573" s="276"/>
      <c r="P573" s="276"/>
      <c r="Q573" s="278"/>
      <c r="R573" s="278"/>
      <c r="S573" s="278"/>
      <c r="T573" s="278"/>
      <c r="U573" s="279"/>
      <c r="V573" s="279"/>
      <c r="W573" s="279"/>
      <c r="X573" s="279"/>
      <c r="Y573" s="279"/>
      <c r="Z573" s="282"/>
      <c r="AA573" s="282"/>
      <c r="AB573" s="282"/>
      <c r="AC573" s="284"/>
      <c r="AD573" s="284"/>
    </row>
    <row r="574" ht="14.25" customHeight="1">
      <c r="A574" s="266"/>
      <c r="B574" s="266"/>
      <c r="C574" s="266"/>
      <c r="D574" s="266"/>
      <c r="E574" s="268"/>
      <c r="F574" s="291"/>
      <c r="G574" s="268"/>
      <c r="H574" s="268"/>
      <c r="I574" s="268"/>
      <c r="J574" s="268"/>
      <c r="K574" s="268"/>
      <c r="L574" s="271" t="str">
        <f t="shared" si="47"/>
        <v>12/30/99 0:00</v>
      </c>
      <c r="M574" s="278"/>
      <c r="N574" s="290"/>
      <c r="O574" s="276"/>
      <c r="P574" s="276"/>
      <c r="Q574" s="278"/>
      <c r="R574" s="278"/>
      <c r="S574" s="278"/>
      <c r="T574" s="278"/>
      <c r="U574" s="279"/>
      <c r="V574" s="279"/>
      <c r="W574" s="279"/>
      <c r="X574" s="279"/>
      <c r="Y574" s="279"/>
      <c r="Z574" s="282"/>
      <c r="AA574" s="282"/>
      <c r="AB574" s="282"/>
      <c r="AC574" s="284"/>
      <c r="AD574" s="284"/>
    </row>
    <row r="575" ht="14.25" customHeight="1">
      <c r="A575" s="266"/>
      <c r="B575" s="266"/>
      <c r="C575" s="266"/>
      <c r="D575" s="266"/>
      <c r="E575" s="268"/>
      <c r="F575" s="291"/>
      <c r="G575" s="268"/>
      <c r="H575" s="268"/>
      <c r="I575" s="268"/>
      <c r="J575" s="268"/>
      <c r="K575" s="268"/>
      <c r="L575" s="271" t="str">
        <f t="shared" si="47"/>
        <v>12/30/99 0:00</v>
      </c>
      <c r="M575" s="278"/>
      <c r="N575" s="290"/>
      <c r="O575" s="276"/>
      <c r="P575" s="276"/>
      <c r="Q575" s="278"/>
      <c r="R575" s="278"/>
      <c r="S575" s="278"/>
      <c r="T575" s="278"/>
      <c r="U575" s="279"/>
      <c r="V575" s="279"/>
      <c r="W575" s="279"/>
      <c r="X575" s="279"/>
      <c r="Y575" s="279"/>
      <c r="Z575" s="282"/>
      <c r="AA575" s="282"/>
      <c r="AB575" s="282"/>
      <c r="AC575" s="284"/>
      <c r="AD575" s="284"/>
    </row>
    <row r="576" ht="14.25" customHeight="1">
      <c r="A576" s="266"/>
      <c r="B576" s="266"/>
      <c r="C576" s="266"/>
      <c r="D576" s="266"/>
      <c r="E576" s="268"/>
      <c r="F576" s="291"/>
      <c r="G576" s="268"/>
      <c r="H576" s="268"/>
      <c r="I576" s="268"/>
      <c r="J576" s="268"/>
      <c r="K576" s="268"/>
      <c r="L576" s="271" t="str">
        <f t="shared" si="47"/>
        <v>12/30/99 0:00</v>
      </c>
      <c r="M576" s="278"/>
      <c r="N576" s="290"/>
      <c r="O576" s="276"/>
      <c r="P576" s="276"/>
      <c r="Q576" s="278"/>
      <c r="R576" s="278"/>
      <c r="S576" s="278"/>
      <c r="T576" s="278"/>
      <c r="U576" s="279"/>
      <c r="V576" s="279"/>
      <c r="W576" s="279"/>
      <c r="X576" s="279"/>
      <c r="Y576" s="279"/>
      <c r="Z576" s="282"/>
      <c r="AA576" s="282"/>
      <c r="AB576" s="282"/>
      <c r="AC576" s="284"/>
      <c r="AD576" s="284"/>
    </row>
    <row r="577" ht="14.25" customHeight="1">
      <c r="A577" s="266"/>
      <c r="B577" s="266"/>
      <c r="C577" s="266"/>
      <c r="D577" s="266"/>
      <c r="E577" s="268"/>
      <c r="F577" s="291"/>
      <c r="G577" s="268"/>
      <c r="H577" s="268"/>
      <c r="I577" s="268"/>
      <c r="J577" s="268"/>
      <c r="K577" s="268"/>
      <c r="L577" s="271" t="str">
        <f t="shared" si="47"/>
        <v>12/30/99 0:00</v>
      </c>
      <c r="M577" s="278"/>
      <c r="N577" s="290"/>
      <c r="O577" s="276"/>
      <c r="P577" s="276"/>
      <c r="Q577" s="278"/>
      <c r="R577" s="278"/>
      <c r="S577" s="278"/>
      <c r="T577" s="278"/>
      <c r="U577" s="279"/>
      <c r="V577" s="279"/>
      <c r="W577" s="279"/>
      <c r="X577" s="279"/>
      <c r="Y577" s="279"/>
      <c r="Z577" s="282"/>
      <c r="AA577" s="282"/>
      <c r="AB577" s="282"/>
      <c r="AC577" s="284"/>
      <c r="AD577" s="284"/>
    </row>
    <row r="578" ht="14.25" customHeight="1">
      <c r="A578" s="266"/>
      <c r="B578" s="266"/>
      <c r="C578" s="266"/>
      <c r="D578" s="266"/>
      <c r="E578" s="268"/>
      <c r="F578" s="291"/>
      <c r="G578" s="268"/>
      <c r="H578" s="268"/>
      <c r="I578" s="268"/>
      <c r="J578" s="268"/>
      <c r="K578" s="268"/>
      <c r="L578" s="271" t="str">
        <f t="shared" si="47"/>
        <v>12/30/99 0:00</v>
      </c>
      <c r="M578" s="278"/>
      <c r="N578" s="290"/>
      <c r="O578" s="276"/>
      <c r="P578" s="276"/>
      <c r="Q578" s="278"/>
      <c r="R578" s="278"/>
      <c r="S578" s="278"/>
      <c r="T578" s="278"/>
      <c r="U578" s="279"/>
      <c r="V578" s="279"/>
      <c r="W578" s="279"/>
      <c r="X578" s="279"/>
      <c r="Y578" s="279"/>
      <c r="Z578" s="282"/>
      <c r="AA578" s="282"/>
      <c r="AB578" s="282"/>
      <c r="AC578" s="284"/>
      <c r="AD578" s="284"/>
    </row>
    <row r="579" ht="14.25" customHeight="1">
      <c r="A579" s="266"/>
      <c r="B579" s="266"/>
      <c r="C579" s="266"/>
      <c r="D579" s="266"/>
      <c r="E579" s="268"/>
      <c r="F579" s="291"/>
      <c r="G579" s="268"/>
      <c r="H579" s="268"/>
      <c r="I579" s="268"/>
      <c r="J579" s="268"/>
      <c r="K579" s="268"/>
      <c r="L579" s="271" t="str">
        <f t="shared" si="47"/>
        <v>12/30/99 0:00</v>
      </c>
      <c r="M579" s="278"/>
      <c r="N579" s="290"/>
      <c r="O579" s="276"/>
      <c r="P579" s="276"/>
      <c r="Q579" s="278"/>
      <c r="R579" s="278"/>
      <c r="S579" s="278"/>
      <c r="T579" s="278"/>
      <c r="U579" s="279"/>
      <c r="V579" s="279"/>
      <c r="W579" s="279"/>
      <c r="X579" s="279"/>
      <c r="Y579" s="279"/>
      <c r="Z579" s="282"/>
      <c r="AA579" s="282"/>
      <c r="AB579" s="282"/>
      <c r="AC579" s="284"/>
      <c r="AD579" s="284"/>
    </row>
    <row r="580" ht="14.25" customHeight="1">
      <c r="A580" s="266"/>
      <c r="B580" s="266"/>
      <c r="C580" s="266"/>
      <c r="D580" s="266"/>
      <c r="E580" s="268"/>
      <c r="F580" s="291"/>
      <c r="G580" s="268"/>
      <c r="H580" s="268"/>
      <c r="I580" s="268"/>
      <c r="J580" s="268"/>
      <c r="K580" s="268"/>
      <c r="L580" s="271" t="str">
        <f t="shared" si="47"/>
        <v>12/30/99 0:00</v>
      </c>
      <c r="M580" s="278"/>
      <c r="N580" s="290"/>
      <c r="O580" s="276"/>
      <c r="P580" s="276"/>
      <c r="Q580" s="278"/>
      <c r="R580" s="278"/>
      <c r="S580" s="278"/>
      <c r="T580" s="278"/>
      <c r="U580" s="279"/>
      <c r="V580" s="279"/>
      <c r="W580" s="279"/>
      <c r="X580" s="279"/>
      <c r="Y580" s="279"/>
      <c r="Z580" s="282"/>
      <c r="AA580" s="282"/>
      <c r="AB580" s="282"/>
      <c r="AC580" s="284"/>
      <c r="AD580" s="284"/>
    </row>
    <row r="581" ht="14.25" customHeight="1">
      <c r="A581" s="266"/>
      <c r="B581" s="266"/>
      <c r="C581" s="266"/>
      <c r="D581" s="266"/>
      <c r="E581" s="268"/>
      <c r="F581" s="291"/>
      <c r="G581" s="268"/>
      <c r="H581" s="268"/>
      <c r="I581" s="268"/>
      <c r="J581" s="268"/>
      <c r="K581" s="268"/>
      <c r="L581" s="271" t="str">
        <f t="shared" si="47"/>
        <v>12/30/99 0:00</v>
      </c>
      <c r="M581" s="278"/>
      <c r="N581" s="290"/>
      <c r="O581" s="276"/>
      <c r="P581" s="276"/>
      <c r="Q581" s="278"/>
      <c r="R581" s="278"/>
      <c r="S581" s="278"/>
      <c r="T581" s="278"/>
      <c r="U581" s="279"/>
      <c r="V581" s="279"/>
      <c r="W581" s="279"/>
      <c r="X581" s="279"/>
      <c r="Y581" s="279"/>
      <c r="Z581" s="282"/>
      <c r="AA581" s="282"/>
      <c r="AB581" s="282"/>
      <c r="AC581" s="284"/>
      <c r="AD581" s="284"/>
    </row>
    <row r="582" ht="14.25" customHeight="1">
      <c r="A582" s="266"/>
      <c r="B582" s="266"/>
      <c r="C582" s="266"/>
      <c r="D582" s="266"/>
      <c r="E582" s="268"/>
      <c r="F582" s="291"/>
      <c r="G582" s="268"/>
      <c r="H582" s="268"/>
      <c r="I582" s="268"/>
      <c r="J582" s="268"/>
      <c r="K582" s="268"/>
      <c r="L582" s="271" t="str">
        <f t="shared" si="47"/>
        <v>12/30/99 0:00</v>
      </c>
      <c r="M582" s="278"/>
      <c r="N582" s="290"/>
      <c r="O582" s="276"/>
      <c r="P582" s="276"/>
      <c r="Q582" s="278"/>
      <c r="R582" s="278"/>
      <c r="S582" s="278"/>
      <c r="T582" s="278"/>
      <c r="U582" s="279"/>
      <c r="V582" s="279"/>
      <c r="W582" s="279"/>
      <c r="X582" s="279"/>
      <c r="Y582" s="279"/>
      <c r="Z582" s="282"/>
      <c r="AA582" s="282"/>
      <c r="AB582" s="282"/>
      <c r="AC582" s="284"/>
      <c r="AD582" s="284"/>
    </row>
    <row r="583" ht="14.25" customHeight="1">
      <c r="A583" s="266"/>
      <c r="B583" s="266"/>
      <c r="C583" s="266"/>
      <c r="D583" s="266"/>
      <c r="E583" s="268"/>
      <c r="F583" s="291"/>
      <c r="G583" s="268"/>
      <c r="H583" s="268"/>
      <c r="I583" s="268"/>
      <c r="J583" s="268"/>
      <c r="K583" s="268"/>
      <c r="L583" s="271" t="str">
        <f t="shared" si="47"/>
        <v>12/30/99 0:00</v>
      </c>
      <c r="M583" s="278"/>
      <c r="N583" s="290"/>
      <c r="O583" s="276"/>
      <c r="P583" s="276"/>
      <c r="Q583" s="278"/>
      <c r="R583" s="278"/>
      <c r="S583" s="278"/>
      <c r="T583" s="278"/>
      <c r="U583" s="279"/>
      <c r="V583" s="279"/>
      <c r="W583" s="279"/>
      <c r="X583" s="279"/>
      <c r="Y583" s="279"/>
      <c r="Z583" s="282"/>
      <c r="AA583" s="282"/>
      <c r="AB583" s="282"/>
      <c r="AC583" s="284"/>
      <c r="AD583" s="284"/>
    </row>
    <row r="584" ht="14.25" customHeight="1">
      <c r="A584" s="266"/>
      <c r="B584" s="266"/>
      <c r="C584" s="266"/>
      <c r="D584" s="266"/>
      <c r="E584" s="268"/>
      <c r="F584" s="291"/>
      <c r="G584" s="268"/>
      <c r="H584" s="268"/>
      <c r="I584" s="268"/>
      <c r="J584" s="268"/>
      <c r="K584" s="268"/>
      <c r="L584" s="271" t="str">
        <f t="shared" si="47"/>
        <v>12/30/99 0:00</v>
      </c>
      <c r="M584" s="278"/>
      <c r="N584" s="290"/>
      <c r="O584" s="276"/>
      <c r="P584" s="276"/>
      <c r="Q584" s="278"/>
      <c r="R584" s="278"/>
      <c r="S584" s="278"/>
      <c r="T584" s="278"/>
      <c r="U584" s="279"/>
      <c r="V584" s="279"/>
      <c r="W584" s="279"/>
      <c r="X584" s="279"/>
      <c r="Y584" s="279"/>
      <c r="Z584" s="282"/>
      <c r="AA584" s="282"/>
      <c r="AB584" s="282"/>
      <c r="AC584" s="284"/>
      <c r="AD584" s="284"/>
    </row>
    <row r="585" ht="14.25" customHeight="1">
      <c r="A585" s="266"/>
      <c r="B585" s="266"/>
      <c r="C585" s="266"/>
      <c r="D585" s="266"/>
      <c r="E585" s="268"/>
      <c r="F585" s="291"/>
      <c r="G585" s="268"/>
      <c r="H585" s="268"/>
      <c r="I585" s="268"/>
      <c r="J585" s="268"/>
      <c r="K585" s="268"/>
      <c r="L585" s="271" t="str">
        <f t="shared" si="47"/>
        <v>12/30/99 0:00</v>
      </c>
      <c r="M585" s="278"/>
      <c r="N585" s="290"/>
      <c r="O585" s="276"/>
      <c r="P585" s="276"/>
      <c r="Q585" s="278"/>
      <c r="R585" s="278"/>
      <c r="S585" s="278"/>
      <c r="T585" s="278"/>
      <c r="U585" s="279"/>
      <c r="V585" s="279"/>
      <c r="W585" s="279"/>
      <c r="X585" s="279"/>
      <c r="Y585" s="279"/>
      <c r="Z585" s="282"/>
      <c r="AA585" s="282"/>
      <c r="AB585" s="282"/>
      <c r="AC585" s="284"/>
      <c r="AD585" s="284"/>
    </row>
    <row r="586" ht="14.25" customHeight="1">
      <c r="A586" s="266"/>
      <c r="B586" s="266"/>
      <c r="C586" s="266"/>
      <c r="D586" s="266"/>
      <c r="E586" s="268"/>
      <c r="F586" s="291"/>
      <c r="G586" s="268"/>
      <c r="H586" s="268"/>
      <c r="I586" s="268"/>
      <c r="J586" s="268"/>
      <c r="K586" s="268"/>
      <c r="L586" s="271" t="str">
        <f t="shared" si="47"/>
        <v>12/30/99 0:00</v>
      </c>
      <c r="M586" s="278"/>
      <c r="N586" s="290"/>
      <c r="O586" s="276"/>
      <c r="P586" s="276"/>
      <c r="Q586" s="278"/>
      <c r="R586" s="278"/>
      <c r="S586" s="278"/>
      <c r="T586" s="278"/>
      <c r="U586" s="279"/>
      <c r="V586" s="279"/>
      <c r="W586" s="279"/>
      <c r="X586" s="279"/>
      <c r="Y586" s="279"/>
      <c r="Z586" s="282"/>
      <c r="AA586" s="282"/>
      <c r="AB586" s="282"/>
      <c r="AC586" s="284"/>
      <c r="AD586" s="284"/>
    </row>
    <row r="587" ht="14.25" customHeight="1">
      <c r="A587" s="266"/>
      <c r="B587" s="266"/>
      <c r="C587" s="266"/>
      <c r="D587" s="266"/>
      <c r="E587" s="268"/>
      <c r="F587" s="291"/>
      <c r="G587" s="268"/>
      <c r="H587" s="268"/>
      <c r="I587" s="268"/>
      <c r="J587" s="268"/>
      <c r="K587" s="268"/>
      <c r="L587" s="271" t="str">
        <f t="shared" si="47"/>
        <v>12/30/99 0:00</v>
      </c>
      <c r="M587" s="278"/>
      <c r="N587" s="290"/>
      <c r="O587" s="276"/>
      <c r="P587" s="276"/>
      <c r="Q587" s="278"/>
      <c r="R587" s="278"/>
      <c r="S587" s="278"/>
      <c r="T587" s="278"/>
      <c r="U587" s="279"/>
      <c r="V587" s="279"/>
      <c r="W587" s="279"/>
      <c r="X587" s="279"/>
      <c r="Y587" s="279"/>
      <c r="Z587" s="282"/>
      <c r="AA587" s="282"/>
      <c r="AB587" s="282"/>
      <c r="AC587" s="284"/>
      <c r="AD587" s="284"/>
    </row>
    <row r="588" ht="14.25" customHeight="1">
      <c r="A588" s="266"/>
      <c r="B588" s="266"/>
      <c r="C588" s="266"/>
      <c r="D588" s="266"/>
      <c r="E588" s="268"/>
      <c r="F588" s="291"/>
      <c r="G588" s="268"/>
      <c r="H588" s="268"/>
      <c r="I588" s="268"/>
      <c r="J588" s="268"/>
      <c r="K588" s="268"/>
      <c r="L588" s="271" t="str">
        <f t="shared" si="47"/>
        <v>12/30/99 0:00</v>
      </c>
      <c r="M588" s="278"/>
      <c r="N588" s="290"/>
      <c r="O588" s="276"/>
      <c r="P588" s="276"/>
      <c r="Q588" s="278"/>
      <c r="R588" s="278"/>
      <c r="S588" s="278"/>
      <c r="T588" s="278"/>
      <c r="U588" s="279"/>
      <c r="V588" s="279"/>
      <c r="W588" s="279"/>
      <c r="X588" s="279"/>
      <c r="Y588" s="279"/>
      <c r="Z588" s="282"/>
      <c r="AA588" s="282"/>
      <c r="AB588" s="282"/>
      <c r="AC588" s="284"/>
      <c r="AD588" s="284"/>
    </row>
    <row r="589" ht="14.25" customHeight="1">
      <c r="A589" s="266"/>
      <c r="B589" s="266"/>
      <c r="C589" s="266"/>
      <c r="D589" s="266"/>
      <c r="E589" s="268"/>
      <c r="F589" s="291"/>
      <c r="G589" s="268"/>
      <c r="H589" s="268"/>
      <c r="I589" s="268"/>
      <c r="J589" s="268"/>
      <c r="K589" s="268"/>
      <c r="L589" s="271" t="str">
        <f t="shared" si="47"/>
        <v>12/30/99 0:00</v>
      </c>
      <c r="M589" s="278"/>
      <c r="N589" s="290"/>
      <c r="O589" s="276"/>
      <c r="P589" s="276"/>
      <c r="Q589" s="278"/>
      <c r="R589" s="278"/>
      <c r="S589" s="278"/>
      <c r="T589" s="278"/>
      <c r="U589" s="279"/>
      <c r="V589" s="279"/>
      <c r="W589" s="279"/>
      <c r="X589" s="279"/>
      <c r="Y589" s="279"/>
      <c r="Z589" s="282"/>
      <c r="AA589" s="282"/>
      <c r="AB589" s="282"/>
      <c r="AC589" s="284"/>
      <c r="AD589" s="284"/>
    </row>
    <row r="590" ht="14.25" customHeight="1">
      <c r="A590" s="266"/>
      <c r="B590" s="266"/>
      <c r="C590" s="266"/>
      <c r="D590" s="266"/>
      <c r="E590" s="268"/>
      <c r="F590" s="291"/>
      <c r="G590" s="268"/>
      <c r="H590" s="268"/>
      <c r="I590" s="268"/>
      <c r="J590" s="268"/>
      <c r="K590" s="268"/>
      <c r="L590" s="271" t="str">
        <f t="shared" si="47"/>
        <v>12/30/99 0:00</v>
      </c>
      <c r="M590" s="278"/>
      <c r="N590" s="290"/>
      <c r="O590" s="276"/>
      <c r="P590" s="276"/>
      <c r="Q590" s="278"/>
      <c r="R590" s="278"/>
      <c r="S590" s="278"/>
      <c r="T590" s="278"/>
      <c r="U590" s="279"/>
      <c r="V590" s="279"/>
      <c r="W590" s="279"/>
      <c r="X590" s="279"/>
      <c r="Y590" s="279"/>
      <c r="Z590" s="282"/>
      <c r="AA590" s="282"/>
      <c r="AB590" s="282"/>
      <c r="AC590" s="284"/>
      <c r="AD590" s="284"/>
    </row>
    <row r="591" ht="14.25" customHeight="1">
      <c r="A591" s="266"/>
      <c r="B591" s="266"/>
      <c r="C591" s="266"/>
      <c r="D591" s="266"/>
      <c r="E591" s="268"/>
      <c r="F591" s="291"/>
      <c r="G591" s="268"/>
      <c r="H591" s="268"/>
      <c r="I591" s="268"/>
      <c r="J591" s="268"/>
      <c r="K591" s="268"/>
      <c r="L591" s="271" t="str">
        <f t="shared" si="47"/>
        <v>12/30/99 0:00</v>
      </c>
      <c r="M591" s="278"/>
      <c r="N591" s="290"/>
      <c r="O591" s="276"/>
      <c r="P591" s="276"/>
      <c r="Q591" s="278"/>
      <c r="R591" s="278"/>
      <c r="S591" s="278"/>
      <c r="T591" s="278"/>
      <c r="U591" s="279"/>
      <c r="V591" s="279"/>
      <c r="W591" s="279"/>
      <c r="X591" s="279"/>
      <c r="Y591" s="279"/>
      <c r="Z591" s="282"/>
      <c r="AA591" s="282"/>
      <c r="AB591" s="282"/>
      <c r="AC591" s="284"/>
      <c r="AD591" s="284"/>
    </row>
    <row r="592" ht="14.25" customHeight="1">
      <c r="A592" s="266"/>
      <c r="B592" s="266"/>
      <c r="C592" s="266"/>
      <c r="D592" s="266"/>
      <c r="E592" s="268"/>
      <c r="F592" s="291"/>
      <c r="G592" s="268"/>
      <c r="H592" s="268"/>
      <c r="I592" s="268"/>
      <c r="J592" s="268"/>
      <c r="K592" s="268"/>
      <c r="L592" s="271" t="str">
        <f t="shared" si="47"/>
        <v>12/30/99 0:00</v>
      </c>
      <c r="M592" s="278"/>
      <c r="N592" s="290"/>
      <c r="O592" s="276"/>
      <c r="P592" s="276"/>
      <c r="Q592" s="278"/>
      <c r="R592" s="278"/>
      <c r="S592" s="278"/>
      <c r="T592" s="278"/>
      <c r="U592" s="279"/>
      <c r="V592" s="279"/>
      <c r="W592" s="279"/>
      <c r="X592" s="279"/>
      <c r="Y592" s="279"/>
      <c r="Z592" s="282"/>
      <c r="AA592" s="282"/>
      <c r="AB592" s="282"/>
      <c r="AC592" s="284"/>
      <c r="AD592" s="284"/>
    </row>
    <row r="593" ht="14.25" customHeight="1">
      <c r="A593" s="266"/>
      <c r="B593" s="266"/>
      <c r="C593" s="266"/>
      <c r="D593" s="266"/>
      <c r="E593" s="268"/>
      <c r="F593" s="291"/>
      <c r="G593" s="268"/>
      <c r="H593" s="268"/>
      <c r="I593" s="268"/>
      <c r="J593" s="268"/>
      <c r="K593" s="268"/>
      <c r="L593" s="271" t="str">
        <f t="shared" si="47"/>
        <v>12/30/99 0:00</v>
      </c>
      <c r="M593" s="278"/>
      <c r="N593" s="290"/>
      <c r="O593" s="276"/>
      <c r="P593" s="276"/>
      <c r="Q593" s="278"/>
      <c r="R593" s="278"/>
      <c r="S593" s="278"/>
      <c r="T593" s="278"/>
      <c r="U593" s="279"/>
      <c r="V593" s="279"/>
      <c r="W593" s="279"/>
      <c r="X593" s="279"/>
      <c r="Y593" s="279"/>
      <c r="Z593" s="282"/>
      <c r="AA593" s="282"/>
      <c r="AB593" s="282"/>
      <c r="AC593" s="284"/>
      <c r="AD593" s="284"/>
    </row>
    <row r="594" ht="14.25" customHeight="1">
      <c r="A594" s="266"/>
      <c r="B594" s="266"/>
      <c r="C594" s="266"/>
      <c r="D594" s="266"/>
      <c r="E594" s="268"/>
      <c r="F594" s="291"/>
      <c r="G594" s="268"/>
      <c r="H594" s="268"/>
      <c r="I594" s="268"/>
      <c r="J594" s="268"/>
      <c r="K594" s="268"/>
      <c r="L594" s="271" t="str">
        <f t="shared" si="47"/>
        <v>12/30/99 0:00</v>
      </c>
      <c r="M594" s="278"/>
      <c r="N594" s="290"/>
      <c r="O594" s="276"/>
      <c r="P594" s="276"/>
      <c r="Q594" s="278"/>
      <c r="R594" s="278"/>
      <c r="S594" s="278"/>
      <c r="T594" s="278"/>
      <c r="U594" s="279"/>
      <c r="V594" s="279"/>
      <c r="W594" s="279"/>
      <c r="X594" s="279"/>
      <c r="Y594" s="279"/>
      <c r="Z594" s="282"/>
      <c r="AA594" s="282"/>
      <c r="AB594" s="282"/>
      <c r="AC594" s="284"/>
      <c r="AD594" s="284"/>
    </row>
    <row r="595" ht="14.25" customHeight="1">
      <c r="A595" s="266"/>
      <c r="B595" s="266"/>
      <c r="C595" s="266"/>
      <c r="D595" s="266"/>
      <c r="E595" s="268"/>
      <c r="F595" s="291"/>
      <c r="G595" s="268"/>
      <c r="H595" s="268"/>
      <c r="I595" s="268"/>
      <c r="J595" s="268"/>
      <c r="K595" s="268"/>
      <c r="L595" s="271" t="str">
        <f t="shared" si="47"/>
        <v>12/30/99 0:00</v>
      </c>
      <c r="M595" s="278"/>
      <c r="N595" s="290"/>
      <c r="O595" s="276"/>
      <c r="P595" s="276"/>
      <c r="Q595" s="278"/>
      <c r="R595" s="278"/>
      <c r="S595" s="278"/>
      <c r="T595" s="278"/>
      <c r="U595" s="279"/>
      <c r="V595" s="279"/>
      <c r="W595" s="279"/>
      <c r="X595" s="279"/>
      <c r="Y595" s="279"/>
      <c r="Z595" s="282"/>
      <c r="AA595" s="282"/>
      <c r="AB595" s="282"/>
      <c r="AC595" s="284"/>
      <c r="AD595" s="284"/>
    </row>
    <row r="596" ht="14.25" customHeight="1">
      <c r="A596" s="266"/>
      <c r="B596" s="266"/>
      <c r="C596" s="266"/>
      <c r="D596" s="266"/>
      <c r="E596" s="268"/>
      <c r="F596" s="291"/>
      <c r="G596" s="268"/>
      <c r="H596" s="268"/>
      <c r="I596" s="268"/>
      <c r="J596" s="268"/>
      <c r="K596" s="268"/>
      <c r="L596" s="271" t="str">
        <f t="shared" si="47"/>
        <v>12/30/99 0:00</v>
      </c>
      <c r="M596" s="278"/>
      <c r="N596" s="290"/>
      <c r="O596" s="276"/>
      <c r="P596" s="276"/>
      <c r="Q596" s="278"/>
      <c r="R596" s="278"/>
      <c r="S596" s="278"/>
      <c r="T596" s="278"/>
      <c r="U596" s="279"/>
      <c r="V596" s="279"/>
      <c r="W596" s="279"/>
      <c r="X596" s="279"/>
      <c r="Y596" s="279"/>
      <c r="Z596" s="282"/>
      <c r="AA596" s="282"/>
      <c r="AB596" s="282"/>
      <c r="AC596" s="284"/>
      <c r="AD596" s="284"/>
    </row>
    <row r="597" ht="14.25" customHeight="1">
      <c r="A597" s="266"/>
      <c r="B597" s="266"/>
      <c r="C597" s="266"/>
      <c r="D597" s="266"/>
      <c r="E597" s="268"/>
      <c r="F597" s="291"/>
      <c r="G597" s="268"/>
      <c r="H597" s="268"/>
      <c r="I597" s="268"/>
      <c r="J597" s="268"/>
      <c r="K597" s="268"/>
      <c r="L597" s="271" t="str">
        <f t="shared" si="47"/>
        <v>12/30/99 0:00</v>
      </c>
      <c r="M597" s="278"/>
      <c r="N597" s="290"/>
      <c r="O597" s="276"/>
      <c r="P597" s="276"/>
      <c r="Q597" s="278"/>
      <c r="R597" s="278"/>
      <c r="S597" s="278"/>
      <c r="T597" s="278"/>
      <c r="U597" s="279"/>
      <c r="V597" s="279"/>
      <c r="W597" s="279"/>
      <c r="X597" s="279"/>
      <c r="Y597" s="279"/>
      <c r="Z597" s="282"/>
      <c r="AA597" s="282"/>
      <c r="AB597" s="282"/>
      <c r="AC597" s="284"/>
      <c r="AD597" s="284"/>
    </row>
    <row r="598" ht="14.25" customHeight="1">
      <c r="A598" s="266"/>
      <c r="B598" s="266"/>
      <c r="C598" s="266"/>
      <c r="D598" s="266"/>
      <c r="E598" s="268"/>
      <c r="F598" s="291"/>
      <c r="G598" s="268"/>
      <c r="H598" s="268"/>
      <c r="I598" s="268"/>
      <c r="J598" s="268"/>
      <c r="K598" s="268"/>
      <c r="L598" s="271" t="str">
        <f t="shared" si="47"/>
        <v>12/30/99 0:00</v>
      </c>
      <c r="M598" s="278"/>
      <c r="N598" s="290"/>
      <c r="O598" s="276"/>
      <c r="P598" s="276"/>
      <c r="Q598" s="278"/>
      <c r="R598" s="278"/>
      <c r="S598" s="278"/>
      <c r="T598" s="278"/>
      <c r="U598" s="279"/>
      <c r="V598" s="279"/>
      <c r="W598" s="279"/>
      <c r="X598" s="279"/>
      <c r="Y598" s="279"/>
      <c r="Z598" s="282"/>
      <c r="AA598" s="282"/>
      <c r="AB598" s="282"/>
      <c r="AC598" s="284"/>
      <c r="AD598" s="284"/>
    </row>
    <row r="599" ht="14.25" customHeight="1">
      <c r="A599" s="266"/>
      <c r="B599" s="266"/>
      <c r="C599" s="266"/>
      <c r="D599" s="266"/>
      <c r="E599" s="268"/>
      <c r="F599" s="291"/>
      <c r="G599" s="268"/>
      <c r="H599" s="268"/>
      <c r="I599" s="268"/>
      <c r="J599" s="268"/>
      <c r="K599" s="268"/>
      <c r="L599" s="271" t="str">
        <f t="shared" si="47"/>
        <v>12/30/99 0:00</v>
      </c>
      <c r="M599" s="278"/>
      <c r="N599" s="290"/>
      <c r="O599" s="276"/>
      <c r="P599" s="276"/>
      <c r="Q599" s="278"/>
      <c r="R599" s="278"/>
      <c r="S599" s="278"/>
      <c r="T599" s="278"/>
      <c r="U599" s="279"/>
      <c r="V599" s="279"/>
      <c r="W599" s="279"/>
      <c r="X599" s="279"/>
      <c r="Y599" s="279"/>
      <c r="Z599" s="282"/>
      <c r="AA599" s="282"/>
      <c r="AB599" s="282"/>
      <c r="AC599" s="284"/>
      <c r="AD599" s="284"/>
    </row>
    <row r="600" ht="14.25" customHeight="1">
      <c r="A600" s="266"/>
      <c r="B600" s="266"/>
      <c r="C600" s="266"/>
      <c r="D600" s="266"/>
      <c r="E600" s="268"/>
      <c r="F600" s="291"/>
      <c r="G600" s="268"/>
      <c r="H600" s="268"/>
      <c r="I600" s="268"/>
      <c r="J600" s="268"/>
      <c r="K600" s="268"/>
      <c r="L600" s="271" t="str">
        <f t="shared" si="47"/>
        <v>12/30/99 0:00</v>
      </c>
      <c r="M600" s="278"/>
      <c r="N600" s="290"/>
      <c r="O600" s="276"/>
      <c r="P600" s="276"/>
      <c r="Q600" s="278"/>
      <c r="R600" s="278"/>
      <c r="S600" s="278"/>
      <c r="T600" s="278"/>
      <c r="U600" s="279"/>
      <c r="V600" s="279"/>
      <c r="W600" s="279"/>
      <c r="X600" s="279"/>
      <c r="Y600" s="279"/>
      <c r="Z600" s="282"/>
      <c r="AA600" s="282"/>
      <c r="AB600" s="282"/>
      <c r="AC600" s="284"/>
      <c r="AD600" s="284"/>
    </row>
    <row r="601" ht="14.25" customHeight="1">
      <c r="A601" s="266"/>
      <c r="B601" s="266"/>
      <c r="C601" s="266"/>
      <c r="D601" s="266"/>
      <c r="E601" s="268"/>
      <c r="F601" s="291"/>
      <c r="G601" s="268"/>
      <c r="H601" s="268"/>
      <c r="I601" s="268"/>
      <c r="J601" s="268"/>
      <c r="K601" s="268"/>
      <c r="L601" s="271" t="str">
        <f t="shared" si="47"/>
        <v>12/30/99 0:00</v>
      </c>
      <c r="M601" s="278"/>
      <c r="N601" s="290"/>
      <c r="O601" s="276"/>
      <c r="P601" s="276"/>
      <c r="Q601" s="278"/>
      <c r="R601" s="278"/>
      <c r="S601" s="278"/>
      <c r="T601" s="278"/>
      <c r="U601" s="279"/>
      <c r="V601" s="279"/>
      <c r="W601" s="279"/>
      <c r="X601" s="279"/>
      <c r="Y601" s="279"/>
      <c r="Z601" s="282"/>
      <c r="AA601" s="282"/>
      <c r="AB601" s="282"/>
      <c r="AC601" s="284"/>
      <c r="AD601" s="284"/>
    </row>
    <row r="602" ht="14.25" customHeight="1">
      <c r="A602" s="266"/>
      <c r="B602" s="266"/>
      <c r="C602" s="266"/>
      <c r="D602" s="266"/>
      <c r="E602" s="268"/>
      <c r="F602" s="291"/>
      <c r="G602" s="268"/>
      <c r="H602" s="268"/>
      <c r="I602" s="268"/>
      <c r="J602" s="268"/>
      <c r="K602" s="268"/>
      <c r="L602" s="271" t="str">
        <f t="shared" si="47"/>
        <v>12/30/99 0:00</v>
      </c>
      <c r="M602" s="278"/>
      <c r="N602" s="290"/>
      <c r="O602" s="276"/>
      <c r="P602" s="276"/>
      <c r="Q602" s="278"/>
      <c r="R602" s="278"/>
      <c r="S602" s="278"/>
      <c r="T602" s="278"/>
      <c r="U602" s="279"/>
      <c r="V602" s="279"/>
      <c r="W602" s="279"/>
      <c r="X602" s="279"/>
      <c r="Y602" s="279"/>
      <c r="Z602" s="282"/>
      <c r="AA602" s="282"/>
      <c r="AB602" s="282"/>
      <c r="AC602" s="284"/>
      <c r="AD602" s="284"/>
    </row>
    <row r="603" ht="14.25" customHeight="1">
      <c r="A603" s="266"/>
      <c r="B603" s="266"/>
      <c r="C603" s="266"/>
      <c r="D603" s="266"/>
      <c r="E603" s="268"/>
      <c r="F603" s="291"/>
      <c r="G603" s="268"/>
      <c r="H603" s="268"/>
      <c r="I603" s="268"/>
      <c r="J603" s="268"/>
      <c r="K603" s="268"/>
      <c r="L603" s="271" t="str">
        <f t="shared" si="47"/>
        <v>12/30/99 0:00</v>
      </c>
      <c r="M603" s="278"/>
      <c r="N603" s="290"/>
      <c r="O603" s="276"/>
      <c r="P603" s="276"/>
      <c r="Q603" s="278"/>
      <c r="R603" s="278"/>
      <c r="S603" s="278"/>
      <c r="T603" s="278"/>
      <c r="U603" s="279"/>
      <c r="V603" s="279"/>
      <c r="W603" s="279"/>
      <c r="X603" s="279"/>
      <c r="Y603" s="279"/>
      <c r="Z603" s="282"/>
      <c r="AA603" s="282"/>
      <c r="AB603" s="282"/>
      <c r="AC603" s="284"/>
      <c r="AD603" s="284"/>
    </row>
    <row r="604" ht="14.25" customHeight="1">
      <c r="A604" s="266"/>
      <c r="B604" s="266"/>
      <c r="C604" s="266"/>
      <c r="D604" s="266"/>
      <c r="E604" s="268"/>
      <c r="F604" s="291"/>
      <c r="G604" s="268"/>
      <c r="H604" s="268"/>
      <c r="I604" s="268"/>
      <c r="J604" s="268"/>
      <c r="K604" s="268"/>
      <c r="L604" s="271" t="str">
        <f t="shared" si="47"/>
        <v>12/30/99 0:00</v>
      </c>
      <c r="M604" s="278"/>
      <c r="N604" s="290"/>
      <c r="O604" s="276"/>
      <c r="P604" s="276"/>
      <c r="Q604" s="278"/>
      <c r="R604" s="278"/>
      <c r="S604" s="278"/>
      <c r="T604" s="278"/>
      <c r="U604" s="279"/>
      <c r="V604" s="279"/>
      <c r="W604" s="279"/>
      <c r="X604" s="279"/>
      <c r="Y604" s="279"/>
      <c r="Z604" s="282"/>
      <c r="AA604" s="282"/>
      <c r="AB604" s="282"/>
      <c r="AC604" s="284"/>
      <c r="AD604" s="284"/>
    </row>
    <row r="605" ht="14.25" customHeight="1">
      <c r="A605" s="266"/>
      <c r="B605" s="266"/>
      <c r="C605" s="266"/>
      <c r="D605" s="266"/>
      <c r="E605" s="268"/>
      <c r="F605" s="291"/>
      <c r="G605" s="268"/>
      <c r="H605" s="268"/>
      <c r="I605" s="268"/>
      <c r="J605" s="268"/>
      <c r="K605" s="268"/>
      <c r="L605" s="271" t="str">
        <f t="shared" si="47"/>
        <v>12/30/99 0:00</v>
      </c>
      <c r="M605" s="278"/>
      <c r="N605" s="290"/>
      <c r="O605" s="276"/>
      <c r="P605" s="276"/>
      <c r="Q605" s="278"/>
      <c r="R605" s="278"/>
      <c r="S605" s="278"/>
      <c r="T605" s="278"/>
      <c r="U605" s="279"/>
      <c r="V605" s="279"/>
      <c r="W605" s="279"/>
      <c r="X605" s="279"/>
      <c r="Y605" s="279"/>
      <c r="Z605" s="282"/>
      <c r="AA605" s="282"/>
      <c r="AB605" s="282"/>
      <c r="AC605" s="284"/>
      <c r="AD605" s="284"/>
    </row>
    <row r="606" ht="14.25" customHeight="1">
      <c r="A606" s="266"/>
      <c r="B606" s="266"/>
      <c r="C606" s="266"/>
      <c r="D606" s="266"/>
      <c r="E606" s="268"/>
      <c r="F606" s="291"/>
      <c r="G606" s="268"/>
      <c r="H606" s="268"/>
      <c r="I606" s="268"/>
      <c r="J606" s="268"/>
      <c r="K606" s="268"/>
      <c r="L606" s="271" t="str">
        <f t="shared" si="47"/>
        <v>12/30/99 0:00</v>
      </c>
      <c r="M606" s="278"/>
      <c r="N606" s="290"/>
      <c r="O606" s="276"/>
      <c r="P606" s="276"/>
      <c r="Q606" s="278"/>
      <c r="R606" s="278"/>
      <c r="S606" s="278"/>
      <c r="T606" s="278"/>
      <c r="U606" s="279"/>
      <c r="V606" s="279"/>
      <c r="W606" s="279"/>
      <c r="X606" s="279"/>
      <c r="Y606" s="279"/>
      <c r="Z606" s="282"/>
      <c r="AA606" s="282"/>
      <c r="AB606" s="282"/>
      <c r="AC606" s="284"/>
      <c r="AD606" s="284"/>
    </row>
    <row r="607" ht="14.25" customHeight="1">
      <c r="A607" s="266"/>
      <c r="B607" s="266"/>
      <c r="C607" s="266"/>
      <c r="D607" s="266"/>
      <c r="E607" s="268"/>
      <c r="F607" s="291"/>
      <c r="G607" s="268"/>
      <c r="H607" s="268"/>
      <c r="I607" s="268"/>
      <c r="J607" s="268"/>
      <c r="K607" s="268"/>
      <c r="L607" s="271" t="str">
        <f t="shared" si="47"/>
        <v>12/30/99 0:00</v>
      </c>
      <c r="M607" s="278"/>
      <c r="N607" s="290"/>
      <c r="O607" s="276"/>
      <c r="P607" s="276"/>
      <c r="Q607" s="278"/>
      <c r="R607" s="278"/>
      <c r="S607" s="278"/>
      <c r="T607" s="278"/>
      <c r="U607" s="279"/>
      <c r="V607" s="279"/>
      <c r="W607" s="279"/>
      <c r="X607" s="279"/>
      <c r="Y607" s="279"/>
      <c r="Z607" s="282"/>
      <c r="AA607" s="282"/>
      <c r="AB607" s="282"/>
      <c r="AC607" s="284"/>
      <c r="AD607" s="284"/>
    </row>
    <row r="608" ht="14.25" customHeight="1">
      <c r="A608" s="266"/>
      <c r="B608" s="266"/>
      <c r="C608" s="266"/>
      <c r="D608" s="266"/>
      <c r="E608" s="268"/>
      <c r="F608" s="291"/>
      <c r="G608" s="268"/>
      <c r="H608" s="268"/>
      <c r="I608" s="268"/>
      <c r="J608" s="268"/>
      <c r="K608" s="268"/>
      <c r="L608" s="271" t="str">
        <f t="shared" si="47"/>
        <v>12/30/99 0:00</v>
      </c>
      <c r="M608" s="278"/>
      <c r="N608" s="290"/>
      <c r="O608" s="276"/>
      <c r="P608" s="276"/>
      <c r="Q608" s="278"/>
      <c r="R608" s="278"/>
      <c r="S608" s="278"/>
      <c r="T608" s="278"/>
      <c r="U608" s="279"/>
      <c r="V608" s="279"/>
      <c r="W608" s="279"/>
      <c r="X608" s="279"/>
      <c r="Y608" s="279"/>
      <c r="Z608" s="282"/>
      <c r="AA608" s="282"/>
      <c r="AB608" s="282"/>
      <c r="AC608" s="284"/>
      <c r="AD608" s="284"/>
    </row>
    <row r="609" ht="14.25" customHeight="1">
      <c r="A609" s="266"/>
      <c r="B609" s="266"/>
      <c r="C609" s="266"/>
      <c r="D609" s="266"/>
      <c r="E609" s="268"/>
      <c r="F609" s="291"/>
      <c r="G609" s="268"/>
      <c r="H609" s="268"/>
      <c r="I609" s="268"/>
      <c r="J609" s="268"/>
      <c r="K609" s="268"/>
      <c r="L609" s="271" t="str">
        <f t="shared" si="47"/>
        <v>12/30/99 0:00</v>
      </c>
      <c r="M609" s="278"/>
      <c r="N609" s="290"/>
      <c r="O609" s="276"/>
      <c r="P609" s="276"/>
      <c r="Q609" s="278"/>
      <c r="R609" s="278"/>
      <c r="S609" s="278"/>
      <c r="T609" s="278"/>
      <c r="U609" s="279"/>
      <c r="V609" s="279"/>
      <c r="W609" s="279"/>
      <c r="X609" s="279"/>
      <c r="Y609" s="279"/>
      <c r="Z609" s="282"/>
      <c r="AA609" s="282"/>
      <c r="AB609" s="282"/>
      <c r="AC609" s="284"/>
      <c r="AD609" s="284"/>
    </row>
    <row r="610" ht="14.25" customHeight="1">
      <c r="A610" s="266"/>
      <c r="B610" s="266"/>
      <c r="C610" s="266"/>
      <c r="D610" s="266"/>
      <c r="E610" s="268"/>
      <c r="F610" s="291"/>
      <c r="G610" s="268"/>
      <c r="H610" s="268"/>
      <c r="I610" s="268"/>
      <c r="J610" s="268"/>
      <c r="K610" s="268"/>
      <c r="L610" s="271" t="str">
        <f t="shared" si="47"/>
        <v>12/30/99 0:00</v>
      </c>
      <c r="M610" s="278"/>
      <c r="N610" s="290"/>
      <c r="O610" s="276"/>
      <c r="P610" s="276"/>
      <c r="Q610" s="278"/>
      <c r="R610" s="278"/>
      <c r="S610" s="278"/>
      <c r="T610" s="278"/>
      <c r="U610" s="279"/>
      <c r="V610" s="279"/>
      <c r="W610" s="279"/>
      <c r="X610" s="279"/>
      <c r="Y610" s="279"/>
      <c r="Z610" s="282"/>
      <c r="AA610" s="282"/>
      <c r="AB610" s="282"/>
      <c r="AC610" s="284"/>
      <c r="AD610" s="284"/>
    </row>
    <row r="611" ht="14.25" customHeight="1">
      <c r="A611" s="266"/>
      <c r="B611" s="266"/>
      <c r="C611" s="266"/>
      <c r="D611" s="266"/>
      <c r="E611" s="268"/>
      <c r="F611" s="291"/>
      <c r="G611" s="268"/>
      <c r="H611" s="268"/>
      <c r="I611" s="268"/>
      <c r="J611" s="268"/>
      <c r="K611" s="268"/>
      <c r="L611" s="271" t="str">
        <f t="shared" si="47"/>
        <v>12/30/99 0:00</v>
      </c>
      <c r="M611" s="278"/>
      <c r="N611" s="290"/>
      <c r="O611" s="276"/>
      <c r="P611" s="276"/>
      <c r="Q611" s="278"/>
      <c r="R611" s="278"/>
      <c r="S611" s="278"/>
      <c r="T611" s="278"/>
      <c r="U611" s="279"/>
      <c r="V611" s="279"/>
      <c r="W611" s="279"/>
      <c r="X611" s="279"/>
      <c r="Y611" s="279"/>
      <c r="Z611" s="282"/>
      <c r="AA611" s="282"/>
      <c r="AB611" s="282"/>
      <c r="AC611" s="284"/>
      <c r="AD611" s="284"/>
    </row>
    <row r="612" ht="14.25" customHeight="1">
      <c r="A612" s="266"/>
      <c r="B612" s="266"/>
      <c r="C612" s="266"/>
      <c r="D612" s="266"/>
      <c r="E612" s="268"/>
      <c r="F612" s="291"/>
      <c r="G612" s="268"/>
      <c r="H612" s="268"/>
      <c r="I612" s="268"/>
      <c r="J612" s="268"/>
      <c r="K612" s="268"/>
      <c r="L612" s="271" t="str">
        <f t="shared" si="47"/>
        <v>12/30/99 0:00</v>
      </c>
      <c r="M612" s="278"/>
      <c r="N612" s="290"/>
      <c r="O612" s="276"/>
      <c r="P612" s="276"/>
      <c r="Q612" s="278"/>
      <c r="R612" s="278"/>
      <c r="S612" s="278"/>
      <c r="T612" s="278"/>
      <c r="U612" s="279"/>
      <c r="V612" s="279"/>
      <c r="W612" s="279"/>
      <c r="X612" s="279"/>
      <c r="Y612" s="279"/>
      <c r="Z612" s="282"/>
      <c r="AA612" s="282"/>
      <c r="AB612" s="282"/>
      <c r="AC612" s="284"/>
      <c r="AD612" s="284"/>
    </row>
    <row r="613" ht="14.25" customHeight="1">
      <c r="A613" s="266"/>
      <c r="B613" s="266"/>
      <c r="C613" s="266"/>
      <c r="D613" s="266"/>
      <c r="E613" s="268"/>
      <c r="F613" s="291"/>
      <c r="G613" s="268"/>
      <c r="H613" s="268"/>
      <c r="I613" s="268"/>
      <c r="J613" s="268"/>
      <c r="K613" s="268"/>
      <c r="L613" s="271" t="str">
        <f t="shared" si="47"/>
        <v>12/30/99 0:00</v>
      </c>
      <c r="M613" s="278"/>
      <c r="N613" s="290"/>
      <c r="O613" s="276"/>
      <c r="P613" s="276"/>
      <c r="Q613" s="278"/>
      <c r="R613" s="278"/>
      <c r="S613" s="278"/>
      <c r="T613" s="278"/>
      <c r="U613" s="279"/>
      <c r="V613" s="279"/>
      <c r="W613" s="279"/>
      <c r="X613" s="279"/>
      <c r="Y613" s="279"/>
      <c r="Z613" s="282"/>
      <c r="AA613" s="282"/>
      <c r="AB613" s="282"/>
      <c r="AC613" s="284"/>
      <c r="AD613" s="284"/>
    </row>
    <row r="614" ht="14.25" customHeight="1">
      <c r="A614" s="266"/>
      <c r="B614" s="266"/>
      <c r="C614" s="266"/>
      <c r="D614" s="266"/>
      <c r="E614" s="268"/>
      <c r="F614" s="291"/>
      <c r="G614" s="268"/>
      <c r="H614" s="268"/>
      <c r="I614" s="268"/>
      <c r="J614" s="268"/>
      <c r="K614" s="268"/>
      <c r="L614" s="271" t="str">
        <f t="shared" si="47"/>
        <v>12/30/99 0:00</v>
      </c>
      <c r="M614" s="278"/>
      <c r="N614" s="290"/>
      <c r="O614" s="276"/>
      <c r="P614" s="276"/>
      <c r="Q614" s="278"/>
      <c r="R614" s="278"/>
      <c r="S614" s="278"/>
      <c r="T614" s="278"/>
      <c r="U614" s="279"/>
      <c r="V614" s="279"/>
      <c r="W614" s="279"/>
      <c r="X614" s="279"/>
      <c r="Y614" s="279"/>
      <c r="Z614" s="282"/>
      <c r="AA614" s="282"/>
      <c r="AB614" s="282"/>
      <c r="AC614" s="284"/>
      <c r="AD614" s="284"/>
    </row>
    <row r="615" ht="14.25" customHeight="1">
      <c r="A615" s="266"/>
      <c r="B615" s="266"/>
      <c r="C615" s="266"/>
      <c r="D615" s="266"/>
      <c r="E615" s="268"/>
      <c r="F615" s="291"/>
      <c r="G615" s="268"/>
      <c r="H615" s="268"/>
      <c r="I615" s="268"/>
      <c r="J615" s="268"/>
      <c r="K615" s="268"/>
      <c r="L615" s="271" t="str">
        <f t="shared" si="47"/>
        <v>12/30/99 0:00</v>
      </c>
      <c r="M615" s="278"/>
      <c r="N615" s="290"/>
      <c r="O615" s="276"/>
      <c r="P615" s="276"/>
      <c r="Q615" s="278"/>
      <c r="R615" s="278"/>
      <c r="S615" s="278"/>
      <c r="T615" s="278"/>
      <c r="U615" s="279"/>
      <c r="V615" s="279"/>
      <c r="W615" s="279"/>
      <c r="X615" s="279"/>
      <c r="Y615" s="279"/>
      <c r="Z615" s="282"/>
      <c r="AA615" s="282"/>
      <c r="AB615" s="282"/>
      <c r="AC615" s="284"/>
      <c r="AD615" s="284"/>
    </row>
    <row r="616" ht="14.25" customHeight="1">
      <c r="A616" s="266"/>
      <c r="B616" s="266"/>
      <c r="C616" s="266"/>
      <c r="D616" s="266"/>
      <c r="E616" s="268"/>
      <c r="F616" s="291"/>
      <c r="G616" s="268"/>
      <c r="H616" s="268"/>
      <c r="I616" s="268"/>
      <c r="J616" s="268"/>
      <c r="K616" s="268"/>
      <c r="L616" s="271" t="str">
        <f t="shared" si="47"/>
        <v>12/30/99 0:00</v>
      </c>
      <c r="M616" s="278"/>
      <c r="N616" s="290"/>
      <c r="O616" s="276"/>
      <c r="P616" s="276"/>
      <c r="Q616" s="278"/>
      <c r="R616" s="278"/>
      <c r="S616" s="278"/>
      <c r="T616" s="278"/>
      <c r="U616" s="279"/>
      <c r="V616" s="279"/>
      <c r="W616" s="279"/>
      <c r="X616" s="279"/>
      <c r="Y616" s="279"/>
      <c r="Z616" s="282"/>
      <c r="AA616" s="282"/>
      <c r="AB616" s="282"/>
      <c r="AC616" s="284"/>
      <c r="AD616" s="284"/>
    </row>
    <row r="617" ht="14.25" customHeight="1">
      <c r="A617" s="266"/>
      <c r="B617" s="266"/>
      <c r="C617" s="266"/>
      <c r="D617" s="266"/>
      <c r="E617" s="268"/>
      <c r="F617" s="291"/>
      <c r="G617" s="268"/>
      <c r="H617" s="268"/>
      <c r="I617" s="268"/>
      <c r="J617" s="268"/>
      <c r="K617" s="268"/>
      <c r="L617" s="271" t="str">
        <f t="shared" si="47"/>
        <v>12/30/99 0:00</v>
      </c>
      <c r="M617" s="278"/>
      <c r="N617" s="290"/>
      <c r="O617" s="276"/>
      <c r="P617" s="276"/>
      <c r="Q617" s="278"/>
      <c r="R617" s="278"/>
      <c r="S617" s="278"/>
      <c r="T617" s="278"/>
      <c r="U617" s="279"/>
      <c r="V617" s="279"/>
      <c r="W617" s="279"/>
      <c r="X617" s="279"/>
      <c r="Y617" s="279"/>
      <c r="Z617" s="282"/>
      <c r="AA617" s="282"/>
      <c r="AB617" s="282"/>
      <c r="AC617" s="284"/>
      <c r="AD617" s="284"/>
    </row>
    <row r="618" ht="14.25" customHeight="1">
      <c r="A618" s="266"/>
      <c r="B618" s="266"/>
      <c r="C618" s="266"/>
      <c r="D618" s="266"/>
      <c r="E618" s="268"/>
      <c r="F618" s="291"/>
      <c r="G618" s="268"/>
      <c r="H618" s="268"/>
      <c r="I618" s="268"/>
      <c r="J618" s="268"/>
      <c r="K618" s="268"/>
      <c r="L618" s="271" t="str">
        <f t="shared" si="47"/>
        <v>12/30/99 0:00</v>
      </c>
      <c r="M618" s="278"/>
      <c r="N618" s="290"/>
      <c r="O618" s="276"/>
      <c r="P618" s="276"/>
      <c r="Q618" s="278"/>
      <c r="R618" s="278"/>
      <c r="S618" s="278"/>
      <c r="T618" s="278"/>
      <c r="U618" s="279"/>
      <c r="V618" s="279"/>
      <c r="W618" s="279"/>
      <c r="X618" s="279"/>
      <c r="Y618" s="279"/>
      <c r="Z618" s="282"/>
      <c r="AA618" s="282"/>
      <c r="AB618" s="282"/>
      <c r="AC618" s="284"/>
      <c r="AD618" s="284"/>
    </row>
    <row r="619" ht="14.25" customHeight="1">
      <c r="A619" s="266"/>
      <c r="B619" s="266"/>
      <c r="C619" s="266"/>
      <c r="D619" s="266"/>
      <c r="E619" s="268"/>
      <c r="F619" s="291"/>
      <c r="G619" s="268"/>
      <c r="H619" s="268"/>
      <c r="I619" s="268"/>
      <c r="J619" s="268"/>
      <c r="K619" s="268"/>
      <c r="L619" s="271" t="str">
        <f t="shared" si="47"/>
        <v>12/30/99 0:00</v>
      </c>
      <c r="M619" s="278"/>
      <c r="N619" s="290"/>
      <c r="O619" s="276"/>
      <c r="P619" s="276"/>
      <c r="Q619" s="278"/>
      <c r="R619" s="278"/>
      <c r="S619" s="278"/>
      <c r="T619" s="278"/>
      <c r="U619" s="279"/>
      <c r="V619" s="279"/>
      <c r="W619" s="279"/>
      <c r="X619" s="279"/>
      <c r="Y619" s="279"/>
      <c r="Z619" s="282"/>
      <c r="AA619" s="282"/>
      <c r="AB619" s="282"/>
      <c r="AC619" s="284"/>
      <c r="AD619" s="284"/>
    </row>
    <row r="620" ht="14.25" customHeight="1">
      <c r="A620" s="266"/>
      <c r="B620" s="266"/>
      <c r="C620" s="266"/>
      <c r="D620" s="266"/>
      <c r="E620" s="268"/>
      <c r="F620" s="291"/>
      <c r="G620" s="268"/>
      <c r="H620" s="268"/>
      <c r="I620" s="268"/>
      <c r="J620" s="268"/>
      <c r="K620" s="268"/>
      <c r="L620" s="271" t="str">
        <f t="shared" si="47"/>
        <v>12/30/99 0:00</v>
      </c>
      <c r="M620" s="278"/>
      <c r="N620" s="290"/>
      <c r="O620" s="276"/>
      <c r="P620" s="276"/>
      <c r="Q620" s="278"/>
      <c r="R620" s="278"/>
      <c r="S620" s="278"/>
      <c r="T620" s="278"/>
      <c r="U620" s="279"/>
      <c r="V620" s="279"/>
      <c r="W620" s="279"/>
      <c r="X620" s="279"/>
      <c r="Y620" s="279"/>
      <c r="Z620" s="282"/>
      <c r="AA620" s="282"/>
      <c r="AB620" s="282"/>
      <c r="AC620" s="284"/>
      <c r="AD620" s="284"/>
    </row>
    <row r="621" ht="14.25" customHeight="1">
      <c r="A621" s="266"/>
      <c r="B621" s="266"/>
      <c r="C621" s="266"/>
      <c r="D621" s="266"/>
      <c r="E621" s="268"/>
      <c r="F621" s="291"/>
      <c r="G621" s="268"/>
      <c r="H621" s="268"/>
      <c r="I621" s="268"/>
      <c r="J621" s="268"/>
      <c r="K621" s="268"/>
      <c r="L621" s="271" t="str">
        <f t="shared" si="47"/>
        <v>12/30/99 0:00</v>
      </c>
      <c r="M621" s="278"/>
      <c r="N621" s="290"/>
      <c r="O621" s="276"/>
      <c r="P621" s="276"/>
      <c r="Q621" s="278"/>
      <c r="R621" s="278"/>
      <c r="S621" s="278"/>
      <c r="T621" s="278"/>
      <c r="U621" s="279"/>
      <c r="V621" s="279"/>
      <c r="W621" s="279"/>
      <c r="X621" s="279"/>
      <c r="Y621" s="279"/>
      <c r="Z621" s="282"/>
      <c r="AA621" s="282"/>
      <c r="AB621" s="282"/>
      <c r="AC621" s="284"/>
      <c r="AD621" s="284"/>
    </row>
    <row r="622" ht="14.25" customHeight="1">
      <c r="A622" s="266"/>
      <c r="B622" s="266"/>
      <c r="C622" s="266"/>
      <c r="D622" s="266"/>
      <c r="E622" s="268"/>
      <c r="F622" s="291"/>
      <c r="G622" s="268"/>
      <c r="H622" s="268"/>
      <c r="I622" s="268"/>
      <c r="J622" s="268"/>
      <c r="K622" s="268"/>
      <c r="L622" s="271" t="str">
        <f t="shared" si="47"/>
        <v>12/30/99 0:00</v>
      </c>
      <c r="M622" s="278"/>
      <c r="N622" s="290"/>
      <c r="O622" s="276"/>
      <c r="P622" s="276"/>
      <c r="Q622" s="278"/>
      <c r="R622" s="278"/>
      <c r="S622" s="278"/>
      <c r="T622" s="278"/>
      <c r="U622" s="279"/>
      <c r="V622" s="279"/>
      <c r="W622" s="279"/>
      <c r="X622" s="279"/>
      <c r="Y622" s="279"/>
      <c r="Z622" s="282"/>
      <c r="AA622" s="282"/>
      <c r="AB622" s="282"/>
      <c r="AC622" s="284"/>
      <c r="AD622" s="284"/>
    </row>
    <row r="623" ht="14.25" customHeight="1">
      <c r="A623" s="266"/>
      <c r="B623" s="266"/>
      <c r="C623" s="266"/>
      <c r="D623" s="266"/>
      <c r="E623" s="268"/>
      <c r="F623" s="291"/>
      <c r="G623" s="268"/>
      <c r="H623" s="268"/>
      <c r="I623" s="268"/>
      <c r="J623" s="268"/>
      <c r="K623" s="268"/>
      <c r="L623" s="271" t="str">
        <f t="shared" si="47"/>
        <v>12/30/99 0:00</v>
      </c>
      <c r="M623" s="278"/>
      <c r="N623" s="290"/>
      <c r="O623" s="276"/>
      <c r="P623" s="276"/>
      <c r="Q623" s="278"/>
      <c r="R623" s="278"/>
      <c r="S623" s="278"/>
      <c r="T623" s="278"/>
      <c r="U623" s="279"/>
      <c r="V623" s="279"/>
      <c r="W623" s="279"/>
      <c r="X623" s="279"/>
      <c r="Y623" s="279"/>
      <c r="Z623" s="282"/>
      <c r="AA623" s="282"/>
      <c r="AB623" s="282"/>
      <c r="AC623" s="284"/>
      <c r="AD623" s="284"/>
    </row>
    <row r="624" ht="14.25" customHeight="1">
      <c r="A624" s="266"/>
      <c r="B624" s="266"/>
      <c r="C624" s="266"/>
      <c r="D624" s="266"/>
      <c r="E624" s="268"/>
      <c r="F624" s="291"/>
      <c r="G624" s="268"/>
      <c r="H624" s="268"/>
      <c r="I624" s="268"/>
      <c r="J624" s="268"/>
      <c r="K624" s="268"/>
      <c r="L624" s="271" t="str">
        <f t="shared" si="47"/>
        <v>12/30/99 0:00</v>
      </c>
      <c r="M624" s="278"/>
      <c r="N624" s="290"/>
      <c r="O624" s="276"/>
      <c r="P624" s="276"/>
      <c r="Q624" s="278"/>
      <c r="R624" s="278"/>
      <c r="S624" s="278"/>
      <c r="T624" s="278"/>
      <c r="U624" s="279"/>
      <c r="V624" s="279"/>
      <c r="W624" s="279"/>
      <c r="X624" s="279"/>
      <c r="Y624" s="279"/>
      <c r="Z624" s="282"/>
      <c r="AA624" s="282"/>
      <c r="AB624" s="282"/>
      <c r="AC624" s="284"/>
      <c r="AD624" s="284"/>
    </row>
    <row r="625" ht="14.25" customHeight="1">
      <c r="A625" s="266"/>
      <c r="B625" s="266"/>
      <c r="C625" s="266"/>
      <c r="D625" s="266"/>
      <c r="E625" s="268"/>
      <c r="F625" s="291"/>
      <c r="G625" s="268"/>
      <c r="H625" s="268"/>
      <c r="I625" s="268"/>
      <c r="J625" s="268"/>
      <c r="K625" s="268"/>
      <c r="L625" s="271" t="str">
        <f t="shared" si="47"/>
        <v>12/30/99 0:00</v>
      </c>
      <c r="M625" s="278"/>
      <c r="N625" s="290"/>
      <c r="O625" s="276"/>
      <c r="P625" s="276"/>
      <c r="Q625" s="278"/>
      <c r="R625" s="278"/>
      <c r="S625" s="278"/>
      <c r="T625" s="278"/>
      <c r="U625" s="279"/>
      <c r="V625" s="279"/>
      <c r="W625" s="279"/>
      <c r="X625" s="279"/>
      <c r="Y625" s="279"/>
      <c r="Z625" s="282"/>
      <c r="AA625" s="282"/>
      <c r="AB625" s="282"/>
      <c r="AC625" s="284"/>
      <c r="AD625" s="284"/>
    </row>
    <row r="626" ht="14.25" customHeight="1">
      <c r="A626" s="266"/>
      <c r="B626" s="266"/>
      <c r="C626" s="266"/>
      <c r="D626" s="266"/>
      <c r="E626" s="268"/>
      <c r="F626" s="291"/>
      <c r="G626" s="268"/>
      <c r="H626" s="268"/>
      <c r="I626" s="268"/>
      <c r="J626" s="268"/>
      <c r="K626" s="268"/>
      <c r="L626" s="271" t="str">
        <f t="shared" si="47"/>
        <v>12/30/99 0:00</v>
      </c>
      <c r="M626" s="278"/>
      <c r="N626" s="290"/>
      <c r="O626" s="276"/>
      <c r="P626" s="276"/>
      <c r="Q626" s="278"/>
      <c r="R626" s="278"/>
      <c r="S626" s="278"/>
      <c r="T626" s="278"/>
      <c r="U626" s="279"/>
      <c r="V626" s="279"/>
      <c r="W626" s="279"/>
      <c r="X626" s="279"/>
      <c r="Y626" s="279"/>
      <c r="Z626" s="282"/>
      <c r="AA626" s="282"/>
      <c r="AB626" s="282"/>
      <c r="AC626" s="284"/>
      <c r="AD626" s="284"/>
    </row>
    <row r="627" ht="14.25" customHeight="1">
      <c r="A627" s="266"/>
      <c r="B627" s="266"/>
      <c r="C627" s="266"/>
      <c r="D627" s="266"/>
      <c r="E627" s="268"/>
      <c r="F627" s="291"/>
      <c r="G627" s="268"/>
      <c r="H627" s="268"/>
      <c r="I627" s="268"/>
      <c r="J627" s="268"/>
      <c r="K627" s="268"/>
      <c r="L627" s="271" t="str">
        <f t="shared" si="47"/>
        <v>12/30/99 0:00</v>
      </c>
      <c r="M627" s="278"/>
      <c r="N627" s="290"/>
      <c r="O627" s="276"/>
      <c r="P627" s="276"/>
      <c r="Q627" s="278"/>
      <c r="R627" s="278"/>
      <c r="S627" s="278"/>
      <c r="T627" s="278"/>
      <c r="U627" s="279"/>
      <c r="V627" s="279"/>
      <c r="W627" s="279"/>
      <c r="X627" s="279"/>
      <c r="Y627" s="279"/>
      <c r="Z627" s="282"/>
      <c r="AA627" s="282"/>
      <c r="AB627" s="282"/>
      <c r="AC627" s="284"/>
      <c r="AD627" s="284"/>
    </row>
    <row r="628" ht="14.25" customHeight="1">
      <c r="A628" s="266"/>
      <c r="B628" s="266"/>
      <c r="C628" s="266"/>
      <c r="D628" s="266"/>
      <c r="E628" s="268"/>
      <c r="F628" s="291"/>
      <c r="G628" s="268"/>
      <c r="H628" s="268"/>
      <c r="I628" s="268"/>
      <c r="J628" s="268"/>
      <c r="K628" s="268"/>
      <c r="L628" s="271" t="str">
        <f t="shared" si="47"/>
        <v>12/30/99 0:00</v>
      </c>
      <c r="M628" s="278"/>
      <c r="N628" s="290"/>
      <c r="O628" s="276"/>
      <c r="P628" s="276"/>
      <c r="Q628" s="278"/>
      <c r="R628" s="278"/>
      <c r="S628" s="278"/>
      <c r="T628" s="278"/>
      <c r="U628" s="279"/>
      <c r="V628" s="279"/>
      <c r="W628" s="279"/>
      <c r="X628" s="279"/>
      <c r="Y628" s="279"/>
      <c r="Z628" s="282"/>
      <c r="AA628" s="282"/>
      <c r="AB628" s="282"/>
      <c r="AC628" s="284"/>
      <c r="AD628" s="284"/>
    </row>
    <row r="629" ht="14.25" customHeight="1">
      <c r="A629" s="266"/>
      <c r="B629" s="266"/>
      <c r="C629" s="266"/>
      <c r="D629" s="266"/>
      <c r="E629" s="268"/>
      <c r="F629" s="291"/>
      <c r="G629" s="268"/>
      <c r="H629" s="268"/>
      <c r="I629" s="268"/>
      <c r="J629" s="268"/>
      <c r="K629" s="268"/>
      <c r="L629" s="271" t="str">
        <f t="shared" si="47"/>
        <v>12/30/99 0:00</v>
      </c>
      <c r="M629" s="278"/>
      <c r="N629" s="290"/>
      <c r="O629" s="276"/>
      <c r="P629" s="276"/>
      <c r="Q629" s="278"/>
      <c r="R629" s="278"/>
      <c r="S629" s="278"/>
      <c r="T629" s="278"/>
      <c r="U629" s="279"/>
      <c r="V629" s="279"/>
      <c r="W629" s="279"/>
      <c r="X629" s="279"/>
      <c r="Y629" s="279"/>
      <c r="Z629" s="282"/>
      <c r="AA629" s="282"/>
      <c r="AB629" s="282"/>
      <c r="AC629" s="284"/>
      <c r="AD629" s="284"/>
    </row>
    <row r="630" ht="14.25" customHeight="1">
      <c r="A630" s="266"/>
      <c r="B630" s="266"/>
      <c r="C630" s="266"/>
      <c r="D630" s="266"/>
      <c r="E630" s="268"/>
      <c r="F630" s="291"/>
      <c r="G630" s="268"/>
      <c r="H630" s="268"/>
      <c r="I630" s="268"/>
      <c r="J630" s="268"/>
      <c r="K630" s="268"/>
      <c r="L630" s="271" t="str">
        <f t="shared" si="47"/>
        <v>12/30/99 0:00</v>
      </c>
      <c r="M630" s="278"/>
      <c r="N630" s="290"/>
      <c r="O630" s="276"/>
      <c r="P630" s="276"/>
      <c r="Q630" s="278"/>
      <c r="R630" s="278"/>
      <c r="S630" s="278"/>
      <c r="T630" s="278"/>
      <c r="U630" s="279"/>
      <c r="V630" s="279"/>
      <c r="W630" s="279"/>
      <c r="X630" s="279"/>
      <c r="Y630" s="279"/>
      <c r="Z630" s="282"/>
      <c r="AA630" s="282"/>
      <c r="AB630" s="282"/>
      <c r="AC630" s="284"/>
      <c r="AD630" s="284"/>
    </row>
    <row r="631" ht="14.25" customHeight="1">
      <c r="A631" s="266"/>
      <c r="B631" s="266"/>
      <c r="C631" s="266"/>
      <c r="D631" s="266"/>
      <c r="E631" s="268"/>
      <c r="F631" s="291"/>
      <c r="G631" s="268"/>
      <c r="H631" s="268"/>
      <c r="I631" s="268"/>
      <c r="J631" s="268"/>
      <c r="K631" s="268"/>
      <c r="L631" s="271" t="str">
        <f t="shared" si="47"/>
        <v>12/30/99 0:00</v>
      </c>
      <c r="M631" s="278"/>
      <c r="N631" s="290"/>
      <c r="O631" s="276"/>
      <c r="P631" s="276"/>
      <c r="Q631" s="278"/>
      <c r="R631" s="278"/>
      <c r="S631" s="278"/>
      <c r="T631" s="278"/>
      <c r="U631" s="279"/>
      <c r="V631" s="279"/>
      <c r="W631" s="279"/>
      <c r="X631" s="279"/>
      <c r="Y631" s="279"/>
      <c r="Z631" s="282"/>
      <c r="AA631" s="282"/>
      <c r="AB631" s="282"/>
      <c r="AC631" s="284"/>
      <c r="AD631" s="284"/>
    </row>
    <row r="632" ht="14.25" customHeight="1">
      <c r="A632" s="266"/>
      <c r="B632" s="266"/>
      <c r="C632" s="266"/>
      <c r="D632" s="266"/>
      <c r="E632" s="268"/>
      <c r="F632" s="291"/>
      <c r="G632" s="268"/>
      <c r="H632" s="268"/>
      <c r="I632" s="268"/>
      <c r="J632" s="268"/>
      <c r="K632" s="268"/>
      <c r="L632" s="271" t="str">
        <f t="shared" si="47"/>
        <v>12/30/99 0:00</v>
      </c>
      <c r="M632" s="278"/>
      <c r="N632" s="290"/>
      <c r="O632" s="276"/>
      <c r="P632" s="276"/>
      <c r="Q632" s="278"/>
      <c r="R632" s="278"/>
      <c r="S632" s="278"/>
      <c r="T632" s="278"/>
      <c r="U632" s="279"/>
      <c r="V632" s="279"/>
      <c r="W632" s="279"/>
      <c r="X632" s="279"/>
      <c r="Y632" s="279"/>
      <c r="Z632" s="282"/>
      <c r="AA632" s="282"/>
      <c r="AB632" s="282"/>
      <c r="AC632" s="284"/>
      <c r="AD632" s="284"/>
    </row>
    <row r="633" ht="14.25" customHeight="1">
      <c r="A633" s="266"/>
      <c r="B633" s="266"/>
      <c r="C633" s="266"/>
      <c r="D633" s="266"/>
      <c r="E633" s="268"/>
      <c r="F633" s="291"/>
      <c r="G633" s="268"/>
      <c r="H633" s="268"/>
      <c r="I633" s="268"/>
      <c r="J633" s="268"/>
      <c r="K633" s="268"/>
      <c r="L633" s="271" t="str">
        <f t="shared" si="47"/>
        <v>12/30/99 0:00</v>
      </c>
      <c r="M633" s="278"/>
      <c r="N633" s="290"/>
      <c r="O633" s="276"/>
      <c r="P633" s="276"/>
      <c r="Q633" s="278"/>
      <c r="R633" s="278"/>
      <c r="S633" s="278"/>
      <c r="T633" s="278"/>
      <c r="U633" s="279"/>
      <c r="V633" s="279"/>
      <c r="W633" s="279"/>
      <c r="X633" s="279"/>
      <c r="Y633" s="279"/>
      <c r="Z633" s="282"/>
      <c r="AA633" s="282"/>
      <c r="AB633" s="282"/>
      <c r="AC633" s="284"/>
      <c r="AD633" s="284"/>
    </row>
    <row r="634" ht="14.25" customHeight="1">
      <c r="A634" s="266"/>
      <c r="B634" s="266"/>
      <c r="C634" s="266"/>
      <c r="D634" s="266"/>
      <c r="E634" s="268"/>
      <c r="F634" s="291"/>
      <c r="G634" s="268"/>
      <c r="H634" s="268"/>
      <c r="I634" s="268"/>
      <c r="J634" s="268"/>
      <c r="K634" s="268"/>
      <c r="L634" s="271" t="str">
        <f t="shared" si="47"/>
        <v>12/30/99 0:00</v>
      </c>
      <c r="M634" s="278"/>
      <c r="N634" s="290"/>
      <c r="O634" s="276"/>
      <c r="P634" s="276"/>
      <c r="Q634" s="278"/>
      <c r="R634" s="278"/>
      <c r="S634" s="278"/>
      <c r="T634" s="278"/>
      <c r="U634" s="279"/>
      <c r="V634" s="279"/>
      <c r="W634" s="279"/>
      <c r="X634" s="279"/>
      <c r="Y634" s="279"/>
      <c r="Z634" s="282"/>
      <c r="AA634" s="282"/>
      <c r="AB634" s="282"/>
      <c r="AC634" s="284"/>
      <c r="AD634" s="284"/>
    </row>
    <row r="635" ht="14.25" customHeight="1">
      <c r="A635" s="266"/>
      <c r="B635" s="266"/>
      <c r="C635" s="266"/>
      <c r="D635" s="266"/>
      <c r="E635" s="268"/>
      <c r="F635" s="291"/>
      <c r="G635" s="268"/>
      <c r="H635" s="268"/>
      <c r="I635" s="268"/>
      <c r="J635" s="268"/>
      <c r="K635" s="268"/>
      <c r="L635" s="271" t="str">
        <f t="shared" si="47"/>
        <v>12/30/99 0:00</v>
      </c>
      <c r="M635" s="278"/>
      <c r="N635" s="290"/>
      <c r="O635" s="276"/>
      <c r="P635" s="276"/>
      <c r="Q635" s="278"/>
      <c r="R635" s="278"/>
      <c r="S635" s="278"/>
      <c r="T635" s="278"/>
      <c r="U635" s="279"/>
      <c r="V635" s="279"/>
      <c r="W635" s="279"/>
      <c r="X635" s="279"/>
      <c r="Y635" s="279"/>
      <c r="Z635" s="282"/>
      <c r="AA635" s="282"/>
      <c r="AB635" s="282"/>
      <c r="AC635" s="284"/>
      <c r="AD635" s="284"/>
    </row>
    <row r="636" ht="14.25" customHeight="1">
      <c r="A636" s="266"/>
      <c r="B636" s="266"/>
      <c r="C636" s="266"/>
      <c r="D636" s="266"/>
      <c r="E636" s="268"/>
      <c r="F636" s="291"/>
      <c r="G636" s="268"/>
      <c r="H636" s="268"/>
      <c r="I636" s="268"/>
      <c r="J636" s="268"/>
      <c r="K636" s="268"/>
      <c r="L636" s="271" t="str">
        <f t="shared" si="47"/>
        <v>12/30/99 0:00</v>
      </c>
      <c r="M636" s="278"/>
      <c r="N636" s="290"/>
      <c r="O636" s="276"/>
      <c r="P636" s="276"/>
      <c r="Q636" s="278"/>
      <c r="R636" s="278"/>
      <c r="S636" s="278"/>
      <c r="T636" s="278"/>
      <c r="U636" s="279"/>
      <c r="V636" s="279"/>
      <c r="W636" s="279"/>
      <c r="X636" s="279"/>
      <c r="Y636" s="279"/>
      <c r="Z636" s="282"/>
      <c r="AA636" s="282"/>
      <c r="AB636" s="282"/>
      <c r="AC636" s="284"/>
      <c r="AD636" s="284"/>
    </row>
    <row r="637" ht="14.25" customHeight="1">
      <c r="A637" s="266"/>
      <c r="B637" s="266"/>
      <c r="C637" s="266"/>
      <c r="D637" s="266"/>
      <c r="E637" s="268"/>
      <c r="F637" s="291"/>
      <c r="G637" s="268"/>
      <c r="H637" s="268"/>
      <c r="I637" s="268"/>
      <c r="J637" s="268"/>
      <c r="K637" s="268"/>
      <c r="L637" s="271" t="str">
        <f t="shared" si="47"/>
        <v>12/30/99 0:00</v>
      </c>
      <c r="M637" s="278"/>
      <c r="N637" s="290"/>
      <c r="O637" s="276"/>
      <c r="P637" s="276"/>
      <c r="Q637" s="278"/>
      <c r="R637" s="278"/>
      <c r="S637" s="278"/>
      <c r="T637" s="278"/>
      <c r="U637" s="279"/>
      <c r="V637" s="279"/>
      <c r="W637" s="279"/>
      <c r="X637" s="279"/>
      <c r="Y637" s="279"/>
      <c r="Z637" s="282"/>
      <c r="AA637" s="282"/>
      <c r="AB637" s="282"/>
      <c r="AC637" s="284"/>
      <c r="AD637" s="284"/>
    </row>
    <row r="638" ht="14.25" customHeight="1">
      <c r="A638" s="266"/>
      <c r="B638" s="266"/>
      <c r="C638" s="266"/>
      <c r="D638" s="266"/>
      <c r="E638" s="268"/>
      <c r="F638" s="291"/>
      <c r="G638" s="268"/>
      <c r="H638" s="268"/>
      <c r="I638" s="268"/>
      <c r="J638" s="268"/>
      <c r="K638" s="268"/>
      <c r="L638" s="271" t="str">
        <f t="shared" si="47"/>
        <v>12/30/99 0:00</v>
      </c>
      <c r="M638" s="278"/>
      <c r="N638" s="290"/>
      <c r="O638" s="276"/>
      <c r="P638" s="276"/>
      <c r="Q638" s="278"/>
      <c r="R638" s="278"/>
      <c r="S638" s="278"/>
      <c r="T638" s="278"/>
      <c r="U638" s="279"/>
      <c r="V638" s="279"/>
      <c r="W638" s="279"/>
      <c r="X638" s="279"/>
      <c r="Y638" s="279"/>
      <c r="Z638" s="282"/>
      <c r="AA638" s="282"/>
      <c r="AB638" s="282"/>
      <c r="AC638" s="284"/>
      <c r="AD638" s="284"/>
    </row>
    <row r="639" ht="14.25" customHeight="1">
      <c r="A639" s="266"/>
      <c r="B639" s="266"/>
      <c r="C639" s="266"/>
      <c r="D639" s="266"/>
      <c r="E639" s="268"/>
      <c r="F639" s="291"/>
      <c r="G639" s="268"/>
      <c r="H639" s="268"/>
      <c r="I639" s="268"/>
      <c r="J639" s="268"/>
      <c r="K639" s="268"/>
      <c r="L639" s="271" t="str">
        <f t="shared" si="47"/>
        <v>12/30/99 0:00</v>
      </c>
      <c r="M639" s="278"/>
      <c r="N639" s="290"/>
      <c r="O639" s="276"/>
      <c r="P639" s="276"/>
      <c r="Q639" s="278"/>
      <c r="R639" s="278"/>
      <c r="S639" s="278"/>
      <c r="T639" s="278"/>
      <c r="U639" s="279"/>
      <c r="V639" s="279"/>
      <c r="W639" s="279"/>
      <c r="X639" s="279"/>
      <c r="Y639" s="279"/>
      <c r="Z639" s="282"/>
      <c r="AA639" s="282"/>
      <c r="AB639" s="282"/>
      <c r="AC639" s="284"/>
      <c r="AD639" s="284"/>
    </row>
    <row r="640" ht="14.25" customHeight="1">
      <c r="A640" s="266"/>
      <c r="B640" s="266"/>
      <c r="C640" s="266"/>
      <c r="D640" s="266"/>
      <c r="E640" s="268"/>
      <c r="F640" s="291"/>
      <c r="G640" s="268"/>
      <c r="H640" s="268"/>
      <c r="I640" s="268"/>
      <c r="J640" s="268"/>
      <c r="K640" s="268"/>
      <c r="L640" s="271" t="str">
        <f t="shared" si="47"/>
        <v>12/30/99 0:00</v>
      </c>
      <c r="M640" s="278"/>
      <c r="N640" s="290"/>
      <c r="O640" s="276"/>
      <c r="P640" s="276"/>
      <c r="Q640" s="278"/>
      <c r="R640" s="278"/>
      <c r="S640" s="278"/>
      <c r="T640" s="278"/>
      <c r="U640" s="279"/>
      <c r="V640" s="279"/>
      <c r="W640" s="279"/>
      <c r="X640" s="279"/>
      <c r="Y640" s="279"/>
      <c r="Z640" s="282"/>
      <c r="AA640" s="282"/>
      <c r="AB640" s="282"/>
      <c r="AC640" s="284"/>
      <c r="AD640" s="284"/>
    </row>
    <row r="641" ht="14.25" customHeight="1">
      <c r="A641" s="266"/>
      <c r="B641" s="266"/>
      <c r="C641" s="266"/>
      <c r="D641" s="266"/>
      <c r="E641" s="268"/>
      <c r="F641" s="291"/>
      <c r="G641" s="268"/>
      <c r="H641" s="268"/>
      <c r="I641" s="268"/>
      <c r="J641" s="268"/>
      <c r="K641" s="268"/>
      <c r="L641" s="271" t="str">
        <f t="shared" si="47"/>
        <v>12/30/99 0:00</v>
      </c>
      <c r="M641" s="278"/>
      <c r="N641" s="290"/>
      <c r="O641" s="276"/>
      <c r="P641" s="276"/>
      <c r="Q641" s="278"/>
      <c r="R641" s="278"/>
      <c r="S641" s="278"/>
      <c r="T641" s="278"/>
      <c r="U641" s="279"/>
      <c r="V641" s="279"/>
      <c r="W641" s="279"/>
      <c r="X641" s="279"/>
      <c r="Y641" s="279"/>
      <c r="Z641" s="282"/>
      <c r="AA641" s="282"/>
      <c r="AB641" s="282"/>
      <c r="AC641" s="284"/>
      <c r="AD641" s="284"/>
    </row>
    <row r="642" ht="14.25" customHeight="1">
      <c r="A642" s="266"/>
      <c r="B642" s="266"/>
      <c r="C642" s="266"/>
      <c r="D642" s="266"/>
      <c r="E642" s="268"/>
      <c r="F642" s="291"/>
      <c r="G642" s="268"/>
      <c r="H642" s="268"/>
      <c r="I642" s="268"/>
      <c r="J642" s="268"/>
      <c r="K642" s="268"/>
      <c r="L642" s="271" t="str">
        <f t="shared" si="47"/>
        <v>12/30/99 0:00</v>
      </c>
      <c r="M642" s="278"/>
      <c r="N642" s="290"/>
      <c r="O642" s="276"/>
      <c r="P642" s="276"/>
      <c r="Q642" s="278"/>
      <c r="R642" s="278"/>
      <c r="S642" s="278"/>
      <c r="T642" s="278"/>
      <c r="U642" s="279"/>
      <c r="V642" s="279"/>
      <c r="W642" s="279"/>
      <c r="X642" s="279"/>
      <c r="Y642" s="279"/>
      <c r="Z642" s="282"/>
      <c r="AA642" s="282"/>
      <c r="AB642" s="282"/>
      <c r="AC642" s="284"/>
      <c r="AD642" s="284"/>
    </row>
    <row r="643" ht="14.25" customHeight="1">
      <c r="A643" s="266"/>
      <c r="B643" s="266"/>
      <c r="C643" s="266"/>
      <c r="D643" s="266"/>
      <c r="E643" s="268"/>
      <c r="F643" s="291"/>
      <c r="G643" s="268"/>
      <c r="H643" s="268"/>
      <c r="I643" s="268"/>
      <c r="J643" s="268"/>
      <c r="K643" s="268"/>
      <c r="L643" s="271" t="str">
        <f t="shared" si="47"/>
        <v>12/30/99 0:00</v>
      </c>
      <c r="M643" s="278"/>
      <c r="N643" s="290"/>
      <c r="O643" s="276"/>
      <c r="P643" s="276"/>
      <c r="Q643" s="278"/>
      <c r="R643" s="278"/>
      <c r="S643" s="278"/>
      <c r="T643" s="278"/>
      <c r="U643" s="279"/>
      <c r="V643" s="279"/>
      <c r="W643" s="279"/>
      <c r="X643" s="279"/>
      <c r="Y643" s="279"/>
      <c r="Z643" s="282"/>
      <c r="AA643" s="282"/>
      <c r="AB643" s="282"/>
      <c r="AC643" s="284"/>
      <c r="AD643" s="284"/>
    </row>
    <row r="644" ht="14.25" customHeight="1">
      <c r="A644" s="266"/>
      <c r="B644" s="266"/>
      <c r="C644" s="266"/>
      <c r="D644" s="266"/>
      <c r="E644" s="268"/>
      <c r="F644" s="291"/>
      <c r="G644" s="268"/>
      <c r="H644" s="268"/>
      <c r="I644" s="268"/>
      <c r="J644" s="268"/>
      <c r="K644" s="268"/>
      <c r="L644" s="271" t="str">
        <f t="shared" si="47"/>
        <v>12/30/99 0:00</v>
      </c>
      <c r="M644" s="278"/>
      <c r="N644" s="290"/>
      <c r="O644" s="276"/>
      <c r="P644" s="276"/>
      <c r="Q644" s="278"/>
      <c r="R644" s="278"/>
      <c r="S644" s="278"/>
      <c r="T644" s="278"/>
      <c r="U644" s="279"/>
      <c r="V644" s="279"/>
      <c r="W644" s="279"/>
      <c r="X644" s="279"/>
      <c r="Y644" s="279"/>
      <c r="Z644" s="282"/>
      <c r="AA644" s="282"/>
      <c r="AB644" s="282"/>
      <c r="AC644" s="284"/>
      <c r="AD644" s="284"/>
    </row>
    <row r="645" ht="14.25" customHeight="1">
      <c r="A645" s="266"/>
      <c r="B645" s="266"/>
      <c r="C645" s="266"/>
      <c r="D645" s="266"/>
      <c r="E645" s="268"/>
      <c r="F645" s="291"/>
      <c r="G645" s="268"/>
      <c r="H645" s="268"/>
      <c r="I645" s="268"/>
      <c r="J645" s="268"/>
      <c r="K645" s="268"/>
      <c r="L645" s="271" t="str">
        <f t="shared" si="47"/>
        <v>12/30/99 0:00</v>
      </c>
      <c r="M645" s="278"/>
      <c r="N645" s="290"/>
      <c r="O645" s="276"/>
      <c r="P645" s="276"/>
      <c r="Q645" s="278"/>
      <c r="R645" s="278"/>
      <c r="S645" s="278"/>
      <c r="T645" s="278"/>
      <c r="U645" s="279"/>
      <c r="V645" s="279"/>
      <c r="W645" s="279"/>
      <c r="X645" s="279"/>
      <c r="Y645" s="279"/>
      <c r="Z645" s="282"/>
      <c r="AA645" s="282"/>
      <c r="AB645" s="282"/>
      <c r="AC645" s="284"/>
      <c r="AD645" s="284"/>
    </row>
    <row r="646" ht="14.25" customHeight="1">
      <c r="A646" s="266"/>
      <c r="B646" s="266"/>
      <c r="C646" s="266"/>
      <c r="D646" s="266"/>
      <c r="E646" s="268"/>
      <c r="F646" s="291"/>
      <c r="G646" s="268"/>
      <c r="H646" s="268"/>
      <c r="I646" s="268"/>
      <c r="J646" s="268"/>
      <c r="K646" s="268"/>
      <c r="L646" s="271" t="str">
        <f t="shared" si="47"/>
        <v>12/30/99 0:00</v>
      </c>
      <c r="M646" s="278"/>
      <c r="N646" s="290"/>
      <c r="O646" s="276"/>
      <c r="P646" s="276"/>
      <c r="Q646" s="278"/>
      <c r="R646" s="278"/>
      <c r="S646" s="278"/>
      <c r="T646" s="278"/>
      <c r="U646" s="279"/>
      <c r="V646" s="279"/>
      <c r="W646" s="279"/>
      <c r="X646" s="279"/>
      <c r="Y646" s="279"/>
      <c r="Z646" s="282"/>
      <c r="AA646" s="282"/>
      <c r="AB646" s="282"/>
      <c r="AC646" s="284"/>
      <c r="AD646" s="284"/>
    </row>
    <row r="647" ht="14.25" customHeight="1">
      <c r="A647" s="266"/>
      <c r="B647" s="266"/>
      <c r="C647" s="266"/>
      <c r="D647" s="266"/>
      <c r="E647" s="268"/>
      <c r="F647" s="291"/>
      <c r="G647" s="268"/>
      <c r="H647" s="268"/>
      <c r="I647" s="268"/>
      <c r="J647" s="268"/>
      <c r="K647" s="268"/>
      <c r="L647" s="271" t="str">
        <f t="shared" si="47"/>
        <v>12/30/99 0:00</v>
      </c>
      <c r="M647" s="278"/>
      <c r="N647" s="290"/>
      <c r="O647" s="276"/>
      <c r="P647" s="276"/>
      <c r="Q647" s="278"/>
      <c r="R647" s="278"/>
      <c r="S647" s="278"/>
      <c r="T647" s="278"/>
      <c r="U647" s="279"/>
      <c r="V647" s="279"/>
      <c r="W647" s="279"/>
      <c r="X647" s="279"/>
      <c r="Y647" s="279"/>
      <c r="Z647" s="282"/>
      <c r="AA647" s="282"/>
      <c r="AB647" s="282"/>
      <c r="AC647" s="284"/>
      <c r="AD647" s="284"/>
    </row>
    <row r="648" ht="14.25" customHeight="1">
      <c r="A648" s="266"/>
      <c r="B648" s="266"/>
      <c r="C648" s="266"/>
      <c r="D648" s="266"/>
      <c r="E648" s="268"/>
      <c r="F648" s="291"/>
      <c r="G648" s="268"/>
      <c r="H648" s="268"/>
      <c r="I648" s="268"/>
      <c r="J648" s="268"/>
      <c r="K648" s="268"/>
      <c r="L648" s="271" t="str">
        <f t="shared" si="47"/>
        <v>12/30/99 0:00</v>
      </c>
      <c r="M648" s="278"/>
      <c r="N648" s="290"/>
      <c r="O648" s="276"/>
      <c r="P648" s="276"/>
      <c r="Q648" s="278"/>
      <c r="R648" s="278"/>
      <c r="S648" s="278"/>
      <c r="T648" s="278"/>
      <c r="U648" s="279"/>
      <c r="V648" s="279"/>
      <c r="W648" s="279"/>
      <c r="X648" s="279"/>
      <c r="Y648" s="279"/>
      <c r="Z648" s="282"/>
      <c r="AA648" s="282"/>
      <c r="AB648" s="282"/>
      <c r="AC648" s="284"/>
      <c r="AD648" s="284"/>
    </row>
    <row r="649" ht="14.25" customHeight="1">
      <c r="A649" s="266"/>
      <c r="B649" s="266"/>
      <c r="C649" s="266"/>
      <c r="D649" s="266"/>
      <c r="E649" s="268"/>
      <c r="F649" s="291"/>
      <c r="G649" s="268"/>
      <c r="H649" s="268"/>
      <c r="I649" s="268"/>
      <c r="J649" s="268"/>
      <c r="K649" s="268"/>
      <c r="L649" s="271" t="str">
        <f t="shared" si="47"/>
        <v>12/30/99 0:00</v>
      </c>
      <c r="M649" s="278"/>
      <c r="N649" s="290"/>
      <c r="O649" s="276"/>
      <c r="P649" s="276"/>
      <c r="Q649" s="278"/>
      <c r="R649" s="278"/>
      <c r="S649" s="278"/>
      <c r="T649" s="278"/>
      <c r="U649" s="279"/>
      <c r="V649" s="279"/>
      <c r="W649" s="279"/>
      <c r="X649" s="279"/>
      <c r="Y649" s="279"/>
      <c r="Z649" s="282"/>
      <c r="AA649" s="282"/>
      <c r="AB649" s="282"/>
      <c r="AC649" s="284"/>
      <c r="AD649" s="284"/>
    </row>
    <row r="650" ht="14.25" customHeight="1">
      <c r="A650" s="266"/>
      <c r="B650" s="266"/>
      <c r="C650" s="266"/>
      <c r="D650" s="266"/>
      <c r="E650" s="268"/>
      <c r="F650" s="291"/>
      <c r="G650" s="268"/>
      <c r="H650" s="268"/>
      <c r="I650" s="268"/>
      <c r="J650" s="268"/>
      <c r="K650" s="268"/>
      <c r="L650" s="271" t="str">
        <f t="shared" si="47"/>
        <v>12/30/99 0:00</v>
      </c>
      <c r="M650" s="278"/>
      <c r="N650" s="290"/>
      <c r="O650" s="276"/>
      <c r="P650" s="276"/>
      <c r="Q650" s="278"/>
      <c r="R650" s="278"/>
      <c r="S650" s="278"/>
      <c r="T650" s="278"/>
      <c r="U650" s="279"/>
      <c r="V650" s="279"/>
      <c r="W650" s="279"/>
      <c r="X650" s="279"/>
      <c r="Y650" s="279"/>
      <c r="Z650" s="282"/>
      <c r="AA650" s="282"/>
      <c r="AB650" s="282"/>
      <c r="AC650" s="284"/>
      <c r="AD650" s="284"/>
    </row>
    <row r="651" ht="14.25" customHeight="1">
      <c r="A651" s="266"/>
      <c r="B651" s="266"/>
      <c r="C651" s="266"/>
      <c r="D651" s="266"/>
      <c r="E651" s="268"/>
      <c r="F651" s="291"/>
      <c r="G651" s="268"/>
      <c r="H651" s="268"/>
      <c r="I651" s="268"/>
      <c r="J651" s="268"/>
      <c r="K651" s="268"/>
      <c r="L651" s="271" t="str">
        <f t="shared" si="47"/>
        <v>12/30/99 0:00</v>
      </c>
      <c r="M651" s="278"/>
      <c r="N651" s="290"/>
      <c r="O651" s="276"/>
      <c r="P651" s="276"/>
      <c r="Q651" s="278"/>
      <c r="R651" s="278"/>
      <c r="S651" s="278"/>
      <c r="T651" s="278"/>
      <c r="U651" s="279"/>
      <c r="V651" s="279"/>
      <c r="W651" s="279"/>
      <c r="X651" s="279"/>
      <c r="Y651" s="279"/>
      <c r="Z651" s="282"/>
      <c r="AA651" s="282"/>
      <c r="AB651" s="282"/>
      <c r="AC651" s="284"/>
      <c r="AD651" s="284"/>
    </row>
    <row r="652" ht="14.25" customHeight="1">
      <c r="A652" s="266"/>
      <c r="B652" s="266"/>
      <c r="C652" s="266"/>
      <c r="D652" s="266"/>
      <c r="E652" s="268"/>
      <c r="F652" s="291"/>
      <c r="G652" s="268"/>
      <c r="H652" s="268"/>
      <c r="I652" s="268"/>
      <c r="J652" s="268"/>
      <c r="K652" s="268"/>
      <c r="L652" s="271" t="str">
        <f t="shared" si="47"/>
        <v>12/30/99 0:00</v>
      </c>
      <c r="M652" s="278"/>
      <c r="N652" s="290"/>
      <c r="O652" s="276"/>
      <c r="P652" s="276"/>
      <c r="Q652" s="278"/>
      <c r="R652" s="278"/>
      <c r="S652" s="278"/>
      <c r="T652" s="278"/>
      <c r="U652" s="279"/>
      <c r="V652" s="279"/>
      <c r="W652" s="279"/>
      <c r="X652" s="279"/>
      <c r="Y652" s="279"/>
      <c r="Z652" s="282"/>
      <c r="AA652" s="282"/>
      <c r="AB652" s="282"/>
      <c r="AC652" s="284"/>
      <c r="AD652" s="284"/>
    </row>
    <row r="653" ht="14.25" customHeight="1">
      <c r="A653" s="266"/>
      <c r="B653" s="266"/>
      <c r="C653" s="266"/>
      <c r="D653" s="266"/>
      <c r="E653" s="268"/>
      <c r="F653" s="291"/>
      <c r="G653" s="268"/>
      <c r="H653" s="268"/>
      <c r="I653" s="268"/>
      <c r="J653" s="268"/>
      <c r="K653" s="268"/>
      <c r="L653" s="271" t="str">
        <f t="shared" si="47"/>
        <v>12/30/99 0:00</v>
      </c>
      <c r="M653" s="278"/>
      <c r="N653" s="290"/>
      <c r="O653" s="276"/>
      <c r="P653" s="276"/>
      <c r="Q653" s="278"/>
      <c r="R653" s="278"/>
      <c r="S653" s="278"/>
      <c r="T653" s="278"/>
      <c r="U653" s="279"/>
      <c r="V653" s="279"/>
      <c r="W653" s="279"/>
      <c r="X653" s="279"/>
      <c r="Y653" s="279"/>
      <c r="Z653" s="282"/>
      <c r="AA653" s="282"/>
      <c r="AB653" s="282"/>
      <c r="AC653" s="284"/>
      <c r="AD653" s="284"/>
    </row>
    <row r="654" ht="14.25" customHeight="1">
      <c r="A654" s="266"/>
      <c r="B654" s="266"/>
      <c r="C654" s="266"/>
      <c r="D654" s="266"/>
      <c r="E654" s="268"/>
      <c r="F654" s="291"/>
      <c r="G654" s="268"/>
      <c r="H654" s="268"/>
      <c r="I654" s="268"/>
      <c r="J654" s="268"/>
      <c r="K654" s="268"/>
      <c r="L654" s="271" t="str">
        <f t="shared" si="47"/>
        <v>12/30/99 0:00</v>
      </c>
      <c r="M654" s="278"/>
      <c r="N654" s="290"/>
      <c r="O654" s="276"/>
      <c r="P654" s="276"/>
      <c r="Q654" s="278"/>
      <c r="R654" s="278"/>
      <c r="S654" s="278"/>
      <c r="T654" s="278"/>
      <c r="U654" s="279"/>
      <c r="V654" s="279"/>
      <c r="W654" s="279"/>
      <c r="X654" s="279"/>
      <c r="Y654" s="279"/>
      <c r="Z654" s="282"/>
      <c r="AA654" s="282"/>
      <c r="AB654" s="282"/>
      <c r="AC654" s="284"/>
      <c r="AD654" s="284"/>
    </row>
    <row r="655" ht="14.25" customHeight="1">
      <c r="A655" s="266"/>
      <c r="B655" s="266"/>
      <c r="C655" s="266"/>
      <c r="D655" s="266"/>
      <c r="E655" s="268"/>
      <c r="F655" s="291"/>
      <c r="G655" s="268"/>
      <c r="H655" s="268"/>
      <c r="I655" s="268"/>
      <c r="J655" s="268"/>
      <c r="K655" s="268"/>
      <c r="L655" s="271" t="str">
        <f t="shared" si="47"/>
        <v>12/30/99 0:00</v>
      </c>
      <c r="M655" s="278"/>
      <c r="N655" s="290"/>
      <c r="O655" s="276"/>
      <c r="P655" s="276"/>
      <c r="Q655" s="278"/>
      <c r="R655" s="278"/>
      <c r="S655" s="278"/>
      <c r="T655" s="278"/>
      <c r="U655" s="279"/>
      <c r="V655" s="279"/>
      <c r="W655" s="279"/>
      <c r="X655" s="279"/>
      <c r="Y655" s="279"/>
      <c r="Z655" s="282"/>
      <c r="AA655" s="282"/>
      <c r="AB655" s="282"/>
      <c r="AC655" s="284"/>
      <c r="AD655" s="284"/>
    </row>
    <row r="656" ht="14.25" customHeight="1">
      <c r="A656" s="266"/>
      <c r="B656" s="266"/>
      <c r="C656" s="266"/>
      <c r="D656" s="266"/>
      <c r="E656" s="268"/>
      <c r="F656" s="291"/>
      <c r="G656" s="268"/>
      <c r="H656" s="268"/>
      <c r="I656" s="268"/>
      <c r="J656" s="268"/>
      <c r="K656" s="268"/>
      <c r="L656" s="271" t="str">
        <f t="shared" si="47"/>
        <v>12/30/99 0:00</v>
      </c>
      <c r="M656" s="278"/>
      <c r="N656" s="290"/>
      <c r="O656" s="276"/>
      <c r="P656" s="276"/>
      <c r="Q656" s="278"/>
      <c r="R656" s="278"/>
      <c r="S656" s="278"/>
      <c r="T656" s="278"/>
      <c r="U656" s="279"/>
      <c r="V656" s="279"/>
      <c r="W656" s="279"/>
      <c r="X656" s="279"/>
      <c r="Y656" s="279"/>
      <c r="Z656" s="282"/>
      <c r="AA656" s="282"/>
      <c r="AB656" s="282"/>
      <c r="AC656" s="284"/>
      <c r="AD656" s="284"/>
    </row>
    <row r="657" ht="14.25" customHeight="1">
      <c r="A657" s="266"/>
      <c r="B657" s="266"/>
      <c r="C657" s="266"/>
      <c r="D657" s="266"/>
      <c r="E657" s="268"/>
      <c r="F657" s="291"/>
      <c r="G657" s="268"/>
      <c r="H657" s="268"/>
      <c r="I657" s="268"/>
      <c r="J657" s="268"/>
      <c r="K657" s="268"/>
      <c r="L657" s="271" t="str">
        <f t="shared" si="47"/>
        <v>12/30/99 0:00</v>
      </c>
      <c r="M657" s="278"/>
      <c r="N657" s="290"/>
      <c r="O657" s="276"/>
      <c r="P657" s="276"/>
      <c r="Q657" s="278"/>
      <c r="R657" s="278"/>
      <c r="S657" s="278"/>
      <c r="T657" s="278"/>
      <c r="U657" s="279"/>
      <c r="V657" s="279"/>
      <c r="W657" s="279"/>
      <c r="X657" s="279"/>
      <c r="Y657" s="279"/>
      <c r="Z657" s="282"/>
      <c r="AA657" s="282"/>
      <c r="AB657" s="282"/>
      <c r="AC657" s="284"/>
      <c r="AD657" s="284"/>
    </row>
    <row r="658" ht="14.25" customHeight="1">
      <c r="A658" s="266"/>
      <c r="B658" s="266"/>
      <c r="C658" s="266"/>
      <c r="D658" s="266"/>
      <c r="E658" s="268"/>
      <c r="F658" s="291"/>
      <c r="G658" s="268"/>
      <c r="H658" s="268"/>
      <c r="I658" s="268"/>
      <c r="J658" s="268"/>
      <c r="K658" s="268"/>
      <c r="L658" s="271" t="str">
        <f t="shared" si="47"/>
        <v>12/30/99 0:00</v>
      </c>
      <c r="M658" s="278"/>
      <c r="N658" s="290"/>
      <c r="O658" s="276"/>
      <c r="P658" s="276"/>
      <c r="Q658" s="278"/>
      <c r="R658" s="278"/>
      <c r="S658" s="278"/>
      <c r="T658" s="278"/>
      <c r="U658" s="279"/>
      <c r="V658" s="279"/>
      <c r="W658" s="279"/>
      <c r="X658" s="279"/>
      <c r="Y658" s="279"/>
      <c r="Z658" s="282"/>
      <c r="AA658" s="282"/>
      <c r="AB658" s="282"/>
      <c r="AC658" s="284"/>
      <c r="AD658" s="284"/>
    </row>
    <row r="659" ht="14.25" customHeight="1">
      <c r="A659" s="266"/>
      <c r="B659" s="266"/>
      <c r="C659" s="266"/>
      <c r="D659" s="266"/>
      <c r="E659" s="268"/>
      <c r="F659" s="291"/>
      <c r="G659" s="268"/>
      <c r="H659" s="268"/>
      <c r="I659" s="268"/>
      <c r="J659" s="268"/>
      <c r="K659" s="268"/>
      <c r="L659" s="271" t="str">
        <f t="shared" si="47"/>
        <v>12/30/99 0:00</v>
      </c>
      <c r="M659" s="278"/>
      <c r="N659" s="290"/>
      <c r="O659" s="276"/>
      <c r="P659" s="276"/>
      <c r="Q659" s="278"/>
      <c r="R659" s="278"/>
      <c r="S659" s="278"/>
      <c r="T659" s="278"/>
      <c r="U659" s="279"/>
      <c r="V659" s="279"/>
      <c r="W659" s="279"/>
      <c r="X659" s="279"/>
      <c r="Y659" s="279"/>
      <c r="Z659" s="282"/>
      <c r="AA659" s="282"/>
      <c r="AB659" s="282"/>
      <c r="AC659" s="284"/>
      <c r="AD659" s="284"/>
    </row>
    <row r="660" ht="14.25" customHeight="1">
      <c r="A660" s="266"/>
      <c r="B660" s="266"/>
      <c r="C660" s="266"/>
      <c r="D660" s="266"/>
      <c r="E660" s="268"/>
      <c r="F660" s="291"/>
      <c r="G660" s="268"/>
      <c r="H660" s="268"/>
      <c r="I660" s="268"/>
      <c r="J660" s="268"/>
      <c r="K660" s="268"/>
      <c r="L660" s="271" t="str">
        <f t="shared" si="47"/>
        <v>12/30/99 0:00</v>
      </c>
      <c r="M660" s="278"/>
      <c r="N660" s="290"/>
      <c r="O660" s="276"/>
      <c r="P660" s="276"/>
      <c r="Q660" s="278"/>
      <c r="R660" s="278"/>
      <c r="S660" s="278"/>
      <c r="T660" s="278"/>
      <c r="U660" s="279"/>
      <c r="V660" s="279"/>
      <c r="W660" s="279"/>
      <c r="X660" s="279"/>
      <c r="Y660" s="279"/>
      <c r="Z660" s="282"/>
      <c r="AA660" s="282"/>
      <c r="AB660" s="282"/>
      <c r="AC660" s="284"/>
      <c r="AD660" s="284"/>
    </row>
    <row r="661" ht="14.25" customHeight="1">
      <c r="A661" s="266"/>
      <c r="B661" s="266"/>
      <c r="C661" s="266"/>
      <c r="D661" s="266"/>
      <c r="E661" s="268"/>
      <c r="F661" s="291"/>
      <c r="G661" s="268"/>
      <c r="H661" s="268"/>
      <c r="I661" s="268"/>
      <c r="J661" s="268"/>
      <c r="K661" s="268"/>
      <c r="L661" s="271" t="str">
        <f t="shared" si="47"/>
        <v>12/30/99 0:00</v>
      </c>
      <c r="M661" s="278"/>
      <c r="N661" s="290"/>
      <c r="O661" s="276"/>
      <c r="P661" s="276"/>
      <c r="Q661" s="278"/>
      <c r="R661" s="278"/>
      <c r="S661" s="278"/>
      <c r="T661" s="278"/>
      <c r="U661" s="279"/>
      <c r="V661" s="279"/>
      <c r="W661" s="279"/>
      <c r="X661" s="279"/>
      <c r="Y661" s="279"/>
      <c r="Z661" s="282"/>
      <c r="AA661" s="282"/>
      <c r="AB661" s="282"/>
      <c r="AC661" s="284"/>
      <c r="AD661" s="284"/>
    </row>
    <row r="662" ht="14.25" customHeight="1">
      <c r="A662" s="266"/>
      <c r="B662" s="266"/>
      <c r="C662" s="266"/>
      <c r="D662" s="266"/>
      <c r="E662" s="268"/>
      <c r="F662" s="291"/>
      <c r="G662" s="268"/>
      <c r="H662" s="268"/>
      <c r="I662" s="268"/>
      <c r="J662" s="268"/>
      <c r="K662" s="268"/>
      <c r="L662" s="271" t="str">
        <f t="shared" si="47"/>
        <v>12/30/99 0:00</v>
      </c>
      <c r="M662" s="278"/>
      <c r="N662" s="290"/>
      <c r="O662" s="276"/>
      <c r="P662" s="276"/>
      <c r="Q662" s="278"/>
      <c r="R662" s="278"/>
      <c r="S662" s="278"/>
      <c r="T662" s="278"/>
      <c r="U662" s="279"/>
      <c r="V662" s="279"/>
      <c r="W662" s="279"/>
      <c r="X662" s="279"/>
      <c r="Y662" s="279"/>
      <c r="Z662" s="282"/>
      <c r="AA662" s="282"/>
      <c r="AB662" s="282"/>
      <c r="AC662" s="284"/>
      <c r="AD662" s="284"/>
    </row>
    <row r="663" ht="14.25" customHeight="1">
      <c r="A663" s="266"/>
      <c r="B663" s="266"/>
      <c r="C663" s="266"/>
      <c r="D663" s="266"/>
      <c r="E663" s="268"/>
      <c r="F663" s="291"/>
      <c r="G663" s="268"/>
      <c r="H663" s="268"/>
      <c r="I663" s="268"/>
      <c r="J663" s="268"/>
      <c r="K663" s="268"/>
      <c r="L663" s="271" t="str">
        <f t="shared" si="47"/>
        <v>12/30/99 0:00</v>
      </c>
      <c r="M663" s="278"/>
      <c r="N663" s="290"/>
      <c r="O663" s="276"/>
      <c r="P663" s="276"/>
      <c r="Q663" s="278"/>
      <c r="R663" s="278"/>
      <c r="S663" s="278"/>
      <c r="T663" s="278"/>
      <c r="U663" s="279"/>
      <c r="V663" s="279"/>
      <c r="W663" s="279"/>
      <c r="X663" s="279"/>
      <c r="Y663" s="279"/>
      <c r="Z663" s="282"/>
      <c r="AA663" s="282"/>
      <c r="AB663" s="282"/>
      <c r="AC663" s="284"/>
      <c r="AD663" s="284"/>
    </row>
    <row r="664" ht="14.25" customHeight="1">
      <c r="A664" s="266"/>
      <c r="B664" s="266"/>
      <c r="C664" s="266"/>
      <c r="D664" s="266"/>
      <c r="E664" s="268"/>
      <c r="F664" s="291"/>
      <c r="G664" s="268"/>
      <c r="H664" s="268"/>
      <c r="I664" s="268"/>
      <c r="J664" s="268"/>
      <c r="K664" s="268"/>
      <c r="L664" s="271" t="str">
        <f t="shared" si="47"/>
        <v>12/30/99 0:00</v>
      </c>
      <c r="M664" s="278"/>
      <c r="N664" s="290"/>
      <c r="O664" s="276"/>
      <c r="P664" s="276"/>
      <c r="Q664" s="278"/>
      <c r="R664" s="278"/>
      <c r="S664" s="278"/>
      <c r="T664" s="278"/>
      <c r="U664" s="279"/>
      <c r="V664" s="279"/>
      <c r="W664" s="279"/>
      <c r="X664" s="279"/>
      <c r="Y664" s="279"/>
      <c r="Z664" s="282"/>
      <c r="AA664" s="282"/>
      <c r="AB664" s="282"/>
      <c r="AC664" s="284"/>
      <c r="AD664" s="284"/>
    </row>
    <row r="665" ht="14.25" customHeight="1">
      <c r="A665" s="266"/>
      <c r="B665" s="266"/>
      <c r="C665" s="266"/>
      <c r="D665" s="266"/>
      <c r="E665" s="268"/>
      <c r="F665" s="291"/>
      <c r="G665" s="268"/>
      <c r="H665" s="268"/>
      <c r="I665" s="268"/>
      <c r="J665" s="268"/>
      <c r="K665" s="268"/>
      <c r="L665" s="271" t="str">
        <f t="shared" si="47"/>
        <v>12/30/99 0:00</v>
      </c>
      <c r="M665" s="278"/>
      <c r="N665" s="290"/>
      <c r="O665" s="276"/>
      <c r="P665" s="276"/>
      <c r="Q665" s="278"/>
      <c r="R665" s="278"/>
      <c r="S665" s="278"/>
      <c r="T665" s="278"/>
      <c r="U665" s="279"/>
      <c r="V665" s="279"/>
      <c r="W665" s="279"/>
      <c r="X665" s="279"/>
      <c r="Y665" s="279"/>
      <c r="Z665" s="282"/>
      <c r="AA665" s="282"/>
      <c r="AB665" s="282"/>
      <c r="AC665" s="284"/>
      <c r="AD665" s="284"/>
    </row>
    <row r="666" ht="14.25" customHeight="1">
      <c r="A666" s="266"/>
      <c r="B666" s="266"/>
      <c r="C666" s="266"/>
      <c r="D666" s="266"/>
      <c r="E666" s="268"/>
      <c r="F666" s="291"/>
      <c r="G666" s="268"/>
      <c r="H666" s="268"/>
      <c r="I666" s="268"/>
      <c r="J666" s="268"/>
      <c r="K666" s="268"/>
      <c r="L666" s="271" t="str">
        <f t="shared" si="47"/>
        <v>12/30/99 0:00</v>
      </c>
      <c r="M666" s="278"/>
      <c r="N666" s="290"/>
      <c r="O666" s="276"/>
      <c r="P666" s="276"/>
      <c r="Q666" s="278"/>
      <c r="R666" s="278"/>
      <c r="S666" s="278"/>
      <c r="T666" s="278"/>
      <c r="U666" s="279"/>
      <c r="V666" s="279"/>
      <c r="W666" s="279"/>
      <c r="X666" s="279"/>
      <c r="Y666" s="279"/>
      <c r="Z666" s="282"/>
      <c r="AA666" s="282"/>
      <c r="AB666" s="282"/>
      <c r="AC666" s="284"/>
      <c r="AD666" s="284"/>
    </row>
    <row r="667" ht="14.25" customHeight="1">
      <c r="A667" s="266"/>
      <c r="B667" s="266"/>
      <c r="C667" s="266"/>
      <c r="D667" s="266"/>
      <c r="E667" s="268"/>
      <c r="F667" s="291"/>
      <c r="G667" s="268"/>
      <c r="H667" s="268"/>
      <c r="I667" s="268"/>
      <c r="J667" s="268"/>
      <c r="K667" s="268"/>
      <c r="L667" s="271" t="str">
        <f t="shared" si="47"/>
        <v>12/30/99 0:00</v>
      </c>
      <c r="M667" s="278"/>
      <c r="N667" s="290"/>
      <c r="O667" s="276"/>
      <c r="P667" s="276"/>
      <c r="Q667" s="278"/>
      <c r="R667" s="278"/>
      <c r="S667" s="278"/>
      <c r="T667" s="278"/>
      <c r="U667" s="279"/>
      <c r="V667" s="279"/>
      <c r="W667" s="279"/>
      <c r="X667" s="279"/>
      <c r="Y667" s="279"/>
      <c r="Z667" s="282"/>
      <c r="AA667" s="282"/>
      <c r="AB667" s="282"/>
      <c r="AC667" s="284"/>
      <c r="AD667" s="284"/>
    </row>
    <row r="668" ht="14.25" customHeight="1">
      <c r="A668" s="266"/>
      <c r="B668" s="266"/>
      <c r="C668" s="266"/>
      <c r="D668" s="266"/>
      <c r="E668" s="268"/>
      <c r="F668" s="291"/>
      <c r="G668" s="268"/>
      <c r="H668" s="268"/>
      <c r="I668" s="268"/>
      <c r="J668" s="268"/>
      <c r="K668" s="268"/>
      <c r="L668" s="271" t="str">
        <f t="shared" si="47"/>
        <v>12/30/99 0:00</v>
      </c>
      <c r="M668" s="278"/>
      <c r="N668" s="290"/>
      <c r="O668" s="276"/>
      <c r="P668" s="276"/>
      <c r="Q668" s="278"/>
      <c r="R668" s="278"/>
      <c r="S668" s="278"/>
      <c r="T668" s="278"/>
      <c r="U668" s="279"/>
      <c r="V668" s="279"/>
      <c r="W668" s="279"/>
      <c r="X668" s="279"/>
      <c r="Y668" s="279"/>
      <c r="Z668" s="282"/>
      <c r="AA668" s="282"/>
      <c r="AB668" s="282"/>
      <c r="AC668" s="284"/>
      <c r="AD668" s="284"/>
    </row>
    <row r="669" ht="14.25" customHeight="1">
      <c r="A669" s="266"/>
      <c r="B669" s="266"/>
      <c r="C669" s="266"/>
      <c r="D669" s="266"/>
      <c r="E669" s="268"/>
      <c r="F669" s="291"/>
      <c r="G669" s="268"/>
      <c r="H669" s="268"/>
      <c r="I669" s="268"/>
      <c r="J669" s="268"/>
      <c r="K669" s="268"/>
      <c r="L669" s="271" t="str">
        <f t="shared" si="47"/>
        <v>12/30/99 0:00</v>
      </c>
      <c r="M669" s="278"/>
      <c r="N669" s="290"/>
      <c r="O669" s="276"/>
      <c r="P669" s="276"/>
      <c r="Q669" s="278"/>
      <c r="R669" s="278"/>
      <c r="S669" s="278"/>
      <c r="T669" s="278"/>
      <c r="U669" s="279"/>
      <c r="V669" s="279"/>
      <c r="W669" s="279"/>
      <c r="X669" s="279"/>
      <c r="Y669" s="279"/>
      <c r="Z669" s="282"/>
      <c r="AA669" s="282"/>
      <c r="AB669" s="282"/>
      <c r="AC669" s="284"/>
      <c r="AD669" s="284"/>
    </row>
    <row r="670" ht="14.25" customHeight="1">
      <c r="A670" s="266"/>
      <c r="B670" s="266"/>
      <c r="C670" s="266"/>
      <c r="D670" s="266"/>
      <c r="E670" s="268"/>
      <c r="F670" s="291"/>
      <c r="G670" s="268"/>
      <c r="H670" s="268"/>
      <c r="I670" s="268"/>
      <c r="J670" s="268"/>
      <c r="K670" s="268"/>
      <c r="L670" s="271" t="str">
        <f t="shared" si="47"/>
        <v>12/30/99 0:00</v>
      </c>
      <c r="M670" s="278"/>
      <c r="N670" s="290"/>
      <c r="O670" s="276"/>
      <c r="P670" s="276"/>
      <c r="Q670" s="278"/>
      <c r="R670" s="278"/>
      <c r="S670" s="278"/>
      <c r="T670" s="278"/>
      <c r="U670" s="279"/>
      <c r="V670" s="279"/>
      <c r="W670" s="279"/>
      <c r="X670" s="279"/>
      <c r="Y670" s="279"/>
      <c r="Z670" s="282"/>
      <c r="AA670" s="282"/>
      <c r="AB670" s="282"/>
      <c r="AC670" s="284"/>
      <c r="AD670" s="284"/>
    </row>
    <row r="671" ht="14.25" customHeight="1">
      <c r="A671" s="266"/>
      <c r="B671" s="266"/>
      <c r="C671" s="266"/>
      <c r="D671" s="266"/>
      <c r="E671" s="268"/>
      <c r="F671" s="291"/>
      <c r="G671" s="268"/>
      <c r="H671" s="268"/>
      <c r="I671" s="268"/>
      <c r="J671" s="268"/>
      <c r="K671" s="268"/>
      <c r="L671" s="271" t="str">
        <f t="shared" si="47"/>
        <v>12/30/99 0:00</v>
      </c>
      <c r="M671" s="278"/>
      <c r="N671" s="290"/>
      <c r="O671" s="276"/>
      <c r="P671" s="276"/>
      <c r="Q671" s="278"/>
      <c r="R671" s="278"/>
      <c r="S671" s="278"/>
      <c r="T671" s="278"/>
      <c r="U671" s="279"/>
      <c r="V671" s="279"/>
      <c r="W671" s="279"/>
      <c r="X671" s="279"/>
      <c r="Y671" s="279"/>
      <c r="Z671" s="282"/>
      <c r="AA671" s="282"/>
      <c r="AB671" s="282"/>
      <c r="AC671" s="284"/>
      <c r="AD671" s="284"/>
    </row>
    <row r="672" ht="14.25" customHeight="1">
      <c r="A672" s="266"/>
      <c r="B672" s="266"/>
      <c r="C672" s="266"/>
      <c r="D672" s="266"/>
      <c r="E672" s="268"/>
      <c r="F672" s="291"/>
      <c r="G672" s="268"/>
      <c r="H672" s="268"/>
      <c r="I672" s="268"/>
      <c r="J672" s="268"/>
      <c r="K672" s="268"/>
      <c r="L672" s="271" t="str">
        <f t="shared" si="47"/>
        <v>12/30/99 0:00</v>
      </c>
      <c r="M672" s="278"/>
      <c r="N672" s="290"/>
      <c r="O672" s="276"/>
      <c r="P672" s="276"/>
      <c r="Q672" s="278"/>
      <c r="R672" s="278"/>
      <c r="S672" s="278"/>
      <c r="T672" s="278"/>
      <c r="U672" s="279"/>
      <c r="V672" s="279"/>
      <c r="W672" s="279"/>
      <c r="X672" s="279"/>
      <c r="Y672" s="279"/>
      <c r="Z672" s="282"/>
      <c r="AA672" s="282"/>
      <c r="AB672" s="282"/>
      <c r="AC672" s="284"/>
      <c r="AD672" s="284"/>
    </row>
    <row r="673" ht="14.25" customHeight="1">
      <c r="A673" s="266"/>
      <c r="B673" s="266"/>
      <c r="C673" s="266"/>
      <c r="D673" s="266"/>
      <c r="E673" s="268"/>
      <c r="F673" s="291"/>
      <c r="G673" s="268"/>
      <c r="H673" s="268"/>
      <c r="I673" s="268"/>
      <c r="J673" s="268"/>
      <c r="K673" s="268"/>
      <c r="L673" s="271" t="str">
        <f t="shared" si="47"/>
        <v>12/30/99 0:00</v>
      </c>
      <c r="M673" s="278"/>
      <c r="N673" s="290"/>
      <c r="O673" s="276"/>
      <c r="P673" s="276"/>
      <c r="Q673" s="278"/>
      <c r="R673" s="278"/>
      <c r="S673" s="278"/>
      <c r="T673" s="278"/>
      <c r="U673" s="279"/>
      <c r="V673" s="279"/>
      <c r="W673" s="279"/>
      <c r="X673" s="279"/>
      <c r="Y673" s="279"/>
      <c r="Z673" s="282"/>
      <c r="AA673" s="282"/>
      <c r="AB673" s="282"/>
      <c r="AC673" s="284"/>
      <c r="AD673" s="284"/>
    </row>
    <row r="674" ht="14.25" customHeight="1">
      <c r="A674" s="266"/>
      <c r="B674" s="266"/>
      <c r="C674" s="266"/>
      <c r="D674" s="266"/>
      <c r="E674" s="268"/>
      <c r="F674" s="291"/>
      <c r="G674" s="268"/>
      <c r="H674" s="268"/>
      <c r="I674" s="268"/>
      <c r="J674" s="268"/>
      <c r="K674" s="268"/>
      <c r="L674" s="271" t="str">
        <f t="shared" si="47"/>
        <v>12/30/99 0:00</v>
      </c>
      <c r="M674" s="278"/>
      <c r="N674" s="290"/>
      <c r="O674" s="276"/>
      <c r="P674" s="276"/>
      <c r="Q674" s="278"/>
      <c r="R674" s="278"/>
      <c r="S674" s="278"/>
      <c r="T674" s="278"/>
      <c r="U674" s="279"/>
      <c r="V674" s="279"/>
      <c r="W674" s="279"/>
      <c r="X674" s="279"/>
      <c r="Y674" s="279"/>
      <c r="Z674" s="282"/>
      <c r="AA674" s="282"/>
      <c r="AB674" s="282"/>
      <c r="AC674" s="284"/>
      <c r="AD674" s="284"/>
    </row>
    <row r="675" ht="14.25" customHeight="1">
      <c r="A675" s="266"/>
      <c r="B675" s="266"/>
      <c r="C675" s="266"/>
      <c r="D675" s="266"/>
      <c r="E675" s="268"/>
      <c r="F675" s="291"/>
      <c r="G675" s="268"/>
      <c r="H675" s="268"/>
      <c r="I675" s="268"/>
      <c r="J675" s="268"/>
      <c r="K675" s="268"/>
      <c r="L675" s="271" t="str">
        <f t="shared" si="47"/>
        <v>12/30/99 0:00</v>
      </c>
      <c r="M675" s="278"/>
      <c r="N675" s="290"/>
      <c r="O675" s="276"/>
      <c r="P675" s="276"/>
      <c r="Q675" s="278"/>
      <c r="R675" s="278"/>
      <c r="S675" s="278"/>
      <c r="T675" s="278"/>
      <c r="U675" s="279"/>
      <c r="V675" s="279"/>
      <c r="W675" s="279"/>
      <c r="X675" s="279"/>
      <c r="Y675" s="279"/>
      <c r="Z675" s="282"/>
      <c r="AA675" s="282"/>
      <c r="AB675" s="282"/>
      <c r="AC675" s="284"/>
      <c r="AD675" s="284"/>
    </row>
    <row r="676" ht="14.25" customHeight="1">
      <c r="A676" s="266"/>
      <c r="B676" s="266"/>
      <c r="C676" s="266"/>
      <c r="D676" s="266"/>
      <c r="E676" s="268"/>
      <c r="F676" s="291"/>
      <c r="G676" s="268"/>
      <c r="H676" s="268"/>
      <c r="I676" s="268"/>
      <c r="J676" s="268"/>
      <c r="K676" s="268"/>
      <c r="L676" s="271" t="str">
        <f t="shared" si="47"/>
        <v>12/30/99 0:00</v>
      </c>
      <c r="M676" s="278"/>
      <c r="N676" s="290"/>
      <c r="O676" s="276"/>
      <c r="P676" s="276"/>
      <c r="Q676" s="278"/>
      <c r="R676" s="278"/>
      <c r="S676" s="278"/>
      <c r="T676" s="278"/>
      <c r="U676" s="279"/>
      <c r="V676" s="279"/>
      <c r="W676" s="279"/>
      <c r="X676" s="279"/>
      <c r="Y676" s="279"/>
      <c r="Z676" s="282"/>
      <c r="AA676" s="282"/>
      <c r="AB676" s="282"/>
      <c r="AC676" s="284"/>
      <c r="AD676" s="284"/>
    </row>
    <row r="677" ht="14.25" customHeight="1">
      <c r="A677" s="266"/>
      <c r="B677" s="266"/>
      <c r="C677" s="266"/>
      <c r="D677" s="266"/>
      <c r="E677" s="268"/>
      <c r="F677" s="291"/>
      <c r="G677" s="268"/>
      <c r="H677" s="268"/>
      <c r="I677" s="268"/>
      <c r="J677" s="268"/>
      <c r="K677" s="268"/>
      <c r="L677" s="271" t="str">
        <f t="shared" si="47"/>
        <v>12/30/99 0:00</v>
      </c>
      <c r="M677" s="278"/>
      <c r="N677" s="290"/>
      <c r="O677" s="276"/>
      <c r="P677" s="276"/>
      <c r="Q677" s="278"/>
      <c r="R677" s="278"/>
      <c r="S677" s="278"/>
      <c r="T677" s="278"/>
      <c r="U677" s="279"/>
      <c r="V677" s="279"/>
      <c r="W677" s="279"/>
      <c r="X677" s="279"/>
      <c r="Y677" s="279"/>
      <c r="Z677" s="282"/>
      <c r="AA677" s="282"/>
      <c r="AB677" s="282"/>
      <c r="AC677" s="284"/>
      <c r="AD677" s="284"/>
    </row>
    <row r="678" ht="14.25" customHeight="1">
      <c r="A678" s="266"/>
      <c r="B678" s="266"/>
      <c r="C678" s="266"/>
      <c r="D678" s="266"/>
      <c r="E678" s="268"/>
      <c r="F678" s="291"/>
      <c r="G678" s="268"/>
      <c r="H678" s="268"/>
      <c r="I678" s="268"/>
      <c r="J678" s="268"/>
      <c r="K678" s="268"/>
      <c r="L678" s="271" t="str">
        <f t="shared" si="47"/>
        <v>12/30/99 0:00</v>
      </c>
      <c r="M678" s="278"/>
      <c r="N678" s="290"/>
      <c r="O678" s="276"/>
      <c r="P678" s="276"/>
      <c r="Q678" s="278"/>
      <c r="R678" s="278"/>
      <c r="S678" s="278"/>
      <c r="T678" s="278"/>
      <c r="U678" s="279"/>
      <c r="V678" s="279"/>
      <c r="W678" s="279"/>
      <c r="X678" s="279"/>
      <c r="Y678" s="279"/>
      <c r="Z678" s="282"/>
      <c r="AA678" s="282"/>
      <c r="AB678" s="282"/>
      <c r="AC678" s="284"/>
      <c r="AD678" s="284"/>
    </row>
    <row r="679" ht="14.25" customHeight="1">
      <c r="A679" s="266"/>
      <c r="B679" s="266"/>
      <c r="C679" s="266"/>
      <c r="D679" s="266"/>
      <c r="E679" s="268"/>
      <c r="F679" s="291"/>
      <c r="G679" s="268"/>
      <c r="H679" s="268"/>
      <c r="I679" s="268"/>
      <c r="J679" s="268"/>
      <c r="K679" s="268"/>
      <c r="L679" s="271" t="str">
        <f t="shared" si="47"/>
        <v>12/30/99 0:00</v>
      </c>
      <c r="M679" s="278"/>
      <c r="N679" s="290"/>
      <c r="O679" s="276"/>
      <c r="P679" s="276"/>
      <c r="Q679" s="278"/>
      <c r="R679" s="278"/>
      <c r="S679" s="278"/>
      <c r="T679" s="278"/>
      <c r="U679" s="279"/>
      <c r="V679" s="279"/>
      <c r="W679" s="279"/>
      <c r="X679" s="279"/>
      <c r="Y679" s="279"/>
      <c r="Z679" s="282"/>
      <c r="AA679" s="282"/>
      <c r="AB679" s="282"/>
      <c r="AC679" s="284"/>
      <c r="AD679" s="284"/>
    </row>
    <row r="680" ht="14.25" customHeight="1">
      <c r="A680" s="266"/>
      <c r="B680" s="266"/>
      <c r="C680" s="266"/>
      <c r="D680" s="266"/>
      <c r="E680" s="268"/>
      <c r="F680" s="291"/>
      <c r="G680" s="268"/>
      <c r="H680" s="268"/>
      <c r="I680" s="268"/>
      <c r="J680" s="268"/>
      <c r="K680" s="268"/>
      <c r="L680" s="271" t="str">
        <f t="shared" si="47"/>
        <v>12/30/99 0:00</v>
      </c>
      <c r="M680" s="278"/>
      <c r="N680" s="290"/>
      <c r="O680" s="276"/>
      <c r="P680" s="276"/>
      <c r="Q680" s="278"/>
      <c r="R680" s="278"/>
      <c r="S680" s="278"/>
      <c r="T680" s="278"/>
      <c r="U680" s="279"/>
      <c r="V680" s="279"/>
      <c r="W680" s="279"/>
      <c r="X680" s="279"/>
      <c r="Y680" s="279"/>
      <c r="Z680" s="282"/>
      <c r="AA680" s="282"/>
      <c r="AB680" s="282"/>
      <c r="AC680" s="284"/>
      <c r="AD680" s="284"/>
    </row>
    <row r="681" ht="14.25" customHeight="1">
      <c r="A681" s="266"/>
      <c r="B681" s="266"/>
      <c r="C681" s="266"/>
      <c r="D681" s="266"/>
      <c r="E681" s="268"/>
      <c r="F681" s="291"/>
      <c r="G681" s="268"/>
      <c r="H681" s="268"/>
      <c r="I681" s="268"/>
      <c r="J681" s="268"/>
      <c r="K681" s="268"/>
      <c r="L681" s="271" t="str">
        <f t="shared" si="47"/>
        <v>12/30/99 0:00</v>
      </c>
      <c r="M681" s="278"/>
      <c r="N681" s="290"/>
      <c r="O681" s="276"/>
      <c r="P681" s="276"/>
      <c r="Q681" s="278"/>
      <c r="R681" s="278"/>
      <c r="S681" s="278"/>
      <c r="T681" s="278"/>
      <c r="U681" s="279"/>
      <c r="V681" s="279"/>
      <c r="W681" s="279"/>
      <c r="X681" s="279"/>
      <c r="Y681" s="279"/>
      <c r="Z681" s="282"/>
      <c r="AA681" s="282"/>
      <c r="AB681" s="282"/>
      <c r="AC681" s="284"/>
      <c r="AD681" s="284"/>
    </row>
    <row r="682" ht="14.25" customHeight="1">
      <c r="A682" s="266"/>
      <c r="B682" s="266"/>
      <c r="C682" s="266"/>
      <c r="D682" s="266"/>
      <c r="E682" s="268"/>
      <c r="F682" s="291"/>
      <c r="G682" s="268"/>
      <c r="H682" s="268"/>
      <c r="I682" s="268"/>
      <c r="J682" s="268"/>
      <c r="K682" s="268"/>
      <c r="L682" s="271" t="str">
        <f t="shared" si="47"/>
        <v>12/30/99 0:00</v>
      </c>
      <c r="M682" s="278"/>
      <c r="N682" s="290"/>
      <c r="O682" s="276"/>
      <c r="P682" s="276"/>
      <c r="Q682" s="278"/>
      <c r="R682" s="278"/>
      <c r="S682" s="278"/>
      <c r="T682" s="278"/>
      <c r="U682" s="279"/>
      <c r="V682" s="279"/>
      <c r="W682" s="279"/>
      <c r="X682" s="279"/>
      <c r="Y682" s="279"/>
      <c r="Z682" s="282"/>
      <c r="AA682" s="282"/>
      <c r="AB682" s="282"/>
      <c r="AC682" s="284"/>
      <c r="AD682" s="284"/>
    </row>
    <row r="683" ht="14.25" customHeight="1">
      <c r="A683" s="266"/>
      <c r="B683" s="266"/>
      <c r="C683" s="266"/>
      <c r="D683" s="266"/>
      <c r="E683" s="268"/>
      <c r="F683" s="291"/>
      <c r="G683" s="268"/>
      <c r="H683" s="268"/>
      <c r="I683" s="268"/>
      <c r="J683" s="268"/>
      <c r="K683" s="268"/>
      <c r="L683" s="271" t="str">
        <f t="shared" si="47"/>
        <v>12/30/99 0:00</v>
      </c>
      <c r="M683" s="278"/>
      <c r="N683" s="290"/>
      <c r="O683" s="276"/>
      <c r="P683" s="276"/>
      <c r="Q683" s="278"/>
      <c r="R683" s="278"/>
      <c r="S683" s="278"/>
      <c r="T683" s="278"/>
      <c r="U683" s="279"/>
      <c r="V683" s="279"/>
      <c r="W683" s="279"/>
      <c r="X683" s="279"/>
      <c r="Y683" s="279"/>
      <c r="Z683" s="282"/>
      <c r="AA683" s="282"/>
      <c r="AB683" s="282"/>
      <c r="AC683" s="284"/>
      <c r="AD683" s="284"/>
    </row>
    <row r="684" ht="14.25" customHeight="1">
      <c r="A684" s="266"/>
      <c r="B684" s="266"/>
      <c r="C684" s="266"/>
      <c r="D684" s="266"/>
      <c r="E684" s="268"/>
      <c r="F684" s="291"/>
      <c r="G684" s="268"/>
      <c r="H684" s="268"/>
      <c r="I684" s="268"/>
      <c r="J684" s="268"/>
      <c r="K684" s="268"/>
      <c r="L684" s="271" t="str">
        <f t="shared" si="47"/>
        <v>12/30/99 0:00</v>
      </c>
      <c r="M684" s="278"/>
      <c r="N684" s="290"/>
      <c r="O684" s="276"/>
      <c r="P684" s="276"/>
      <c r="Q684" s="278"/>
      <c r="R684" s="278"/>
      <c r="S684" s="278"/>
      <c r="T684" s="278"/>
      <c r="U684" s="279"/>
      <c r="V684" s="279"/>
      <c r="W684" s="279"/>
      <c r="X684" s="279"/>
      <c r="Y684" s="279"/>
      <c r="Z684" s="282"/>
      <c r="AA684" s="282"/>
      <c r="AB684" s="282"/>
      <c r="AC684" s="284"/>
      <c r="AD684" s="284"/>
    </row>
    <row r="685" ht="14.25" customHeight="1">
      <c r="A685" s="266"/>
      <c r="B685" s="266"/>
      <c r="C685" s="266"/>
      <c r="D685" s="266"/>
      <c r="E685" s="268"/>
      <c r="F685" s="291"/>
      <c r="G685" s="268"/>
      <c r="H685" s="268"/>
      <c r="I685" s="268"/>
      <c r="J685" s="268"/>
      <c r="K685" s="268"/>
      <c r="L685" s="271" t="str">
        <f t="shared" si="47"/>
        <v>12/30/99 0:00</v>
      </c>
      <c r="M685" s="278"/>
      <c r="N685" s="290"/>
      <c r="O685" s="276"/>
      <c r="P685" s="276"/>
      <c r="Q685" s="278"/>
      <c r="R685" s="278"/>
      <c r="S685" s="278"/>
      <c r="T685" s="278"/>
      <c r="U685" s="279"/>
      <c r="V685" s="279"/>
      <c r="W685" s="279"/>
      <c r="X685" s="279"/>
      <c r="Y685" s="279"/>
      <c r="Z685" s="282"/>
      <c r="AA685" s="282"/>
      <c r="AB685" s="282"/>
      <c r="AC685" s="284"/>
      <c r="AD685" s="284"/>
    </row>
    <row r="686" ht="14.25" customHeight="1">
      <c r="A686" s="266"/>
      <c r="B686" s="266"/>
      <c r="C686" s="266"/>
      <c r="D686" s="266"/>
      <c r="E686" s="268"/>
      <c r="F686" s="291"/>
      <c r="G686" s="268"/>
      <c r="H686" s="268"/>
      <c r="I686" s="268"/>
      <c r="J686" s="268"/>
      <c r="K686" s="268"/>
      <c r="L686" s="271" t="str">
        <f t="shared" si="47"/>
        <v>12/30/99 0:00</v>
      </c>
      <c r="M686" s="278"/>
      <c r="N686" s="290"/>
      <c r="O686" s="276"/>
      <c r="P686" s="276"/>
      <c r="Q686" s="278"/>
      <c r="R686" s="278"/>
      <c r="S686" s="278"/>
      <c r="T686" s="278"/>
      <c r="U686" s="279"/>
      <c r="V686" s="279"/>
      <c r="W686" s="279"/>
      <c r="X686" s="279"/>
      <c r="Y686" s="279"/>
      <c r="Z686" s="282"/>
      <c r="AA686" s="282"/>
      <c r="AB686" s="282"/>
      <c r="AC686" s="284"/>
      <c r="AD686" s="284"/>
    </row>
    <row r="687" ht="14.25" customHeight="1">
      <c r="A687" s="266"/>
      <c r="B687" s="266"/>
      <c r="C687" s="266"/>
      <c r="D687" s="266"/>
      <c r="E687" s="268"/>
      <c r="F687" s="291"/>
      <c r="G687" s="268"/>
      <c r="H687" s="268"/>
      <c r="I687" s="268"/>
      <c r="J687" s="268"/>
      <c r="K687" s="268"/>
      <c r="L687" s="271" t="str">
        <f t="shared" si="47"/>
        <v>12/30/99 0:00</v>
      </c>
      <c r="M687" s="278"/>
      <c r="N687" s="290"/>
      <c r="O687" s="276"/>
      <c r="P687" s="276"/>
      <c r="Q687" s="278"/>
      <c r="R687" s="278"/>
      <c r="S687" s="278"/>
      <c r="T687" s="278"/>
      <c r="U687" s="279"/>
      <c r="V687" s="279"/>
      <c r="W687" s="279"/>
      <c r="X687" s="279"/>
      <c r="Y687" s="279"/>
      <c r="Z687" s="282"/>
      <c r="AA687" s="282"/>
      <c r="AB687" s="282"/>
      <c r="AC687" s="284"/>
      <c r="AD687" s="284"/>
    </row>
    <row r="688" ht="14.25" customHeight="1">
      <c r="A688" s="266"/>
      <c r="B688" s="266"/>
      <c r="C688" s="266"/>
      <c r="D688" s="266"/>
      <c r="E688" s="268"/>
      <c r="F688" s="291"/>
      <c r="G688" s="268"/>
      <c r="H688" s="268"/>
      <c r="I688" s="268"/>
      <c r="J688" s="268"/>
      <c r="K688" s="268"/>
      <c r="L688" s="271" t="str">
        <f t="shared" si="47"/>
        <v>12/30/99 0:00</v>
      </c>
      <c r="M688" s="278"/>
      <c r="N688" s="290"/>
      <c r="O688" s="276"/>
      <c r="P688" s="276"/>
      <c r="Q688" s="278"/>
      <c r="R688" s="278"/>
      <c r="S688" s="278"/>
      <c r="T688" s="278"/>
      <c r="U688" s="279"/>
      <c r="V688" s="279"/>
      <c r="W688" s="279"/>
      <c r="X688" s="279"/>
      <c r="Y688" s="279"/>
      <c r="Z688" s="282"/>
      <c r="AA688" s="282"/>
      <c r="AB688" s="282"/>
      <c r="AC688" s="284"/>
      <c r="AD688" s="284"/>
    </row>
    <row r="689" ht="14.25" customHeight="1">
      <c r="A689" s="266"/>
      <c r="B689" s="266"/>
      <c r="C689" s="266"/>
      <c r="D689" s="266"/>
      <c r="E689" s="268"/>
      <c r="F689" s="291"/>
      <c r="G689" s="268"/>
      <c r="H689" s="268"/>
      <c r="I689" s="268"/>
      <c r="J689" s="268"/>
      <c r="K689" s="268"/>
      <c r="L689" s="271" t="str">
        <f t="shared" si="47"/>
        <v>12/30/99 0:00</v>
      </c>
      <c r="M689" s="278"/>
      <c r="N689" s="290"/>
      <c r="O689" s="276"/>
      <c r="P689" s="276"/>
      <c r="Q689" s="278"/>
      <c r="R689" s="278"/>
      <c r="S689" s="278"/>
      <c r="T689" s="278"/>
      <c r="U689" s="279"/>
      <c r="V689" s="279"/>
      <c r="W689" s="279"/>
      <c r="X689" s="279"/>
      <c r="Y689" s="279"/>
      <c r="Z689" s="282"/>
      <c r="AA689" s="282"/>
      <c r="AB689" s="282"/>
      <c r="AC689" s="284"/>
      <c r="AD689" s="284"/>
    </row>
    <row r="690" ht="14.25" customHeight="1">
      <c r="A690" s="266"/>
      <c r="B690" s="266"/>
      <c r="C690" s="266"/>
      <c r="D690" s="266"/>
      <c r="E690" s="268"/>
      <c r="F690" s="291"/>
      <c r="G690" s="268"/>
      <c r="H690" s="268"/>
      <c r="I690" s="268"/>
      <c r="J690" s="268"/>
      <c r="K690" s="268"/>
      <c r="L690" s="271" t="str">
        <f t="shared" si="47"/>
        <v>12/30/99 0:00</v>
      </c>
      <c r="M690" s="278"/>
      <c r="N690" s="290"/>
      <c r="O690" s="276"/>
      <c r="P690" s="276"/>
      <c r="Q690" s="278"/>
      <c r="R690" s="278"/>
      <c r="S690" s="278"/>
      <c r="T690" s="278"/>
      <c r="U690" s="279"/>
      <c r="V690" s="279"/>
      <c r="W690" s="279"/>
      <c r="X690" s="279"/>
      <c r="Y690" s="279"/>
      <c r="Z690" s="282"/>
      <c r="AA690" s="282"/>
      <c r="AB690" s="282"/>
      <c r="AC690" s="284"/>
      <c r="AD690" s="284"/>
    </row>
    <row r="691" ht="14.25" customHeight="1">
      <c r="A691" s="266"/>
      <c r="B691" s="266"/>
      <c r="C691" s="266"/>
      <c r="D691" s="266"/>
      <c r="E691" s="268"/>
      <c r="F691" s="291"/>
      <c r="G691" s="268"/>
      <c r="H691" s="268"/>
      <c r="I691" s="268"/>
      <c r="J691" s="268"/>
      <c r="K691" s="268"/>
      <c r="L691" s="271" t="str">
        <f t="shared" si="47"/>
        <v>12/30/99 0:00</v>
      </c>
      <c r="M691" s="278"/>
      <c r="N691" s="290"/>
      <c r="O691" s="276"/>
      <c r="P691" s="276"/>
      <c r="Q691" s="278"/>
      <c r="R691" s="278"/>
      <c r="S691" s="278"/>
      <c r="T691" s="278"/>
      <c r="U691" s="279"/>
      <c r="V691" s="279"/>
      <c r="W691" s="279"/>
      <c r="X691" s="279"/>
      <c r="Y691" s="279"/>
      <c r="Z691" s="282"/>
      <c r="AA691" s="282"/>
      <c r="AB691" s="282"/>
      <c r="AC691" s="284"/>
      <c r="AD691" s="284"/>
    </row>
    <row r="692" ht="14.25" customHeight="1">
      <c r="A692" s="266"/>
      <c r="B692" s="266"/>
      <c r="C692" s="266"/>
      <c r="D692" s="266"/>
      <c r="E692" s="268"/>
      <c r="F692" s="291"/>
      <c r="G692" s="268"/>
      <c r="H692" s="268"/>
      <c r="I692" s="268"/>
      <c r="J692" s="268"/>
      <c r="K692" s="268"/>
      <c r="L692" s="271" t="str">
        <f t="shared" si="47"/>
        <v>12/30/99 0:00</v>
      </c>
      <c r="M692" s="278"/>
      <c r="N692" s="290"/>
      <c r="O692" s="276"/>
      <c r="P692" s="276"/>
      <c r="Q692" s="278"/>
      <c r="R692" s="278"/>
      <c r="S692" s="278"/>
      <c r="T692" s="278"/>
      <c r="U692" s="279"/>
      <c r="V692" s="279"/>
      <c r="W692" s="279"/>
      <c r="X692" s="279"/>
      <c r="Y692" s="279"/>
      <c r="Z692" s="282"/>
      <c r="AA692" s="282"/>
      <c r="AB692" s="282"/>
      <c r="AC692" s="284"/>
      <c r="AD692" s="284"/>
    </row>
    <row r="693" ht="14.25" customHeight="1">
      <c r="A693" s="266"/>
      <c r="B693" s="266"/>
      <c r="C693" s="266"/>
      <c r="D693" s="266"/>
      <c r="E693" s="268"/>
      <c r="F693" s="291"/>
      <c r="G693" s="268"/>
      <c r="H693" s="268"/>
      <c r="I693" s="268"/>
      <c r="J693" s="268"/>
      <c r="K693" s="268"/>
      <c r="L693" s="271" t="str">
        <f t="shared" si="47"/>
        <v>12/30/99 0:00</v>
      </c>
      <c r="M693" s="278"/>
      <c r="N693" s="290"/>
      <c r="O693" s="276"/>
      <c r="P693" s="276"/>
      <c r="Q693" s="278"/>
      <c r="R693" s="278"/>
      <c r="S693" s="278"/>
      <c r="T693" s="278"/>
      <c r="U693" s="279"/>
      <c r="V693" s="279"/>
      <c r="W693" s="279"/>
      <c r="X693" s="279"/>
      <c r="Y693" s="279"/>
      <c r="Z693" s="282"/>
      <c r="AA693" s="282"/>
      <c r="AB693" s="282"/>
      <c r="AC693" s="284"/>
      <c r="AD693" s="284"/>
    </row>
    <row r="694" ht="14.25" customHeight="1">
      <c r="A694" s="266"/>
      <c r="B694" s="266"/>
      <c r="C694" s="266"/>
      <c r="D694" s="266"/>
      <c r="E694" s="268"/>
      <c r="F694" s="291"/>
      <c r="G694" s="268"/>
      <c r="H694" s="268"/>
      <c r="I694" s="268"/>
      <c r="J694" s="268"/>
      <c r="K694" s="268"/>
      <c r="L694" s="271" t="str">
        <f t="shared" si="47"/>
        <v>12/30/99 0:00</v>
      </c>
      <c r="M694" s="278"/>
      <c r="N694" s="290"/>
      <c r="O694" s="276"/>
      <c r="P694" s="276"/>
      <c r="Q694" s="278"/>
      <c r="R694" s="278"/>
      <c r="S694" s="278"/>
      <c r="T694" s="278"/>
      <c r="U694" s="279"/>
      <c r="V694" s="279"/>
      <c r="W694" s="279"/>
      <c r="X694" s="279"/>
      <c r="Y694" s="279"/>
      <c r="Z694" s="282"/>
      <c r="AA694" s="282"/>
      <c r="AB694" s="282"/>
      <c r="AC694" s="284"/>
      <c r="AD694" s="284"/>
    </row>
    <row r="695" ht="14.25" customHeight="1">
      <c r="A695" s="266"/>
      <c r="B695" s="266"/>
      <c r="C695" s="266"/>
      <c r="D695" s="266"/>
      <c r="E695" s="268"/>
      <c r="F695" s="291"/>
      <c r="G695" s="268"/>
      <c r="H695" s="268"/>
      <c r="I695" s="268"/>
      <c r="J695" s="268"/>
      <c r="K695" s="268"/>
      <c r="L695" s="271" t="str">
        <f t="shared" si="47"/>
        <v>12/30/99 0:00</v>
      </c>
      <c r="M695" s="278"/>
      <c r="N695" s="290"/>
      <c r="O695" s="276"/>
      <c r="P695" s="276"/>
      <c r="Q695" s="278"/>
      <c r="R695" s="278"/>
      <c r="S695" s="278"/>
      <c r="T695" s="278"/>
      <c r="U695" s="279"/>
      <c r="V695" s="279"/>
      <c r="W695" s="279"/>
      <c r="X695" s="279"/>
      <c r="Y695" s="279"/>
      <c r="Z695" s="282"/>
      <c r="AA695" s="282"/>
      <c r="AB695" s="282"/>
      <c r="AC695" s="284"/>
      <c r="AD695" s="284"/>
    </row>
    <row r="696" ht="14.25" customHeight="1">
      <c r="A696" s="266"/>
      <c r="B696" s="266"/>
      <c r="C696" s="266"/>
      <c r="D696" s="266"/>
      <c r="E696" s="268"/>
      <c r="F696" s="291"/>
      <c r="G696" s="268"/>
      <c r="H696" s="268"/>
      <c r="I696" s="268"/>
      <c r="J696" s="268"/>
      <c r="K696" s="268"/>
      <c r="L696" s="271" t="str">
        <f t="shared" si="47"/>
        <v>12/30/99 0:00</v>
      </c>
      <c r="M696" s="278"/>
      <c r="N696" s="290"/>
      <c r="O696" s="276"/>
      <c r="P696" s="276"/>
      <c r="Q696" s="278"/>
      <c r="R696" s="278"/>
      <c r="S696" s="278"/>
      <c r="T696" s="278"/>
      <c r="U696" s="279"/>
      <c r="V696" s="279"/>
      <c r="W696" s="279"/>
      <c r="X696" s="279"/>
      <c r="Y696" s="279"/>
      <c r="Z696" s="282"/>
      <c r="AA696" s="282"/>
      <c r="AB696" s="282"/>
      <c r="AC696" s="284"/>
      <c r="AD696" s="284"/>
    </row>
    <row r="697" ht="14.25" customHeight="1">
      <c r="A697" s="266"/>
      <c r="B697" s="266"/>
      <c r="C697" s="266"/>
      <c r="D697" s="266"/>
      <c r="E697" s="268"/>
      <c r="F697" s="291"/>
      <c r="G697" s="268"/>
      <c r="H697" s="268"/>
      <c r="I697" s="268"/>
      <c r="J697" s="268"/>
      <c r="K697" s="268"/>
      <c r="L697" s="271" t="str">
        <f t="shared" si="47"/>
        <v>12/30/99 0:00</v>
      </c>
      <c r="M697" s="278"/>
      <c r="N697" s="290"/>
      <c r="O697" s="276"/>
      <c r="P697" s="276"/>
      <c r="Q697" s="278"/>
      <c r="R697" s="278"/>
      <c r="S697" s="278"/>
      <c r="T697" s="278"/>
      <c r="U697" s="279"/>
      <c r="V697" s="279"/>
      <c r="W697" s="279"/>
      <c r="X697" s="279"/>
      <c r="Y697" s="279"/>
      <c r="Z697" s="282"/>
      <c r="AA697" s="282"/>
      <c r="AB697" s="282"/>
      <c r="AC697" s="284"/>
      <c r="AD697" s="284"/>
    </row>
    <row r="698" ht="14.25" customHeight="1">
      <c r="A698" s="266"/>
      <c r="B698" s="266"/>
      <c r="C698" s="266"/>
      <c r="D698" s="266"/>
      <c r="E698" s="268"/>
      <c r="F698" s="291"/>
      <c r="G698" s="268"/>
      <c r="H698" s="268"/>
      <c r="I698" s="268"/>
      <c r="J698" s="268"/>
      <c r="K698" s="268"/>
      <c r="L698" s="271" t="str">
        <f t="shared" si="47"/>
        <v>12/30/99 0:00</v>
      </c>
      <c r="M698" s="278"/>
      <c r="N698" s="290"/>
      <c r="O698" s="276"/>
      <c r="P698" s="276"/>
      <c r="Q698" s="278"/>
      <c r="R698" s="278"/>
      <c r="S698" s="278"/>
      <c r="T698" s="278"/>
      <c r="U698" s="279"/>
      <c r="V698" s="279"/>
      <c r="W698" s="279"/>
      <c r="X698" s="279"/>
      <c r="Y698" s="279"/>
      <c r="Z698" s="282"/>
      <c r="AA698" s="282"/>
      <c r="AB698" s="282"/>
      <c r="AC698" s="284"/>
      <c r="AD698" s="284"/>
    </row>
    <row r="699" ht="14.25" customHeight="1">
      <c r="A699" s="266"/>
      <c r="B699" s="266"/>
      <c r="C699" s="266"/>
      <c r="D699" s="266"/>
      <c r="E699" s="268"/>
      <c r="F699" s="291"/>
      <c r="G699" s="268"/>
      <c r="H699" s="268"/>
      <c r="I699" s="268"/>
      <c r="J699" s="268"/>
      <c r="K699" s="268"/>
      <c r="L699" s="271" t="str">
        <f t="shared" si="47"/>
        <v>12/30/99 0:00</v>
      </c>
      <c r="M699" s="278"/>
      <c r="N699" s="290"/>
      <c r="O699" s="276"/>
      <c r="P699" s="276"/>
      <c r="Q699" s="278"/>
      <c r="R699" s="278"/>
      <c r="S699" s="278"/>
      <c r="T699" s="278"/>
      <c r="U699" s="279"/>
      <c r="V699" s="279"/>
      <c r="W699" s="279"/>
      <c r="X699" s="279"/>
      <c r="Y699" s="279"/>
      <c r="Z699" s="282"/>
      <c r="AA699" s="282"/>
      <c r="AB699" s="282"/>
      <c r="AC699" s="284"/>
      <c r="AD699" s="284"/>
    </row>
    <row r="700" ht="14.25" customHeight="1">
      <c r="A700" s="266"/>
      <c r="B700" s="266"/>
      <c r="C700" s="266"/>
      <c r="D700" s="266"/>
      <c r="E700" s="268"/>
      <c r="F700" s="291"/>
      <c r="G700" s="268"/>
      <c r="H700" s="268"/>
      <c r="I700" s="268"/>
      <c r="J700" s="268"/>
      <c r="K700" s="268"/>
      <c r="L700" s="271" t="str">
        <f t="shared" si="47"/>
        <v>12/30/99 0:00</v>
      </c>
      <c r="M700" s="278"/>
      <c r="N700" s="290"/>
      <c r="O700" s="276"/>
      <c r="P700" s="276"/>
      <c r="Q700" s="278"/>
      <c r="R700" s="278"/>
      <c r="S700" s="278"/>
      <c r="T700" s="278"/>
      <c r="U700" s="279"/>
      <c r="V700" s="279"/>
      <c r="W700" s="279"/>
      <c r="X700" s="279"/>
      <c r="Y700" s="279"/>
      <c r="Z700" s="282"/>
      <c r="AA700" s="282"/>
      <c r="AB700" s="282"/>
      <c r="AC700" s="284"/>
      <c r="AD700" s="284"/>
    </row>
    <row r="701" ht="14.25" customHeight="1">
      <c r="A701" s="266"/>
      <c r="B701" s="266"/>
      <c r="C701" s="266"/>
      <c r="D701" s="266"/>
      <c r="E701" s="268"/>
      <c r="F701" s="291"/>
      <c r="G701" s="268"/>
      <c r="H701" s="268"/>
      <c r="I701" s="268"/>
      <c r="J701" s="268"/>
      <c r="K701" s="268"/>
      <c r="L701" s="271" t="str">
        <f t="shared" si="47"/>
        <v>12/30/99 0:00</v>
      </c>
      <c r="M701" s="278"/>
      <c r="N701" s="290"/>
      <c r="O701" s="276"/>
      <c r="P701" s="276"/>
      <c r="Q701" s="278"/>
      <c r="R701" s="278"/>
      <c r="S701" s="278"/>
      <c r="T701" s="278"/>
      <c r="U701" s="279"/>
      <c r="V701" s="279"/>
      <c r="W701" s="279"/>
      <c r="X701" s="279"/>
      <c r="Y701" s="279"/>
      <c r="Z701" s="282"/>
      <c r="AA701" s="282"/>
      <c r="AB701" s="282"/>
      <c r="AC701" s="284"/>
      <c r="AD701" s="284"/>
    </row>
    <row r="702" ht="14.25" customHeight="1">
      <c r="A702" s="266"/>
      <c r="B702" s="266"/>
      <c r="C702" s="266"/>
      <c r="D702" s="266"/>
      <c r="E702" s="268"/>
      <c r="F702" s="291"/>
      <c r="G702" s="268"/>
      <c r="H702" s="268"/>
      <c r="I702" s="268"/>
      <c r="J702" s="268"/>
      <c r="K702" s="268"/>
      <c r="L702" s="271" t="str">
        <f t="shared" si="47"/>
        <v>12/30/99 0:00</v>
      </c>
      <c r="M702" s="278"/>
      <c r="N702" s="290"/>
      <c r="O702" s="276"/>
      <c r="P702" s="276"/>
      <c r="Q702" s="278"/>
      <c r="R702" s="278"/>
      <c r="S702" s="278"/>
      <c r="T702" s="278"/>
      <c r="U702" s="279"/>
      <c r="V702" s="279"/>
      <c r="W702" s="279"/>
      <c r="X702" s="279"/>
      <c r="Y702" s="279"/>
      <c r="Z702" s="282"/>
      <c r="AA702" s="282"/>
      <c r="AB702" s="282"/>
      <c r="AC702" s="284"/>
      <c r="AD702" s="284"/>
    </row>
    <row r="703" ht="14.25" customHeight="1">
      <c r="A703" s="266"/>
      <c r="B703" s="266"/>
      <c r="C703" s="266"/>
      <c r="D703" s="266"/>
      <c r="E703" s="268"/>
      <c r="F703" s="291"/>
      <c r="G703" s="268"/>
      <c r="H703" s="268"/>
      <c r="I703" s="268"/>
      <c r="J703" s="268"/>
      <c r="K703" s="268"/>
      <c r="L703" s="271" t="str">
        <f t="shared" si="47"/>
        <v>12/30/99 0:00</v>
      </c>
      <c r="M703" s="278"/>
      <c r="N703" s="290"/>
      <c r="O703" s="276"/>
      <c r="P703" s="276"/>
      <c r="Q703" s="278"/>
      <c r="R703" s="278"/>
      <c r="S703" s="278"/>
      <c r="T703" s="278"/>
      <c r="U703" s="279"/>
      <c r="V703" s="279"/>
      <c r="W703" s="279"/>
      <c r="X703" s="279"/>
      <c r="Y703" s="279"/>
      <c r="Z703" s="282"/>
      <c r="AA703" s="282"/>
      <c r="AB703" s="282"/>
      <c r="AC703" s="284"/>
      <c r="AD703" s="284"/>
    </row>
    <row r="704" ht="14.25" customHeight="1">
      <c r="A704" s="266"/>
      <c r="B704" s="266"/>
      <c r="C704" s="266"/>
      <c r="D704" s="266"/>
      <c r="E704" s="268"/>
      <c r="F704" s="291"/>
      <c r="G704" s="268"/>
      <c r="H704" s="268"/>
      <c r="I704" s="268"/>
      <c r="J704" s="268"/>
      <c r="K704" s="268"/>
      <c r="L704" s="271" t="str">
        <f t="shared" si="47"/>
        <v>12/30/99 0:00</v>
      </c>
      <c r="M704" s="278"/>
      <c r="N704" s="290"/>
      <c r="O704" s="276"/>
      <c r="P704" s="276"/>
      <c r="Q704" s="278"/>
      <c r="R704" s="278"/>
      <c r="S704" s="278"/>
      <c r="T704" s="278"/>
      <c r="U704" s="279"/>
      <c r="V704" s="279"/>
      <c r="W704" s="279"/>
      <c r="X704" s="279"/>
      <c r="Y704" s="279"/>
      <c r="Z704" s="282"/>
      <c r="AA704" s="282"/>
      <c r="AB704" s="282"/>
      <c r="AC704" s="284"/>
      <c r="AD704" s="284"/>
    </row>
    <row r="705" ht="14.25" customHeight="1">
      <c r="A705" s="266"/>
      <c r="B705" s="266"/>
      <c r="C705" s="266"/>
      <c r="D705" s="266"/>
      <c r="E705" s="268"/>
      <c r="F705" s="291"/>
      <c r="G705" s="268"/>
      <c r="H705" s="268"/>
      <c r="I705" s="268"/>
      <c r="J705" s="268"/>
      <c r="K705" s="268"/>
      <c r="L705" s="271" t="str">
        <f t="shared" si="47"/>
        <v>12/30/99 0:00</v>
      </c>
      <c r="M705" s="278"/>
      <c r="N705" s="290"/>
      <c r="O705" s="276"/>
      <c r="P705" s="276"/>
      <c r="Q705" s="278"/>
      <c r="R705" s="278"/>
      <c r="S705" s="278"/>
      <c r="T705" s="278"/>
      <c r="U705" s="279"/>
      <c r="V705" s="279"/>
      <c r="W705" s="279"/>
      <c r="X705" s="279"/>
      <c r="Y705" s="279"/>
      <c r="Z705" s="282"/>
      <c r="AA705" s="282"/>
      <c r="AB705" s="282"/>
      <c r="AC705" s="284"/>
      <c r="AD705" s="284"/>
    </row>
    <row r="706" ht="14.25" customHeight="1">
      <c r="A706" s="266"/>
      <c r="B706" s="266"/>
      <c r="C706" s="266"/>
      <c r="D706" s="266"/>
      <c r="E706" s="268"/>
      <c r="F706" s="291"/>
      <c r="G706" s="268"/>
      <c r="H706" s="268"/>
      <c r="I706" s="268"/>
      <c r="J706" s="268"/>
      <c r="K706" s="268"/>
      <c r="L706" s="271" t="str">
        <f t="shared" si="47"/>
        <v>12/30/99 0:00</v>
      </c>
      <c r="M706" s="278"/>
      <c r="N706" s="290"/>
      <c r="O706" s="276"/>
      <c r="P706" s="276"/>
      <c r="Q706" s="278"/>
      <c r="R706" s="278"/>
      <c r="S706" s="278"/>
      <c r="T706" s="278"/>
      <c r="U706" s="279"/>
      <c r="V706" s="279"/>
      <c r="W706" s="279"/>
      <c r="X706" s="279"/>
      <c r="Y706" s="279"/>
      <c r="Z706" s="282"/>
      <c r="AA706" s="282"/>
      <c r="AB706" s="282"/>
      <c r="AC706" s="284"/>
      <c r="AD706" s="284"/>
    </row>
    <row r="707" ht="14.25" customHeight="1">
      <c r="A707" s="266"/>
      <c r="B707" s="266"/>
      <c r="C707" s="266"/>
      <c r="D707" s="266"/>
      <c r="E707" s="268"/>
      <c r="F707" s="291"/>
      <c r="G707" s="268"/>
      <c r="H707" s="268"/>
      <c r="I707" s="268"/>
      <c r="J707" s="268"/>
      <c r="K707" s="268"/>
      <c r="L707" s="271" t="str">
        <f t="shared" si="47"/>
        <v>12/30/99 0:00</v>
      </c>
      <c r="M707" s="278"/>
      <c r="N707" s="290"/>
      <c r="O707" s="276"/>
      <c r="P707" s="276"/>
      <c r="Q707" s="278"/>
      <c r="R707" s="278"/>
      <c r="S707" s="278"/>
      <c r="T707" s="278"/>
      <c r="U707" s="279"/>
      <c r="V707" s="279"/>
      <c r="W707" s="279"/>
      <c r="X707" s="279"/>
      <c r="Y707" s="279"/>
      <c r="Z707" s="282"/>
      <c r="AA707" s="282"/>
      <c r="AB707" s="282"/>
      <c r="AC707" s="284"/>
      <c r="AD707" s="284"/>
    </row>
    <row r="708" ht="14.25" customHeight="1">
      <c r="A708" s="266"/>
      <c r="B708" s="266"/>
      <c r="C708" s="266"/>
      <c r="D708" s="266"/>
      <c r="E708" s="268"/>
      <c r="F708" s="291"/>
      <c r="G708" s="268"/>
      <c r="H708" s="268"/>
      <c r="I708" s="268"/>
      <c r="J708" s="268"/>
      <c r="K708" s="268"/>
      <c r="L708" s="271" t="str">
        <f t="shared" si="47"/>
        <v>12/30/99 0:00</v>
      </c>
      <c r="M708" s="278"/>
      <c r="N708" s="290"/>
      <c r="O708" s="276"/>
      <c r="P708" s="276"/>
      <c r="Q708" s="278"/>
      <c r="R708" s="278"/>
      <c r="S708" s="278"/>
      <c r="T708" s="278"/>
      <c r="U708" s="279"/>
      <c r="V708" s="279"/>
      <c r="W708" s="279"/>
      <c r="X708" s="279"/>
      <c r="Y708" s="279"/>
      <c r="Z708" s="282"/>
      <c r="AA708" s="282"/>
      <c r="AB708" s="282"/>
      <c r="AC708" s="284"/>
      <c r="AD708" s="284"/>
    </row>
    <row r="709" ht="14.25" customHeight="1">
      <c r="A709" s="266"/>
      <c r="B709" s="266"/>
      <c r="C709" s="266"/>
      <c r="D709" s="266"/>
      <c r="E709" s="268"/>
      <c r="F709" s="291"/>
      <c r="G709" s="268"/>
      <c r="H709" s="268"/>
      <c r="I709" s="268"/>
      <c r="J709" s="268"/>
      <c r="K709" s="268"/>
      <c r="L709" s="271" t="str">
        <f t="shared" si="47"/>
        <v>12/30/99 0:00</v>
      </c>
      <c r="M709" s="278"/>
      <c r="N709" s="290"/>
      <c r="O709" s="276"/>
      <c r="P709" s="276"/>
      <c r="Q709" s="278"/>
      <c r="R709" s="278"/>
      <c r="S709" s="278"/>
      <c r="T709" s="278"/>
      <c r="U709" s="279"/>
      <c r="V709" s="279"/>
      <c r="W709" s="279"/>
      <c r="X709" s="279"/>
      <c r="Y709" s="279"/>
      <c r="Z709" s="282"/>
      <c r="AA709" s="282"/>
      <c r="AB709" s="282"/>
      <c r="AC709" s="284"/>
      <c r="AD709" s="284"/>
    </row>
    <row r="710" ht="14.25" customHeight="1">
      <c r="A710" s="266"/>
      <c r="B710" s="266"/>
      <c r="C710" s="266"/>
      <c r="D710" s="266"/>
      <c r="E710" s="268"/>
      <c r="F710" s="291"/>
      <c r="G710" s="268"/>
      <c r="H710" s="268"/>
      <c r="I710" s="268"/>
      <c r="J710" s="268"/>
      <c r="K710" s="268"/>
      <c r="L710" s="271" t="str">
        <f t="shared" si="47"/>
        <v>12/30/99 0:00</v>
      </c>
      <c r="M710" s="278"/>
      <c r="N710" s="290"/>
      <c r="O710" s="276"/>
      <c r="P710" s="276"/>
      <c r="Q710" s="278"/>
      <c r="R710" s="278"/>
      <c r="S710" s="278"/>
      <c r="T710" s="278"/>
      <c r="U710" s="279"/>
      <c r="V710" s="279"/>
      <c r="W710" s="279"/>
      <c r="X710" s="279"/>
      <c r="Y710" s="279"/>
      <c r="Z710" s="282"/>
      <c r="AA710" s="282"/>
      <c r="AB710" s="282"/>
      <c r="AC710" s="284"/>
      <c r="AD710" s="284"/>
    </row>
    <row r="711" ht="14.25" customHeight="1">
      <c r="A711" s="266"/>
      <c r="B711" s="266"/>
      <c r="C711" s="266"/>
      <c r="D711" s="266"/>
      <c r="E711" s="268"/>
      <c r="F711" s="291"/>
      <c r="G711" s="268"/>
      <c r="H711" s="268"/>
      <c r="I711" s="268"/>
      <c r="J711" s="268"/>
      <c r="K711" s="268"/>
      <c r="L711" s="271" t="str">
        <f t="shared" si="47"/>
        <v>12/30/99 0:00</v>
      </c>
      <c r="M711" s="278"/>
      <c r="N711" s="290"/>
      <c r="O711" s="276"/>
      <c r="P711" s="276"/>
      <c r="Q711" s="278"/>
      <c r="R711" s="278"/>
      <c r="S711" s="278"/>
      <c r="T711" s="278"/>
      <c r="U711" s="279"/>
      <c r="V711" s="279"/>
      <c r="W711" s="279"/>
      <c r="X711" s="279"/>
      <c r="Y711" s="279"/>
      <c r="Z711" s="282"/>
      <c r="AA711" s="282"/>
      <c r="AB711" s="282"/>
      <c r="AC711" s="284"/>
      <c r="AD711" s="284"/>
    </row>
    <row r="712" ht="14.25" customHeight="1">
      <c r="A712" s="266"/>
      <c r="B712" s="266"/>
      <c r="C712" s="266"/>
      <c r="D712" s="266"/>
      <c r="E712" s="268"/>
      <c r="F712" s="291"/>
      <c r="G712" s="268"/>
      <c r="H712" s="268"/>
      <c r="I712" s="268"/>
      <c r="J712" s="268"/>
      <c r="K712" s="268"/>
      <c r="L712" s="271" t="str">
        <f t="shared" si="47"/>
        <v>12/30/99 0:00</v>
      </c>
      <c r="M712" s="278"/>
      <c r="N712" s="290"/>
      <c r="O712" s="276"/>
      <c r="P712" s="276"/>
      <c r="Q712" s="278"/>
      <c r="R712" s="278"/>
      <c r="S712" s="278"/>
      <c r="T712" s="278"/>
      <c r="U712" s="279"/>
      <c r="V712" s="279"/>
      <c r="W712" s="279"/>
      <c r="X712" s="279"/>
      <c r="Y712" s="279"/>
      <c r="Z712" s="282"/>
      <c r="AA712" s="282"/>
      <c r="AB712" s="282"/>
      <c r="AC712" s="284"/>
      <c r="AD712" s="284"/>
    </row>
    <row r="713" ht="14.25" customHeight="1">
      <c r="A713" s="266"/>
      <c r="B713" s="266"/>
      <c r="C713" s="266"/>
      <c r="D713" s="266"/>
      <c r="E713" s="268"/>
      <c r="F713" s="291"/>
      <c r="G713" s="268"/>
      <c r="H713" s="268"/>
      <c r="I713" s="268"/>
      <c r="J713" s="268"/>
      <c r="K713" s="268"/>
      <c r="L713" s="271" t="str">
        <f t="shared" si="47"/>
        <v>12/30/99 0:00</v>
      </c>
      <c r="M713" s="278"/>
      <c r="N713" s="290"/>
      <c r="O713" s="276"/>
      <c r="P713" s="276"/>
      <c r="Q713" s="278"/>
      <c r="R713" s="278"/>
      <c r="S713" s="278"/>
      <c r="T713" s="278"/>
      <c r="U713" s="279"/>
      <c r="V713" s="279"/>
      <c r="W713" s="279"/>
      <c r="X713" s="279"/>
      <c r="Y713" s="279"/>
      <c r="Z713" s="282"/>
      <c r="AA713" s="282"/>
      <c r="AB713" s="282"/>
      <c r="AC713" s="284"/>
      <c r="AD713" s="284"/>
    </row>
    <row r="714" ht="14.25" customHeight="1">
      <c r="A714" s="266"/>
      <c r="B714" s="266"/>
      <c r="C714" s="266"/>
      <c r="D714" s="266"/>
      <c r="E714" s="268"/>
      <c r="F714" s="291"/>
      <c r="G714" s="268"/>
      <c r="H714" s="268"/>
      <c r="I714" s="268"/>
      <c r="J714" s="268"/>
      <c r="K714" s="268"/>
      <c r="L714" s="271" t="str">
        <f t="shared" si="47"/>
        <v>12/30/99 0:00</v>
      </c>
      <c r="M714" s="278"/>
      <c r="N714" s="290"/>
      <c r="O714" s="276"/>
      <c r="P714" s="276"/>
      <c r="Q714" s="278"/>
      <c r="R714" s="278"/>
      <c r="S714" s="278"/>
      <c r="T714" s="278"/>
      <c r="U714" s="279"/>
      <c r="V714" s="279"/>
      <c r="W714" s="279"/>
      <c r="X714" s="279"/>
      <c r="Y714" s="279"/>
      <c r="Z714" s="282"/>
      <c r="AA714" s="282"/>
      <c r="AB714" s="282"/>
      <c r="AC714" s="284"/>
      <c r="AD714" s="284"/>
    </row>
    <row r="715" ht="14.25" customHeight="1">
      <c r="A715" s="266"/>
      <c r="B715" s="266"/>
      <c r="C715" s="266"/>
      <c r="D715" s="266"/>
      <c r="E715" s="268"/>
      <c r="F715" s="291"/>
      <c r="G715" s="268"/>
      <c r="H715" s="268"/>
      <c r="I715" s="268"/>
      <c r="J715" s="268"/>
      <c r="K715" s="268"/>
      <c r="L715" s="271" t="str">
        <f t="shared" si="47"/>
        <v>12/30/99 0:00</v>
      </c>
      <c r="M715" s="278"/>
      <c r="N715" s="290"/>
      <c r="O715" s="276"/>
      <c r="P715" s="276"/>
      <c r="Q715" s="278"/>
      <c r="R715" s="278"/>
      <c r="S715" s="278"/>
      <c r="T715" s="278"/>
      <c r="U715" s="279"/>
      <c r="V715" s="279"/>
      <c r="W715" s="279"/>
      <c r="X715" s="279"/>
      <c r="Y715" s="279"/>
      <c r="Z715" s="282"/>
      <c r="AA715" s="282"/>
      <c r="AB715" s="282"/>
      <c r="AC715" s="284"/>
      <c r="AD715" s="284"/>
    </row>
    <row r="716" ht="14.25" customHeight="1">
      <c r="A716" s="266"/>
      <c r="B716" s="266"/>
      <c r="C716" s="266"/>
      <c r="D716" s="266"/>
      <c r="E716" s="268"/>
      <c r="F716" s="291"/>
      <c r="G716" s="268"/>
      <c r="H716" s="268"/>
      <c r="I716" s="268"/>
      <c r="J716" s="268"/>
      <c r="K716" s="268"/>
      <c r="L716" s="271" t="str">
        <f t="shared" si="47"/>
        <v>12/30/99 0:00</v>
      </c>
      <c r="M716" s="278"/>
      <c r="N716" s="290"/>
      <c r="O716" s="276"/>
      <c r="P716" s="276"/>
      <c r="Q716" s="278"/>
      <c r="R716" s="278"/>
      <c r="S716" s="278"/>
      <c r="T716" s="278"/>
      <c r="U716" s="279"/>
      <c r="V716" s="279"/>
      <c r="W716" s="279"/>
      <c r="X716" s="279"/>
      <c r="Y716" s="279"/>
      <c r="Z716" s="282"/>
      <c r="AA716" s="282"/>
      <c r="AB716" s="282"/>
      <c r="AC716" s="284"/>
      <c r="AD716" s="284"/>
    </row>
    <row r="717" ht="14.25" customHeight="1">
      <c r="A717" s="266"/>
      <c r="B717" s="266"/>
      <c r="C717" s="266"/>
      <c r="D717" s="266"/>
      <c r="E717" s="268"/>
      <c r="F717" s="291"/>
      <c r="G717" s="268"/>
      <c r="H717" s="268"/>
      <c r="I717" s="268"/>
      <c r="J717" s="268"/>
      <c r="K717" s="268"/>
      <c r="L717" s="271" t="str">
        <f t="shared" si="47"/>
        <v>12/30/99 0:00</v>
      </c>
      <c r="M717" s="278"/>
      <c r="N717" s="290"/>
      <c r="O717" s="276"/>
      <c r="P717" s="276"/>
      <c r="Q717" s="278"/>
      <c r="R717" s="278"/>
      <c r="S717" s="278"/>
      <c r="T717" s="278"/>
      <c r="U717" s="279"/>
      <c r="V717" s="279"/>
      <c r="W717" s="279"/>
      <c r="X717" s="279"/>
      <c r="Y717" s="279"/>
      <c r="Z717" s="282"/>
      <c r="AA717" s="282"/>
      <c r="AB717" s="282"/>
      <c r="AC717" s="284"/>
      <c r="AD717" s="284"/>
    </row>
    <row r="718" ht="14.25" customHeight="1">
      <c r="A718" s="266"/>
      <c r="B718" s="266"/>
      <c r="C718" s="266"/>
      <c r="D718" s="266"/>
      <c r="E718" s="268"/>
      <c r="F718" s="291"/>
      <c r="G718" s="268"/>
      <c r="H718" s="268"/>
      <c r="I718" s="268"/>
      <c r="J718" s="268"/>
      <c r="K718" s="268"/>
      <c r="L718" s="271" t="str">
        <f t="shared" si="47"/>
        <v>12/30/99 0:00</v>
      </c>
      <c r="M718" s="278"/>
      <c r="N718" s="290"/>
      <c r="O718" s="276"/>
      <c r="P718" s="276"/>
      <c r="Q718" s="278"/>
      <c r="R718" s="278"/>
      <c r="S718" s="278"/>
      <c r="T718" s="278"/>
      <c r="U718" s="279"/>
      <c r="V718" s="279"/>
      <c r="W718" s="279"/>
      <c r="X718" s="279"/>
      <c r="Y718" s="279"/>
      <c r="Z718" s="282"/>
      <c r="AA718" s="282"/>
      <c r="AB718" s="282"/>
      <c r="AC718" s="284"/>
      <c r="AD718" s="284"/>
    </row>
    <row r="719" ht="14.25" customHeight="1">
      <c r="A719" s="266"/>
      <c r="B719" s="266"/>
      <c r="C719" s="266"/>
      <c r="D719" s="266"/>
      <c r="E719" s="268"/>
      <c r="F719" s="291"/>
      <c r="G719" s="268"/>
      <c r="H719" s="268"/>
      <c r="I719" s="268"/>
      <c r="J719" s="268"/>
      <c r="K719" s="268"/>
      <c r="L719" s="271" t="str">
        <f t="shared" si="47"/>
        <v>12/30/99 0:00</v>
      </c>
      <c r="M719" s="278"/>
      <c r="N719" s="290"/>
      <c r="O719" s="276"/>
      <c r="P719" s="276"/>
      <c r="Q719" s="278"/>
      <c r="R719" s="278"/>
      <c r="S719" s="278"/>
      <c r="T719" s="278"/>
      <c r="U719" s="279"/>
      <c r="V719" s="279"/>
      <c r="W719" s="279"/>
      <c r="X719" s="279"/>
      <c r="Y719" s="279"/>
      <c r="Z719" s="282"/>
      <c r="AA719" s="282"/>
      <c r="AB719" s="282"/>
      <c r="AC719" s="284"/>
      <c r="AD719" s="284"/>
    </row>
    <row r="720" ht="14.25" customHeight="1">
      <c r="A720" s="266"/>
      <c r="B720" s="266"/>
      <c r="C720" s="266"/>
      <c r="D720" s="266"/>
      <c r="E720" s="268"/>
      <c r="F720" s="291"/>
      <c r="G720" s="268"/>
      <c r="H720" s="268"/>
      <c r="I720" s="268"/>
      <c r="J720" s="268"/>
      <c r="K720" s="268"/>
      <c r="L720" s="271" t="str">
        <f t="shared" si="47"/>
        <v>12/30/99 0:00</v>
      </c>
      <c r="M720" s="278"/>
      <c r="N720" s="290"/>
      <c r="O720" s="276"/>
      <c r="P720" s="276"/>
      <c r="Q720" s="278"/>
      <c r="R720" s="278"/>
      <c r="S720" s="278"/>
      <c r="T720" s="278"/>
      <c r="U720" s="279"/>
      <c r="V720" s="279"/>
      <c r="W720" s="279"/>
      <c r="X720" s="279"/>
      <c r="Y720" s="279"/>
      <c r="Z720" s="282"/>
      <c r="AA720" s="282"/>
      <c r="AB720" s="282"/>
      <c r="AC720" s="284"/>
      <c r="AD720" s="284"/>
    </row>
    <row r="721" ht="14.25" customHeight="1">
      <c r="A721" s="266"/>
      <c r="B721" s="266"/>
      <c r="C721" s="266"/>
      <c r="D721" s="266"/>
      <c r="E721" s="268"/>
      <c r="F721" s="291"/>
      <c r="G721" s="268"/>
      <c r="H721" s="268"/>
      <c r="I721" s="268"/>
      <c r="J721" s="268"/>
      <c r="K721" s="268"/>
      <c r="L721" s="271" t="str">
        <f t="shared" si="47"/>
        <v>12/30/99 0:00</v>
      </c>
      <c r="M721" s="278"/>
      <c r="N721" s="290"/>
      <c r="O721" s="276"/>
      <c r="P721" s="276"/>
      <c r="Q721" s="278"/>
      <c r="R721" s="278"/>
      <c r="S721" s="278"/>
      <c r="T721" s="278"/>
      <c r="U721" s="279"/>
      <c r="V721" s="279"/>
      <c r="W721" s="279"/>
      <c r="X721" s="279"/>
      <c r="Y721" s="279"/>
      <c r="Z721" s="282"/>
      <c r="AA721" s="282"/>
      <c r="AB721" s="282"/>
      <c r="AC721" s="284"/>
      <c r="AD721" s="284"/>
    </row>
    <row r="722" ht="14.25" customHeight="1">
      <c r="A722" s="266"/>
      <c r="B722" s="266"/>
      <c r="C722" s="266"/>
      <c r="D722" s="266"/>
      <c r="E722" s="268"/>
      <c r="F722" s="291"/>
      <c r="G722" s="268"/>
      <c r="H722" s="268"/>
      <c r="I722" s="268"/>
      <c r="J722" s="268"/>
      <c r="K722" s="268"/>
      <c r="L722" s="271" t="str">
        <f t="shared" si="47"/>
        <v>12/30/99 0:00</v>
      </c>
      <c r="M722" s="278"/>
      <c r="N722" s="290"/>
      <c r="O722" s="276"/>
      <c r="P722" s="276"/>
      <c r="Q722" s="278"/>
      <c r="R722" s="278"/>
      <c r="S722" s="278"/>
      <c r="T722" s="278"/>
      <c r="U722" s="279"/>
      <c r="V722" s="279"/>
      <c r="W722" s="279"/>
      <c r="X722" s="279"/>
      <c r="Y722" s="279"/>
      <c r="Z722" s="282"/>
      <c r="AA722" s="282"/>
      <c r="AB722" s="282"/>
      <c r="AC722" s="284"/>
      <c r="AD722" s="284"/>
    </row>
    <row r="723" ht="14.25" customHeight="1">
      <c r="A723" s="266"/>
      <c r="B723" s="266"/>
      <c r="C723" s="266"/>
      <c r="D723" s="266"/>
      <c r="E723" s="268"/>
      <c r="F723" s="291"/>
      <c r="G723" s="268"/>
      <c r="H723" s="268"/>
      <c r="I723" s="268"/>
      <c r="J723" s="268"/>
      <c r="K723" s="268"/>
      <c r="L723" s="271" t="str">
        <f t="shared" si="47"/>
        <v>12/30/99 0:00</v>
      </c>
      <c r="M723" s="278"/>
      <c r="N723" s="290"/>
      <c r="O723" s="276"/>
      <c r="P723" s="276"/>
      <c r="Q723" s="278"/>
      <c r="R723" s="278"/>
      <c r="S723" s="278"/>
      <c r="T723" s="278"/>
      <c r="U723" s="279"/>
      <c r="V723" s="279"/>
      <c r="W723" s="279"/>
      <c r="X723" s="279"/>
      <c r="Y723" s="279"/>
      <c r="Z723" s="282"/>
      <c r="AA723" s="282"/>
      <c r="AB723" s="282"/>
      <c r="AC723" s="284"/>
      <c r="AD723" s="284"/>
    </row>
    <row r="724" ht="14.25" customHeight="1">
      <c r="A724" s="266"/>
      <c r="B724" s="266"/>
      <c r="C724" s="266"/>
      <c r="D724" s="266"/>
      <c r="E724" s="268"/>
      <c r="F724" s="291"/>
      <c r="G724" s="268"/>
      <c r="H724" s="268"/>
      <c r="I724" s="268"/>
      <c r="J724" s="268"/>
      <c r="K724" s="268"/>
      <c r="L724" s="271" t="str">
        <f t="shared" si="47"/>
        <v>12/30/99 0:00</v>
      </c>
      <c r="M724" s="278"/>
      <c r="N724" s="290"/>
      <c r="O724" s="276"/>
      <c r="P724" s="276"/>
      <c r="Q724" s="278"/>
      <c r="R724" s="278"/>
      <c r="S724" s="278"/>
      <c r="T724" s="278"/>
      <c r="U724" s="279"/>
      <c r="V724" s="279"/>
      <c r="W724" s="279"/>
      <c r="X724" s="279"/>
      <c r="Y724" s="279"/>
      <c r="Z724" s="282"/>
      <c r="AA724" s="282"/>
      <c r="AB724" s="282"/>
      <c r="AC724" s="284"/>
      <c r="AD724" s="284"/>
    </row>
    <row r="725" ht="14.25" customHeight="1">
      <c r="A725" s="266"/>
      <c r="B725" s="266"/>
      <c r="C725" s="266"/>
      <c r="D725" s="266"/>
      <c r="E725" s="268"/>
      <c r="F725" s="291"/>
      <c r="G725" s="268"/>
      <c r="H725" s="268"/>
      <c r="I725" s="268"/>
      <c r="J725" s="268"/>
      <c r="K725" s="268"/>
      <c r="L725" s="271" t="str">
        <f t="shared" si="47"/>
        <v>12/30/99 0:00</v>
      </c>
      <c r="M725" s="278"/>
      <c r="N725" s="290"/>
      <c r="O725" s="276"/>
      <c r="P725" s="276"/>
      <c r="Q725" s="278"/>
      <c r="R725" s="278"/>
      <c r="S725" s="278"/>
      <c r="T725" s="278"/>
      <c r="U725" s="279"/>
      <c r="V725" s="279"/>
      <c r="W725" s="279"/>
      <c r="X725" s="279"/>
      <c r="Y725" s="279"/>
      <c r="Z725" s="282"/>
      <c r="AA725" s="282"/>
      <c r="AB725" s="282"/>
      <c r="AC725" s="284"/>
      <c r="AD725" s="284"/>
    </row>
    <row r="726" ht="14.25" customHeight="1">
      <c r="A726" s="266"/>
      <c r="B726" s="266"/>
      <c r="C726" s="266"/>
      <c r="D726" s="266"/>
      <c r="E726" s="268"/>
      <c r="F726" s="291"/>
      <c r="G726" s="268"/>
      <c r="H726" s="268"/>
      <c r="I726" s="268"/>
      <c r="J726" s="268"/>
      <c r="K726" s="268"/>
      <c r="L726" s="271" t="str">
        <f t="shared" si="47"/>
        <v>12/30/99 0:00</v>
      </c>
      <c r="M726" s="278"/>
      <c r="N726" s="290"/>
      <c r="O726" s="276"/>
      <c r="P726" s="276"/>
      <c r="Q726" s="278"/>
      <c r="R726" s="278"/>
      <c r="S726" s="278"/>
      <c r="T726" s="278"/>
      <c r="U726" s="279"/>
      <c r="V726" s="279"/>
      <c r="W726" s="279"/>
      <c r="X726" s="279"/>
      <c r="Y726" s="279"/>
      <c r="Z726" s="282"/>
      <c r="AA726" s="282"/>
      <c r="AB726" s="282"/>
      <c r="AC726" s="284"/>
      <c r="AD726" s="284"/>
    </row>
    <row r="727" ht="14.25" customHeight="1">
      <c r="A727" s="266"/>
      <c r="B727" s="266"/>
      <c r="C727" s="266"/>
      <c r="D727" s="266"/>
      <c r="E727" s="268"/>
      <c r="F727" s="291"/>
      <c r="G727" s="268"/>
      <c r="H727" s="268"/>
      <c r="I727" s="268"/>
      <c r="J727" s="268"/>
      <c r="K727" s="268"/>
      <c r="L727" s="271" t="str">
        <f t="shared" si="47"/>
        <v>12/30/99 0:00</v>
      </c>
      <c r="M727" s="278"/>
      <c r="N727" s="290"/>
      <c r="O727" s="276"/>
      <c r="P727" s="276"/>
      <c r="Q727" s="278"/>
      <c r="R727" s="278"/>
      <c r="S727" s="278"/>
      <c r="T727" s="278"/>
      <c r="U727" s="279"/>
      <c r="V727" s="279"/>
      <c r="W727" s="279"/>
      <c r="X727" s="279"/>
      <c r="Y727" s="279"/>
      <c r="Z727" s="282"/>
      <c r="AA727" s="282"/>
      <c r="AB727" s="282"/>
      <c r="AC727" s="284"/>
      <c r="AD727" s="284"/>
    </row>
    <row r="728" ht="14.25" customHeight="1">
      <c r="A728" s="266"/>
      <c r="B728" s="266"/>
      <c r="C728" s="266"/>
      <c r="D728" s="266"/>
      <c r="E728" s="268"/>
      <c r="F728" s="291"/>
      <c r="G728" s="268"/>
      <c r="H728" s="268"/>
      <c r="I728" s="268"/>
      <c r="J728" s="268"/>
      <c r="K728" s="268"/>
      <c r="L728" s="271" t="str">
        <f t="shared" si="47"/>
        <v>12/30/99 0:00</v>
      </c>
      <c r="M728" s="278"/>
      <c r="N728" s="290"/>
      <c r="O728" s="276"/>
      <c r="P728" s="276"/>
      <c r="Q728" s="278"/>
      <c r="R728" s="278"/>
      <c r="S728" s="278"/>
      <c r="T728" s="278"/>
      <c r="U728" s="279"/>
      <c r="V728" s="279"/>
      <c r="W728" s="279"/>
      <c r="X728" s="279"/>
      <c r="Y728" s="279"/>
      <c r="Z728" s="282"/>
      <c r="AA728" s="282"/>
      <c r="AB728" s="282"/>
      <c r="AC728" s="284"/>
      <c r="AD728" s="284"/>
    </row>
    <row r="729" ht="14.25" customHeight="1">
      <c r="A729" s="266"/>
      <c r="B729" s="266"/>
      <c r="C729" s="266"/>
      <c r="D729" s="266"/>
      <c r="E729" s="268"/>
      <c r="F729" s="291"/>
      <c r="G729" s="268"/>
      <c r="H729" s="268"/>
      <c r="I729" s="268"/>
      <c r="J729" s="268"/>
      <c r="K729" s="268"/>
      <c r="L729" s="271" t="str">
        <f t="shared" si="47"/>
        <v>12/30/99 0:00</v>
      </c>
      <c r="M729" s="278"/>
      <c r="N729" s="290"/>
      <c r="O729" s="276"/>
      <c r="P729" s="276"/>
      <c r="Q729" s="278"/>
      <c r="R729" s="278"/>
      <c r="S729" s="278"/>
      <c r="T729" s="278"/>
      <c r="U729" s="279"/>
      <c r="V729" s="279"/>
      <c r="W729" s="279"/>
      <c r="X729" s="279"/>
      <c r="Y729" s="279"/>
      <c r="Z729" s="282"/>
      <c r="AA729" s="282"/>
      <c r="AB729" s="282"/>
      <c r="AC729" s="284"/>
      <c r="AD729" s="284"/>
    </row>
    <row r="730" ht="14.25" customHeight="1">
      <c r="A730" s="266"/>
      <c r="B730" s="266"/>
      <c r="C730" s="266"/>
      <c r="D730" s="266"/>
      <c r="E730" s="268"/>
      <c r="F730" s="291"/>
      <c r="G730" s="268"/>
      <c r="H730" s="268"/>
      <c r="I730" s="268"/>
      <c r="J730" s="268"/>
      <c r="K730" s="268"/>
      <c r="L730" s="271" t="str">
        <f t="shared" si="47"/>
        <v>12/30/99 0:00</v>
      </c>
      <c r="M730" s="278"/>
      <c r="N730" s="290"/>
      <c r="O730" s="276"/>
      <c r="P730" s="276"/>
      <c r="Q730" s="278"/>
      <c r="R730" s="278"/>
      <c r="S730" s="278"/>
      <c r="T730" s="278"/>
      <c r="U730" s="279"/>
      <c r="V730" s="279"/>
      <c r="W730" s="279"/>
      <c r="X730" s="279"/>
      <c r="Y730" s="279"/>
      <c r="Z730" s="282"/>
      <c r="AA730" s="282"/>
      <c r="AB730" s="282"/>
      <c r="AC730" s="284"/>
      <c r="AD730" s="284"/>
    </row>
    <row r="731" ht="14.25" customHeight="1">
      <c r="A731" s="266"/>
      <c r="B731" s="266"/>
      <c r="C731" s="266"/>
      <c r="D731" s="266"/>
      <c r="E731" s="268"/>
      <c r="F731" s="291"/>
      <c r="G731" s="268"/>
      <c r="H731" s="268"/>
      <c r="I731" s="268"/>
      <c r="J731" s="268"/>
      <c r="K731" s="268"/>
      <c r="L731" s="271" t="str">
        <f t="shared" si="47"/>
        <v>12/30/99 0:00</v>
      </c>
      <c r="M731" s="278"/>
      <c r="N731" s="290"/>
      <c r="O731" s="276"/>
      <c r="P731" s="276"/>
      <c r="Q731" s="278"/>
      <c r="R731" s="278"/>
      <c r="S731" s="278"/>
      <c r="T731" s="278"/>
      <c r="U731" s="279"/>
      <c r="V731" s="279"/>
      <c r="W731" s="279"/>
      <c r="X731" s="279"/>
      <c r="Y731" s="279"/>
      <c r="Z731" s="282"/>
      <c r="AA731" s="282"/>
      <c r="AB731" s="282"/>
      <c r="AC731" s="284"/>
      <c r="AD731" s="284"/>
    </row>
    <row r="732" ht="14.25" customHeight="1">
      <c r="A732" s="266"/>
      <c r="B732" s="266"/>
      <c r="C732" s="266"/>
      <c r="D732" s="266"/>
      <c r="E732" s="268"/>
      <c r="F732" s="291"/>
      <c r="G732" s="268"/>
      <c r="H732" s="268"/>
      <c r="I732" s="268"/>
      <c r="J732" s="268"/>
      <c r="K732" s="268"/>
      <c r="L732" s="271" t="str">
        <f t="shared" si="47"/>
        <v>12/30/99 0:00</v>
      </c>
      <c r="M732" s="278"/>
      <c r="N732" s="290"/>
      <c r="O732" s="276"/>
      <c r="P732" s="276"/>
      <c r="Q732" s="278"/>
      <c r="R732" s="278"/>
      <c r="S732" s="278"/>
      <c r="T732" s="278"/>
      <c r="U732" s="279"/>
      <c r="V732" s="279"/>
      <c r="W732" s="279"/>
      <c r="X732" s="279"/>
      <c r="Y732" s="279"/>
      <c r="Z732" s="282"/>
      <c r="AA732" s="282"/>
      <c r="AB732" s="282"/>
      <c r="AC732" s="284"/>
      <c r="AD732" s="284"/>
    </row>
    <row r="733" ht="14.25" customHeight="1">
      <c r="A733" s="266"/>
      <c r="B733" s="266"/>
      <c r="C733" s="266"/>
      <c r="D733" s="266"/>
      <c r="E733" s="268"/>
      <c r="F733" s="291"/>
      <c r="G733" s="268"/>
      <c r="H733" s="268"/>
      <c r="I733" s="268"/>
      <c r="J733" s="268"/>
      <c r="K733" s="268"/>
      <c r="L733" s="271" t="str">
        <f t="shared" si="47"/>
        <v>12/30/99 0:00</v>
      </c>
      <c r="M733" s="278"/>
      <c r="N733" s="290"/>
      <c r="O733" s="276"/>
      <c r="P733" s="276"/>
      <c r="Q733" s="278"/>
      <c r="R733" s="278"/>
      <c r="S733" s="278"/>
      <c r="T733" s="278"/>
      <c r="U733" s="279"/>
      <c r="V733" s="279"/>
      <c r="W733" s="279"/>
      <c r="X733" s="279"/>
      <c r="Y733" s="279"/>
      <c r="Z733" s="282"/>
      <c r="AA733" s="282"/>
      <c r="AB733" s="282"/>
      <c r="AC733" s="284"/>
      <c r="AD733" s="284"/>
    </row>
    <row r="734" ht="14.25" customHeight="1">
      <c r="A734" s="266"/>
      <c r="B734" s="266"/>
      <c r="C734" s="266"/>
      <c r="D734" s="266"/>
      <c r="E734" s="268"/>
      <c r="F734" s="291"/>
      <c r="G734" s="268"/>
      <c r="H734" s="268"/>
      <c r="I734" s="268"/>
      <c r="J734" s="268"/>
      <c r="K734" s="268"/>
      <c r="L734" s="271" t="str">
        <f t="shared" si="47"/>
        <v>12/30/99 0:00</v>
      </c>
      <c r="M734" s="278"/>
      <c r="N734" s="290"/>
      <c r="O734" s="276"/>
      <c r="P734" s="276"/>
      <c r="Q734" s="278"/>
      <c r="R734" s="278"/>
      <c r="S734" s="278"/>
      <c r="T734" s="278"/>
      <c r="U734" s="279"/>
      <c r="V734" s="279"/>
      <c r="W734" s="279"/>
      <c r="X734" s="279"/>
      <c r="Y734" s="279"/>
      <c r="Z734" s="282"/>
      <c r="AA734" s="282"/>
      <c r="AB734" s="282"/>
      <c r="AC734" s="284"/>
      <c r="AD734" s="284"/>
    </row>
    <row r="735" ht="14.25" customHeight="1">
      <c r="A735" s="266"/>
      <c r="B735" s="266"/>
      <c r="C735" s="266"/>
      <c r="D735" s="266"/>
      <c r="E735" s="268"/>
      <c r="F735" s="291"/>
      <c r="G735" s="268"/>
      <c r="H735" s="268"/>
      <c r="I735" s="268"/>
      <c r="J735" s="268"/>
      <c r="K735" s="268"/>
      <c r="L735" s="271" t="str">
        <f t="shared" si="47"/>
        <v>12/30/99 0:00</v>
      </c>
      <c r="M735" s="278"/>
      <c r="N735" s="290"/>
      <c r="O735" s="276"/>
      <c r="P735" s="276"/>
      <c r="Q735" s="278"/>
      <c r="R735" s="278"/>
      <c r="S735" s="278"/>
      <c r="T735" s="278"/>
      <c r="U735" s="279"/>
      <c r="V735" s="279"/>
      <c r="W735" s="279"/>
      <c r="X735" s="279"/>
      <c r="Y735" s="279"/>
      <c r="Z735" s="282"/>
      <c r="AA735" s="282"/>
      <c r="AB735" s="282"/>
      <c r="AC735" s="284"/>
      <c r="AD735" s="284"/>
    </row>
    <row r="736" ht="14.25" customHeight="1">
      <c r="A736" s="266"/>
      <c r="B736" s="266"/>
      <c r="C736" s="266"/>
      <c r="D736" s="266"/>
      <c r="E736" s="268"/>
      <c r="F736" s="291"/>
      <c r="G736" s="268"/>
      <c r="H736" s="268"/>
      <c r="I736" s="268"/>
      <c r="J736" s="268"/>
      <c r="K736" s="268"/>
      <c r="L736" s="271" t="str">
        <f t="shared" si="47"/>
        <v>12/30/99 0:00</v>
      </c>
      <c r="M736" s="278"/>
      <c r="N736" s="290"/>
      <c r="O736" s="276"/>
      <c r="P736" s="276"/>
      <c r="Q736" s="278"/>
      <c r="R736" s="278"/>
      <c r="S736" s="278"/>
      <c r="T736" s="278"/>
      <c r="U736" s="279"/>
      <c r="V736" s="279"/>
      <c r="W736" s="279"/>
      <c r="X736" s="279"/>
      <c r="Y736" s="279"/>
      <c r="Z736" s="282"/>
      <c r="AA736" s="282"/>
      <c r="AB736" s="282"/>
      <c r="AC736" s="284"/>
      <c r="AD736" s="284"/>
    </row>
    <row r="737" ht="14.25" customHeight="1">
      <c r="A737" s="266"/>
      <c r="B737" s="266"/>
      <c r="C737" s="266"/>
      <c r="D737" s="266"/>
      <c r="E737" s="268"/>
      <c r="F737" s="291"/>
      <c r="G737" s="268"/>
      <c r="H737" s="268"/>
      <c r="I737" s="268"/>
      <c r="J737" s="268"/>
      <c r="K737" s="268"/>
      <c r="L737" s="271" t="str">
        <f t="shared" si="47"/>
        <v>12/30/99 0:00</v>
      </c>
      <c r="M737" s="278"/>
      <c r="N737" s="290"/>
      <c r="O737" s="276"/>
      <c r="P737" s="276"/>
      <c r="Q737" s="278"/>
      <c r="R737" s="278"/>
      <c r="S737" s="278"/>
      <c r="T737" s="278"/>
      <c r="U737" s="279"/>
      <c r="V737" s="279"/>
      <c r="W737" s="279"/>
      <c r="X737" s="279"/>
      <c r="Y737" s="279"/>
      <c r="Z737" s="282"/>
      <c r="AA737" s="282"/>
      <c r="AB737" s="282"/>
      <c r="AC737" s="284"/>
      <c r="AD737" s="284"/>
    </row>
    <row r="738" ht="14.25" customHeight="1">
      <c r="A738" s="266"/>
      <c r="B738" s="266"/>
      <c r="C738" s="266"/>
      <c r="D738" s="266"/>
      <c r="E738" s="268"/>
      <c r="F738" s="291"/>
      <c r="G738" s="268"/>
      <c r="H738" s="268"/>
      <c r="I738" s="268"/>
      <c r="J738" s="268"/>
      <c r="K738" s="268"/>
      <c r="L738" s="271" t="str">
        <f t="shared" si="47"/>
        <v>12/30/99 0:00</v>
      </c>
      <c r="M738" s="278"/>
      <c r="N738" s="290"/>
      <c r="O738" s="276"/>
      <c r="P738" s="276"/>
      <c r="Q738" s="278"/>
      <c r="R738" s="278"/>
      <c r="S738" s="278"/>
      <c r="T738" s="278"/>
      <c r="U738" s="279"/>
      <c r="V738" s="279"/>
      <c r="W738" s="279"/>
      <c r="X738" s="279"/>
      <c r="Y738" s="279"/>
      <c r="Z738" s="282"/>
      <c r="AA738" s="282"/>
      <c r="AB738" s="282"/>
      <c r="AC738" s="284"/>
      <c r="AD738" s="284"/>
    </row>
    <row r="739" ht="14.25" customHeight="1">
      <c r="A739" s="266"/>
      <c r="B739" s="266"/>
      <c r="C739" s="266"/>
      <c r="D739" s="266"/>
      <c r="E739" s="268"/>
      <c r="F739" s="291"/>
      <c r="G739" s="268"/>
      <c r="H739" s="268"/>
      <c r="I739" s="268"/>
      <c r="J739" s="268"/>
      <c r="K739" s="268"/>
      <c r="L739" s="271" t="str">
        <f t="shared" si="47"/>
        <v>12/30/99 0:00</v>
      </c>
      <c r="M739" s="278"/>
      <c r="N739" s="290"/>
      <c r="O739" s="276"/>
      <c r="P739" s="276"/>
      <c r="Q739" s="278"/>
      <c r="R739" s="278"/>
      <c r="S739" s="278"/>
      <c r="T739" s="278"/>
      <c r="U739" s="279"/>
      <c r="V739" s="279"/>
      <c r="W739" s="279"/>
      <c r="X739" s="279"/>
      <c r="Y739" s="279"/>
      <c r="Z739" s="282"/>
      <c r="AA739" s="282"/>
      <c r="AB739" s="282"/>
      <c r="AC739" s="284"/>
      <c r="AD739" s="284"/>
    </row>
    <row r="740" ht="14.25" customHeight="1">
      <c r="A740" s="266"/>
      <c r="B740" s="266"/>
      <c r="C740" s="266"/>
      <c r="D740" s="266"/>
      <c r="E740" s="268"/>
      <c r="F740" s="291"/>
      <c r="G740" s="268"/>
      <c r="H740" s="268"/>
      <c r="I740" s="268"/>
      <c r="J740" s="268"/>
      <c r="K740" s="268"/>
      <c r="L740" s="271" t="str">
        <f t="shared" si="47"/>
        <v>12/30/99 0:00</v>
      </c>
      <c r="M740" s="278"/>
      <c r="N740" s="290"/>
      <c r="O740" s="276"/>
      <c r="P740" s="276"/>
      <c r="Q740" s="278"/>
      <c r="R740" s="278"/>
      <c r="S740" s="278"/>
      <c r="T740" s="278"/>
      <c r="U740" s="279"/>
      <c r="V740" s="279"/>
      <c r="W740" s="279"/>
      <c r="X740" s="279"/>
      <c r="Y740" s="279"/>
      <c r="Z740" s="282"/>
      <c r="AA740" s="282"/>
      <c r="AB740" s="282"/>
      <c r="AC740" s="284"/>
      <c r="AD740" s="284"/>
    </row>
    <row r="741" ht="14.25" customHeight="1">
      <c r="A741" s="266"/>
      <c r="B741" s="266"/>
      <c r="C741" s="266"/>
      <c r="D741" s="266"/>
      <c r="E741" s="268"/>
      <c r="F741" s="291"/>
      <c r="G741" s="268"/>
      <c r="H741" s="268"/>
      <c r="I741" s="268"/>
      <c r="J741" s="268"/>
      <c r="K741" s="268"/>
      <c r="L741" s="271" t="str">
        <f t="shared" si="47"/>
        <v>12/30/99 0:00</v>
      </c>
      <c r="M741" s="278"/>
      <c r="N741" s="290"/>
      <c r="O741" s="276"/>
      <c r="P741" s="276"/>
      <c r="Q741" s="278"/>
      <c r="R741" s="278"/>
      <c r="S741" s="278"/>
      <c r="T741" s="278"/>
      <c r="U741" s="279"/>
      <c r="V741" s="279"/>
      <c r="W741" s="279"/>
      <c r="X741" s="279"/>
      <c r="Y741" s="279"/>
      <c r="Z741" s="282"/>
      <c r="AA741" s="282"/>
      <c r="AB741" s="282"/>
      <c r="AC741" s="284"/>
      <c r="AD741" s="284"/>
    </row>
    <row r="742" ht="14.25" customHeight="1">
      <c r="A742" s="266"/>
      <c r="B742" s="266"/>
      <c r="C742" s="266"/>
      <c r="D742" s="266"/>
      <c r="E742" s="268"/>
      <c r="F742" s="291"/>
      <c r="G742" s="268"/>
      <c r="H742" s="268"/>
      <c r="I742" s="268"/>
      <c r="J742" s="268"/>
      <c r="K742" s="268"/>
      <c r="L742" s="271" t="str">
        <f t="shared" si="47"/>
        <v>12/30/99 0:00</v>
      </c>
      <c r="M742" s="278"/>
      <c r="N742" s="290"/>
      <c r="O742" s="276"/>
      <c r="P742" s="276"/>
      <c r="Q742" s="278"/>
      <c r="R742" s="278"/>
      <c r="S742" s="278"/>
      <c r="T742" s="278"/>
      <c r="U742" s="279"/>
      <c r="V742" s="279"/>
      <c r="W742" s="279"/>
      <c r="X742" s="279"/>
      <c r="Y742" s="279"/>
      <c r="Z742" s="282"/>
      <c r="AA742" s="282"/>
      <c r="AB742" s="282"/>
      <c r="AC742" s="284"/>
      <c r="AD742" s="284"/>
    </row>
    <row r="743" ht="14.25" customHeight="1">
      <c r="A743" s="266"/>
      <c r="B743" s="266"/>
      <c r="C743" s="266"/>
      <c r="D743" s="266"/>
      <c r="E743" s="268"/>
      <c r="F743" s="291"/>
      <c r="G743" s="268"/>
      <c r="H743" s="268"/>
      <c r="I743" s="268"/>
      <c r="J743" s="268"/>
      <c r="K743" s="268"/>
      <c r="L743" s="271" t="str">
        <f t="shared" si="47"/>
        <v>12/30/99 0:00</v>
      </c>
      <c r="M743" s="278"/>
      <c r="N743" s="290"/>
      <c r="O743" s="276"/>
      <c r="P743" s="276"/>
      <c r="Q743" s="278"/>
      <c r="R743" s="278"/>
      <c r="S743" s="278"/>
      <c r="T743" s="278"/>
      <c r="U743" s="279"/>
      <c r="V743" s="279"/>
      <c r="W743" s="279"/>
      <c r="X743" s="279"/>
      <c r="Y743" s="279"/>
      <c r="Z743" s="282"/>
      <c r="AA743" s="282"/>
      <c r="AB743" s="282"/>
      <c r="AC743" s="284"/>
      <c r="AD743" s="284"/>
    </row>
    <row r="744" ht="14.25" customHeight="1">
      <c r="A744" s="266"/>
      <c r="B744" s="266"/>
      <c r="C744" s="266"/>
      <c r="D744" s="266"/>
      <c r="E744" s="268"/>
      <c r="F744" s="291"/>
      <c r="G744" s="268"/>
      <c r="H744" s="268"/>
      <c r="I744" s="268"/>
      <c r="J744" s="268"/>
      <c r="K744" s="268"/>
      <c r="L744" s="271" t="str">
        <f t="shared" si="47"/>
        <v>12/30/99 0:00</v>
      </c>
      <c r="M744" s="278"/>
      <c r="N744" s="290"/>
      <c r="O744" s="276"/>
      <c r="P744" s="276"/>
      <c r="Q744" s="278"/>
      <c r="R744" s="278"/>
      <c r="S744" s="278"/>
      <c r="T744" s="278"/>
      <c r="U744" s="279"/>
      <c r="V744" s="279"/>
      <c r="W744" s="279"/>
      <c r="X744" s="279"/>
      <c r="Y744" s="279"/>
      <c r="Z744" s="282"/>
      <c r="AA744" s="282"/>
      <c r="AB744" s="282"/>
      <c r="AC744" s="284"/>
      <c r="AD744" s="284"/>
    </row>
    <row r="745" ht="14.25" customHeight="1">
      <c r="A745" s="266"/>
      <c r="B745" s="266"/>
      <c r="C745" s="266"/>
      <c r="D745" s="266"/>
      <c r="E745" s="268"/>
      <c r="F745" s="291"/>
      <c r="G745" s="268"/>
      <c r="H745" s="268"/>
      <c r="I745" s="268"/>
      <c r="J745" s="268"/>
      <c r="K745" s="268"/>
      <c r="L745" s="271" t="str">
        <f t="shared" si="47"/>
        <v>12/30/99 0:00</v>
      </c>
      <c r="M745" s="278"/>
      <c r="N745" s="290"/>
      <c r="O745" s="276"/>
      <c r="P745" s="276"/>
      <c r="Q745" s="278"/>
      <c r="R745" s="278"/>
      <c r="S745" s="278"/>
      <c r="T745" s="278"/>
      <c r="U745" s="279"/>
      <c r="V745" s="279"/>
      <c r="W745" s="279"/>
      <c r="X745" s="279"/>
      <c r="Y745" s="279"/>
      <c r="Z745" s="282"/>
      <c r="AA745" s="282"/>
      <c r="AB745" s="282"/>
      <c r="AC745" s="284"/>
      <c r="AD745" s="284"/>
    </row>
    <row r="746" ht="14.25" customHeight="1">
      <c r="A746" s="266"/>
      <c r="B746" s="266"/>
      <c r="C746" s="266"/>
      <c r="D746" s="266"/>
      <c r="E746" s="268"/>
      <c r="F746" s="291"/>
      <c r="G746" s="268"/>
      <c r="H746" s="268"/>
      <c r="I746" s="268"/>
      <c r="J746" s="268"/>
      <c r="K746" s="268"/>
      <c r="L746" s="271" t="str">
        <f t="shared" si="47"/>
        <v>12/30/99 0:00</v>
      </c>
      <c r="M746" s="278"/>
      <c r="N746" s="290"/>
      <c r="O746" s="276"/>
      <c r="P746" s="276"/>
      <c r="Q746" s="278"/>
      <c r="R746" s="278"/>
      <c r="S746" s="278"/>
      <c r="T746" s="278"/>
      <c r="U746" s="279"/>
      <c r="V746" s="279"/>
      <c r="W746" s="279"/>
      <c r="X746" s="279"/>
      <c r="Y746" s="279"/>
      <c r="Z746" s="282"/>
      <c r="AA746" s="282"/>
      <c r="AB746" s="282"/>
      <c r="AC746" s="284"/>
      <c r="AD746" s="284"/>
    </row>
    <row r="747" ht="14.25" customHeight="1">
      <c r="A747" s="266"/>
      <c r="B747" s="266"/>
      <c r="C747" s="266"/>
      <c r="D747" s="266"/>
      <c r="E747" s="268"/>
      <c r="F747" s="291"/>
      <c r="G747" s="268"/>
      <c r="H747" s="268"/>
      <c r="I747" s="268"/>
      <c r="J747" s="268"/>
      <c r="K747" s="268"/>
      <c r="L747" s="271" t="str">
        <f t="shared" si="47"/>
        <v>12/30/99 0:00</v>
      </c>
      <c r="M747" s="278"/>
      <c r="N747" s="290"/>
      <c r="O747" s="276"/>
      <c r="P747" s="276"/>
      <c r="Q747" s="278"/>
      <c r="R747" s="278"/>
      <c r="S747" s="278"/>
      <c r="T747" s="278"/>
      <c r="U747" s="279"/>
      <c r="V747" s="279"/>
      <c r="W747" s="279"/>
      <c r="X747" s="279"/>
      <c r="Y747" s="279"/>
      <c r="Z747" s="282"/>
      <c r="AA747" s="282"/>
      <c r="AB747" s="282"/>
      <c r="AC747" s="284"/>
      <c r="AD747" s="284"/>
    </row>
    <row r="748" ht="14.25" customHeight="1">
      <c r="A748" s="266"/>
      <c r="B748" s="266"/>
      <c r="C748" s="266"/>
      <c r="D748" s="266"/>
      <c r="E748" s="268"/>
      <c r="F748" s="291"/>
      <c r="G748" s="268"/>
      <c r="H748" s="268"/>
      <c r="I748" s="268"/>
      <c r="J748" s="268"/>
      <c r="K748" s="268"/>
      <c r="L748" s="271" t="str">
        <f t="shared" si="47"/>
        <v>12/30/99 0:00</v>
      </c>
      <c r="M748" s="278"/>
      <c r="N748" s="290"/>
      <c r="O748" s="276"/>
      <c r="P748" s="276"/>
      <c r="Q748" s="278"/>
      <c r="R748" s="278"/>
      <c r="S748" s="278"/>
      <c r="T748" s="278"/>
      <c r="U748" s="279"/>
      <c r="V748" s="279"/>
      <c r="W748" s="279"/>
      <c r="X748" s="279"/>
      <c r="Y748" s="279"/>
      <c r="Z748" s="282"/>
      <c r="AA748" s="282"/>
      <c r="AB748" s="282"/>
      <c r="AC748" s="284"/>
      <c r="AD748" s="284"/>
    </row>
    <row r="749" ht="14.25" customHeight="1">
      <c r="A749" s="266"/>
      <c r="B749" s="266"/>
      <c r="C749" s="266"/>
      <c r="D749" s="266"/>
      <c r="E749" s="268"/>
      <c r="F749" s="291"/>
      <c r="G749" s="268"/>
      <c r="H749" s="268"/>
      <c r="I749" s="268"/>
      <c r="J749" s="268"/>
      <c r="K749" s="268"/>
      <c r="L749" s="271" t="str">
        <f t="shared" si="47"/>
        <v>12/30/99 0:00</v>
      </c>
      <c r="M749" s="278"/>
      <c r="N749" s="290"/>
      <c r="O749" s="276"/>
      <c r="P749" s="276"/>
      <c r="Q749" s="278"/>
      <c r="R749" s="278"/>
      <c r="S749" s="278"/>
      <c r="T749" s="278"/>
      <c r="U749" s="279"/>
      <c r="V749" s="279"/>
      <c r="W749" s="279"/>
      <c r="X749" s="279"/>
      <c r="Y749" s="279"/>
      <c r="Z749" s="282"/>
      <c r="AA749" s="282"/>
      <c r="AB749" s="282"/>
      <c r="AC749" s="284"/>
      <c r="AD749" s="284"/>
    </row>
    <row r="750" ht="14.25" customHeight="1">
      <c r="A750" s="266"/>
      <c r="B750" s="266"/>
      <c r="C750" s="266"/>
      <c r="D750" s="266"/>
      <c r="E750" s="268"/>
      <c r="F750" s="291"/>
      <c r="G750" s="268"/>
      <c r="H750" s="268"/>
      <c r="I750" s="268"/>
      <c r="J750" s="268"/>
      <c r="K750" s="268"/>
      <c r="L750" s="271" t="str">
        <f t="shared" si="47"/>
        <v>12/30/99 0:00</v>
      </c>
      <c r="M750" s="278"/>
      <c r="N750" s="290"/>
      <c r="O750" s="276"/>
      <c r="P750" s="276"/>
      <c r="Q750" s="278"/>
      <c r="R750" s="278"/>
      <c r="S750" s="278"/>
      <c r="T750" s="278"/>
      <c r="U750" s="279"/>
      <c r="V750" s="279"/>
      <c r="W750" s="279"/>
      <c r="X750" s="279"/>
      <c r="Y750" s="279"/>
      <c r="Z750" s="282"/>
      <c r="AA750" s="282"/>
      <c r="AB750" s="282"/>
      <c r="AC750" s="284"/>
      <c r="AD750" s="284"/>
    </row>
    <row r="751" ht="14.25" customHeight="1">
      <c r="A751" s="266"/>
      <c r="B751" s="266"/>
      <c r="C751" s="266"/>
      <c r="D751" s="266"/>
      <c r="E751" s="268"/>
      <c r="F751" s="291"/>
      <c r="G751" s="268"/>
      <c r="H751" s="268"/>
      <c r="I751" s="268"/>
      <c r="J751" s="268"/>
      <c r="K751" s="268"/>
      <c r="L751" s="271" t="str">
        <f t="shared" si="47"/>
        <v>12/30/99 0:00</v>
      </c>
      <c r="M751" s="278"/>
      <c r="N751" s="290"/>
      <c r="O751" s="276"/>
      <c r="P751" s="276"/>
      <c r="Q751" s="278"/>
      <c r="R751" s="278"/>
      <c r="S751" s="278"/>
      <c r="T751" s="278"/>
      <c r="U751" s="279"/>
      <c r="V751" s="279"/>
      <c r="W751" s="279"/>
      <c r="X751" s="279"/>
      <c r="Y751" s="279"/>
      <c r="Z751" s="282"/>
      <c r="AA751" s="282"/>
      <c r="AB751" s="282"/>
      <c r="AC751" s="284"/>
      <c r="AD751" s="284"/>
    </row>
    <row r="752" ht="14.25" customHeight="1">
      <c r="A752" s="266"/>
      <c r="B752" s="266"/>
      <c r="C752" s="266"/>
      <c r="D752" s="266"/>
      <c r="E752" s="268"/>
      <c r="F752" s="291"/>
      <c r="G752" s="268"/>
      <c r="H752" s="268"/>
      <c r="I752" s="268"/>
      <c r="J752" s="268"/>
      <c r="K752" s="268"/>
      <c r="L752" s="271" t="str">
        <f t="shared" si="47"/>
        <v>12/30/99 0:00</v>
      </c>
      <c r="M752" s="278"/>
      <c r="N752" s="290"/>
      <c r="O752" s="276"/>
      <c r="P752" s="276"/>
      <c r="Q752" s="278"/>
      <c r="R752" s="278"/>
      <c r="S752" s="278"/>
      <c r="T752" s="278"/>
      <c r="U752" s="279"/>
      <c r="V752" s="279"/>
      <c r="W752" s="279"/>
      <c r="X752" s="279"/>
      <c r="Y752" s="279"/>
      <c r="Z752" s="282"/>
      <c r="AA752" s="282"/>
      <c r="AB752" s="282"/>
      <c r="AC752" s="284"/>
      <c r="AD752" s="284"/>
    </row>
    <row r="753" ht="14.25" customHeight="1">
      <c r="A753" s="266"/>
      <c r="B753" s="266"/>
      <c r="C753" s="266"/>
      <c r="D753" s="266"/>
      <c r="E753" s="268"/>
      <c r="F753" s="291"/>
      <c r="G753" s="268"/>
      <c r="H753" s="268"/>
      <c r="I753" s="268"/>
      <c r="J753" s="268"/>
      <c r="K753" s="268"/>
      <c r="L753" s="271" t="str">
        <f t="shared" si="47"/>
        <v>12/30/99 0:00</v>
      </c>
      <c r="M753" s="278"/>
      <c r="N753" s="290"/>
      <c r="O753" s="276"/>
      <c r="P753" s="276"/>
      <c r="Q753" s="278"/>
      <c r="R753" s="278"/>
      <c r="S753" s="278"/>
      <c r="T753" s="278"/>
      <c r="U753" s="279"/>
      <c r="V753" s="279"/>
      <c r="W753" s="279"/>
      <c r="X753" s="279"/>
      <c r="Y753" s="279"/>
      <c r="Z753" s="282"/>
      <c r="AA753" s="282"/>
      <c r="AB753" s="282"/>
      <c r="AC753" s="284"/>
      <c r="AD753" s="284"/>
    </row>
    <row r="754" ht="14.25" customHeight="1">
      <c r="A754" s="266"/>
      <c r="B754" s="266"/>
      <c r="C754" s="266"/>
      <c r="D754" s="266"/>
      <c r="E754" s="268"/>
      <c r="F754" s="291"/>
      <c r="G754" s="268"/>
      <c r="H754" s="268"/>
      <c r="I754" s="268"/>
      <c r="J754" s="268"/>
      <c r="K754" s="268"/>
      <c r="L754" s="271" t="str">
        <f t="shared" si="47"/>
        <v>12/30/99 0:00</v>
      </c>
      <c r="M754" s="278"/>
      <c r="N754" s="290"/>
      <c r="O754" s="276"/>
      <c r="P754" s="276"/>
      <c r="Q754" s="278"/>
      <c r="R754" s="278"/>
      <c r="S754" s="278"/>
      <c r="T754" s="278"/>
      <c r="U754" s="279"/>
      <c r="V754" s="279"/>
      <c r="W754" s="279"/>
      <c r="X754" s="279"/>
      <c r="Y754" s="279"/>
      <c r="Z754" s="282"/>
      <c r="AA754" s="282"/>
      <c r="AB754" s="282"/>
      <c r="AC754" s="284"/>
      <c r="AD754" s="284"/>
    </row>
    <row r="755" ht="14.25" customHeight="1">
      <c r="A755" s="266"/>
      <c r="B755" s="266"/>
      <c r="C755" s="266"/>
      <c r="D755" s="266"/>
      <c r="E755" s="268"/>
      <c r="F755" s="291"/>
      <c r="G755" s="268"/>
      <c r="H755" s="268"/>
      <c r="I755" s="268"/>
      <c r="J755" s="268"/>
      <c r="K755" s="268"/>
      <c r="L755" s="271" t="str">
        <f t="shared" si="47"/>
        <v>12/30/99 0:00</v>
      </c>
      <c r="M755" s="278"/>
      <c r="N755" s="290"/>
      <c r="O755" s="276"/>
      <c r="P755" s="276"/>
      <c r="Q755" s="278"/>
      <c r="R755" s="278"/>
      <c r="S755" s="278"/>
      <c r="T755" s="278"/>
      <c r="U755" s="279"/>
      <c r="V755" s="279"/>
      <c r="W755" s="279"/>
      <c r="X755" s="279"/>
      <c r="Y755" s="279"/>
      <c r="Z755" s="282"/>
      <c r="AA755" s="282"/>
      <c r="AB755" s="282"/>
      <c r="AC755" s="284"/>
      <c r="AD755" s="284"/>
    </row>
    <row r="756" ht="14.25" customHeight="1">
      <c r="A756" s="266"/>
      <c r="B756" s="266"/>
      <c r="C756" s="266"/>
      <c r="D756" s="266"/>
      <c r="E756" s="268"/>
      <c r="F756" s="291"/>
      <c r="G756" s="268"/>
      <c r="H756" s="268"/>
      <c r="I756" s="268"/>
      <c r="J756" s="268"/>
      <c r="K756" s="268"/>
      <c r="L756" s="271" t="str">
        <f t="shared" si="47"/>
        <v>12/30/99 0:00</v>
      </c>
      <c r="M756" s="278"/>
      <c r="N756" s="290"/>
      <c r="O756" s="276"/>
      <c r="P756" s="276"/>
      <c r="Q756" s="278"/>
      <c r="R756" s="278"/>
      <c r="S756" s="278"/>
      <c r="T756" s="278"/>
      <c r="U756" s="279"/>
      <c r="V756" s="279"/>
      <c r="W756" s="279"/>
      <c r="X756" s="279"/>
      <c r="Y756" s="279"/>
      <c r="Z756" s="282"/>
      <c r="AA756" s="282"/>
      <c r="AB756" s="282"/>
      <c r="AC756" s="284"/>
      <c r="AD756" s="284"/>
    </row>
    <row r="757" ht="14.25" customHeight="1">
      <c r="A757" s="266"/>
      <c r="B757" s="266"/>
      <c r="C757" s="266"/>
      <c r="D757" s="266"/>
      <c r="E757" s="268"/>
      <c r="F757" s="291"/>
      <c r="G757" s="268"/>
      <c r="H757" s="268"/>
      <c r="I757" s="268"/>
      <c r="J757" s="268"/>
      <c r="K757" s="268"/>
      <c r="L757" s="271" t="str">
        <f t="shared" si="47"/>
        <v>12/30/99 0:00</v>
      </c>
      <c r="M757" s="278"/>
      <c r="N757" s="290"/>
      <c r="O757" s="276"/>
      <c r="P757" s="276"/>
      <c r="Q757" s="278"/>
      <c r="R757" s="278"/>
      <c r="S757" s="278"/>
      <c r="T757" s="278"/>
      <c r="U757" s="279"/>
      <c r="V757" s="279"/>
      <c r="W757" s="279"/>
      <c r="X757" s="279"/>
      <c r="Y757" s="279"/>
      <c r="Z757" s="282"/>
      <c r="AA757" s="282"/>
      <c r="AB757" s="282"/>
      <c r="AC757" s="284"/>
      <c r="AD757" s="284"/>
    </row>
    <row r="758" ht="14.25" customHeight="1">
      <c r="A758" s="266"/>
      <c r="B758" s="266"/>
      <c r="C758" s="266"/>
      <c r="D758" s="266"/>
      <c r="E758" s="268"/>
      <c r="F758" s="291"/>
      <c r="G758" s="268"/>
      <c r="H758" s="268"/>
      <c r="I758" s="268"/>
      <c r="J758" s="268"/>
      <c r="K758" s="268"/>
      <c r="L758" s="271" t="str">
        <f t="shared" si="47"/>
        <v>12/30/99 0:00</v>
      </c>
      <c r="M758" s="278"/>
      <c r="N758" s="290"/>
      <c r="O758" s="276"/>
      <c r="P758" s="276"/>
      <c r="Q758" s="278"/>
      <c r="R758" s="278"/>
      <c r="S758" s="278"/>
      <c r="T758" s="278"/>
      <c r="U758" s="279"/>
      <c r="V758" s="279"/>
      <c r="W758" s="279"/>
      <c r="X758" s="279"/>
      <c r="Y758" s="279"/>
      <c r="Z758" s="282"/>
      <c r="AA758" s="282"/>
      <c r="AB758" s="282"/>
      <c r="AC758" s="284"/>
      <c r="AD758" s="284"/>
    </row>
    <row r="759" ht="14.25" customHeight="1">
      <c r="A759" s="266"/>
      <c r="B759" s="266"/>
      <c r="C759" s="266"/>
      <c r="D759" s="266"/>
      <c r="E759" s="268"/>
      <c r="F759" s="291"/>
      <c r="G759" s="268"/>
      <c r="H759" s="268"/>
      <c r="I759" s="268"/>
      <c r="J759" s="268"/>
      <c r="K759" s="268"/>
      <c r="L759" s="271" t="str">
        <f t="shared" si="47"/>
        <v>12/30/99 0:00</v>
      </c>
      <c r="M759" s="278"/>
      <c r="N759" s="290"/>
      <c r="O759" s="276"/>
      <c r="P759" s="276"/>
      <c r="Q759" s="278"/>
      <c r="R759" s="278"/>
      <c r="S759" s="278"/>
      <c r="T759" s="278"/>
      <c r="U759" s="279"/>
      <c r="V759" s="279"/>
      <c r="W759" s="279"/>
      <c r="X759" s="279"/>
      <c r="Y759" s="279"/>
      <c r="Z759" s="282"/>
      <c r="AA759" s="282"/>
      <c r="AB759" s="282"/>
      <c r="AC759" s="284"/>
      <c r="AD759" s="284"/>
    </row>
    <row r="760" ht="14.25" customHeight="1">
      <c r="A760" s="266"/>
      <c r="B760" s="266"/>
      <c r="C760" s="266"/>
      <c r="D760" s="266"/>
      <c r="E760" s="268"/>
      <c r="F760" s="291"/>
      <c r="G760" s="268"/>
      <c r="H760" s="268"/>
      <c r="I760" s="268"/>
      <c r="J760" s="268"/>
      <c r="K760" s="268"/>
      <c r="L760" s="271" t="str">
        <f t="shared" si="47"/>
        <v>12/30/99 0:00</v>
      </c>
      <c r="M760" s="278"/>
      <c r="N760" s="290"/>
      <c r="O760" s="276"/>
      <c r="P760" s="276"/>
      <c r="Q760" s="278"/>
      <c r="R760" s="278"/>
      <c r="S760" s="278"/>
      <c r="T760" s="278"/>
      <c r="U760" s="279"/>
      <c r="V760" s="279"/>
      <c r="W760" s="279"/>
      <c r="X760" s="279"/>
      <c r="Y760" s="279"/>
      <c r="Z760" s="282"/>
      <c r="AA760" s="282"/>
      <c r="AB760" s="282"/>
      <c r="AC760" s="284"/>
      <c r="AD760" s="284"/>
    </row>
    <row r="761" ht="14.25" customHeight="1">
      <c r="A761" s="266"/>
      <c r="B761" s="266"/>
      <c r="C761" s="266"/>
      <c r="D761" s="266"/>
      <c r="E761" s="268"/>
      <c r="F761" s="291"/>
      <c r="G761" s="268"/>
      <c r="H761" s="268"/>
      <c r="I761" s="268"/>
      <c r="J761" s="268"/>
      <c r="K761" s="268"/>
      <c r="L761" s="271" t="str">
        <f t="shared" si="47"/>
        <v>12/30/99 0:00</v>
      </c>
      <c r="M761" s="278"/>
      <c r="N761" s="290"/>
      <c r="O761" s="276"/>
      <c r="P761" s="276"/>
      <c r="Q761" s="278"/>
      <c r="R761" s="278"/>
      <c r="S761" s="278"/>
      <c r="T761" s="278"/>
      <c r="U761" s="279"/>
      <c r="V761" s="279"/>
      <c r="W761" s="279"/>
      <c r="X761" s="279"/>
      <c r="Y761" s="279"/>
      <c r="Z761" s="282"/>
      <c r="AA761" s="282"/>
      <c r="AB761" s="282"/>
      <c r="AC761" s="284"/>
      <c r="AD761" s="284"/>
    </row>
    <row r="762" ht="14.25" customHeight="1">
      <c r="A762" s="266"/>
      <c r="B762" s="266"/>
      <c r="C762" s="266"/>
      <c r="D762" s="266"/>
      <c r="E762" s="268"/>
      <c r="F762" s="291"/>
      <c r="G762" s="268"/>
      <c r="H762" s="268"/>
      <c r="I762" s="268"/>
      <c r="J762" s="268"/>
      <c r="K762" s="268"/>
      <c r="L762" s="271" t="str">
        <f t="shared" si="47"/>
        <v>12/30/99 0:00</v>
      </c>
      <c r="M762" s="278"/>
      <c r="N762" s="290"/>
      <c r="O762" s="276"/>
      <c r="P762" s="276"/>
      <c r="Q762" s="278"/>
      <c r="R762" s="278"/>
      <c r="S762" s="278"/>
      <c r="T762" s="278"/>
      <c r="U762" s="279"/>
      <c r="V762" s="279"/>
      <c r="W762" s="279"/>
      <c r="X762" s="279"/>
      <c r="Y762" s="279"/>
      <c r="Z762" s="282"/>
      <c r="AA762" s="282"/>
      <c r="AB762" s="282"/>
      <c r="AC762" s="284"/>
      <c r="AD762" s="284"/>
    </row>
    <row r="763" ht="14.25" customHeight="1">
      <c r="A763" s="266"/>
      <c r="B763" s="266"/>
      <c r="C763" s="266"/>
      <c r="D763" s="266"/>
      <c r="E763" s="268"/>
      <c r="F763" s="291"/>
      <c r="G763" s="268"/>
      <c r="H763" s="268"/>
      <c r="I763" s="268"/>
      <c r="J763" s="268"/>
      <c r="K763" s="268"/>
      <c r="L763" s="271" t="str">
        <f t="shared" si="47"/>
        <v>12/30/99 0:00</v>
      </c>
      <c r="M763" s="278"/>
      <c r="N763" s="290"/>
      <c r="O763" s="276"/>
      <c r="P763" s="276"/>
      <c r="Q763" s="278"/>
      <c r="R763" s="278"/>
      <c r="S763" s="278"/>
      <c r="T763" s="278"/>
      <c r="U763" s="279"/>
      <c r="V763" s="279"/>
      <c r="W763" s="279"/>
      <c r="X763" s="279"/>
      <c r="Y763" s="279"/>
      <c r="Z763" s="282"/>
      <c r="AA763" s="282"/>
      <c r="AB763" s="282"/>
      <c r="AC763" s="284"/>
      <c r="AD763" s="284"/>
    </row>
    <row r="764" ht="14.25" customHeight="1">
      <c r="A764" s="266"/>
      <c r="B764" s="266"/>
      <c r="C764" s="266"/>
      <c r="D764" s="266"/>
      <c r="E764" s="268"/>
      <c r="F764" s="291"/>
      <c r="G764" s="268"/>
      <c r="H764" s="268"/>
      <c r="I764" s="268"/>
      <c r="J764" s="268"/>
      <c r="K764" s="268"/>
      <c r="L764" s="271" t="str">
        <f t="shared" si="47"/>
        <v>12/30/99 0:00</v>
      </c>
      <c r="M764" s="278"/>
      <c r="N764" s="290"/>
      <c r="O764" s="276"/>
      <c r="P764" s="276"/>
      <c r="Q764" s="278"/>
      <c r="R764" s="278"/>
      <c r="S764" s="278"/>
      <c r="T764" s="278"/>
      <c r="U764" s="279"/>
      <c r="V764" s="279"/>
      <c r="W764" s="279"/>
      <c r="X764" s="279"/>
      <c r="Y764" s="279"/>
      <c r="Z764" s="282"/>
      <c r="AA764" s="282"/>
      <c r="AB764" s="282"/>
      <c r="AC764" s="284"/>
      <c r="AD764" s="284"/>
    </row>
    <row r="765" ht="14.25" customHeight="1">
      <c r="A765" s="266"/>
      <c r="B765" s="266"/>
      <c r="C765" s="266"/>
      <c r="D765" s="266"/>
      <c r="E765" s="268"/>
      <c r="F765" s="291"/>
      <c r="G765" s="268"/>
      <c r="H765" s="268"/>
      <c r="I765" s="268"/>
      <c r="J765" s="268"/>
      <c r="K765" s="268"/>
      <c r="L765" s="271" t="str">
        <f t="shared" si="47"/>
        <v>12/30/99 0:00</v>
      </c>
      <c r="M765" s="278"/>
      <c r="N765" s="290"/>
      <c r="O765" s="276"/>
      <c r="P765" s="276"/>
      <c r="Q765" s="278"/>
      <c r="R765" s="278"/>
      <c r="S765" s="278"/>
      <c r="T765" s="278"/>
      <c r="U765" s="279"/>
      <c r="V765" s="279"/>
      <c r="W765" s="279"/>
      <c r="X765" s="279"/>
      <c r="Y765" s="279"/>
      <c r="Z765" s="282"/>
      <c r="AA765" s="282"/>
      <c r="AB765" s="282"/>
      <c r="AC765" s="284"/>
      <c r="AD765" s="284"/>
    </row>
    <row r="766" ht="14.25" customHeight="1">
      <c r="A766" s="266"/>
      <c r="B766" s="266"/>
      <c r="C766" s="266"/>
      <c r="D766" s="266"/>
      <c r="E766" s="268"/>
      <c r="F766" s="291"/>
      <c r="G766" s="268"/>
      <c r="H766" s="268"/>
      <c r="I766" s="268"/>
      <c r="J766" s="268"/>
      <c r="K766" s="268"/>
      <c r="L766" s="271" t="str">
        <f t="shared" si="47"/>
        <v>12/30/99 0:00</v>
      </c>
      <c r="M766" s="278"/>
      <c r="N766" s="290"/>
      <c r="O766" s="276"/>
      <c r="P766" s="276"/>
      <c r="Q766" s="278"/>
      <c r="R766" s="278"/>
      <c r="S766" s="278"/>
      <c r="T766" s="278"/>
      <c r="U766" s="279"/>
      <c r="V766" s="279"/>
      <c r="W766" s="279"/>
      <c r="X766" s="279"/>
      <c r="Y766" s="279"/>
      <c r="Z766" s="282"/>
      <c r="AA766" s="282"/>
      <c r="AB766" s="282"/>
      <c r="AC766" s="284"/>
      <c r="AD766" s="284"/>
    </row>
    <row r="767" ht="14.25" customHeight="1">
      <c r="A767" s="266"/>
      <c r="B767" s="266"/>
      <c r="C767" s="266"/>
      <c r="D767" s="266"/>
      <c r="E767" s="268"/>
      <c r="F767" s="291"/>
      <c r="G767" s="268"/>
      <c r="H767" s="268"/>
      <c r="I767" s="268"/>
      <c r="J767" s="268"/>
      <c r="K767" s="268"/>
      <c r="L767" s="271" t="str">
        <f t="shared" si="47"/>
        <v>12/30/99 0:00</v>
      </c>
      <c r="M767" s="278"/>
      <c r="N767" s="290"/>
      <c r="O767" s="276"/>
      <c r="P767" s="276"/>
      <c r="Q767" s="278"/>
      <c r="R767" s="278"/>
      <c r="S767" s="278"/>
      <c r="T767" s="278"/>
      <c r="U767" s="279"/>
      <c r="V767" s="279"/>
      <c r="W767" s="279"/>
      <c r="X767" s="279"/>
      <c r="Y767" s="279"/>
      <c r="Z767" s="282"/>
      <c r="AA767" s="282"/>
      <c r="AB767" s="282"/>
      <c r="AC767" s="284"/>
      <c r="AD767" s="284"/>
    </row>
    <row r="768" ht="14.25" customHeight="1">
      <c r="A768" s="266"/>
      <c r="B768" s="266"/>
      <c r="C768" s="266"/>
      <c r="D768" s="266"/>
      <c r="E768" s="268"/>
      <c r="F768" s="291"/>
      <c r="G768" s="268"/>
      <c r="H768" s="268"/>
      <c r="I768" s="268"/>
      <c r="J768" s="268"/>
      <c r="K768" s="268"/>
      <c r="L768" s="271" t="str">
        <f t="shared" si="47"/>
        <v>12/30/99 0:00</v>
      </c>
      <c r="M768" s="278"/>
      <c r="N768" s="290"/>
      <c r="O768" s="276"/>
      <c r="P768" s="276"/>
      <c r="Q768" s="278"/>
      <c r="R768" s="278"/>
      <c r="S768" s="278"/>
      <c r="T768" s="278"/>
      <c r="U768" s="279"/>
      <c r="V768" s="279"/>
      <c r="W768" s="279"/>
      <c r="X768" s="279"/>
      <c r="Y768" s="279"/>
      <c r="Z768" s="282"/>
      <c r="AA768" s="282"/>
      <c r="AB768" s="282"/>
      <c r="AC768" s="284"/>
      <c r="AD768" s="284"/>
    </row>
    <row r="769" ht="14.25" customHeight="1">
      <c r="A769" s="266"/>
      <c r="B769" s="266"/>
      <c r="C769" s="266"/>
      <c r="D769" s="266"/>
      <c r="E769" s="268"/>
      <c r="F769" s="291"/>
      <c r="G769" s="268"/>
      <c r="H769" s="268"/>
      <c r="I769" s="268"/>
      <c r="J769" s="268"/>
      <c r="K769" s="268"/>
      <c r="L769" s="271" t="str">
        <f t="shared" si="47"/>
        <v>12/30/99 0:00</v>
      </c>
      <c r="M769" s="278"/>
      <c r="N769" s="290"/>
      <c r="O769" s="276"/>
      <c r="P769" s="276"/>
      <c r="Q769" s="278"/>
      <c r="R769" s="278"/>
      <c r="S769" s="278"/>
      <c r="T769" s="278"/>
      <c r="U769" s="279"/>
      <c r="V769" s="279"/>
      <c r="W769" s="279"/>
      <c r="X769" s="279"/>
      <c r="Y769" s="279"/>
      <c r="Z769" s="282"/>
      <c r="AA769" s="282"/>
      <c r="AB769" s="282"/>
      <c r="AC769" s="284"/>
      <c r="AD769" s="284"/>
    </row>
    <row r="770" ht="14.25" customHeight="1">
      <c r="A770" s="266"/>
      <c r="B770" s="266"/>
      <c r="C770" s="266"/>
      <c r="D770" s="266"/>
      <c r="E770" s="268"/>
      <c r="F770" s="291"/>
      <c r="G770" s="268"/>
      <c r="H770" s="268"/>
      <c r="I770" s="268"/>
      <c r="J770" s="268"/>
      <c r="K770" s="268"/>
      <c r="L770" s="271" t="str">
        <f t="shared" si="47"/>
        <v>12/30/99 0:00</v>
      </c>
      <c r="M770" s="278"/>
      <c r="N770" s="290"/>
      <c r="O770" s="276"/>
      <c r="P770" s="276"/>
      <c r="Q770" s="278"/>
      <c r="R770" s="278"/>
      <c r="S770" s="278"/>
      <c r="T770" s="278"/>
      <c r="U770" s="279"/>
      <c r="V770" s="279"/>
      <c r="W770" s="279"/>
      <c r="X770" s="279"/>
      <c r="Y770" s="279"/>
      <c r="Z770" s="282"/>
      <c r="AA770" s="282"/>
      <c r="AB770" s="282"/>
      <c r="AC770" s="284"/>
      <c r="AD770" s="284"/>
    </row>
    <row r="771" ht="14.25" customHeight="1">
      <c r="A771" s="266"/>
      <c r="B771" s="266"/>
      <c r="C771" s="266"/>
      <c r="D771" s="266"/>
      <c r="E771" s="268"/>
      <c r="F771" s="291"/>
      <c r="G771" s="268"/>
      <c r="H771" s="268"/>
      <c r="I771" s="268"/>
      <c r="J771" s="268"/>
      <c r="K771" s="268"/>
      <c r="L771" s="271" t="str">
        <f t="shared" si="47"/>
        <v>12/30/99 0:00</v>
      </c>
      <c r="M771" s="278"/>
      <c r="N771" s="290"/>
      <c r="O771" s="276"/>
      <c r="P771" s="276"/>
      <c r="Q771" s="278"/>
      <c r="R771" s="278"/>
      <c r="S771" s="278"/>
      <c r="T771" s="278"/>
      <c r="U771" s="279"/>
      <c r="V771" s="279"/>
      <c r="W771" s="279"/>
      <c r="X771" s="279"/>
      <c r="Y771" s="279"/>
      <c r="Z771" s="282"/>
      <c r="AA771" s="282"/>
      <c r="AB771" s="282"/>
      <c r="AC771" s="284"/>
      <c r="AD771" s="284"/>
    </row>
    <row r="772" ht="14.25" customHeight="1">
      <c r="A772" s="266"/>
      <c r="B772" s="266"/>
      <c r="C772" s="266"/>
      <c r="D772" s="266"/>
      <c r="E772" s="268"/>
      <c r="F772" s="291"/>
      <c r="G772" s="268"/>
      <c r="H772" s="268"/>
      <c r="I772" s="268"/>
      <c r="J772" s="268"/>
      <c r="K772" s="268"/>
      <c r="L772" s="271" t="str">
        <f t="shared" si="47"/>
        <v>12/30/99 0:00</v>
      </c>
      <c r="M772" s="278"/>
      <c r="N772" s="290"/>
      <c r="O772" s="276"/>
      <c r="P772" s="276"/>
      <c r="Q772" s="278"/>
      <c r="R772" s="278"/>
      <c r="S772" s="278"/>
      <c r="T772" s="278"/>
      <c r="U772" s="279"/>
      <c r="V772" s="279"/>
      <c r="W772" s="279"/>
      <c r="X772" s="279"/>
      <c r="Y772" s="279"/>
      <c r="Z772" s="282"/>
      <c r="AA772" s="282"/>
      <c r="AB772" s="282"/>
      <c r="AC772" s="284"/>
      <c r="AD772" s="284"/>
    </row>
    <row r="773" ht="14.25" customHeight="1">
      <c r="A773" s="266"/>
      <c r="B773" s="266"/>
      <c r="C773" s="266"/>
      <c r="D773" s="266"/>
      <c r="E773" s="268"/>
      <c r="F773" s="291"/>
      <c r="G773" s="268"/>
      <c r="H773" s="268"/>
      <c r="I773" s="268"/>
      <c r="J773" s="268"/>
      <c r="K773" s="268"/>
      <c r="L773" s="271" t="str">
        <f t="shared" si="47"/>
        <v>12/30/99 0:00</v>
      </c>
      <c r="M773" s="278"/>
      <c r="N773" s="290"/>
      <c r="O773" s="276"/>
      <c r="P773" s="276"/>
      <c r="Q773" s="278"/>
      <c r="R773" s="278"/>
      <c r="S773" s="278"/>
      <c r="T773" s="278"/>
      <c r="U773" s="279"/>
      <c r="V773" s="279"/>
      <c r="W773" s="279"/>
      <c r="X773" s="279"/>
      <c r="Y773" s="279"/>
      <c r="Z773" s="282"/>
      <c r="AA773" s="282"/>
      <c r="AB773" s="282"/>
      <c r="AC773" s="284"/>
      <c r="AD773" s="284"/>
    </row>
    <row r="774" ht="14.25" customHeight="1">
      <c r="A774" s="266"/>
      <c r="B774" s="266"/>
      <c r="C774" s="266"/>
      <c r="D774" s="266"/>
      <c r="E774" s="268"/>
      <c r="F774" s="291"/>
      <c r="G774" s="268"/>
      <c r="H774" s="268"/>
      <c r="I774" s="268"/>
      <c r="J774" s="268"/>
      <c r="K774" s="268"/>
      <c r="L774" s="271" t="str">
        <f t="shared" si="47"/>
        <v>12/30/99 0:00</v>
      </c>
      <c r="M774" s="278"/>
      <c r="N774" s="290"/>
      <c r="O774" s="276"/>
      <c r="P774" s="276"/>
      <c r="Q774" s="278"/>
      <c r="R774" s="278"/>
      <c r="S774" s="278"/>
      <c r="T774" s="278"/>
      <c r="U774" s="279"/>
      <c r="V774" s="279"/>
      <c r="W774" s="279"/>
      <c r="X774" s="279"/>
      <c r="Y774" s="279"/>
      <c r="Z774" s="282"/>
      <c r="AA774" s="282"/>
      <c r="AB774" s="282"/>
      <c r="AC774" s="284"/>
      <c r="AD774" s="284"/>
    </row>
    <row r="775" ht="14.25" customHeight="1">
      <c r="A775" s="266"/>
      <c r="B775" s="266"/>
      <c r="C775" s="266"/>
      <c r="D775" s="266"/>
      <c r="E775" s="268"/>
      <c r="F775" s="291"/>
      <c r="G775" s="268"/>
      <c r="H775" s="268"/>
      <c r="I775" s="268"/>
      <c r="J775" s="268"/>
      <c r="K775" s="268"/>
      <c r="L775" s="271" t="str">
        <f t="shared" si="47"/>
        <v>12/30/99 0:00</v>
      </c>
      <c r="M775" s="278"/>
      <c r="N775" s="290"/>
      <c r="O775" s="276"/>
      <c r="P775" s="276"/>
      <c r="Q775" s="278"/>
      <c r="R775" s="278"/>
      <c r="S775" s="278"/>
      <c r="T775" s="278"/>
      <c r="U775" s="279"/>
      <c r="V775" s="279"/>
      <c r="W775" s="279"/>
      <c r="X775" s="279"/>
      <c r="Y775" s="279"/>
      <c r="Z775" s="282"/>
      <c r="AA775" s="282"/>
      <c r="AB775" s="282"/>
      <c r="AC775" s="284"/>
      <c r="AD775" s="284"/>
    </row>
    <row r="776" ht="14.25" customHeight="1">
      <c r="A776" s="266"/>
      <c r="B776" s="266"/>
      <c r="C776" s="266"/>
      <c r="D776" s="266"/>
      <c r="E776" s="268"/>
      <c r="F776" s="291"/>
      <c r="G776" s="268"/>
      <c r="H776" s="268"/>
      <c r="I776" s="268"/>
      <c r="J776" s="268"/>
      <c r="K776" s="268"/>
      <c r="L776" s="271" t="str">
        <f t="shared" si="47"/>
        <v>12/30/99 0:00</v>
      </c>
      <c r="M776" s="278"/>
      <c r="N776" s="290"/>
      <c r="O776" s="276"/>
      <c r="P776" s="276"/>
      <c r="Q776" s="278"/>
      <c r="R776" s="278"/>
      <c r="S776" s="278"/>
      <c r="T776" s="278"/>
      <c r="U776" s="279"/>
      <c r="V776" s="279"/>
      <c r="W776" s="279"/>
      <c r="X776" s="279"/>
      <c r="Y776" s="279"/>
      <c r="Z776" s="282"/>
      <c r="AA776" s="282"/>
      <c r="AB776" s="282"/>
      <c r="AC776" s="284"/>
      <c r="AD776" s="284"/>
    </row>
    <row r="777" ht="14.25" customHeight="1">
      <c r="A777" s="266"/>
      <c r="B777" s="266"/>
      <c r="C777" s="266"/>
      <c r="D777" s="266"/>
      <c r="E777" s="268"/>
      <c r="F777" s="291"/>
      <c r="G777" s="268"/>
      <c r="H777" s="268"/>
      <c r="I777" s="268"/>
      <c r="J777" s="268"/>
      <c r="K777" s="268"/>
      <c r="L777" s="271" t="str">
        <f t="shared" si="47"/>
        <v>12/30/99 0:00</v>
      </c>
      <c r="M777" s="278"/>
      <c r="N777" s="290"/>
      <c r="O777" s="276"/>
      <c r="P777" s="276"/>
      <c r="Q777" s="278"/>
      <c r="R777" s="278"/>
      <c r="S777" s="278"/>
      <c r="T777" s="278"/>
      <c r="U777" s="279"/>
      <c r="V777" s="279"/>
      <c r="W777" s="279"/>
      <c r="X777" s="279"/>
      <c r="Y777" s="279"/>
      <c r="Z777" s="282"/>
      <c r="AA777" s="282"/>
      <c r="AB777" s="282"/>
      <c r="AC777" s="284"/>
      <c r="AD777" s="284"/>
    </row>
    <row r="778" ht="14.25" customHeight="1">
      <c r="A778" s="266"/>
      <c r="B778" s="266"/>
      <c r="C778" s="266"/>
      <c r="D778" s="266"/>
      <c r="E778" s="268"/>
      <c r="F778" s="291"/>
      <c r="G778" s="268"/>
      <c r="H778" s="268"/>
      <c r="I778" s="268"/>
      <c r="J778" s="268"/>
      <c r="K778" s="268"/>
      <c r="L778" s="271" t="str">
        <f t="shared" si="47"/>
        <v>12/30/99 0:00</v>
      </c>
      <c r="M778" s="278"/>
      <c r="N778" s="290"/>
      <c r="O778" s="276"/>
      <c r="P778" s="276"/>
      <c r="Q778" s="278"/>
      <c r="R778" s="278"/>
      <c r="S778" s="278"/>
      <c r="T778" s="278"/>
      <c r="U778" s="279"/>
      <c r="V778" s="279"/>
      <c r="W778" s="279"/>
      <c r="X778" s="279"/>
      <c r="Y778" s="279"/>
      <c r="Z778" s="282"/>
      <c r="AA778" s="282"/>
      <c r="AB778" s="282"/>
      <c r="AC778" s="284"/>
      <c r="AD778" s="284"/>
    </row>
    <row r="779" ht="14.25" customHeight="1">
      <c r="A779" s="266"/>
      <c r="B779" s="266"/>
      <c r="C779" s="266"/>
      <c r="D779" s="266"/>
      <c r="E779" s="268"/>
      <c r="F779" s="291"/>
      <c r="G779" s="268"/>
      <c r="H779" s="268"/>
      <c r="I779" s="268"/>
      <c r="J779" s="268"/>
      <c r="K779" s="268"/>
      <c r="L779" s="271" t="str">
        <f t="shared" si="47"/>
        <v>12/30/99 0:00</v>
      </c>
      <c r="M779" s="278"/>
      <c r="N779" s="290"/>
      <c r="O779" s="276"/>
      <c r="P779" s="276"/>
      <c r="Q779" s="278"/>
      <c r="R779" s="278"/>
      <c r="S779" s="278"/>
      <c r="T779" s="278"/>
      <c r="U779" s="279"/>
      <c r="V779" s="279"/>
      <c r="W779" s="279"/>
      <c r="X779" s="279"/>
      <c r="Y779" s="279"/>
      <c r="Z779" s="282"/>
      <c r="AA779" s="282"/>
      <c r="AB779" s="282"/>
      <c r="AC779" s="284"/>
      <c r="AD779" s="284"/>
    </row>
    <row r="780" ht="14.25" customHeight="1">
      <c r="A780" s="266"/>
      <c r="B780" s="266"/>
      <c r="C780" s="266"/>
      <c r="D780" s="266"/>
      <c r="E780" s="268"/>
      <c r="F780" s="291"/>
      <c r="G780" s="268"/>
      <c r="H780" s="268"/>
      <c r="I780" s="268"/>
      <c r="J780" s="268"/>
      <c r="K780" s="268"/>
      <c r="L780" s="271" t="str">
        <f t="shared" si="47"/>
        <v>12/30/99 0:00</v>
      </c>
      <c r="M780" s="278"/>
      <c r="N780" s="290"/>
      <c r="O780" s="276"/>
      <c r="P780" s="276"/>
      <c r="Q780" s="278"/>
      <c r="R780" s="278"/>
      <c r="S780" s="278"/>
      <c r="T780" s="278"/>
      <c r="U780" s="279"/>
      <c r="V780" s="279"/>
      <c r="W780" s="279"/>
      <c r="X780" s="279"/>
      <c r="Y780" s="279"/>
      <c r="Z780" s="282"/>
      <c r="AA780" s="282"/>
      <c r="AB780" s="282"/>
      <c r="AC780" s="284"/>
      <c r="AD780" s="284"/>
    </row>
    <row r="781" ht="14.25" customHeight="1">
      <c r="A781" s="266"/>
      <c r="B781" s="266"/>
      <c r="C781" s="266"/>
      <c r="D781" s="266"/>
      <c r="E781" s="268"/>
      <c r="F781" s="291"/>
      <c r="G781" s="268"/>
      <c r="H781" s="268"/>
      <c r="I781" s="268"/>
      <c r="J781" s="268"/>
      <c r="K781" s="268"/>
      <c r="L781" s="271" t="str">
        <f t="shared" si="47"/>
        <v>12/30/99 0:00</v>
      </c>
      <c r="M781" s="278"/>
      <c r="N781" s="290"/>
      <c r="O781" s="276"/>
      <c r="P781" s="276"/>
      <c r="Q781" s="278"/>
      <c r="R781" s="278"/>
      <c r="S781" s="278"/>
      <c r="T781" s="278"/>
      <c r="U781" s="279"/>
      <c r="V781" s="279"/>
      <c r="W781" s="279"/>
      <c r="X781" s="279"/>
      <c r="Y781" s="279"/>
      <c r="Z781" s="282"/>
      <c r="AA781" s="282"/>
      <c r="AB781" s="282"/>
      <c r="AC781" s="284"/>
      <c r="AD781" s="284"/>
    </row>
    <row r="782" ht="14.25" customHeight="1">
      <c r="A782" s="266"/>
      <c r="B782" s="266"/>
      <c r="C782" s="266"/>
      <c r="D782" s="266"/>
      <c r="E782" s="268"/>
      <c r="F782" s="291"/>
      <c r="G782" s="268"/>
      <c r="H782" s="268"/>
      <c r="I782" s="268"/>
      <c r="J782" s="268"/>
      <c r="K782" s="268"/>
      <c r="L782" s="271" t="str">
        <f t="shared" si="47"/>
        <v>12/30/99 0:00</v>
      </c>
      <c r="M782" s="278"/>
      <c r="N782" s="290"/>
      <c r="O782" s="276"/>
      <c r="P782" s="276"/>
      <c r="Q782" s="278"/>
      <c r="R782" s="278"/>
      <c r="S782" s="278"/>
      <c r="T782" s="278"/>
      <c r="U782" s="279"/>
      <c r="V782" s="279"/>
      <c r="W782" s="279"/>
      <c r="X782" s="279"/>
      <c r="Y782" s="279"/>
      <c r="Z782" s="282"/>
      <c r="AA782" s="282"/>
      <c r="AB782" s="282"/>
      <c r="AC782" s="284"/>
      <c r="AD782" s="284"/>
    </row>
    <row r="783" ht="14.25" customHeight="1">
      <c r="A783" s="266"/>
      <c r="B783" s="266"/>
      <c r="C783" s="266"/>
      <c r="D783" s="266"/>
      <c r="E783" s="268"/>
      <c r="F783" s="291"/>
      <c r="G783" s="268"/>
      <c r="H783" s="268"/>
      <c r="I783" s="268"/>
      <c r="J783" s="268"/>
      <c r="K783" s="268"/>
      <c r="L783" s="271" t="str">
        <f t="shared" si="47"/>
        <v>12/30/99 0:00</v>
      </c>
      <c r="M783" s="278"/>
      <c r="N783" s="290"/>
      <c r="O783" s="276"/>
      <c r="P783" s="276"/>
      <c r="Q783" s="278"/>
      <c r="R783" s="278"/>
      <c r="S783" s="278"/>
      <c r="T783" s="278"/>
      <c r="U783" s="279"/>
      <c r="V783" s="279"/>
      <c r="W783" s="279"/>
      <c r="X783" s="279"/>
      <c r="Y783" s="279"/>
      <c r="Z783" s="282"/>
      <c r="AA783" s="282"/>
      <c r="AB783" s="282"/>
      <c r="AC783" s="284"/>
      <c r="AD783" s="284"/>
    </row>
    <row r="784" ht="14.25" customHeight="1">
      <c r="A784" s="266"/>
      <c r="B784" s="266"/>
      <c r="C784" s="266"/>
      <c r="D784" s="266"/>
      <c r="E784" s="268"/>
      <c r="F784" s="291"/>
      <c r="G784" s="268"/>
      <c r="H784" s="268"/>
      <c r="I784" s="268"/>
      <c r="J784" s="268"/>
      <c r="K784" s="268"/>
      <c r="L784" s="271" t="str">
        <f t="shared" si="47"/>
        <v>12/30/99 0:00</v>
      </c>
      <c r="M784" s="278"/>
      <c r="N784" s="290"/>
      <c r="O784" s="276"/>
      <c r="P784" s="276"/>
      <c r="Q784" s="278"/>
      <c r="R784" s="278"/>
      <c r="S784" s="278"/>
      <c r="T784" s="278"/>
      <c r="U784" s="279"/>
      <c r="V784" s="279"/>
      <c r="W784" s="279"/>
      <c r="X784" s="279"/>
      <c r="Y784" s="279"/>
      <c r="Z784" s="282"/>
      <c r="AA784" s="282"/>
      <c r="AB784" s="282"/>
      <c r="AC784" s="284"/>
      <c r="AD784" s="284"/>
    </row>
    <row r="785" ht="14.25" customHeight="1">
      <c r="A785" s="266"/>
      <c r="B785" s="266"/>
      <c r="C785" s="266"/>
      <c r="D785" s="266"/>
      <c r="E785" s="268"/>
      <c r="F785" s="291"/>
      <c r="G785" s="268"/>
      <c r="H785" s="268"/>
      <c r="I785" s="268"/>
      <c r="J785" s="268"/>
      <c r="K785" s="268"/>
      <c r="L785" s="271" t="str">
        <f t="shared" si="47"/>
        <v>12/30/99 0:00</v>
      </c>
      <c r="M785" s="278"/>
      <c r="N785" s="290"/>
      <c r="O785" s="276"/>
      <c r="P785" s="276"/>
      <c r="Q785" s="278"/>
      <c r="R785" s="278"/>
      <c r="S785" s="278"/>
      <c r="T785" s="278"/>
      <c r="U785" s="279"/>
      <c r="V785" s="279"/>
      <c r="W785" s="279"/>
      <c r="X785" s="279"/>
      <c r="Y785" s="279"/>
      <c r="Z785" s="282"/>
      <c r="AA785" s="282"/>
      <c r="AB785" s="282"/>
      <c r="AC785" s="284"/>
      <c r="AD785" s="284"/>
    </row>
    <row r="786" ht="14.25" customHeight="1">
      <c r="A786" s="266"/>
      <c r="B786" s="266"/>
      <c r="C786" s="266"/>
      <c r="D786" s="266"/>
      <c r="E786" s="268"/>
      <c r="F786" s="291"/>
      <c r="G786" s="268"/>
      <c r="H786" s="268"/>
      <c r="I786" s="268"/>
      <c r="J786" s="268"/>
      <c r="K786" s="268"/>
      <c r="L786" s="271" t="str">
        <f t="shared" si="47"/>
        <v>12/30/99 0:00</v>
      </c>
      <c r="M786" s="278"/>
      <c r="N786" s="290"/>
      <c r="O786" s="276"/>
      <c r="P786" s="276"/>
      <c r="Q786" s="278"/>
      <c r="R786" s="278"/>
      <c r="S786" s="278"/>
      <c r="T786" s="278"/>
      <c r="U786" s="279"/>
      <c r="V786" s="279"/>
      <c r="W786" s="279"/>
      <c r="X786" s="279"/>
      <c r="Y786" s="279"/>
      <c r="Z786" s="282"/>
      <c r="AA786" s="282"/>
      <c r="AB786" s="282"/>
      <c r="AC786" s="284"/>
      <c r="AD786" s="284"/>
    </row>
    <row r="787" ht="14.25" customHeight="1">
      <c r="A787" s="266"/>
      <c r="B787" s="266"/>
      <c r="C787" s="266"/>
      <c r="D787" s="266"/>
      <c r="E787" s="268"/>
      <c r="F787" s="291"/>
      <c r="G787" s="268"/>
      <c r="H787" s="268"/>
      <c r="I787" s="268"/>
      <c r="J787" s="268"/>
      <c r="K787" s="268"/>
      <c r="L787" s="271" t="str">
        <f t="shared" si="47"/>
        <v>12/30/99 0:00</v>
      </c>
      <c r="M787" s="278"/>
      <c r="N787" s="290"/>
      <c r="O787" s="276"/>
      <c r="P787" s="276"/>
      <c r="Q787" s="278"/>
      <c r="R787" s="278"/>
      <c r="S787" s="278"/>
      <c r="T787" s="278"/>
      <c r="U787" s="279"/>
      <c r="V787" s="279"/>
      <c r="W787" s="279"/>
      <c r="X787" s="279"/>
      <c r="Y787" s="279"/>
      <c r="Z787" s="282"/>
      <c r="AA787" s="282"/>
      <c r="AB787" s="282"/>
      <c r="AC787" s="284"/>
      <c r="AD787" s="284"/>
    </row>
    <row r="788" ht="14.25" customHeight="1">
      <c r="A788" s="266"/>
      <c r="B788" s="266"/>
      <c r="C788" s="266"/>
      <c r="D788" s="266"/>
      <c r="E788" s="268"/>
      <c r="F788" s="291"/>
      <c r="G788" s="268"/>
      <c r="H788" s="268"/>
      <c r="I788" s="268"/>
      <c r="J788" s="268"/>
      <c r="K788" s="268"/>
      <c r="L788" s="271" t="str">
        <f t="shared" si="47"/>
        <v>12/30/99 0:00</v>
      </c>
      <c r="M788" s="278"/>
      <c r="N788" s="290"/>
      <c r="O788" s="276"/>
      <c r="P788" s="276"/>
      <c r="Q788" s="278"/>
      <c r="R788" s="278"/>
      <c r="S788" s="278"/>
      <c r="T788" s="278"/>
      <c r="U788" s="279"/>
      <c r="V788" s="279"/>
      <c r="W788" s="279"/>
      <c r="X788" s="279"/>
      <c r="Y788" s="279"/>
      <c r="Z788" s="282"/>
      <c r="AA788" s="282"/>
      <c r="AB788" s="282"/>
      <c r="AC788" s="284"/>
      <c r="AD788" s="284"/>
    </row>
    <row r="789" ht="14.25" customHeight="1">
      <c r="A789" s="266"/>
      <c r="B789" s="266"/>
      <c r="C789" s="266"/>
      <c r="D789" s="266"/>
      <c r="E789" s="268"/>
      <c r="F789" s="291"/>
      <c r="G789" s="268"/>
      <c r="H789" s="268"/>
      <c r="I789" s="268"/>
      <c r="J789" s="268"/>
      <c r="K789" s="268"/>
      <c r="L789" s="271" t="str">
        <f t="shared" si="47"/>
        <v>12/30/99 0:00</v>
      </c>
      <c r="M789" s="278"/>
      <c r="N789" s="290"/>
      <c r="O789" s="276"/>
      <c r="P789" s="276"/>
      <c r="Q789" s="278"/>
      <c r="R789" s="278"/>
      <c r="S789" s="278"/>
      <c r="T789" s="278"/>
      <c r="U789" s="279"/>
      <c r="V789" s="279"/>
      <c r="W789" s="279"/>
      <c r="X789" s="279"/>
      <c r="Y789" s="279"/>
      <c r="Z789" s="282"/>
      <c r="AA789" s="282"/>
      <c r="AB789" s="282"/>
      <c r="AC789" s="284"/>
      <c r="AD789" s="284"/>
    </row>
    <row r="790" ht="14.25" customHeight="1">
      <c r="A790" s="266"/>
      <c r="B790" s="266"/>
      <c r="C790" s="266"/>
      <c r="D790" s="266"/>
      <c r="E790" s="268"/>
      <c r="F790" s="291"/>
      <c r="G790" s="268"/>
      <c r="H790" s="268"/>
      <c r="I790" s="268"/>
      <c r="J790" s="268"/>
      <c r="K790" s="268"/>
      <c r="L790" s="271" t="str">
        <f t="shared" si="47"/>
        <v>12/30/99 0:00</v>
      </c>
      <c r="M790" s="278"/>
      <c r="N790" s="290"/>
      <c r="O790" s="276"/>
      <c r="P790" s="276"/>
      <c r="Q790" s="278"/>
      <c r="R790" s="278"/>
      <c r="S790" s="278"/>
      <c r="T790" s="278"/>
      <c r="U790" s="279"/>
      <c r="V790" s="279"/>
      <c r="W790" s="279"/>
      <c r="X790" s="279"/>
      <c r="Y790" s="279"/>
      <c r="Z790" s="282"/>
      <c r="AA790" s="282"/>
      <c r="AB790" s="282"/>
      <c r="AC790" s="284"/>
      <c r="AD790" s="284"/>
    </row>
    <row r="791" ht="14.25" customHeight="1">
      <c r="A791" s="266"/>
      <c r="B791" s="266"/>
      <c r="C791" s="266"/>
      <c r="D791" s="266"/>
      <c r="E791" s="268"/>
      <c r="F791" s="291"/>
      <c r="G791" s="268"/>
      <c r="H791" s="268"/>
      <c r="I791" s="268"/>
      <c r="J791" s="268"/>
      <c r="K791" s="268"/>
      <c r="L791" s="271" t="str">
        <f t="shared" si="47"/>
        <v>12/30/99 0:00</v>
      </c>
      <c r="M791" s="278"/>
      <c r="N791" s="290"/>
      <c r="O791" s="276"/>
      <c r="P791" s="276"/>
      <c r="Q791" s="278"/>
      <c r="R791" s="278"/>
      <c r="S791" s="278"/>
      <c r="T791" s="278"/>
      <c r="U791" s="279"/>
      <c r="V791" s="279"/>
      <c r="W791" s="279"/>
      <c r="X791" s="279"/>
      <c r="Y791" s="279"/>
      <c r="Z791" s="282"/>
      <c r="AA791" s="282"/>
      <c r="AB791" s="282"/>
      <c r="AC791" s="284"/>
      <c r="AD791" s="284"/>
    </row>
    <row r="792" ht="14.25" customHeight="1">
      <c r="A792" s="266"/>
      <c r="B792" s="266"/>
      <c r="C792" s="266"/>
      <c r="D792" s="266"/>
      <c r="E792" s="268"/>
      <c r="F792" s="291"/>
      <c r="G792" s="268"/>
      <c r="H792" s="268"/>
      <c r="I792" s="268"/>
      <c r="J792" s="268"/>
      <c r="K792" s="268"/>
      <c r="L792" s="271" t="str">
        <f t="shared" si="47"/>
        <v>12/30/99 0:00</v>
      </c>
      <c r="M792" s="278"/>
      <c r="N792" s="290"/>
      <c r="O792" s="276"/>
      <c r="P792" s="276"/>
      <c r="Q792" s="278"/>
      <c r="R792" s="278"/>
      <c r="S792" s="278"/>
      <c r="T792" s="278"/>
      <c r="U792" s="279"/>
      <c r="V792" s="279"/>
      <c r="W792" s="279"/>
      <c r="X792" s="279"/>
      <c r="Y792" s="279"/>
      <c r="Z792" s="282"/>
      <c r="AA792" s="282"/>
      <c r="AB792" s="282"/>
      <c r="AC792" s="284"/>
      <c r="AD792" s="284"/>
    </row>
    <row r="793" ht="14.25" customHeight="1">
      <c r="A793" s="266"/>
      <c r="B793" s="266"/>
      <c r="C793" s="266"/>
      <c r="D793" s="266"/>
      <c r="E793" s="268"/>
      <c r="F793" s="291"/>
      <c r="G793" s="268"/>
      <c r="H793" s="268"/>
      <c r="I793" s="268"/>
      <c r="J793" s="268"/>
      <c r="K793" s="268"/>
      <c r="L793" s="271" t="str">
        <f t="shared" si="47"/>
        <v>12/30/99 0:00</v>
      </c>
      <c r="M793" s="278"/>
      <c r="N793" s="290"/>
      <c r="O793" s="276"/>
      <c r="P793" s="276"/>
      <c r="Q793" s="278"/>
      <c r="R793" s="278"/>
      <c r="S793" s="278"/>
      <c r="T793" s="278"/>
      <c r="U793" s="279"/>
      <c r="V793" s="279"/>
      <c r="W793" s="279"/>
      <c r="X793" s="279"/>
      <c r="Y793" s="279"/>
      <c r="Z793" s="282"/>
      <c r="AA793" s="282"/>
      <c r="AB793" s="282"/>
      <c r="AC793" s="284"/>
      <c r="AD793" s="284"/>
    </row>
    <row r="794" ht="14.25" customHeight="1">
      <c r="A794" s="266"/>
      <c r="B794" s="266"/>
      <c r="C794" s="266"/>
      <c r="D794" s="266"/>
      <c r="E794" s="268"/>
      <c r="F794" s="291"/>
      <c r="G794" s="268"/>
      <c r="H794" s="268"/>
      <c r="I794" s="268"/>
      <c r="J794" s="268"/>
      <c r="K794" s="268"/>
      <c r="L794" s="271" t="str">
        <f t="shared" si="47"/>
        <v>12/30/99 0:00</v>
      </c>
      <c r="M794" s="278"/>
      <c r="N794" s="290"/>
      <c r="O794" s="276"/>
      <c r="P794" s="276"/>
      <c r="Q794" s="278"/>
      <c r="R794" s="278"/>
      <c r="S794" s="278"/>
      <c r="T794" s="278"/>
      <c r="U794" s="279"/>
      <c r="V794" s="279"/>
      <c r="W794" s="279"/>
      <c r="X794" s="279"/>
      <c r="Y794" s="279"/>
      <c r="Z794" s="282"/>
      <c r="AA794" s="282"/>
      <c r="AB794" s="282"/>
      <c r="AC794" s="284"/>
      <c r="AD794" s="284"/>
    </row>
    <row r="795" ht="14.25" customHeight="1">
      <c r="A795" s="266"/>
      <c r="B795" s="266"/>
      <c r="C795" s="266"/>
      <c r="D795" s="266"/>
      <c r="E795" s="268"/>
      <c r="F795" s="291"/>
      <c r="G795" s="268"/>
      <c r="H795" s="268"/>
      <c r="I795" s="268"/>
      <c r="J795" s="268"/>
      <c r="K795" s="268"/>
      <c r="L795" s="271" t="str">
        <f t="shared" si="47"/>
        <v>12/30/99 0:00</v>
      </c>
      <c r="M795" s="278"/>
      <c r="N795" s="290"/>
      <c r="O795" s="276"/>
      <c r="P795" s="276"/>
      <c r="Q795" s="278"/>
      <c r="R795" s="278"/>
      <c r="S795" s="278"/>
      <c r="T795" s="278"/>
      <c r="U795" s="279"/>
      <c r="V795" s="279"/>
      <c r="W795" s="279"/>
      <c r="X795" s="279"/>
      <c r="Y795" s="279"/>
      <c r="Z795" s="282"/>
      <c r="AA795" s="282"/>
      <c r="AB795" s="282"/>
      <c r="AC795" s="284"/>
      <c r="AD795" s="284"/>
    </row>
    <row r="796" ht="14.25" customHeight="1">
      <c r="A796" s="266"/>
      <c r="B796" s="266"/>
      <c r="C796" s="266"/>
      <c r="D796" s="266"/>
      <c r="E796" s="268"/>
      <c r="F796" s="291"/>
      <c r="G796" s="268"/>
      <c r="H796" s="268"/>
      <c r="I796" s="268"/>
      <c r="J796" s="268"/>
      <c r="K796" s="268"/>
      <c r="L796" s="271" t="str">
        <f t="shared" si="47"/>
        <v>12/30/99 0:00</v>
      </c>
      <c r="M796" s="278"/>
      <c r="N796" s="290"/>
      <c r="O796" s="276"/>
      <c r="P796" s="276"/>
      <c r="Q796" s="278"/>
      <c r="R796" s="278"/>
      <c r="S796" s="278"/>
      <c r="T796" s="278"/>
      <c r="U796" s="279"/>
      <c r="V796" s="279"/>
      <c r="W796" s="279"/>
      <c r="X796" s="279"/>
      <c r="Y796" s="279"/>
      <c r="Z796" s="282"/>
      <c r="AA796" s="282"/>
      <c r="AB796" s="282"/>
      <c r="AC796" s="284"/>
      <c r="AD796" s="284"/>
    </row>
    <row r="797" ht="14.25" customHeight="1">
      <c r="A797" s="266"/>
      <c r="B797" s="266"/>
      <c r="C797" s="266"/>
      <c r="D797" s="266"/>
      <c r="E797" s="268"/>
      <c r="F797" s="291"/>
      <c r="G797" s="268"/>
      <c r="H797" s="268"/>
      <c r="I797" s="268"/>
      <c r="J797" s="268"/>
      <c r="K797" s="268"/>
      <c r="L797" s="271" t="str">
        <f t="shared" si="47"/>
        <v>12/30/99 0:00</v>
      </c>
      <c r="M797" s="278"/>
      <c r="N797" s="290"/>
      <c r="O797" s="276"/>
      <c r="P797" s="276"/>
      <c r="Q797" s="278"/>
      <c r="R797" s="278"/>
      <c r="S797" s="278"/>
      <c r="T797" s="278"/>
      <c r="U797" s="279"/>
      <c r="V797" s="279"/>
      <c r="W797" s="279"/>
      <c r="X797" s="279"/>
      <c r="Y797" s="279"/>
      <c r="Z797" s="282"/>
      <c r="AA797" s="282"/>
      <c r="AB797" s="282"/>
      <c r="AC797" s="284"/>
      <c r="AD797" s="284"/>
    </row>
    <row r="798" ht="14.25" customHeight="1">
      <c r="A798" s="266"/>
      <c r="B798" s="266"/>
      <c r="C798" s="266"/>
      <c r="D798" s="266"/>
      <c r="E798" s="268"/>
      <c r="F798" s="291"/>
      <c r="G798" s="268"/>
      <c r="H798" s="268"/>
      <c r="I798" s="268"/>
      <c r="J798" s="268"/>
      <c r="K798" s="268"/>
      <c r="L798" s="271" t="str">
        <f t="shared" si="47"/>
        <v>12/30/99 0:00</v>
      </c>
      <c r="M798" s="278"/>
      <c r="N798" s="290"/>
      <c r="O798" s="276"/>
      <c r="P798" s="276"/>
      <c r="Q798" s="278"/>
      <c r="R798" s="278"/>
      <c r="S798" s="278"/>
      <c r="T798" s="278"/>
      <c r="U798" s="279"/>
      <c r="V798" s="279"/>
      <c r="W798" s="279"/>
      <c r="X798" s="279"/>
      <c r="Y798" s="279"/>
      <c r="Z798" s="282"/>
      <c r="AA798" s="282"/>
      <c r="AB798" s="282"/>
      <c r="AC798" s="284"/>
      <c r="AD798" s="284"/>
    </row>
    <row r="799" ht="14.25" customHeight="1">
      <c r="A799" s="266"/>
      <c r="B799" s="266"/>
      <c r="C799" s="266"/>
      <c r="D799" s="266"/>
      <c r="E799" s="268"/>
      <c r="F799" s="291"/>
      <c r="G799" s="268"/>
      <c r="H799" s="268"/>
      <c r="I799" s="268"/>
      <c r="J799" s="268"/>
      <c r="K799" s="268"/>
      <c r="L799" s="271" t="str">
        <f t="shared" si="47"/>
        <v>12/30/99 0:00</v>
      </c>
      <c r="M799" s="278"/>
      <c r="N799" s="290"/>
      <c r="O799" s="276"/>
      <c r="P799" s="276"/>
      <c r="Q799" s="278"/>
      <c r="R799" s="278"/>
      <c r="S799" s="278"/>
      <c r="T799" s="278"/>
      <c r="U799" s="279"/>
      <c r="V799" s="279"/>
      <c r="W799" s="279"/>
      <c r="X799" s="279"/>
      <c r="Y799" s="279"/>
      <c r="Z799" s="282"/>
      <c r="AA799" s="282"/>
      <c r="AB799" s="282"/>
      <c r="AC799" s="284"/>
      <c r="AD799" s="284"/>
    </row>
    <row r="800" ht="14.25" customHeight="1">
      <c r="A800" s="266"/>
      <c r="B800" s="266"/>
      <c r="C800" s="266"/>
      <c r="D800" s="266"/>
      <c r="E800" s="268"/>
      <c r="F800" s="291"/>
      <c r="G800" s="268"/>
      <c r="H800" s="268"/>
      <c r="I800" s="268"/>
      <c r="J800" s="268"/>
      <c r="K800" s="268"/>
      <c r="L800" s="271" t="str">
        <f t="shared" si="47"/>
        <v>12/30/99 0:00</v>
      </c>
      <c r="M800" s="278"/>
      <c r="N800" s="290"/>
      <c r="O800" s="276"/>
      <c r="P800" s="276"/>
      <c r="Q800" s="278"/>
      <c r="R800" s="278"/>
      <c r="S800" s="278"/>
      <c r="T800" s="278"/>
      <c r="U800" s="279"/>
      <c r="V800" s="279"/>
      <c r="W800" s="279"/>
      <c r="X800" s="279"/>
      <c r="Y800" s="279"/>
      <c r="Z800" s="282"/>
      <c r="AA800" s="282"/>
      <c r="AB800" s="282"/>
      <c r="AC800" s="284"/>
      <c r="AD800" s="284"/>
    </row>
    <row r="801" ht="14.25" customHeight="1">
      <c r="A801" s="266"/>
      <c r="B801" s="266"/>
      <c r="C801" s="266"/>
      <c r="D801" s="266"/>
      <c r="E801" s="268"/>
      <c r="F801" s="291"/>
      <c r="G801" s="268"/>
      <c r="H801" s="268"/>
      <c r="I801" s="268"/>
      <c r="J801" s="268"/>
      <c r="K801" s="268"/>
      <c r="L801" s="271" t="str">
        <f t="shared" si="47"/>
        <v>12/30/99 0:00</v>
      </c>
      <c r="M801" s="278"/>
      <c r="N801" s="290"/>
      <c r="O801" s="276"/>
      <c r="P801" s="276"/>
      <c r="Q801" s="278"/>
      <c r="R801" s="278"/>
      <c r="S801" s="278"/>
      <c r="T801" s="278"/>
      <c r="U801" s="279"/>
      <c r="V801" s="279"/>
      <c r="W801" s="279"/>
      <c r="X801" s="279"/>
      <c r="Y801" s="279"/>
      <c r="Z801" s="282"/>
      <c r="AA801" s="282"/>
      <c r="AB801" s="282"/>
      <c r="AC801" s="284"/>
      <c r="AD801" s="284"/>
    </row>
    <row r="802" ht="14.25" customHeight="1">
      <c r="A802" s="266"/>
      <c r="B802" s="266"/>
      <c r="C802" s="266"/>
      <c r="D802" s="266"/>
      <c r="E802" s="268"/>
      <c r="F802" s="291"/>
      <c r="G802" s="268"/>
      <c r="H802" s="268"/>
      <c r="I802" s="268"/>
      <c r="J802" s="268"/>
      <c r="K802" s="268"/>
      <c r="L802" s="271" t="str">
        <f t="shared" si="47"/>
        <v>12/30/99 0:00</v>
      </c>
      <c r="M802" s="278"/>
      <c r="N802" s="290"/>
      <c r="O802" s="276"/>
      <c r="P802" s="276"/>
      <c r="Q802" s="278"/>
      <c r="R802" s="278"/>
      <c r="S802" s="278"/>
      <c r="T802" s="278"/>
      <c r="U802" s="279"/>
      <c r="V802" s="279"/>
      <c r="W802" s="279"/>
      <c r="X802" s="279"/>
      <c r="Y802" s="279"/>
      <c r="Z802" s="282"/>
      <c r="AA802" s="282"/>
      <c r="AB802" s="282"/>
      <c r="AC802" s="284"/>
      <c r="AD802" s="284"/>
    </row>
    <row r="803" ht="14.25" customHeight="1">
      <c r="A803" s="266"/>
      <c r="B803" s="266"/>
      <c r="C803" s="266"/>
      <c r="D803" s="266"/>
      <c r="E803" s="268"/>
      <c r="F803" s="291"/>
      <c r="G803" s="268"/>
      <c r="H803" s="268"/>
      <c r="I803" s="268"/>
      <c r="J803" s="268"/>
      <c r="K803" s="268"/>
      <c r="L803" s="271" t="str">
        <f t="shared" si="47"/>
        <v>12/30/99 0:00</v>
      </c>
      <c r="M803" s="278"/>
      <c r="N803" s="290"/>
      <c r="O803" s="276"/>
      <c r="P803" s="276"/>
      <c r="Q803" s="278"/>
      <c r="R803" s="278"/>
      <c r="S803" s="278"/>
      <c r="T803" s="278"/>
      <c r="U803" s="279"/>
      <c r="V803" s="279"/>
      <c r="W803" s="279"/>
      <c r="X803" s="279"/>
      <c r="Y803" s="279"/>
      <c r="Z803" s="282"/>
      <c r="AA803" s="282"/>
      <c r="AB803" s="282"/>
      <c r="AC803" s="284"/>
      <c r="AD803" s="284"/>
    </row>
    <row r="804" ht="14.25" customHeight="1">
      <c r="A804" s="266"/>
      <c r="B804" s="266"/>
      <c r="C804" s="266"/>
      <c r="D804" s="266"/>
      <c r="E804" s="268"/>
      <c r="F804" s="291"/>
      <c r="G804" s="268"/>
      <c r="H804" s="268"/>
      <c r="I804" s="268"/>
      <c r="J804" s="268"/>
      <c r="K804" s="268"/>
      <c r="L804" s="271" t="str">
        <f t="shared" si="47"/>
        <v>12/30/99 0:00</v>
      </c>
      <c r="M804" s="278"/>
      <c r="N804" s="290"/>
      <c r="O804" s="276"/>
      <c r="P804" s="276"/>
      <c r="Q804" s="278"/>
      <c r="R804" s="278"/>
      <c r="S804" s="278"/>
      <c r="T804" s="278"/>
      <c r="U804" s="279"/>
      <c r="V804" s="279"/>
      <c r="W804" s="279"/>
      <c r="X804" s="279"/>
      <c r="Y804" s="279"/>
      <c r="Z804" s="282"/>
      <c r="AA804" s="282"/>
      <c r="AB804" s="282"/>
      <c r="AC804" s="284"/>
      <c r="AD804" s="284"/>
    </row>
    <row r="805" ht="14.25" customHeight="1">
      <c r="A805" s="266"/>
      <c r="B805" s="266"/>
      <c r="C805" s="266"/>
      <c r="D805" s="266"/>
      <c r="E805" s="268"/>
      <c r="F805" s="291"/>
      <c r="G805" s="268"/>
      <c r="H805" s="268"/>
      <c r="I805" s="268"/>
      <c r="J805" s="268"/>
      <c r="K805" s="268"/>
      <c r="L805" s="271" t="str">
        <f t="shared" si="47"/>
        <v>12/30/99 0:00</v>
      </c>
      <c r="M805" s="278"/>
      <c r="N805" s="290"/>
      <c r="O805" s="276"/>
      <c r="P805" s="276"/>
      <c r="Q805" s="278"/>
      <c r="R805" s="278"/>
      <c r="S805" s="278"/>
      <c r="T805" s="278"/>
      <c r="U805" s="279"/>
      <c r="V805" s="279"/>
      <c r="W805" s="279"/>
      <c r="X805" s="279"/>
      <c r="Y805" s="279"/>
      <c r="Z805" s="282"/>
      <c r="AA805" s="282"/>
      <c r="AB805" s="282"/>
      <c r="AC805" s="284"/>
      <c r="AD805" s="284"/>
    </row>
    <row r="806" ht="14.25" customHeight="1">
      <c r="A806" s="266"/>
      <c r="B806" s="266"/>
      <c r="C806" s="266"/>
      <c r="D806" s="266"/>
      <c r="E806" s="268"/>
      <c r="F806" s="291"/>
      <c r="G806" s="268"/>
      <c r="H806" s="268"/>
      <c r="I806" s="268"/>
      <c r="J806" s="268"/>
      <c r="K806" s="268"/>
      <c r="L806" s="271" t="str">
        <f t="shared" si="47"/>
        <v>12/30/99 0:00</v>
      </c>
      <c r="M806" s="278"/>
      <c r="N806" s="290"/>
      <c r="O806" s="276"/>
      <c r="P806" s="276"/>
      <c r="Q806" s="278"/>
      <c r="R806" s="278"/>
      <c r="S806" s="278"/>
      <c r="T806" s="278"/>
      <c r="U806" s="279"/>
      <c r="V806" s="279"/>
      <c r="W806" s="279"/>
      <c r="X806" s="279"/>
      <c r="Y806" s="279"/>
      <c r="Z806" s="282"/>
      <c r="AA806" s="282"/>
      <c r="AB806" s="282"/>
      <c r="AC806" s="284"/>
      <c r="AD806" s="284"/>
    </row>
    <row r="807" ht="14.25" customHeight="1">
      <c r="A807" s="266"/>
      <c r="B807" s="266"/>
      <c r="C807" s="266"/>
      <c r="D807" s="266"/>
      <c r="E807" s="268"/>
      <c r="F807" s="291"/>
      <c r="G807" s="268"/>
      <c r="H807" s="268"/>
      <c r="I807" s="268"/>
      <c r="J807" s="268"/>
      <c r="K807" s="268"/>
      <c r="L807" s="271" t="str">
        <f t="shared" si="47"/>
        <v>12/30/99 0:00</v>
      </c>
      <c r="M807" s="278"/>
      <c r="N807" s="290"/>
      <c r="O807" s="276"/>
      <c r="P807" s="276"/>
      <c r="Q807" s="278"/>
      <c r="R807" s="278"/>
      <c r="S807" s="278"/>
      <c r="T807" s="278"/>
      <c r="U807" s="279"/>
      <c r="V807" s="279"/>
      <c r="W807" s="279"/>
      <c r="X807" s="279"/>
      <c r="Y807" s="279"/>
      <c r="Z807" s="282"/>
      <c r="AA807" s="282"/>
      <c r="AB807" s="282"/>
      <c r="AC807" s="284"/>
      <c r="AD807" s="284"/>
    </row>
    <row r="808" ht="14.25" customHeight="1">
      <c r="A808" s="266"/>
      <c r="B808" s="266"/>
      <c r="C808" s="266"/>
      <c r="D808" s="266"/>
      <c r="E808" s="268"/>
      <c r="F808" s="291"/>
      <c r="G808" s="268"/>
      <c r="H808" s="268"/>
      <c r="I808" s="268"/>
      <c r="J808" s="268"/>
      <c r="K808" s="268"/>
      <c r="L808" s="271" t="str">
        <f t="shared" si="47"/>
        <v>12/30/99 0:00</v>
      </c>
      <c r="M808" s="278"/>
      <c r="N808" s="290"/>
      <c r="O808" s="276"/>
      <c r="P808" s="276"/>
      <c r="Q808" s="278"/>
      <c r="R808" s="278"/>
      <c r="S808" s="278"/>
      <c r="T808" s="278"/>
      <c r="U808" s="279"/>
      <c r="V808" s="279"/>
      <c r="W808" s="279"/>
      <c r="X808" s="279"/>
      <c r="Y808" s="279"/>
      <c r="Z808" s="282"/>
      <c r="AA808" s="282"/>
      <c r="AB808" s="282"/>
      <c r="AC808" s="284"/>
      <c r="AD808" s="284"/>
    </row>
    <row r="809" ht="14.25" customHeight="1">
      <c r="A809" s="266"/>
      <c r="B809" s="266"/>
      <c r="C809" s="266"/>
      <c r="D809" s="266"/>
      <c r="E809" s="268"/>
      <c r="F809" s="291"/>
      <c r="G809" s="268"/>
      <c r="H809" s="268"/>
      <c r="I809" s="268"/>
      <c r="J809" s="268"/>
      <c r="K809" s="268"/>
      <c r="L809" s="271" t="str">
        <f t="shared" si="47"/>
        <v>12/30/99 0:00</v>
      </c>
      <c r="M809" s="278"/>
      <c r="N809" s="290"/>
      <c r="O809" s="276"/>
      <c r="P809" s="276"/>
      <c r="Q809" s="278"/>
      <c r="R809" s="278"/>
      <c r="S809" s="278"/>
      <c r="T809" s="278"/>
      <c r="U809" s="279"/>
      <c r="V809" s="279"/>
      <c r="W809" s="279"/>
      <c r="X809" s="279"/>
      <c r="Y809" s="279"/>
      <c r="Z809" s="282"/>
      <c r="AA809" s="282"/>
      <c r="AB809" s="282"/>
      <c r="AC809" s="284"/>
      <c r="AD809" s="284"/>
    </row>
    <row r="810" ht="14.25" customHeight="1">
      <c r="A810" s="266"/>
      <c r="B810" s="266"/>
      <c r="C810" s="266"/>
      <c r="D810" s="266"/>
      <c r="E810" s="268"/>
      <c r="F810" s="291"/>
      <c r="G810" s="268"/>
      <c r="H810" s="268"/>
      <c r="I810" s="268"/>
      <c r="J810" s="268"/>
      <c r="K810" s="268"/>
      <c r="L810" s="271" t="str">
        <f t="shared" si="47"/>
        <v>12/30/99 0:00</v>
      </c>
      <c r="M810" s="278"/>
      <c r="N810" s="290"/>
      <c r="O810" s="276"/>
      <c r="P810" s="276"/>
      <c r="Q810" s="278"/>
      <c r="R810" s="278"/>
      <c r="S810" s="278"/>
      <c r="T810" s="278"/>
      <c r="U810" s="279"/>
      <c r="V810" s="279"/>
      <c r="W810" s="279"/>
      <c r="X810" s="279"/>
      <c r="Y810" s="279"/>
      <c r="Z810" s="282"/>
      <c r="AA810" s="282"/>
      <c r="AB810" s="282"/>
      <c r="AC810" s="284"/>
      <c r="AD810" s="284"/>
    </row>
    <row r="811" ht="14.25" customHeight="1">
      <c r="A811" s="266"/>
      <c r="B811" s="266"/>
      <c r="C811" s="266"/>
      <c r="D811" s="266"/>
      <c r="E811" s="268"/>
      <c r="F811" s="291"/>
      <c r="G811" s="268"/>
      <c r="H811" s="268"/>
      <c r="I811" s="268"/>
      <c r="J811" s="268"/>
      <c r="K811" s="268"/>
      <c r="L811" s="271" t="str">
        <f t="shared" si="47"/>
        <v>12/30/99 0:00</v>
      </c>
      <c r="M811" s="278"/>
      <c r="N811" s="290"/>
      <c r="O811" s="276"/>
      <c r="P811" s="276"/>
      <c r="Q811" s="278"/>
      <c r="R811" s="278"/>
      <c r="S811" s="278"/>
      <c r="T811" s="278"/>
      <c r="U811" s="279"/>
      <c r="V811" s="279"/>
      <c r="W811" s="279"/>
      <c r="X811" s="279"/>
      <c r="Y811" s="279"/>
      <c r="Z811" s="282"/>
      <c r="AA811" s="282"/>
      <c r="AB811" s="282"/>
      <c r="AC811" s="284"/>
      <c r="AD811" s="284"/>
    </row>
    <row r="812" ht="14.25" customHeight="1">
      <c r="A812" s="266"/>
      <c r="B812" s="266"/>
      <c r="C812" s="266"/>
      <c r="D812" s="266"/>
      <c r="E812" s="268"/>
      <c r="F812" s="291"/>
      <c r="G812" s="268"/>
      <c r="H812" s="268"/>
      <c r="I812" s="268"/>
      <c r="J812" s="268"/>
      <c r="K812" s="268"/>
      <c r="L812" s="271" t="str">
        <f t="shared" si="47"/>
        <v>12/30/99 0:00</v>
      </c>
      <c r="M812" s="278"/>
      <c r="N812" s="290"/>
      <c r="O812" s="276"/>
      <c r="P812" s="276"/>
      <c r="Q812" s="278"/>
      <c r="R812" s="278"/>
      <c r="S812" s="278"/>
      <c r="T812" s="278"/>
      <c r="U812" s="279"/>
      <c r="V812" s="279"/>
      <c r="W812" s="279"/>
      <c r="X812" s="279"/>
      <c r="Y812" s="279"/>
      <c r="Z812" s="282"/>
      <c r="AA812" s="282"/>
      <c r="AB812" s="282"/>
      <c r="AC812" s="284"/>
      <c r="AD812" s="284"/>
    </row>
    <row r="813" ht="14.25" customHeight="1">
      <c r="A813" s="266"/>
      <c r="B813" s="266"/>
      <c r="C813" s="266"/>
      <c r="D813" s="266"/>
      <c r="E813" s="268"/>
      <c r="F813" s="291"/>
      <c r="G813" s="268"/>
      <c r="H813" s="268"/>
      <c r="I813" s="268"/>
      <c r="J813" s="268"/>
      <c r="K813" s="268"/>
      <c r="L813" s="271" t="str">
        <f t="shared" si="47"/>
        <v>12/30/99 0:00</v>
      </c>
      <c r="M813" s="278"/>
      <c r="N813" s="290"/>
      <c r="O813" s="276"/>
      <c r="P813" s="276"/>
      <c r="Q813" s="278"/>
      <c r="R813" s="278"/>
      <c r="S813" s="278"/>
      <c r="T813" s="278"/>
      <c r="U813" s="279"/>
      <c r="V813" s="279"/>
      <c r="W813" s="279"/>
      <c r="X813" s="279"/>
      <c r="Y813" s="279"/>
      <c r="Z813" s="282"/>
      <c r="AA813" s="282"/>
      <c r="AB813" s="282"/>
      <c r="AC813" s="284"/>
      <c r="AD813" s="284"/>
    </row>
    <row r="814" ht="14.25" customHeight="1">
      <c r="A814" s="266"/>
      <c r="B814" s="266"/>
      <c r="C814" s="266"/>
      <c r="D814" s="266"/>
      <c r="E814" s="268"/>
      <c r="F814" s="291"/>
      <c r="G814" s="268"/>
      <c r="H814" s="268"/>
      <c r="I814" s="268"/>
      <c r="J814" s="268"/>
      <c r="K814" s="268"/>
      <c r="L814" s="271" t="str">
        <f t="shared" si="47"/>
        <v>12/30/99 0:00</v>
      </c>
      <c r="M814" s="278"/>
      <c r="N814" s="290"/>
      <c r="O814" s="276"/>
      <c r="P814" s="276"/>
      <c r="Q814" s="278"/>
      <c r="R814" s="278"/>
      <c r="S814" s="278"/>
      <c r="T814" s="278"/>
      <c r="U814" s="279"/>
      <c r="V814" s="279"/>
      <c r="W814" s="279"/>
      <c r="X814" s="279"/>
      <c r="Y814" s="279"/>
      <c r="Z814" s="282"/>
      <c r="AA814" s="282"/>
      <c r="AB814" s="282"/>
      <c r="AC814" s="284"/>
      <c r="AD814" s="284"/>
    </row>
    <row r="815" ht="14.25" customHeight="1">
      <c r="A815" s="266"/>
      <c r="B815" s="266"/>
      <c r="C815" s="266"/>
      <c r="D815" s="266"/>
      <c r="E815" s="268"/>
      <c r="F815" s="291"/>
      <c r="G815" s="268"/>
      <c r="H815" s="268"/>
      <c r="I815" s="268"/>
      <c r="J815" s="268"/>
      <c r="K815" s="268"/>
      <c r="L815" s="271" t="str">
        <f t="shared" si="47"/>
        <v>12/30/99 0:00</v>
      </c>
      <c r="M815" s="278"/>
      <c r="N815" s="290"/>
      <c r="O815" s="276"/>
      <c r="P815" s="276"/>
      <c r="Q815" s="278"/>
      <c r="R815" s="278"/>
      <c r="S815" s="278"/>
      <c r="T815" s="278"/>
      <c r="U815" s="279"/>
      <c r="V815" s="279"/>
      <c r="W815" s="279"/>
      <c r="X815" s="279"/>
      <c r="Y815" s="279"/>
      <c r="Z815" s="282"/>
      <c r="AA815" s="282"/>
      <c r="AB815" s="282"/>
      <c r="AC815" s="284"/>
      <c r="AD815" s="284"/>
    </row>
    <row r="816" ht="14.25" customHeight="1">
      <c r="A816" s="266"/>
      <c r="B816" s="266"/>
      <c r="C816" s="266"/>
      <c r="D816" s="266"/>
      <c r="E816" s="268"/>
      <c r="F816" s="291"/>
      <c r="G816" s="268"/>
      <c r="H816" s="268"/>
      <c r="I816" s="268"/>
      <c r="J816" s="268"/>
      <c r="K816" s="268"/>
      <c r="L816" s="271" t="str">
        <f t="shared" si="47"/>
        <v>12/30/99 0:00</v>
      </c>
      <c r="M816" s="278"/>
      <c r="N816" s="290"/>
      <c r="O816" s="276"/>
      <c r="P816" s="276"/>
      <c r="Q816" s="278"/>
      <c r="R816" s="278"/>
      <c r="S816" s="278"/>
      <c r="T816" s="278"/>
      <c r="U816" s="279"/>
      <c r="V816" s="279"/>
      <c r="W816" s="279"/>
      <c r="X816" s="279"/>
      <c r="Y816" s="279"/>
      <c r="Z816" s="282"/>
      <c r="AA816" s="282"/>
      <c r="AB816" s="282"/>
      <c r="AC816" s="284"/>
      <c r="AD816" s="284"/>
    </row>
    <row r="817" ht="14.25" customHeight="1">
      <c r="A817" s="266"/>
      <c r="B817" s="266"/>
      <c r="C817" s="266"/>
      <c r="D817" s="266"/>
      <c r="E817" s="268"/>
      <c r="F817" s="291"/>
      <c r="G817" s="268"/>
      <c r="H817" s="268"/>
      <c r="I817" s="268"/>
      <c r="J817" s="268"/>
      <c r="K817" s="268"/>
      <c r="L817" s="271" t="str">
        <f t="shared" si="47"/>
        <v>12/30/99 0:00</v>
      </c>
      <c r="M817" s="278"/>
      <c r="N817" s="290"/>
      <c r="O817" s="276"/>
      <c r="P817" s="276"/>
      <c r="Q817" s="278"/>
      <c r="R817" s="278"/>
      <c r="S817" s="278"/>
      <c r="T817" s="278"/>
      <c r="U817" s="279"/>
      <c r="V817" s="279"/>
      <c r="W817" s="279"/>
      <c r="X817" s="279"/>
      <c r="Y817" s="279"/>
      <c r="Z817" s="282"/>
      <c r="AA817" s="282"/>
      <c r="AB817" s="282"/>
      <c r="AC817" s="284"/>
      <c r="AD817" s="284"/>
    </row>
    <row r="818" ht="14.25" customHeight="1">
      <c r="A818" s="266"/>
      <c r="B818" s="266"/>
      <c r="C818" s="266"/>
      <c r="D818" s="266"/>
      <c r="E818" s="268"/>
      <c r="F818" s="291"/>
      <c r="G818" s="268"/>
      <c r="H818" s="268"/>
      <c r="I818" s="268"/>
      <c r="J818" s="268"/>
      <c r="K818" s="268"/>
      <c r="L818" s="271" t="str">
        <f t="shared" si="47"/>
        <v>12/30/99 0:00</v>
      </c>
      <c r="M818" s="278"/>
      <c r="N818" s="290"/>
      <c r="O818" s="276"/>
      <c r="P818" s="276"/>
      <c r="Q818" s="278"/>
      <c r="R818" s="278"/>
      <c r="S818" s="278"/>
      <c r="T818" s="278"/>
      <c r="U818" s="279"/>
      <c r="V818" s="279"/>
      <c r="W818" s="279"/>
      <c r="X818" s="279"/>
      <c r="Y818" s="279"/>
      <c r="Z818" s="282"/>
      <c r="AA818" s="282"/>
      <c r="AB818" s="282"/>
      <c r="AC818" s="284"/>
      <c r="AD818" s="284"/>
    </row>
    <row r="819" ht="14.25" customHeight="1">
      <c r="A819" s="266"/>
      <c r="B819" s="266"/>
      <c r="C819" s="266"/>
      <c r="D819" s="266"/>
      <c r="E819" s="268"/>
      <c r="F819" s="291"/>
      <c r="G819" s="268"/>
      <c r="H819" s="268"/>
      <c r="I819" s="268"/>
      <c r="J819" s="268"/>
      <c r="K819" s="268"/>
      <c r="L819" s="271" t="str">
        <f t="shared" si="47"/>
        <v>12/30/99 0:00</v>
      </c>
      <c r="M819" s="278"/>
      <c r="N819" s="290"/>
      <c r="O819" s="276"/>
      <c r="P819" s="276"/>
      <c r="Q819" s="278"/>
      <c r="R819" s="278"/>
      <c r="S819" s="278"/>
      <c r="T819" s="278"/>
      <c r="U819" s="279"/>
      <c r="V819" s="279"/>
      <c r="W819" s="279"/>
      <c r="X819" s="279"/>
      <c r="Y819" s="279"/>
      <c r="Z819" s="282"/>
      <c r="AA819" s="282"/>
      <c r="AB819" s="282"/>
      <c r="AC819" s="284"/>
      <c r="AD819" s="284"/>
    </row>
    <row r="820" ht="14.25" customHeight="1">
      <c r="A820" s="266"/>
      <c r="B820" s="266"/>
      <c r="C820" s="266"/>
      <c r="D820" s="266"/>
      <c r="E820" s="268"/>
      <c r="F820" s="291"/>
      <c r="G820" s="268"/>
      <c r="H820" s="268"/>
      <c r="I820" s="268"/>
      <c r="J820" s="268"/>
      <c r="K820" s="268"/>
      <c r="L820" s="271" t="str">
        <f t="shared" si="47"/>
        <v>12/30/99 0:00</v>
      </c>
      <c r="M820" s="278"/>
      <c r="N820" s="290"/>
      <c r="O820" s="276"/>
      <c r="P820" s="276"/>
      <c r="Q820" s="278"/>
      <c r="R820" s="278"/>
      <c r="S820" s="278"/>
      <c r="T820" s="278"/>
      <c r="U820" s="279"/>
      <c r="V820" s="279"/>
      <c r="W820" s="279"/>
      <c r="X820" s="279"/>
      <c r="Y820" s="279"/>
      <c r="Z820" s="282"/>
      <c r="AA820" s="282"/>
      <c r="AB820" s="282"/>
      <c r="AC820" s="284"/>
      <c r="AD820" s="284"/>
    </row>
    <row r="821" ht="14.25" customHeight="1">
      <c r="A821" s="266"/>
      <c r="B821" s="266"/>
      <c r="C821" s="266"/>
      <c r="D821" s="266"/>
      <c r="E821" s="268"/>
      <c r="F821" s="291"/>
      <c r="G821" s="268"/>
      <c r="H821" s="268"/>
      <c r="I821" s="268"/>
      <c r="J821" s="268"/>
      <c r="K821" s="268"/>
      <c r="L821" s="271" t="str">
        <f t="shared" si="47"/>
        <v>12/30/99 0:00</v>
      </c>
      <c r="M821" s="278"/>
      <c r="N821" s="290"/>
      <c r="O821" s="276"/>
      <c r="P821" s="276"/>
      <c r="Q821" s="278"/>
      <c r="R821" s="278"/>
      <c r="S821" s="278"/>
      <c r="T821" s="278"/>
      <c r="U821" s="279"/>
      <c r="V821" s="279"/>
      <c r="W821" s="279"/>
      <c r="X821" s="279"/>
      <c r="Y821" s="279"/>
      <c r="Z821" s="282"/>
      <c r="AA821" s="282"/>
      <c r="AB821" s="282"/>
      <c r="AC821" s="284"/>
      <c r="AD821" s="284"/>
    </row>
    <row r="822" ht="14.25" customHeight="1">
      <c r="A822" s="266"/>
      <c r="B822" s="266"/>
      <c r="C822" s="266"/>
      <c r="D822" s="266"/>
      <c r="E822" s="268"/>
      <c r="F822" s="291"/>
      <c r="G822" s="268"/>
      <c r="H822" s="268"/>
      <c r="I822" s="268"/>
      <c r="J822" s="268"/>
      <c r="K822" s="268"/>
      <c r="L822" s="271" t="str">
        <f t="shared" si="47"/>
        <v>12/30/99 0:00</v>
      </c>
      <c r="M822" s="278"/>
      <c r="N822" s="290"/>
      <c r="O822" s="276"/>
      <c r="P822" s="276"/>
      <c r="Q822" s="278"/>
      <c r="R822" s="278"/>
      <c r="S822" s="278"/>
      <c r="T822" s="278"/>
      <c r="U822" s="279"/>
      <c r="V822" s="279"/>
      <c r="W822" s="279"/>
      <c r="X822" s="279"/>
      <c r="Y822" s="279"/>
      <c r="Z822" s="282"/>
      <c r="AA822" s="282"/>
      <c r="AB822" s="282"/>
      <c r="AC822" s="284"/>
      <c r="AD822" s="284"/>
    </row>
    <row r="823" ht="14.25" customHeight="1">
      <c r="A823" s="266"/>
      <c r="B823" s="266"/>
      <c r="C823" s="266"/>
      <c r="D823" s="266"/>
      <c r="E823" s="268"/>
      <c r="F823" s="291"/>
      <c r="G823" s="268"/>
      <c r="H823" s="268"/>
      <c r="I823" s="268"/>
      <c r="J823" s="268"/>
      <c r="K823" s="268"/>
      <c r="L823" s="271" t="str">
        <f t="shared" si="47"/>
        <v>12/30/99 0:00</v>
      </c>
      <c r="M823" s="278"/>
      <c r="N823" s="290"/>
      <c r="O823" s="276"/>
      <c r="P823" s="276"/>
      <c r="Q823" s="278"/>
      <c r="R823" s="278"/>
      <c r="S823" s="278"/>
      <c r="T823" s="278"/>
      <c r="U823" s="279"/>
      <c r="V823" s="279"/>
      <c r="W823" s="279"/>
      <c r="X823" s="279"/>
      <c r="Y823" s="279"/>
      <c r="Z823" s="282"/>
      <c r="AA823" s="282"/>
      <c r="AB823" s="282"/>
      <c r="AC823" s="284"/>
      <c r="AD823" s="284"/>
    </row>
    <row r="824" ht="14.25" customHeight="1">
      <c r="A824" s="266"/>
      <c r="B824" s="266"/>
      <c r="C824" s="266"/>
      <c r="D824" s="266"/>
      <c r="E824" s="268"/>
      <c r="F824" s="291"/>
      <c r="G824" s="268"/>
      <c r="H824" s="268"/>
      <c r="I824" s="268"/>
      <c r="J824" s="268"/>
      <c r="K824" s="268"/>
      <c r="L824" s="271" t="str">
        <f t="shared" si="47"/>
        <v>12/30/99 0:00</v>
      </c>
      <c r="M824" s="278"/>
      <c r="N824" s="290"/>
      <c r="O824" s="276"/>
      <c r="P824" s="276"/>
      <c r="Q824" s="278"/>
      <c r="R824" s="278"/>
      <c r="S824" s="278"/>
      <c r="T824" s="278"/>
      <c r="U824" s="279"/>
      <c r="V824" s="279"/>
      <c r="W824" s="279"/>
      <c r="X824" s="279"/>
      <c r="Y824" s="279"/>
      <c r="Z824" s="282"/>
      <c r="AA824" s="282"/>
      <c r="AB824" s="282"/>
      <c r="AC824" s="284"/>
      <c r="AD824" s="284"/>
    </row>
    <row r="825" ht="14.25" customHeight="1">
      <c r="A825" s="266"/>
      <c r="B825" s="266"/>
      <c r="C825" s="266"/>
      <c r="D825" s="266"/>
      <c r="E825" s="268"/>
      <c r="F825" s="291"/>
      <c r="G825" s="268"/>
      <c r="H825" s="268"/>
      <c r="I825" s="268"/>
      <c r="J825" s="268"/>
      <c r="K825" s="268"/>
      <c r="L825" s="271" t="str">
        <f t="shared" si="47"/>
        <v>12/30/99 0:00</v>
      </c>
      <c r="M825" s="278"/>
      <c r="N825" s="290"/>
      <c r="O825" s="276"/>
      <c r="P825" s="276"/>
      <c r="Q825" s="278"/>
      <c r="R825" s="278"/>
      <c r="S825" s="278"/>
      <c r="T825" s="278"/>
      <c r="U825" s="279"/>
      <c r="V825" s="279"/>
      <c r="W825" s="279"/>
      <c r="X825" s="279"/>
      <c r="Y825" s="279"/>
      <c r="Z825" s="282"/>
      <c r="AA825" s="282"/>
      <c r="AB825" s="282"/>
      <c r="AC825" s="284"/>
      <c r="AD825" s="284"/>
    </row>
    <row r="826" ht="14.25" customHeight="1">
      <c r="A826" s="266"/>
      <c r="B826" s="266"/>
      <c r="C826" s="266"/>
      <c r="D826" s="266"/>
      <c r="E826" s="268"/>
      <c r="F826" s="291"/>
      <c r="G826" s="268"/>
      <c r="H826" s="268"/>
      <c r="I826" s="268"/>
      <c r="J826" s="268"/>
      <c r="K826" s="268"/>
      <c r="L826" s="271" t="str">
        <f t="shared" si="47"/>
        <v>12/30/99 0:00</v>
      </c>
      <c r="M826" s="278"/>
      <c r="N826" s="290"/>
      <c r="O826" s="276"/>
      <c r="P826" s="276"/>
      <c r="Q826" s="278"/>
      <c r="R826" s="278"/>
      <c r="S826" s="278"/>
      <c r="T826" s="278"/>
      <c r="U826" s="279"/>
      <c r="V826" s="279"/>
      <c r="W826" s="279"/>
      <c r="X826" s="279"/>
      <c r="Y826" s="279"/>
      <c r="Z826" s="282"/>
      <c r="AA826" s="282"/>
      <c r="AB826" s="282"/>
      <c r="AC826" s="284"/>
      <c r="AD826" s="284"/>
    </row>
    <row r="827" ht="14.25" customHeight="1">
      <c r="A827" s="266"/>
      <c r="B827" s="266"/>
      <c r="C827" s="266"/>
      <c r="D827" s="266"/>
      <c r="E827" s="268"/>
      <c r="F827" s="291"/>
      <c r="G827" s="268"/>
      <c r="H827" s="268"/>
      <c r="I827" s="268"/>
      <c r="J827" s="268"/>
      <c r="K827" s="268"/>
      <c r="L827" s="271" t="str">
        <f t="shared" si="47"/>
        <v>12/30/99 0:00</v>
      </c>
      <c r="M827" s="278"/>
      <c r="N827" s="290"/>
      <c r="O827" s="276"/>
      <c r="P827" s="276"/>
      <c r="Q827" s="278"/>
      <c r="R827" s="278"/>
      <c r="S827" s="278"/>
      <c r="T827" s="278"/>
      <c r="U827" s="279"/>
      <c r="V827" s="279"/>
      <c r="W827" s="279"/>
      <c r="X827" s="279"/>
      <c r="Y827" s="279"/>
      <c r="Z827" s="282"/>
      <c r="AA827" s="282"/>
      <c r="AB827" s="282"/>
      <c r="AC827" s="284"/>
      <c r="AD827" s="284"/>
    </row>
    <row r="828" ht="14.25" customHeight="1">
      <c r="A828" s="266"/>
      <c r="B828" s="266"/>
      <c r="C828" s="266"/>
      <c r="D828" s="266"/>
      <c r="E828" s="268"/>
      <c r="F828" s="291"/>
      <c r="G828" s="268"/>
      <c r="H828" s="268"/>
      <c r="I828" s="268"/>
      <c r="J828" s="268"/>
      <c r="K828" s="268"/>
      <c r="L828" s="271" t="str">
        <f t="shared" si="47"/>
        <v>12/30/99 0:00</v>
      </c>
      <c r="M828" s="278"/>
      <c r="N828" s="290"/>
      <c r="O828" s="276"/>
      <c r="P828" s="276"/>
      <c r="Q828" s="278"/>
      <c r="R828" s="278"/>
      <c r="S828" s="278"/>
      <c r="T828" s="278"/>
      <c r="U828" s="279"/>
      <c r="V828" s="279"/>
      <c r="W828" s="279"/>
      <c r="X828" s="279"/>
      <c r="Y828" s="279"/>
      <c r="Z828" s="282"/>
      <c r="AA828" s="282"/>
      <c r="AB828" s="282"/>
      <c r="AC828" s="284"/>
      <c r="AD828" s="284"/>
    </row>
    <row r="829" ht="14.25" customHeight="1">
      <c r="A829" s="266"/>
      <c r="B829" s="266"/>
      <c r="C829" s="266"/>
      <c r="D829" s="266"/>
      <c r="E829" s="268"/>
      <c r="F829" s="291"/>
      <c r="G829" s="268"/>
      <c r="H829" s="268"/>
      <c r="I829" s="268"/>
      <c r="J829" s="268"/>
      <c r="K829" s="268"/>
      <c r="L829" s="271" t="str">
        <f t="shared" si="47"/>
        <v>12/30/99 0:00</v>
      </c>
      <c r="M829" s="278"/>
      <c r="N829" s="290"/>
      <c r="O829" s="276"/>
      <c r="P829" s="276"/>
      <c r="Q829" s="278"/>
      <c r="R829" s="278"/>
      <c r="S829" s="278"/>
      <c r="T829" s="278"/>
      <c r="U829" s="279"/>
      <c r="V829" s="279"/>
      <c r="W829" s="279"/>
      <c r="X829" s="279"/>
      <c r="Y829" s="279"/>
      <c r="Z829" s="282"/>
      <c r="AA829" s="282"/>
      <c r="AB829" s="282"/>
      <c r="AC829" s="284"/>
      <c r="AD829" s="284"/>
    </row>
    <row r="830" ht="14.25" customHeight="1">
      <c r="A830" s="266"/>
      <c r="B830" s="266"/>
      <c r="C830" s="266"/>
      <c r="D830" s="266"/>
      <c r="E830" s="268"/>
      <c r="F830" s="291"/>
      <c r="G830" s="268"/>
      <c r="H830" s="268"/>
      <c r="I830" s="268"/>
      <c r="J830" s="268"/>
      <c r="K830" s="268"/>
      <c r="L830" s="271" t="str">
        <f t="shared" si="47"/>
        <v>12/30/99 0:00</v>
      </c>
      <c r="M830" s="278"/>
      <c r="N830" s="290"/>
      <c r="O830" s="276"/>
      <c r="P830" s="276"/>
      <c r="Q830" s="278"/>
      <c r="R830" s="278"/>
      <c r="S830" s="278"/>
      <c r="T830" s="278"/>
      <c r="U830" s="279"/>
      <c r="V830" s="279"/>
      <c r="W830" s="279"/>
      <c r="X830" s="279"/>
      <c r="Y830" s="279"/>
      <c r="Z830" s="282"/>
      <c r="AA830" s="282"/>
      <c r="AB830" s="282"/>
      <c r="AC830" s="284"/>
      <c r="AD830" s="284"/>
    </row>
    <row r="831" ht="14.25" customHeight="1">
      <c r="A831" s="266"/>
      <c r="B831" s="266"/>
      <c r="C831" s="266"/>
      <c r="D831" s="266"/>
      <c r="E831" s="268"/>
      <c r="F831" s="291"/>
      <c r="G831" s="268"/>
      <c r="H831" s="268"/>
      <c r="I831" s="268"/>
      <c r="J831" s="268"/>
      <c r="K831" s="268"/>
      <c r="L831" s="271" t="str">
        <f t="shared" si="47"/>
        <v>12/30/99 0:00</v>
      </c>
      <c r="M831" s="278"/>
      <c r="N831" s="290"/>
      <c r="O831" s="276"/>
      <c r="P831" s="276"/>
      <c r="Q831" s="278"/>
      <c r="R831" s="278"/>
      <c r="S831" s="278"/>
      <c r="T831" s="278"/>
      <c r="U831" s="279"/>
      <c r="V831" s="279"/>
      <c r="W831" s="279"/>
      <c r="X831" s="279"/>
      <c r="Y831" s="279"/>
      <c r="Z831" s="282"/>
      <c r="AA831" s="282"/>
      <c r="AB831" s="282"/>
      <c r="AC831" s="284"/>
      <c r="AD831" s="284"/>
    </row>
    <row r="832" ht="14.25" customHeight="1">
      <c r="A832" s="266"/>
      <c r="B832" s="266"/>
      <c r="C832" s="266"/>
      <c r="D832" s="266"/>
      <c r="E832" s="268"/>
      <c r="F832" s="291"/>
      <c r="G832" s="268"/>
      <c r="H832" s="268"/>
      <c r="I832" s="268"/>
      <c r="J832" s="268"/>
      <c r="K832" s="268"/>
      <c r="L832" s="271" t="str">
        <f t="shared" si="47"/>
        <v>12/30/99 0:00</v>
      </c>
      <c r="M832" s="278"/>
      <c r="N832" s="290"/>
      <c r="O832" s="276"/>
      <c r="P832" s="276"/>
      <c r="Q832" s="278"/>
      <c r="R832" s="278"/>
      <c r="S832" s="278"/>
      <c r="T832" s="278"/>
      <c r="U832" s="279"/>
      <c r="V832" s="279"/>
      <c r="W832" s="279"/>
      <c r="X832" s="279"/>
      <c r="Y832" s="279"/>
      <c r="Z832" s="282"/>
      <c r="AA832" s="282"/>
      <c r="AB832" s="282"/>
      <c r="AC832" s="284"/>
      <c r="AD832" s="284"/>
    </row>
    <row r="833" ht="14.25" customHeight="1">
      <c r="A833" s="266"/>
      <c r="B833" s="266"/>
      <c r="C833" s="266"/>
      <c r="D833" s="266"/>
      <c r="E833" s="268"/>
      <c r="F833" s="291"/>
      <c r="G833" s="268"/>
      <c r="H833" s="268"/>
      <c r="I833" s="268"/>
      <c r="J833" s="268"/>
      <c r="K833" s="268"/>
      <c r="L833" s="271" t="str">
        <f t="shared" si="47"/>
        <v>12/30/99 0:00</v>
      </c>
      <c r="M833" s="278"/>
      <c r="N833" s="290"/>
      <c r="O833" s="276"/>
      <c r="P833" s="276"/>
      <c r="Q833" s="278"/>
      <c r="R833" s="278"/>
      <c r="S833" s="278"/>
      <c r="T833" s="278"/>
      <c r="U833" s="279"/>
      <c r="V833" s="279"/>
      <c r="W833" s="279"/>
      <c r="X833" s="279"/>
      <c r="Y833" s="279"/>
      <c r="Z833" s="282"/>
      <c r="AA833" s="282"/>
      <c r="AB833" s="282"/>
      <c r="AC833" s="284"/>
      <c r="AD833" s="284"/>
    </row>
    <row r="834" ht="14.25" customHeight="1">
      <c r="A834" s="266"/>
      <c r="B834" s="266"/>
      <c r="C834" s="266"/>
      <c r="D834" s="266"/>
      <c r="E834" s="268"/>
      <c r="F834" s="291"/>
      <c r="G834" s="268"/>
      <c r="H834" s="268"/>
      <c r="I834" s="268"/>
      <c r="J834" s="268"/>
      <c r="K834" s="268"/>
      <c r="L834" s="271" t="str">
        <f t="shared" si="47"/>
        <v>12/30/99 0:00</v>
      </c>
      <c r="M834" s="278"/>
      <c r="N834" s="290"/>
      <c r="O834" s="276"/>
      <c r="P834" s="276"/>
      <c r="Q834" s="278"/>
      <c r="R834" s="278"/>
      <c r="S834" s="278"/>
      <c r="T834" s="278"/>
      <c r="U834" s="279"/>
      <c r="V834" s="279"/>
      <c r="W834" s="279"/>
      <c r="X834" s="279"/>
      <c r="Y834" s="279"/>
      <c r="Z834" s="282"/>
      <c r="AA834" s="282"/>
      <c r="AB834" s="282"/>
      <c r="AC834" s="284"/>
      <c r="AD834" s="284"/>
    </row>
    <row r="835" ht="14.25" customHeight="1">
      <c r="A835" s="266"/>
      <c r="B835" s="266"/>
      <c r="C835" s="266"/>
      <c r="D835" s="266"/>
      <c r="E835" s="268"/>
      <c r="F835" s="291"/>
      <c r="G835" s="268"/>
      <c r="H835" s="268"/>
      <c r="I835" s="268"/>
      <c r="J835" s="268"/>
      <c r="K835" s="268"/>
      <c r="L835" s="271" t="str">
        <f t="shared" si="47"/>
        <v>12/30/99 0:00</v>
      </c>
      <c r="M835" s="278"/>
      <c r="N835" s="290"/>
      <c r="O835" s="276"/>
      <c r="P835" s="276"/>
      <c r="Q835" s="278"/>
      <c r="R835" s="278"/>
      <c r="S835" s="278"/>
      <c r="T835" s="278"/>
      <c r="U835" s="279"/>
      <c r="V835" s="279"/>
      <c r="W835" s="279"/>
      <c r="X835" s="279"/>
      <c r="Y835" s="279"/>
      <c r="Z835" s="282"/>
      <c r="AA835" s="282"/>
      <c r="AB835" s="282"/>
      <c r="AC835" s="284"/>
      <c r="AD835" s="284"/>
    </row>
    <row r="836" ht="14.25" customHeight="1">
      <c r="A836" s="266"/>
      <c r="B836" s="266"/>
      <c r="C836" s="266"/>
      <c r="D836" s="266"/>
      <c r="E836" s="268"/>
      <c r="F836" s="291"/>
      <c r="G836" s="268"/>
      <c r="H836" s="268"/>
      <c r="I836" s="268"/>
      <c r="J836" s="268"/>
      <c r="K836" s="268"/>
      <c r="L836" s="271" t="str">
        <f t="shared" si="47"/>
        <v>12/30/99 0:00</v>
      </c>
      <c r="M836" s="278"/>
      <c r="N836" s="290"/>
      <c r="O836" s="276"/>
      <c r="P836" s="276"/>
      <c r="Q836" s="278"/>
      <c r="R836" s="278"/>
      <c r="S836" s="278"/>
      <c r="T836" s="278"/>
      <c r="U836" s="279"/>
      <c r="V836" s="279"/>
      <c r="W836" s="279"/>
      <c r="X836" s="279"/>
      <c r="Y836" s="279"/>
      <c r="Z836" s="282"/>
      <c r="AA836" s="282"/>
      <c r="AB836" s="282"/>
      <c r="AC836" s="284"/>
      <c r="AD836" s="284"/>
    </row>
    <row r="837" ht="14.25" customHeight="1">
      <c r="A837" s="266"/>
      <c r="B837" s="266"/>
      <c r="C837" s="266"/>
      <c r="D837" s="266"/>
      <c r="E837" s="268"/>
      <c r="F837" s="291"/>
      <c r="G837" s="268"/>
      <c r="H837" s="268"/>
      <c r="I837" s="268"/>
      <c r="J837" s="268"/>
      <c r="K837" s="268"/>
      <c r="L837" s="271" t="str">
        <f t="shared" si="47"/>
        <v>12/30/99 0:00</v>
      </c>
      <c r="M837" s="278"/>
      <c r="N837" s="290"/>
      <c r="O837" s="276"/>
      <c r="P837" s="276"/>
      <c r="Q837" s="278"/>
      <c r="R837" s="278"/>
      <c r="S837" s="278"/>
      <c r="T837" s="278"/>
      <c r="U837" s="279"/>
      <c r="V837" s="279"/>
      <c r="W837" s="279"/>
      <c r="X837" s="279"/>
      <c r="Y837" s="279"/>
      <c r="Z837" s="282"/>
      <c r="AA837" s="282"/>
      <c r="AB837" s="282"/>
      <c r="AC837" s="284"/>
      <c r="AD837" s="284"/>
    </row>
    <row r="838" ht="14.25" customHeight="1">
      <c r="A838" s="266"/>
      <c r="B838" s="266"/>
      <c r="C838" s="266"/>
      <c r="D838" s="266"/>
      <c r="E838" s="268"/>
      <c r="F838" s="291"/>
      <c r="G838" s="268"/>
      <c r="H838" s="268"/>
      <c r="I838" s="268"/>
      <c r="J838" s="268"/>
      <c r="K838" s="268"/>
      <c r="L838" s="271" t="str">
        <f t="shared" si="47"/>
        <v>12/30/99 0:00</v>
      </c>
      <c r="M838" s="278"/>
      <c r="N838" s="290"/>
      <c r="O838" s="276"/>
      <c r="P838" s="276"/>
      <c r="Q838" s="278"/>
      <c r="R838" s="278"/>
      <c r="S838" s="278"/>
      <c r="T838" s="278"/>
      <c r="U838" s="279"/>
      <c r="V838" s="279"/>
      <c r="W838" s="279"/>
      <c r="X838" s="279"/>
      <c r="Y838" s="279"/>
      <c r="Z838" s="282"/>
      <c r="AA838" s="282"/>
      <c r="AB838" s="282"/>
      <c r="AC838" s="284"/>
      <c r="AD838" s="284"/>
    </row>
    <row r="839" ht="14.25" customHeight="1">
      <c r="A839" s="266"/>
      <c r="B839" s="266"/>
      <c r="C839" s="266"/>
      <c r="D839" s="266"/>
      <c r="E839" s="268"/>
      <c r="F839" s="291"/>
      <c r="G839" s="268"/>
      <c r="H839" s="268"/>
      <c r="I839" s="268"/>
      <c r="J839" s="268"/>
      <c r="K839" s="268"/>
      <c r="L839" s="271" t="str">
        <f t="shared" si="47"/>
        <v>12/30/99 0:00</v>
      </c>
      <c r="M839" s="278"/>
      <c r="N839" s="290"/>
      <c r="O839" s="276"/>
      <c r="P839" s="276"/>
      <c r="Q839" s="278"/>
      <c r="R839" s="278"/>
      <c r="S839" s="278"/>
      <c r="T839" s="278"/>
      <c r="U839" s="279"/>
      <c r="V839" s="279"/>
      <c r="W839" s="279"/>
      <c r="X839" s="279"/>
      <c r="Y839" s="279"/>
      <c r="Z839" s="282"/>
      <c r="AA839" s="282"/>
      <c r="AB839" s="282"/>
      <c r="AC839" s="284"/>
      <c r="AD839" s="284"/>
    </row>
    <row r="840" ht="14.25" customHeight="1">
      <c r="A840" s="266"/>
      <c r="B840" s="266"/>
      <c r="C840" s="266"/>
      <c r="D840" s="266"/>
      <c r="E840" s="268"/>
      <c r="F840" s="291"/>
      <c r="G840" s="268"/>
      <c r="H840" s="268"/>
      <c r="I840" s="268"/>
      <c r="J840" s="268"/>
      <c r="K840" s="268"/>
      <c r="L840" s="271" t="str">
        <f t="shared" si="47"/>
        <v>12/30/99 0:00</v>
      </c>
      <c r="M840" s="278"/>
      <c r="N840" s="290"/>
      <c r="O840" s="276"/>
      <c r="P840" s="276"/>
      <c r="Q840" s="278"/>
      <c r="R840" s="278"/>
      <c r="S840" s="278"/>
      <c r="T840" s="278"/>
      <c r="U840" s="279"/>
      <c r="V840" s="279"/>
      <c r="W840" s="279"/>
      <c r="X840" s="279"/>
      <c r="Y840" s="279"/>
      <c r="Z840" s="282"/>
      <c r="AA840" s="282"/>
      <c r="AB840" s="282"/>
      <c r="AC840" s="284"/>
      <c r="AD840" s="284"/>
    </row>
    <row r="841" ht="14.25" customHeight="1">
      <c r="A841" s="266"/>
      <c r="B841" s="266"/>
      <c r="C841" s="266"/>
      <c r="D841" s="266"/>
      <c r="E841" s="268"/>
      <c r="F841" s="291"/>
      <c r="G841" s="268"/>
      <c r="H841" s="268"/>
      <c r="I841" s="268"/>
      <c r="J841" s="268"/>
      <c r="K841" s="268"/>
      <c r="L841" s="271" t="str">
        <f t="shared" si="47"/>
        <v>12/30/99 0:00</v>
      </c>
      <c r="M841" s="278"/>
      <c r="N841" s="290"/>
      <c r="O841" s="276"/>
      <c r="P841" s="276"/>
      <c r="Q841" s="278"/>
      <c r="R841" s="278"/>
      <c r="S841" s="278"/>
      <c r="T841" s="278"/>
      <c r="U841" s="279"/>
      <c r="V841" s="279"/>
      <c r="W841" s="279"/>
      <c r="X841" s="279"/>
      <c r="Y841" s="279"/>
      <c r="Z841" s="282"/>
      <c r="AA841" s="282"/>
      <c r="AB841" s="282"/>
      <c r="AC841" s="284"/>
      <c r="AD841" s="284"/>
    </row>
    <row r="842" ht="14.25" customHeight="1">
      <c r="A842" s="266"/>
      <c r="B842" s="266"/>
      <c r="C842" s="266"/>
      <c r="D842" s="266"/>
      <c r="E842" s="268"/>
      <c r="F842" s="291"/>
      <c r="G842" s="268"/>
      <c r="H842" s="268"/>
      <c r="I842" s="268"/>
      <c r="J842" s="268"/>
      <c r="K842" s="268"/>
      <c r="L842" s="271" t="str">
        <f t="shared" si="47"/>
        <v>12/30/99 0:00</v>
      </c>
      <c r="M842" s="278"/>
      <c r="N842" s="290"/>
      <c r="O842" s="276"/>
      <c r="P842" s="276"/>
      <c r="Q842" s="278"/>
      <c r="R842" s="278"/>
      <c r="S842" s="278"/>
      <c r="T842" s="278"/>
      <c r="U842" s="279"/>
      <c r="V842" s="279"/>
      <c r="W842" s="279"/>
      <c r="X842" s="279"/>
      <c r="Y842" s="279"/>
      <c r="Z842" s="282"/>
      <c r="AA842" s="282"/>
      <c r="AB842" s="282"/>
      <c r="AC842" s="284"/>
      <c r="AD842" s="284"/>
    </row>
    <row r="843" ht="14.25" customHeight="1">
      <c r="A843" s="266"/>
      <c r="B843" s="266"/>
      <c r="C843" s="266"/>
      <c r="D843" s="266"/>
      <c r="E843" s="268"/>
      <c r="F843" s="291"/>
      <c r="G843" s="268"/>
      <c r="H843" s="268"/>
      <c r="I843" s="268"/>
      <c r="J843" s="268"/>
      <c r="K843" s="268"/>
      <c r="L843" s="271" t="str">
        <f t="shared" si="47"/>
        <v>12/30/99 0:00</v>
      </c>
      <c r="M843" s="278"/>
      <c r="N843" s="290"/>
      <c r="O843" s="276"/>
      <c r="P843" s="276"/>
      <c r="Q843" s="278"/>
      <c r="R843" s="278"/>
      <c r="S843" s="278"/>
      <c r="T843" s="278"/>
      <c r="U843" s="279"/>
      <c r="V843" s="279"/>
      <c r="W843" s="279"/>
      <c r="X843" s="279"/>
      <c r="Y843" s="279"/>
      <c r="Z843" s="282"/>
      <c r="AA843" s="282"/>
      <c r="AB843" s="282"/>
      <c r="AC843" s="284"/>
      <c r="AD843" s="284"/>
    </row>
    <row r="844" ht="14.25" customHeight="1">
      <c r="A844" s="266"/>
      <c r="B844" s="266"/>
      <c r="C844" s="266"/>
      <c r="D844" s="266"/>
      <c r="E844" s="268"/>
      <c r="F844" s="291"/>
      <c r="G844" s="268"/>
      <c r="H844" s="268"/>
      <c r="I844" s="268"/>
      <c r="J844" s="268"/>
      <c r="K844" s="268"/>
      <c r="L844" s="271" t="str">
        <f t="shared" si="47"/>
        <v>12/30/99 0:00</v>
      </c>
      <c r="M844" s="278"/>
      <c r="N844" s="290"/>
      <c r="O844" s="276"/>
      <c r="P844" s="276"/>
      <c r="Q844" s="278"/>
      <c r="R844" s="278"/>
      <c r="S844" s="278"/>
      <c r="T844" s="278"/>
      <c r="U844" s="279"/>
      <c r="V844" s="279"/>
      <c r="W844" s="279"/>
      <c r="X844" s="279"/>
      <c r="Y844" s="279"/>
      <c r="Z844" s="282"/>
      <c r="AA844" s="282"/>
      <c r="AB844" s="282"/>
      <c r="AC844" s="284"/>
      <c r="AD844" s="284"/>
    </row>
    <row r="845" ht="14.25" customHeight="1">
      <c r="A845" s="266"/>
      <c r="B845" s="266"/>
      <c r="C845" s="266"/>
      <c r="D845" s="266"/>
      <c r="E845" s="268"/>
      <c r="F845" s="291"/>
      <c r="G845" s="268"/>
      <c r="H845" s="268"/>
      <c r="I845" s="268"/>
      <c r="J845" s="268"/>
      <c r="K845" s="268"/>
      <c r="L845" s="271" t="str">
        <f t="shared" si="47"/>
        <v>12/30/99 0:00</v>
      </c>
      <c r="M845" s="278"/>
      <c r="N845" s="290"/>
      <c r="O845" s="276"/>
      <c r="P845" s="276"/>
      <c r="Q845" s="278"/>
      <c r="R845" s="278"/>
      <c r="S845" s="278"/>
      <c r="T845" s="278"/>
      <c r="U845" s="279"/>
      <c r="V845" s="279"/>
      <c r="W845" s="279"/>
      <c r="X845" s="279"/>
      <c r="Y845" s="279"/>
      <c r="Z845" s="282"/>
      <c r="AA845" s="282"/>
      <c r="AB845" s="282"/>
      <c r="AC845" s="284"/>
      <c r="AD845" s="284"/>
    </row>
    <row r="846" ht="14.25" customHeight="1">
      <c r="A846" s="266"/>
      <c r="B846" s="266"/>
      <c r="C846" s="266"/>
      <c r="D846" s="266"/>
      <c r="E846" s="268"/>
      <c r="F846" s="291"/>
      <c r="G846" s="268"/>
      <c r="H846" s="268"/>
      <c r="I846" s="268"/>
      <c r="J846" s="268"/>
      <c r="K846" s="268"/>
      <c r="L846" s="271" t="str">
        <f t="shared" si="47"/>
        <v>12/30/99 0:00</v>
      </c>
      <c r="M846" s="278"/>
      <c r="N846" s="290"/>
      <c r="O846" s="276"/>
      <c r="P846" s="276"/>
      <c r="Q846" s="278"/>
      <c r="R846" s="278"/>
      <c r="S846" s="278"/>
      <c r="T846" s="278"/>
      <c r="U846" s="279"/>
      <c r="V846" s="279"/>
      <c r="W846" s="279"/>
      <c r="X846" s="279"/>
      <c r="Y846" s="279"/>
      <c r="Z846" s="282"/>
      <c r="AA846" s="282"/>
      <c r="AB846" s="282"/>
      <c r="AC846" s="284"/>
      <c r="AD846" s="284"/>
    </row>
    <row r="847" ht="14.25" customHeight="1">
      <c r="A847" s="266"/>
      <c r="B847" s="266"/>
      <c r="C847" s="266"/>
      <c r="D847" s="266"/>
      <c r="E847" s="268"/>
      <c r="F847" s="291"/>
      <c r="G847" s="268"/>
      <c r="H847" s="268"/>
      <c r="I847" s="268"/>
      <c r="J847" s="268"/>
      <c r="K847" s="268"/>
      <c r="L847" s="271" t="str">
        <f t="shared" si="47"/>
        <v>12/30/99 0:00</v>
      </c>
      <c r="M847" s="278"/>
      <c r="N847" s="290"/>
      <c r="O847" s="276"/>
      <c r="P847" s="276"/>
      <c r="Q847" s="278"/>
      <c r="R847" s="278"/>
      <c r="S847" s="278"/>
      <c r="T847" s="278"/>
      <c r="U847" s="279"/>
      <c r="V847" s="279"/>
      <c r="W847" s="279"/>
      <c r="X847" s="279"/>
      <c r="Y847" s="279"/>
      <c r="Z847" s="282"/>
      <c r="AA847" s="282"/>
      <c r="AB847" s="282"/>
      <c r="AC847" s="284"/>
      <c r="AD847" s="284"/>
    </row>
    <row r="848" ht="14.25" customHeight="1">
      <c r="A848" s="266"/>
      <c r="B848" s="266"/>
      <c r="C848" s="266"/>
      <c r="D848" s="266"/>
      <c r="E848" s="268"/>
      <c r="F848" s="291"/>
      <c r="G848" s="268"/>
      <c r="H848" s="268"/>
      <c r="I848" s="268"/>
      <c r="J848" s="268"/>
      <c r="K848" s="268"/>
      <c r="L848" s="271" t="str">
        <f t="shared" si="47"/>
        <v>12/30/99 0:00</v>
      </c>
      <c r="M848" s="278"/>
      <c r="N848" s="290"/>
      <c r="O848" s="276"/>
      <c r="P848" s="276"/>
      <c r="Q848" s="278"/>
      <c r="R848" s="278"/>
      <c r="S848" s="278"/>
      <c r="T848" s="278"/>
      <c r="U848" s="279"/>
      <c r="V848" s="279"/>
      <c r="W848" s="279"/>
      <c r="X848" s="279"/>
      <c r="Y848" s="279"/>
      <c r="Z848" s="282"/>
      <c r="AA848" s="282"/>
      <c r="AB848" s="282"/>
      <c r="AC848" s="284"/>
      <c r="AD848" s="284"/>
    </row>
    <row r="849" ht="14.25" customHeight="1">
      <c r="A849" s="266"/>
      <c r="B849" s="266"/>
      <c r="C849" s="266"/>
      <c r="D849" s="266"/>
      <c r="E849" s="268"/>
      <c r="F849" s="291"/>
      <c r="G849" s="268"/>
      <c r="H849" s="268"/>
      <c r="I849" s="268"/>
      <c r="J849" s="268"/>
      <c r="K849" s="268"/>
      <c r="L849" s="271" t="str">
        <f t="shared" si="47"/>
        <v>12/30/99 0:00</v>
      </c>
      <c r="M849" s="278"/>
      <c r="N849" s="290"/>
      <c r="O849" s="276"/>
      <c r="P849" s="276"/>
      <c r="Q849" s="278"/>
      <c r="R849" s="278"/>
      <c r="S849" s="278"/>
      <c r="T849" s="278"/>
      <c r="U849" s="279"/>
      <c r="V849" s="279"/>
      <c r="W849" s="279"/>
      <c r="X849" s="279"/>
      <c r="Y849" s="279"/>
      <c r="Z849" s="282"/>
      <c r="AA849" s="282"/>
      <c r="AB849" s="282"/>
      <c r="AC849" s="284"/>
      <c r="AD849" s="284"/>
    </row>
    <row r="850" ht="14.25" customHeight="1">
      <c r="A850" s="266"/>
      <c r="B850" s="266"/>
      <c r="C850" s="266"/>
      <c r="D850" s="266"/>
      <c r="E850" s="268"/>
      <c r="F850" s="291"/>
      <c r="G850" s="268"/>
      <c r="H850" s="268"/>
      <c r="I850" s="268"/>
      <c r="J850" s="268"/>
      <c r="K850" s="268"/>
      <c r="L850" s="271" t="str">
        <f t="shared" si="47"/>
        <v>12/30/99 0:00</v>
      </c>
      <c r="M850" s="278"/>
      <c r="N850" s="290"/>
      <c r="O850" s="276"/>
      <c r="P850" s="276"/>
      <c r="Q850" s="278"/>
      <c r="R850" s="278"/>
      <c r="S850" s="278"/>
      <c r="T850" s="278"/>
      <c r="U850" s="279"/>
      <c r="V850" s="279"/>
      <c r="W850" s="279"/>
      <c r="X850" s="279"/>
      <c r="Y850" s="279"/>
      <c r="Z850" s="282"/>
      <c r="AA850" s="282"/>
      <c r="AB850" s="282"/>
      <c r="AC850" s="284"/>
      <c r="AD850" s="284"/>
    </row>
    <row r="851" ht="14.25" customHeight="1">
      <c r="A851" s="266"/>
      <c r="B851" s="266"/>
      <c r="C851" s="266"/>
      <c r="D851" s="266"/>
      <c r="E851" s="268"/>
      <c r="F851" s="291"/>
      <c r="G851" s="268"/>
      <c r="H851" s="268"/>
      <c r="I851" s="268"/>
      <c r="J851" s="268"/>
      <c r="K851" s="268"/>
      <c r="L851" s="271" t="str">
        <f t="shared" si="47"/>
        <v>12/30/99 0:00</v>
      </c>
      <c r="M851" s="278"/>
      <c r="N851" s="290"/>
      <c r="O851" s="276"/>
      <c r="P851" s="276"/>
      <c r="Q851" s="278"/>
      <c r="R851" s="278"/>
      <c r="S851" s="278"/>
      <c r="T851" s="278"/>
      <c r="U851" s="279"/>
      <c r="V851" s="279"/>
      <c r="W851" s="279"/>
      <c r="X851" s="279"/>
      <c r="Y851" s="279"/>
      <c r="Z851" s="282"/>
      <c r="AA851" s="282"/>
      <c r="AB851" s="282"/>
      <c r="AC851" s="284"/>
      <c r="AD851" s="284"/>
    </row>
    <row r="852" ht="14.25" customHeight="1">
      <c r="A852" s="266"/>
      <c r="B852" s="266"/>
      <c r="C852" s="266"/>
      <c r="D852" s="266"/>
      <c r="E852" s="268"/>
      <c r="F852" s="291"/>
      <c r="G852" s="268"/>
      <c r="H852" s="268"/>
      <c r="I852" s="268"/>
      <c r="J852" s="268"/>
      <c r="K852" s="268"/>
      <c r="L852" s="271" t="str">
        <f t="shared" si="47"/>
        <v>12/30/99 0:00</v>
      </c>
      <c r="M852" s="278"/>
      <c r="N852" s="290"/>
      <c r="O852" s="276"/>
      <c r="P852" s="276"/>
      <c r="Q852" s="278"/>
      <c r="R852" s="278"/>
      <c r="S852" s="278"/>
      <c r="T852" s="278"/>
      <c r="U852" s="279"/>
      <c r="V852" s="279"/>
      <c r="W852" s="279"/>
      <c r="X852" s="279"/>
      <c r="Y852" s="279"/>
      <c r="Z852" s="282"/>
      <c r="AA852" s="282"/>
      <c r="AB852" s="282"/>
      <c r="AC852" s="284"/>
      <c r="AD852" s="284"/>
    </row>
    <row r="853" ht="14.25" customHeight="1">
      <c r="A853" s="266"/>
      <c r="B853" s="266"/>
      <c r="C853" s="266"/>
      <c r="D853" s="266"/>
      <c r="E853" s="268"/>
      <c r="F853" s="291"/>
      <c r="G853" s="268"/>
      <c r="H853" s="268"/>
      <c r="I853" s="268"/>
      <c r="J853" s="268"/>
      <c r="K853" s="268"/>
      <c r="L853" s="271" t="str">
        <f t="shared" si="47"/>
        <v>12/30/99 0:00</v>
      </c>
      <c r="M853" s="278"/>
      <c r="N853" s="290"/>
      <c r="O853" s="276"/>
      <c r="P853" s="276"/>
      <c r="Q853" s="278"/>
      <c r="R853" s="278"/>
      <c r="S853" s="278"/>
      <c r="T853" s="278"/>
      <c r="U853" s="279"/>
      <c r="V853" s="279"/>
      <c r="W853" s="279"/>
      <c r="X853" s="279"/>
      <c r="Y853" s="279"/>
      <c r="Z853" s="282"/>
      <c r="AA853" s="282"/>
      <c r="AB853" s="282"/>
      <c r="AC853" s="284"/>
      <c r="AD853" s="284"/>
    </row>
    <row r="854" ht="14.25" customHeight="1">
      <c r="A854" s="266"/>
      <c r="B854" s="266"/>
      <c r="C854" s="266"/>
      <c r="D854" s="266"/>
      <c r="E854" s="268"/>
      <c r="F854" s="291"/>
      <c r="G854" s="268"/>
      <c r="H854" s="268"/>
      <c r="I854" s="268"/>
      <c r="J854" s="268"/>
      <c r="K854" s="268"/>
      <c r="L854" s="271" t="str">
        <f t="shared" si="47"/>
        <v>12/30/99 0:00</v>
      </c>
      <c r="M854" s="278"/>
      <c r="N854" s="290"/>
      <c r="O854" s="276"/>
      <c r="P854" s="276"/>
      <c r="Q854" s="278"/>
      <c r="R854" s="278"/>
      <c r="S854" s="278"/>
      <c r="T854" s="278"/>
      <c r="U854" s="279"/>
      <c r="V854" s="279"/>
      <c r="W854" s="279"/>
      <c r="X854" s="279"/>
      <c r="Y854" s="279"/>
      <c r="Z854" s="282"/>
      <c r="AA854" s="282"/>
      <c r="AB854" s="282"/>
      <c r="AC854" s="284"/>
      <c r="AD854" s="284"/>
    </row>
    <row r="855" ht="14.25" customHeight="1">
      <c r="A855" s="266"/>
      <c r="B855" s="266"/>
      <c r="C855" s="266"/>
      <c r="D855" s="266"/>
      <c r="E855" s="268"/>
      <c r="F855" s="291"/>
      <c r="G855" s="268"/>
      <c r="H855" s="268"/>
      <c r="I855" s="268"/>
      <c r="J855" s="268"/>
      <c r="K855" s="268"/>
      <c r="L855" s="271" t="str">
        <f t="shared" si="47"/>
        <v>12/30/99 0:00</v>
      </c>
      <c r="M855" s="278"/>
      <c r="N855" s="290"/>
      <c r="O855" s="276"/>
      <c r="P855" s="276"/>
      <c r="Q855" s="278"/>
      <c r="R855" s="278"/>
      <c r="S855" s="278"/>
      <c r="T855" s="278"/>
      <c r="U855" s="279"/>
      <c r="V855" s="279"/>
      <c r="W855" s="279"/>
      <c r="X855" s="279"/>
      <c r="Y855" s="279"/>
      <c r="Z855" s="282"/>
      <c r="AA855" s="282"/>
      <c r="AB855" s="282"/>
      <c r="AC855" s="284"/>
      <c r="AD855" s="284"/>
    </row>
    <row r="856" ht="14.25" customHeight="1">
      <c r="A856" s="266"/>
      <c r="B856" s="266"/>
      <c r="C856" s="266"/>
      <c r="D856" s="266"/>
      <c r="E856" s="268"/>
      <c r="F856" s="291"/>
      <c r="G856" s="268"/>
      <c r="H856" s="268"/>
      <c r="I856" s="268"/>
      <c r="J856" s="268"/>
      <c r="K856" s="268"/>
      <c r="L856" s="271" t="str">
        <f t="shared" si="47"/>
        <v>12/30/99 0:00</v>
      </c>
      <c r="M856" s="278"/>
      <c r="N856" s="290"/>
      <c r="O856" s="276"/>
      <c r="P856" s="276"/>
      <c r="Q856" s="278"/>
      <c r="R856" s="278"/>
      <c r="S856" s="278"/>
      <c r="T856" s="278"/>
      <c r="U856" s="279"/>
      <c r="V856" s="279"/>
      <c r="W856" s="279"/>
      <c r="X856" s="279"/>
      <c r="Y856" s="279"/>
      <c r="Z856" s="282"/>
      <c r="AA856" s="282"/>
      <c r="AB856" s="282"/>
      <c r="AC856" s="284"/>
      <c r="AD856" s="284"/>
    </row>
    <row r="857" ht="14.25" customHeight="1">
      <c r="A857" s="266"/>
      <c r="B857" s="266"/>
      <c r="C857" s="266"/>
      <c r="D857" s="266"/>
      <c r="E857" s="268"/>
      <c r="F857" s="291"/>
      <c r="G857" s="268"/>
      <c r="H857" s="268"/>
      <c r="I857" s="268"/>
      <c r="J857" s="268"/>
      <c r="K857" s="268"/>
      <c r="L857" s="271" t="str">
        <f t="shared" si="47"/>
        <v>12/30/99 0:00</v>
      </c>
      <c r="M857" s="278"/>
      <c r="N857" s="290"/>
      <c r="O857" s="276"/>
      <c r="P857" s="276"/>
      <c r="Q857" s="278"/>
      <c r="R857" s="278"/>
      <c r="S857" s="278"/>
      <c r="T857" s="278"/>
      <c r="U857" s="279"/>
      <c r="V857" s="279"/>
      <c r="W857" s="279"/>
      <c r="X857" s="279"/>
      <c r="Y857" s="279"/>
      <c r="Z857" s="282"/>
      <c r="AA857" s="282"/>
      <c r="AB857" s="282"/>
      <c r="AC857" s="284"/>
      <c r="AD857" s="284"/>
    </row>
    <row r="858" ht="14.25" customHeight="1">
      <c r="A858" s="266"/>
      <c r="B858" s="266"/>
      <c r="C858" s="266"/>
      <c r="D858" s="266"/>
      <c r="E858" s="268"/>
      <c r="F858" s="291"/>
      <c r="G858" s="268"/>
      <c r="H858" s="268"/>
      <c r="I858" s="268"/>
      <c r="J858" s="268"/>
      <c r="K858" s="268"/>
      <c r="L858" s="271" t="str">
        <f t="shared" si="47"/>
        <v>12/30/99 0:00</v>
      </c>
      <c r="M858" s="278"/>
      <c r="N858" s="290"/>
      <c r="O858" s="276"/>
      <c r="P858" s="276"/>
      <c r="Q858" s="278"/>
      <c r="R858" s="278"/>
      <c r="S858" s="278"/>
      <c r="T858" s="278"/>
      <c r="U858" s="279"/>
      <c r="V858" s="279"/>
      <c r="W858" s="279"/>
      <c r="X858" s="279"/>
      <c r="Y858" s="279"/>
      <c r="Z858" s="282"/>
      <c r="AA858" s="282"/>
      <c r="AB858" s="282"/>
      <c r="AC858" s="284"/>
      <c r="AD858" s="284"/>
    </row>
    <row r="859" ht="14.25" customHeight="1">
      <c r="A859" s="266"/>
      <c r="B859" s="266"/>
      <c r="C859" s="266"/>
      <c r="D859" s="266"/>
      <c r="E859" s="268"/>
      <c r="F859" s="291"/>
      <c r="G859" s="268"/>
      <c r="H859" s="268"/>
      <c r="I859" s="268"/>
      <c r="J859" s="268"/>
      <c r="K859" s="268"/>
      <c r="L859" s="271" t="str">
        <f t="shared" si="47"/>
        <v>12/30/99 0:00</v>
      </c>
      <c r="M859" s="278"/>
      <c r="N859" s="290"/>
      <c r="O859" s="276"/>
      <c r="P859" s="276"/>
      <c r="Q859" s="278"/>
      <c r="R859" s="278"/>
      <c r="S859" s="278"/>
      <c r="T859" s="278"/>
      <c r="U859" s="279"/>
      <c r="V859" s="279"/>
      <c r="W859" s="279"/>
      <c r="X859" s="279"/>
      <c r="Y859" s="279"/>
      <c r="Z859" s="282"/>
      <c r="AA859" s="282"/>
      <c r="AB859" s="282"/>
      <c r="AC859" s="284"/>
      <c r="AD859" s="284"/>
    </row>
    <row r="860" ht="14.25" customHeight="1">
      <c r="A860" s="266"/>
      <c r="B860" s="266"/>
      <c r="C860" s="266"/>
      <c r="D860" s="266"/>
      <c r="E860" s="268"/>
      <c r="F860" s="291"/>
      <c r="G860" s="268"/>
      <c r="H860" s="268"/>
      <c r="I860" s="268"/>
      <c r="J860" s="268"/>
      <c r="K860" s="268"/>
      <c r="L860" s="271" t="str">
        <f t="shared" si="47"/>
        <v>12/30/99 0:00</v>
      </c>
      <c r="M860" s="278"/>
      <c r="N860" s="290"/>
      <c r="O860" s="276"/>
      <c r="P860" s="276"/>
      <c r="Q860" s="278"/>
      <c r="R860" s="278"/>
      <c r="S860" s="278"/>
      <c r="T860" s="278"/>
      <c r="U860" s="279"/>
      <c r="V860" s="279"/>
      <c r="W860" s="279"/>
      <c r="X860" s="279"/>
      <c r="Y860" s="279"/>
      <c r="Z860" s="282"/>
      <c r="AA860" s="282"/>
      <c r="AB860" s="282"/>
      <c r="AC860" s="284"/>
      <c r="AD860" s="284"/>
    </row>
    <row r="861" ht="14.25" customHeight="1">
      <c r="A861" s="266"/>
      <c r="B861" s="266"/>
      <c r="C861" s="266"/>
      <c r="D861" s="266"/>
      <c r="E861" s="268"/>
      <c r="F861" s="291"/>
      <c r="G861" s="268"/>
      <c r="H861" s="268"/>
      <c r="I861" s="268"/>
      <c r="J861" s="268"/>
      <c r="K861" s="268"/>
      <c r="L861" s="271" t="str">
        <f t="shared" si="47"/>
        <v>12/30/99 0:00</v>
      </c>
      <c r="M861" s="278"/>
      <c r="N861" s="290"/>
      <c r="O861" s="276"/>
      <c r="P861" s="276"/>
      <c r="Q861" s="278"/>
      <c r="R861" s="278"/>
      <c r="S861" s="278"/>
      <c r="T861" s="278"/>
      <c r="U861" s="279"/>
      <c r="V861" s="279"/>
      <c r="W861" s="279"/>
      <c r="X861" s="279"/>
      <c r="Y861" s="279"/>
      <c r="Z861" s="282"/>
      <c r="AA861" s="282"/>
      <c r="AB861" s="282"/>
      <c r="AC861" s="284"/>
      <c r="AD861" s="284"/>
    </row>
    <row r="862" ht="14.25" customHeight="1">
      <c r="A862" s="266"/>
      <c r="B862" s="266"/>
      <c r="C862" s="266"/>
      <c r="D862" s="266"/>
      <c r="E862" s="268"/>
      <c r="F862" s="291"/>
      <c r="G862" s="268"/>
      <c r="H862" s="268"/>
      <c r="I862" s="268"/>
      <c r="J862" s="268"/>
      <c r="K862" s="268"/>
      <c r="L862" s="271" t="str">
        <f t="shared" si="47"/>
        <v>12/30/99 0:00</v>
      </c>
      <c r="M862" s="278"/>
      <c r="N862" s="290"/>
      <c r="O862" s="276"/>
      <c r="P862" s="276"/>
      <c r="Q862" s="278"/>
      <c r="R862" s="278"/>
      <c r="S862" s="278"/>
      <c r="T862" s="278"/>
      <c r="U862" s="279"/>
      <c r="V862" s="279"/>
      <c r="W862" s="279"/>
      <c r="X862" s="279"/>
      <c r="Y862" s="279"/>
      <c r="Z862" s="282"/>
      <c r="AA862" s="282"/>
      <c r="AB862" s="282"/>
      <c r="AC862" s="284"/>
      <c r="AD862" s="284"/>
    </row>
    <row r="863" ht="14.25" customHeight="1">
      <c r="A863" s="266"/>
      <c r="B863" s="266"/>
      <c r="C863" s="266"/>
      <c r="D863" s="266"/>
      <c r="E863" s="268"/>
      <c r="F863" s="291"/>
      <c r="G863" s="268"/>
      <c r="H863" s="268"/>
      <c r="I863" s="268"/>
      <c r="J863" s="268"/>
      <c r="K863" s="268"/>
      <c r="L863" s="271" t="str">
        <f t="shared" si="47"/>
        <v>12/30/99 0:00</v>
      </c>
      <c r="M863" s="278"/>
      <c r="N863" s="290"/>
      <c r="O863" s="276"/>
      <c r="P863" s="276"/>
      <c r="Q863" s="278"/>
      <c r="R863" s="278"/>
      <c r="S863" s="278"/>
      <c r="T863" s="278"/>
      <c r="U863" s="279"/>
      <c r="V863" s="279"/>
      <c r="W863" s="279"/>
      <c r="X863" s="279"/>
      <c r="Y863" s="279"/>
      <c r="Z863" s="282"/>
      <c r="AA863" s="282"/>
      <c r="AB863" s="282"/>
      <c r="AC863" s="284"/>
      <c r="AD863" s="284"/>
    </row>
    <row r="864" ht="14.25" customHeight="1">
      <c r="A864" s="266"/>
      <c r="B864" s="266"/>
      <c r="C864" s="266"/>
      <c r="D864" s="266"/>
      <c r="E864" s="268"/>
      <c r="F864" s="291"/>
      <c r="G864" s="268"/>
      <c r="H864" s="268"/>
      <c r="I864" s="268"/>
      <c r="J864" s="268"/>
      <c r="K864" s="268"/>
      <c r="L864" s="271" t="str">
        <f t="shared" si="47"/>
        <v>12/30/99 0:00</v>
      </c>
      <c r="M864" s="278"/>
      <c r="N864" s="290"/>
      <c r="O864" s="276"/>
      <c r="P864" s="276"/>
      <c r="Q864" s="278"/>
      <c r="R864" s="278"/>
      <c r="S864" s="278"/>
      <c r="T864" s="278"/>
      <c r="U864" s="279"/>
      <c r="V864" s="279"/>
      <c r="W864" s="279"/>
      <c r="X864" s="279"/>
      <c r="Y864" s="279"/>
      <c r="Z864" s="282"/>
      <c r="AA864" s="282"/>
      <c r="AB864" s="282"/>
      <c r="AC864" s="284"/>
      <c r="AD864" s="284"/>
    </row>
    <row r="865" ht="14.25" customHeight="1">
      <c r="A865" s="266"/>
      <c r="B865" s="266"/>
      <c r="C865" s="266"/>
      <c r="D865" s="266"/>
      <c r="E865" s="268"/>
      <c r="F865" s="291"/>
      <c r="G865" s="268"/>
      <c r="H865" s="268"/>
      <c r="I865" s="268"/>
      <c r="J865" s="268"/>
      <c r="K865" s="268"/>
      <c r="L865" s="271" t="str">
        <f t="shared" si="47"/>
        <v>12/30/99 0:00</v>
      </c>
      <c r="M865" s="278"/>
      <c r="N865" s="290"/>
      <c r="O865" s="276"/>
      <c r="P865" s="276"/>
      <c r="Q865" s="278"/>
      <c r="R865" s="278"/>
      <c r="S865" s="278"/>
      <c r="T865" s="278"/>
      <c r="U865" s="279"/>
      <c r="V865" s="279"/>
      <c r="W865" s="279"/>
      <c r="X865" s="279"/>
      <c r="Y865" s="279"/>
      <c r="Z865" s="282"/>
      <c r="AA865" s="282"/>
      <c r="AB865" s="282"/>
      <c r="AC865" s="284"/>
      <c r="AD865" s="284"/>
    </row>
    <row r="866" ht="14.25" customHeight="1">
      <c r="A866" s="266"/>
      <c r="B866" s="266"/>
      <c r="C866" s="266"/>
      <c r="D866" s="266"/>
      <c r="E866" s="268"/>
      <c r="F866" s="291"/>
      <c r="G866" s="268"/>
      <c r="H866" s="268"/>
      <c r="I866" s="268"/>
      <c r="J866" s="268"/>
      <c r="K866" s="268"/>
      <c r="L866" s="271" t="str">
        <f t="shared" si="47"/>
        <v>12/30/99 0:00</v>
      </c>
      <c r="M866" s="278"/>
      <c r="N866" s="290"/>
      <c r="O866" s="276"/>
      <c r="P866" s="276"/>
      <c r="Q866" s="278"/>
      <c r="R866" s="278"/>
      <c r="S866" s="278"/>
      <c r="T866" s="278"/>
      <c r="U866" s="279"/>
      <c r="V866" s="279"/>
      <c r="W866" s="279"/>
      <c r="X866" s="279"/>
      <c r="Y866" s="279"/>
      <c r="Z866" s="282"/>
      <c r="AA866" s="282"/>
      <c r="AB866" s="282"/>
      <c r="AC866" s="284"/>
      <c r="AD866" s="284"/>
    </row>
    <row r="867" ht="14.25" customHeight="1">
      <c r="A867" s="266"/>
      <c r="B867" s="266"/>
      <c r="C867" s="266"/>
      <c r="D867" s="266"/>
      <c r="E867" s="268"/>
      <c r="F867" s="291"/>
      <c r="G867" s="268"/>
      <c r="H867" s="268"/>
      <c r="I867" s="268"/>
      <c r="J867" s="268"/>
      <c r="K867" s="268"/>
      <c r="L867" s="271" t="str">
        <f t="shared" si="47"/>
        <v>12/30/99 0:00</v>
      </c>
      <c r="M867" s="278"/>
      <c r="N867" s="290"/>
      <c r="O867" s="276"/>
      <c r="P867" s="276"/>
      <c r="Q867" s="278"/>
      <c r="R867" s="278"/>
      <c r="S867" s="278"/>
      <c r="T867" s="278"/>
      <c r="U867" s="279"/>
      <c r="V867" s="279"/>
      <c r="W867" s="279"/>
      <c r="X867" s="279"/>
      <c r="Y867" s="279"/>
      <c r="Z867" s="282"/>
      <c r="AA867" s="282"/>
      <c r="AB867" s="282"/>
      <c r="AC867" s="284"/>
      <c r="AD867" s="284"/>
    </row>
    <row r="868" ht="14.25" customHeight="1">
      <c r="A868" s="266"/>
      <c r="B868" s="266"/>
      <c r="C868" s="266"/>
      <c r="D868" s="266"/>
      <c r="E868" s="268"/>
      <c r="F868" s="291"/>
      <c r="G868" s="268"/>
      <c r="H868" s="268"/>
      <c r="I868" s="268"/>
      <c r="J868" s="268"/>
      <c r="K868" s="268"/>
      <c r="L868" s="271" t="str">
        <f t="shared" si="47"/>
        <v>12/30/99 0:00</v>
      </c>
      <c r="M868" s="278"/>
      <c r="N868" s="290"/>
      <c r="O868" s="276"/>
      <c r="P868" s="276"/>
      <c r="Q868" s="278"/>
      <c r="R868" s="278"/>
      <c r="S868" s="278"/>
      <c r="T868" s="278"/>
      <c r="U868" s="279"/>
      <c r="V868" s="279"/>
      <c r="W868" s="279"/>
      <c r="X868" s="279"/>
      <c r="Y868" s="279"/>
      <c r="Z868" s="282"/>
      <c r="AA868" s="282"/>
      <c r="AB868" s="282"/>
      <c r="AC868" s="284"/>
      <c r="AD868" s="284"/>
    </row>
    <row r="869" ht="14.25" customHeight="1">
      <c r="A869" s="266"/>
      <c r="B869" s="266"/>
      <c r="C869" s="266"/>
      <c r="D869" s="266"/>
      <c r="E869" s="268"/>
      <c r="F869" s="291"/>
      <c r="G869" s="268"/>
      <c r="H869" s="268"/>
      <c r="I869" s="268"/>
      <c r="J869" s="268"/>
      <c r="K869" s="268"/>
      <c r="L869" s="271" t="str">
        <f t="shared" si="47"/>
        <v>12/30/99 0:00</v>
      </c>
      <c r="M869" s="278"/>
      <c r="N869" s="290"/>
      <c r="O869" s="276"/>
      <c r="P869" s="276"/>
      <c r="Q869" s="278"/>
      <c r="R869" s="278"/>
      <c r="S869" s="278"/>
      <c r="T869" s="278"/>
      <c r="U869" s="279"/>
      <c r="V869" s="279"/>
      <c r="W869" s="279"/>
      <c r="X869" s="279"/>
      <c r="Y869" s="279"/>
      <c r="Z869" s="282"/>
      <c r="AA869" s="282"/>
      <c r="AB869" s="282"/>
      <c r="AC869" s="284"/>
      <c r="AD869" s="284"/>
    </row>
    <row r="870" ht="14.25" customHeight="1">
      <c r="A870" s="266"/>
      <c r="B870" s="266"/>
      <c r="C870" s="266"/>
      <c r="D870" s="266"/>
      <c r="E870" s="268"/>
      <c r="F870" s="291"/>
      <c r="G870" s="268"/>
      <c r="H870" s="268"/>
      <c r="I870" s="268"/>
      <c r="J870" s="268"/>
      <c r="K870" s="268"/>
      <c r="L870" s="271" t="str">
        <f t="shared" si="47"/>
        <v>12/30/99 0:00</v>
      </c>
      <c r="M870" s="278"/>
      <c r="N870" s="290"/>
      <c r="O870" s="276"/>
      <c r="P870" s="276"/>
      <c r="Q870" s="278"/>
      <c r="R870" s="278"/>
      <c r="S870" s="278"/>
      <c r="T870" s="278"/>
      <c r="U870" s="279"/>
      <c r="V870" s="279"/>
      <c r="W870" s="279"/>
      <c r="X870" s="279"/>
      <c r="Y870" s="279"/>
      <c r="Z870" s="282"/>
      <c r="AA870" s="282"/>
      <c r="AB870" s="282"/>
      <c r="AC870" s="284"/>
      <c r="AD870" s="284"/>
    </row>
    <row r="871" ht="14.25" customHeight="1">
      <c r="A871" s="266"/>
      <c r="B871" s="266"/>
      <c r="C871" s="266"/>
      <c r="D871" s="266"/>
      <c r="E871" s="268"/>
      <c r="F871" s="291"/>
      <c r="G871" s="268"/>
      <c r="H871" s="268"/>
      <c r="I871" s="268"/>
      <c r="J871" s="268"/>
      <c r="K871" s="268"/>
      <c r="L871" s="271" t="str">
        <f t="shared" si="47"/>
        <v>12/30/99 0:00</v>
      </c>
      <c r="M871" s="278"/>
      <c r="N871" s="290"/>
      <c r="O871" s="276"/>
      <c r="P871" s="276"/>
      <c r="Q871" s="278"/>
      <c r="R871" s="278"/>
      <c r="S871" s="278"/>
      <c r="T871" s="278"/>
      <c r="U871" s="279"/>
      <c r="V871" s="279"/>
      <c r="W871" s="279"/>
      <c r="X871" s="279"/>
      <c r="Y871" s="279"/>
      <c r="Z871" s="282"/>
      <c r="AA871" s="282"/>
      <c r="AB871" s="282"/>
      <c r="AC871" s="284"/>
      <c r="AD871" s="284"/>
    </row>
    <row r="872" ht="14.25" customHeight="1">
      <c r="A872" s="266"/>
      <c r="B872" s="266"/>
      <c r="C872" s="266"/>
      <c r="D872" s="266"/>
      <c r="E872" s="268"/>
      <c r="F872" s="291"/>
      <c r="G872" s="268"/>
      <c r="H872" s="268"/>
      <c r="I872" s="268"/>
      <c r="J872" s="268"/>
      <c r="K872" s="268"/>
      <c r="L872" s="271" t="str">
        <f t="shared" si="47"/>
        <v>12/30/99 0:00</v>
      </c>
      <c r="M872" s="278"/>
      <c r="N872" s="290"/>
      <c r="O872" s="276"/>
      <c r="P872" s="276"/>
      <c r="Q872" s="278"/>
      <c r="R872" s="278"/>
      <c r="S872" s="278"/>
      <c r="T872" s="278"/>
      <c r="U872" s="279"/>
      <c r="V872" s="279"/>
      <c r="W872" s="279"/>
      <c r="X872" s="279"/>
      <c r="Y872" s="279"/>
      <c r="Z872" s="282"/>
      <c r="AA872" s="282"/>
      <c r="AB872" s="282"/>
      <c r="AC872" s="284"/>
      <c r="AD872" s="284"/>
    </row>
    <row r="873" ht="14.25" customHeight="1">
      <c r="A873" s="266"/>
      <c r="B873" s="266"/>
      <c r="C873" s="266"/>
      <c r="D873" s="266"/>
      <c r="E873" s="268"/>
      <c r="F873" s="291"/>
      <c r="G873" s="268"/>
      <c r="H873" s="268"/>
      <c r="I873" s="268"/>
      <c r="J873" s="268"/>
      <c r="K873" s="268"/>
      <c r="L873" s="271" t="str">
        <f t="shared" si="47"/>
        <v>12/30/99 0:00</v>
      </c>
      <c r="M873" s="278"/>
      <c r="N873" s="290"/>
      <c r="O873" s="276"/>
      <c r="P873" s="276"/>
      <c r="Q873" s="278"/>
      <c r="R873" s="278"/>
      <c r="S873" s="278"/>
      <c r="T873" s="278"/>
      <c r="U873" s="279"/>
      <c r="V873" s="279"/>
      <c r="W873" s="279"/>
      <c r="X873" s="279"/>
      <c r="Y873" s="279"/>
      <c r="Z873" s="282"/>
      <c r="AA873" s="282"/>
      <c r="AB873" s="282"/>
      <c r="AC873" s="284"/>
      <c r="AD873" s="284"/>
    </row>
    <row r="874" ht="14.25" customHeight="1">
      <c r="A874" s="266"/>
      <c r="B874" s="266"/>
      <c r="C874" s="266"/>
      <c r="D874" s="266"/>
      <c r="E874" s="268"/>
      <c r="F874" s="291"/>
      <c r="G874" s="268"/>
      <c r="H874" s="268"/>
      <c r="I874" s="268"/>
      <c r="J874" s="268"/>
      <c r="K874" s="268"/>
      <c r="L874" s="271" t="str">
        <f t="shared" si="47"/>
        <v>12/30/99 0:00</v>
      </c>
      <c r="M874" s="278"/>
      <c r="N874" s="290"/>
      <c r="O874" s="276"/>
      <c r="P874" s="276"/>
      <c r="Q874" s="278"/>
      <c r="R874" s="278"/>
      <c r="S874" s="278"/>
      <c r="T874" s="278"/>
      <c r="U874" s="279"/>
      <c r="V874" s="279"/>
      <c r="W874" s="279"/>
      <c r="X874" s="279"/>
      <c r="Y874" s="279"/>
      <c r="Z874" s="282"/>
      <c r="AA874" s="282"/>
      <c r="AB874" s="282"/>
      <c r="AC874" s="284"/>
      <c r="AD874" s="284"/>
    </row>
    <row r="875" ht="14.25" customHeight="1">
      <c r="A875" s="266"/>
      <c r="B875" s="266"/>
      <c r="C875" s="266"/>
      <c r="D875" s="266"/>
      <c r="E875" s="268"/>
      <c r="F875" s="291"/>
      <c r="G875" s="268"/>
      <c r="H875" s="268"/>
      <c r="I875" s="268"/>
      <c r="J875" s="268"/>
      <c r="K875" s="268"/>
      <c r="L875" s="271" t="str">
        <f t="shared" si="47"/>
        <v>12/30/99 0:00</v>
      </c>
      <c r="M875" s="278"/>
      <c r="N875" s="290"/>
      <c r="O875" s="276"/>
      <c r="P875" s="276"/>
      <c r="Q875" s="278"/>
      <c r="R875" s="278"/>
      <c r="S875" s="278"/>
      <c r="T875" s="278"/>
      <c r="U875" s="279"/>
      <c r="V875" s="279"/>
      <c r="W875" s="279"/>
      <c r="X875" s="279"/>
      <c r="Y875" s="279"/>
      <c r="Z875" s="282"/>
      <c r="AA875" s="282"/>
      <c r="AB875" s="282"/>
      <c r="AC875" s="284"/>
      <c r="AD875" s="284"/>
    </row>
    <row r="876" ht="14.25" customHeight="1">
      <c r="A876" s="266"/>
      <c r="B876" s="266"/>
      <c r="C876" s="266"/>
      <c r="D876" s="266"/>
      <c r="E876" s="268"/>
      <c r="F876" s="291"/>
      <c r="G876" s="268"/>
      <c r="H876" s="268"/>
      <c r="I876" s="268"/>
      <c r="J876" s="268"/>
      <c r="K876" s="268"/>
      <c r="L876" s="271" t="str">
        <f t="shared" si="47"/>
        <v>12/30/99 0:00</v>
      </c>
      <c r="M876" s="278"/>
      <c r="N876" s="290"/>
      <c r="O876" s="276"/>
      <c r="P876" s="276"/>
      <c r="Q876" s="278"/>
      <c r="R876" s="278"/>
      <c r="S876" s="278"/>
      <c r="T876" s="278"/>
      <c r="U876" s="279"/>
      <c r="V876" s="279"/>
      <c r="W876" s="279"/>
      <c r="X876" s="279"/>
      <c r="Y876" s="279"/>
      <c r="Z876" s="282"/>
      <c r="AA876" s="282"/>
      <c r="AB876" s="282"/>
      <c r="AC876" s="284"/>
      <c r="AD876" s="284"/>
    </row>
    <row r="877" ht="14.25" customHeight="1">
      <c r="A877" s="266"/>
      <c r="B877" s="266"/>
      <c r="C877" s="266"/>
      <c r="D877" s="266"/>
      <c r="E877" s="268"/>
      <c r="F877" s="291"/>
      <c r="G877" s="268"/>
      <c r="H877" s="268"/>
      <c r="I877" s="268"/>
      <c r="J877" s="268"/>
      <c r="K877" s="268"/>
      <c r="L877" s="271" t="str">
        <f t="shared" si="47"/>
        <v>12/30/99 0:00</v>
      </c>
      <c r="M877" s="278"/>
      <c r="N877" s="290"/>
      <c r="O877" s="276"/>
      <c r="P877" s="276"/>
      <c r="Q877" s="278"/>
      <c r="R877" s="278"/>
      <c r="S877" s="278"/>
      <c r="T877" s="278"/>
      <c r="U877" s="279"/>
      <c r="V877" s="279"/>
      <c r="W877" s="279"/>
      <c r="X877" s="279"/>
      <c r="Y877" s="279"/>
      <c r="Z877" s="282"/>
      <c r="AA877" s="282"/>
      <c r="AB877" s="282"/>
      <c r="AC877" s="284"/>
      <c r="AD877" s="284"/>
    </row>
    <row r="878" ht="14.25" customHeight="1">
      <c r="A878" s="266"/>
      <c r="B878" s="266"/>
      <c r="C878" s="266"/>
      <c r="D878" s="266"/>
      <c r="E878" s="268"/>
      <c r="F878" s="291"/>
      <c r="G878" s="268"/>
      <c r="H878" s="268"/>
      <c r="I878" s="268"/>
      <c r="J878" s="268"/>
      <c r="K878" s="268"/>
      <c r="L878" s="271" t="str">
        <f t="shared" si="47"/>
        <v>12/30/99 0:00</v>
      </c>
      <c r="M878" s="278"/>
      <c r="N878" s="290"/>
      <c r="O878" s="276"/>
      <c r="P878" s="276"/>
      <c r="Q878" s="278"/>
      <c r="R878" s="278"/>
      <c r="S878" s="278"/>
      <c r="T878" s="278"/>
      <c r="U878" s="279"/>
      <c r="V878" s="279"/>
      <c r="W878" s="279"/>
      <c r="X878" s="279"/>
      <c r="Y878" s="279"/>
      <c r="Z878" s="282"/>
      <c r="AA878" s="282"/>
      <c r="AB878" s="282"/>
      <c r="AC878" s="284"/>
      <c r="AD878" s="284"/>
    </row>
    <row r="879" ht="14.25" customHeight="1">
      <c r="A879" s="266"/>
      <c r="B879" s="266"/>
      <c r="C879" s="266"/>
      <c r="D879" s="266"/>
      <c r="E879" s="268"/>
      <c r="F879" s="291"/>
      <c r="G879" s="268"/>
      <c r="H879" s="268"/>
      <c r="I879" s="268"/>
      <c r="J879" s="268"/>
      <c r="K879" s="268"/>
      <c r="L879" s="271" t="str">
        <f t="shared" si="47"/>
        <v>12/30/99 0:00</v>
      </c>
      <c r="M879" s="278"/>
      <c r="N879" s="290"/>
      <c r="O879" s="276"/>
      <c r="P879" s="276"/>
      <c r="Q879" s="278"/>
      <c r="R879" s="278"/>
      <c r="S879" s="278"/>
      <c r="T879" s="278"/>
      <c r="U879" s="279"/>
      <c r="V879" s="279"/>
      <c r="W879" s="279"/>
      <c r="X879" s="279"/>
      <c r="Y879" s="279"/>
      <c r="Z879" s="282"/>
      <c r="AA879" s="282"/>
      <c r="AB879" s="282"/>
      <c r="AC879" s="284"/>
      <c r="AD879" s="284"/>
    </row>
    <row r="880" ht="14.25" customHeight="1">
      <c r="A880" s="266"/>
      <c r="B880" s="266"/>
      <c r="C880" s="266"/>
      <c r="D880" s="266"/>
      <c r="E880" s="268"/>
      <c r="F880" s="291"/>
      <c r="G880" s="268"/>
      <c r="H880" s="268"/>
      <c r="I880" s="268"/>
      <c r="J880" s="268"/>
      <c r="K880" s="268"/>
      <c r="L880" s="271" t="str">
        <f t="shared" si="47"/>
        <v>12/30/99 0:00</v>
      </c>
      <c r="M880" s="278"/>
      <c r="N880" s="290"/>
      <c r="O880" s="276"/>
      <c r="P880" s="276"/>
      <c r="Q880" s="278"/>
      <c r="R880" s="278"/>
      <c r="S880" s="278"/>
      <c r="T880" s="278"/>
      <c r="U880" s="279"/>
      <c r="V880" s="279"/>
      <c r="W880" s="279"/>
      <c r="X880" s="279"/>
      <c r="Y880" s="279"/>
      <c r="Z880" s="282"/>
      <c r="AA880" s="282"/>
      <c r="AB880" s="282"/>
      <c r="AC880" s="284"/>
      <c r="AD880" s="284"/>
    </row>
    <row r="881" ht="14.25" customHeight="1">
      <c r="A881" s="266"/>
      <c r="B881" s="266"/>
      <c r="C881" s="266"/>
      <c r="D881" s="266"/>
      <c r="E881" s="268"/>
      <c r="F881" s="291"/>
      <c r="G881" s="268"/>
      <c r="H881" s="268"/>
      <c r="I881" s="268"/>
      <c r="J881" s="268"/>
      <c r="K881" s="268"/>
      <c r="L881" s="271" t="str">
        <f t="shared" si="47"/>
        <v>12/30/99 0:00</v>
      </c>
      <c r="M881" s="278"/>
      <c r="N881" s="290"/>
      <c r="O881" s="276"/>
      <c r="P881" s="276"/>
      <c r="Q881" s="278"/>
      <c r="R881" s="278"/>
      <c r="S881" s="278"/>
      <c r="T881" s="278"/>
      <c r="U881" s="279"/>
      <c r="V881" s="279"/>
      <c r="W881" s="279"/>
      <c r="X881" s="279"/>
      <c r="Y881" s="279"/>
      <c r="Z881" s="282"/>
      <c r="AA881" s="282"/>
      <c r="AB881" s="282"/>
      <c r="AC881" s="284"/>
      <c r="AD881" s="284"/>
    </row>
    <row r="882" ht="14.25" customHeight="1">
      <c r="A882" s="266"/>
      <c r="B882" s="266"/>
      <c r="C882" s="266"/>
      <c r="D882" s="266"/>
      <c r="E882" s="268"/>
      <c r="F882" s="291"/>
      <c r="G882" s="268"/>
      <c r="H882" s="268"/>
      <c r="I882" s="268"/>
      <c r="J882" s="268"/>
      <c r="K882" s="268"/>
      <c r="L882" s="271" t="str">
        <f t="shared" si="47"/>
        <v>12/30/99 0:00</v>
      </c>
      <c r="M882" s="278"/>
      <c r="N882" s="290"/>
      <c r="O882" s="276"/>
      <c r="P882" s="276"/>
      <c r="Q882" s="278"/>
      <c r="R882" s="278"/>
      <c r="S882" s="278"/>
      <c r="T882" s="278"/>
      <c r="U882" s="279"/>
      <c r="V882" s="279"/>
      <c r="W882" s="279"/>
      <c r="X882" s="279"/>
      <c r="Y882" s="279"/>
      <c r="Z882" s="282"/>
      <c r="AA882" s="282"/>
      <c r="AB882" s="282"/>
      <c r="AC882" s="284"/>
      <c r="AD882" s="284"/>
    </row>
    <row r="883" ht="14.25" customHeight="1">
      <c r="A883" s="266"/>
      <c r="B883" s="266"/>
      <c r="C883" s="266"/>
      <c r="D883" s="266"/>
      <c r="E883" s="268"/>
      <c r="F883" s="291"/>
      <c r="G883" s="268"/>
      <c r="H883" s="268"/>
      <c r="I883" s="268"/>
      <c r="J883" s="268"/>
      <c r="K883" s="268"/>
      <c r="L883" s="271" t="str">
        <f t="shared" si="47"/>
        <v>12/30/99 0:00</v>
      </c>
      <c r="M883" s="278"/>
      <c r="N883" s="290"/>
      <c r="O883" s="276"/>
      <c r="P883" s="276"/>
      <c r="Q883" s="278"/>
      <c r="R883" s="278"/>
      <c r="S883" s="278"/>
      <c r="T883" s="278"/>
      <c r="U883" s="279"/>
      <c r="V883" s="279"/>
      <c r="W883" s="279"/>
      <c r="X883" s="279"/>
      <c r="Y883" s="279"/>
      <c r="Z883" s="282"/>
      <c r="AA883" s="282"/>
      <c r="AB883" s="282"/>
      <c r="AC883" s="284"/>
      <c r="AD883" s="284"/>
    </row>
    <row r="884" ht="14.25" customHeight="1">
      <c r="A884" s="266"/>
      <c r="B884" s="266"/>
      <c r="C884" s="266"/>
      <c r="D884" s="266"/>
      <c r="E884" s="268"/>
      <c r="F884" s="291"/>
      <c r="G884" s="268"/>
      <c r="H884" s="268"/>
      <c r="I884" s="268"/>
      <c r="J884" s="268"/>
      <c r="K884" s="268"/>
      <c r="L884" s="271" t="str">
        <f t="shared" si="47"/>
        <v>12/30/99 0:00</v>
      </c>
      <c r="M884" s="278"/>
      <c r="N884" s="290"/>
      <c r="O884" s="276"/>
      <c r="P884" s="276"/>
      <c r="Q884" s="278"/>
      <c r="R884" s="278"/>
      <c r="S884" s="278"/>
      <c r="T884" s="278"/>
      <c r="U884" s="279"/>
      <c r="V884" s="279"/>
      <c r="W884" s="279"/>
      <c r="X884" s="279"/>
      <c r="Y884" s="279"/>
      <c r="Z884" s="282"/>
      <c r="AA884" s="282"/>
      <c r="AB884" s="282"/>
      <c r="AC884" s="284"/>
      <c r="AD884" s="284"/>
    </row>
    <row r="885" ht="14.25" customHeight="1">
      <c r="A885" s="266"/>
      <c r="B885" s="266"/>
      <c r="C885" s="266"/>
      <c r="D885" s="266"/>
      <c r="E885" s="268"/>
      <c r="F885" s="291"/>
      <c r="G885" s="268"/>
      <c r="H885" s="268"/>
      <c r="I885" s="268"/>
      <c r="J885" s="268"/>
      <c r="K885" s="268"/>
      <c r="L885" s="271" t="str">
        <f t="shared" si="47"/>
        <v>12/30/99 0:00</v>
      </c>
      <c r="M885" s="278"/>
      <c r="N885" s="290"/>
      <c r="O885" s="276"/>
      <c r="P885" s="276"/>
      <c r="Q885" s="278"/>
      <c r="R885" s="278"/>
      <c r="S885" s="278"/>
      <c r="T885" s="278"/>
      <c r="U885" s="279"/>
      <c r="V885" s="279"/>
      <c r="W885" s="279"/>
      <c r="X885" s="279"/>
      <c r="Y885" s="279"/>
      <c r="Z885" s="282"/>
      <c r="AA885" s="282"/>
      <c r="AB885" s="282"/>
      <c r="AC885" s="284"/>
      <c r="AD885" s="284"/>
    </row>
    <row r="886" ht="14.25" customHeight="1">
      <c r="A886" s="266"/>
      <c r="B886" s="266"/>
      <c r="C886" s="266"/>
      <c r="D886" s="266"/>
      <c r="E886" s="268"/>
      <c r="F886" s="291"/>
      <c r="G886" s="268"/>
      <c r="H886" s="268"/>
      <c r="I886" s="268"/>
      <c r="J886" s="268"/>
      <c r="K886" s="268"/>
      <c r="L886" s="271" t="str">
        <f t="shared" si="47"/>
        <v>12/30/99 0:00</v>
      </c>
      <c r="M886" s="278"/>
      <c r="N886" s="290"/>
      <c r="O886" s="276"/>
      <c r="P886" s="276"/>
      <c r="Q886" s="278"/>
      <c r="R886" s="278"/>
      <c r="S886" s="278"/>
      <c r="T886" s="278"/>
      <c r="U886" s="279"/>
      <c r="V886" s="279"/>
      <c r="W886" s="279"/>
      <c r="X886" s="279"/>
      <c r="Y886" s="279"/>
      <c r="Z886" s="282"/>
      <c r="AA886" s="282"/>
      <c r="AB886" s="282"/>
      <c r="AC886" s="284"/>
      <c r="AD886" s="284"/>
    </row>
    <row r="887" ht="14.25" customHeight="1">
      <c r="A887" s="266"/>
      <c r="B887" s="266"/>
      <c r="C887" s="266"/>
      <c r="D887" s="266"/>
      <c r="E887" s="268"/>
      <c r="F887" s="291"/>
      <c r="G887" s="268"/>
      <c r="H887" s="268"/>
      <c r="I887" s="268"/>
      <c r="J887" s="268"/>
      <c r="K887" s="268"/>
      <c r="L887" s="271" t="str">
        <f t="shared" si="47"/>
        <v>12/30/99 0:00</v>
      </c>
      <c r="M887" s="278"/>
      <c r="N887" s="290"/>
      <c r="O887" s="276"/>
      <c r="P887" s="276"/>
      <c r="Q887" s="278"/>
      <c r="R887" s="278"/>
      <c r="S887" s="278"/>
      <c r="T887" s="278"/>
      <c r="U887" s="279"/>
      <c r="V887" s="279"/>
      <c r="W887" s="279"/>
      <c r="X887" s="279"/>
      <c r="Y887" s="279"/>
      <c r="Z887" s="282"/>
      <c r="AA887" s="282"/>
      <c r="AB887" s="282"/>
      <c r="AC887" s="284"/>
      <c r="AD887" s="284"/>
    </row>
    <row r="888" ht="14.25" customHeight="1">
      <c r="A888" s="266"/>
      <c r="B888" s="266"/>
      <c r="C888" s="266"/>
      <c r="D888" s="266"/>
      <c r="E888" s="268"/>
      <c r="F888" s="291"/>
      <c r="G888" s="268"/>
      <c r="H888" s="268"/>
      <c r="I888" s="268"/>
      <c r="J888" s="268"/>
      <c r="K888" s="268"/>
      <c r="L888" s="271" t="str">
        <f t="shared" si="47"/>
        <v>12/30/99 0:00</v>
      </c>
      <c r="M888" s="278"/>
      <c r="N888" s="290"/>
      <c r="O888" s="276"/>
      <c r="P888" s="276"/>
      <c r="Q888" s="278"/>
      <c r="R888" s="278"/>
      <c r="S888" s="278"/>
      <c r="T888" s="278"/>
      <c r="U888" s="279"/>
      <c r="V888" s="279"/>
      <c r="W888" s="279"/>
      <c r="X888" s="279"/>
      <c r="Y888" s="279"/>
      <c r="Z888" s="282"/>
      <c r="AA888" s="282"/>
      <c r="AB888" s="282"/>
      <c r="AC888" s="284"/>
      <c r="AD888" s="284"/>
    </row>
    <row r="889" ht="14.25" customHeight="1">
      <c r="A889" s="266"/>
      <c r="B889" s="266"/>
      <c r="C889" s="266"/>
      <c r="D889" s="266"/>
      <c r="E889" s="268"/>
      <c r="F889" s="291"/>
      <c r="G889" s="268"/>
      <c r="H889" s="268"/>
      <c r="I889" s="268"/>
      <c r="J889" s="268"/>
      <c r="K889" s="268"/>
      <c r="L889" s="271" t="str">
        <f t="shared" si="47"/>
        <v>12/30/99 0:00</v>
      </c>
      <c r="M889" s="278"/>
      <c r="N889" s="290"/>
      <c r="O889" s="276"/>
      <c r="P889" s="276"/>
      <c r="Q889" s="278"/>
      <c r="R889" s="278"/>
      <c r="S889" s="278"/>
      <c r="T889" s="278"/>
      <c r="U889" s="279"/>
      <c r="V889" s="279"/>
      <c r="W889" s="279"/>
      <c r="X889" s="279"/>
      <c r="Y889" s="279"/>
      <c r="Z889" s="282"/>
      <c r="AA889" s="282"/>
      <c r="AB889" s="282"/>
      <c r="AC889" s="284"/>
      <c r="AD889" s="284"/>
    </row>
    <row r="890" ht="14.25" customHeight="1">
      <c r="A890" s="266"/>
      <c r="B890" s="266"/>
      <c r="C890" s="266"/>
      <c r="D890" s="266"/>
      <c r="E890" s="268"/>
      <c r="F890" s="291"/>
      <c r="G890" s="268"/>
      <c r="H890" s="268"/>
      <c r="I890" s="268"/>
      <c r="J890" s="268"/>
      <c r="K890" s="268"/>
      <c r="L890" s="271" t="str">
        <f t="shared" si="47"/>
        <v>12/30/99 0:00</v>
      </c>
      <c r="M890" s="278"/>
      <c r="N890" s="290"/>
      <c r="O890" s="276"/>
      <c r="P890" s="276"/>
      <c r="Q890" s="278"/>
      <c r="R890" s="278"/>
      <c r="S890" s="278"/>
      <c r="T890" s="278"/>
      <c r="U890" s="279"/>
      <c r="V890" s="279"/>
      <c r="W890" s="279"/>
      <c r="X890" s="279"/>
      <c r="Y890" s="279"/>
      <c r="Z890" s="282"/>
      <c r="AA890" s="282"/>
      <c r="AB890" s="282"/>
      <c r="AC890" s="284"/>
      <c r="AD890" s="284"/>
    </row>
    <row r="891" ht="14.25" customHeight="1">
      <c r="A891" s="266"/>
      <c r="B891" s="266"/>
      <c r="C891" s="266"/>
      <c r="D891" s="266"/>
      <c r="E891" s="268"/>
      <c r="F891" s="291"/>
      <c r="G891" s="268"/>
      <c r="H891" s="268"/>
      <c r="I891" s="268"/>
      <c r="J891" s="268"/>
      <c r="K891" s="268"/>
      <c r="L891" s="271" t="str">
        <f t="shared" si="47"/>
        <v>12/30/99 0:00</v>
      </c>
      <c r="M891" s="278"/>
      <c r="N891" s="290"/>
      <c r="O891" s="276"/>
      <c r="P891" s="276"/>
      <c r="Q891" s="278"/>
      <c r="R891" s="278"/>
      <c r="S891" s="278"/>
      <c r="T891" s="278"/>
      <c r="U891" s="279"/>
      <c r="V891" s="279"/>
      <c r="W891" s="279"/>
      <c r="X891" s="279"/>
      <c r="Y891" s="279"/>
      <c r="Z891" s="282"/>
      <c r="AA891" s="282"/>
      <c r="AB891" s="282"/>
      <c r="AC891" s="284"/>
      <c r="AD891" s="284"/>
    </row>
    <row r="892" ht="14.25" customHeight="1">
      <c r="A892" s="266"/>
      <c r="B892" s="266"/>
      <c r="C892" s="266"/>
      <c r="D892" s="266"/>
      <c r="E892" s="268"/>
      <c r="F892" s="291"/>
      <c r="G892" s="268"/>
      <c r="H892" s="268"/>
      <c r="I892" s="268"/>
      <c r="J892" s="268"/>
      <c r="K892" s="268"/>
      <c r="L892" s="271" t="str">
        <f t="shared" si="47"/>
        <v>12/30/99 0:00</v>
      </c>
      <c r="M892" s="278"/>
      <c r="N892" s="290"/>
      <c r="O892" s="276"/>
      <c r="P892" s="276"/>
      <c r="Q892" s="278"/>
      <c r="R892" s="278"/>
      <c r="S892" s="278"/>
      <c r="T892" s="278"/>
      <c r="U892" s="279"/>
      <c r="V892" s="279"/>
      <c r="W892" s="279"/>
      <c r="X892" s="279"/>
      <c r="Y892" s="279"/>
      <c r="Z892" s="282"/>
      <c r="AA892" s="282"/>
      <c r="AB892" s="282"/>
      <c r="AC892" s="284"/>
      <c r="AD892" s="284"/>
    </row>
    <row r="893" ht="14.25" customHeight="1">
      <c r="A893" s="266"/>
      <c r="B893" s="266"/>
      <c r="C893" s="266"/>
      <c r="D893" s="266"/>
      <c r="E893" s="268"/>
      <c r="F893" s="291"/>
      <c r="G893" s="268"/>
      <c r="H893" s="268"/>
      <c r="I893" s="268"/>
      <c r="J893" s="268"/>
      <c r="K893" s="268"/>
      <c r="L893" s="271" t="str">
        <f t="shared" si="47"/>
        <v>12/30/99 0:00</v>
      </c>
      <c r="M893" s="278"/>
      <c r="N893" s="290"/>
      <c r="O893" s="276"/>
      <c r="P893" s="276"/>
      <c r="Q893" s="278"/>
      <c r="R893" s="278"/>
      <c r="S893" s="278"/>
      <c r="T893" s="278"/>
      <c r="U893" s="279"/>
      <c r="V893" s="279"/>
      <c r="W893" s="279"/>
      <c r="X893" s="279"/>
      <c r="Y893" s="279"/>
      <c r="Z893" s="282"/>
      <c r="AA893" s="282"/>
      <c r="AB893" s="282"/>
      <c r="AC893" s="284"/>
      <c r="AD893" s="284"/>
    </row>
    <row r="894" ht="14.25" customHeight="1">
      <c r="A894" s="266"/>
      <c r="B894" s="266"/>
      <c r="C894" s="266"/>
      <c r="D894" s="266"/>
      <c r="E894" s="268"/>
      <c r="F894" s="291"/>
      <c r="G894" s="268"/>
      <c r="H894" s="268"/>
      <c r="I894" s="268"/>
      <c r="J894" s="268"/>
      <c r="K894" s="268"/>
      <c r="L894" s="271" t="str">
        <f t="shared" si="47"/>
        <v>12/30/99 0:00</v>
      </c>
      <c r="M894" s="278"/>
      <c r="N894" s="290"/>
      <c r="O894" s="276"/>
      <c r="P894" s="276"/>
      <c r="Q894" s="278"/>
      <c r="R894" s="278"/>
      <c r="S894" s="278"/>
      <c r="T894" s="278"/>
      <c r="U894" s="279"/>
      <c r="V894" s="279"/>
      <c r="W894" s="279"/>
      <c r="X894" s="279"/>
      <c r="Y894" s="279"/>
      <c r="Z894" s="282"/>
      <c r="AA894" s="282"/>
      <c r="AB894" s="282"/>
      <c r="AC894" s="284"/>
      <c r="AD894" s="284"/>
    </row>
    <row r="895" ht="14.25" customHeight="1">
      <c r="A895" s="266"/>
      <c r="B895" s="266"/>
      <c r="C895" s="266"/>
      <c r="D895" s="266"/>
      <c r="E895" s="268"/>
      <c r="F895" s="291"/>
      <c r="G895" s="268"/>
      <c r="H895" s="268"/>
      <c r="I895" s="268"/>
      <c r="J895" s="268"/>
      <c r="K895" s="268"/>
      <c r="L895" s="271" t="str">
        <f t="shared" si="47"/>
        <v>12/30/99 0:00</v>
      </c>
      <c r="M895" s="278"/>
      <c r="N895" s="290"/>
      <c r="O895" s="276"/>
      <c r="P895" s="276"/>
      <c r="Q895" s="278"/>
      <c r="R895" s="278"/>
      <c r="S895" s="278"/>
      <c r="T895" s="278"/>
      <c r="U895" s="279"/>
      <c r="V895" s="279"/>
      <c r="W895" s="279"/>
      <c r="X895" s="279"/>
      <c r="Y895" s="279"/>
      <c r="Z895" s="282"/>
      <c r="AA895" s="282"/>
      <c r="AB895" s="282"/>
      <c r="AC895" s="284"/>
      <c r="AD895" s="284"/>
    </row>
    <row r="896" ht="14.25" customHeight="1">
      <c r="A896" s="266"/>
      <c r="B896" s="266"/>
      <c r="C896" s="266"/>
      <c r="D896" s="266"/>
      <c r="E896" s="268"/>
      <c r="F896" s="291"/>
      <c r="G896" s="268"/>
      <c r="H896" s="268"/>
      <c r="I896" s="268"/>
      <c r="J896" s="268"/>
      <c r="K896" s="268"/>
      <c r="L896" s="271" t="str">
        <f t="shared" si="47"/>
        <v>12/30/99 0:00</v>
      </c>
      <c r="M896" s="278"/>
      <c r="N896" s="290"/>
      <c r="O896" s="276"/>
      <c r="P896" s="276"/>
      <c r="Q896" s="278"/>
      <c r="R896" s="278"/>
      <c r="S896" s="278"/>
      <c r="T896" s="278"/>
      <c r="U896" s="279"/>
      <c r="V896" s="279"/>
      <c r="W896" s="279"/>
      <c r="X896" s="279"/>
      <c r="Y896" s="279"/>
      <c r="Z896" s="282"/>
      <c r="AA896" s="282"/>
      <c r="AB896" s="282"/>
      <c r="AC896" s="284"/>
      <c r="AD896" s="284"/>
    </row>
    <row r="897" ht="14.25" customHeight="1">
      <c r="A897" s="266"/>
      <c r="B897" s="266"/>
      <c r="C897" s="266"/>
      <c r="D897" s="266"/>
      <c r="E897" s="268"/>
      <c r="F897" s="291"/>
      <c r="G897" s="268"/>
      <c r="H897" s="268"/>
      <c r="I897" s="268"/>
      <c r="J897" s="268"/>
      <c r="K897" s="268"/>
      <c r="L897" s="271" t="str">
        <f t="shared" si="47"/>
        <v>12/30/99 0:00</v>
      </c>
      <c r="M897" s="278"/>
      <c r="N897" s="290"/>
      <c r="O897" s="276"/>
      <c r="P897" s="276"/>
      <c r="Q897" s="278"/>
      <c r="R897" s="278"/>
      <c r="S897" s="278"/>
      <c r="T897" s="278"/>
      <c r="U897" s="279"/>
      <c r="V897" s="279"/>
      <c r="W897" s="279"/>
      <c r="X897" s="279"/>
      <c r="Y897" s="279"/>
      <c r="Z897" s="282"/>
      <c r="AA897" s="282"/>
      <c r="AB897" s="282"/>
      <c r="AC897" s="284"/>
      <c r="AD897" s="284"/>
    </row>
    <row r="898" ht="14.25" customHeight="1">
      <c r="A898" s="266"/>
      <c r="B898" s="266"/>
      <c r="C898" s="266"/>
      <c r="D898" s="266"/>
      <c r="E898" s="268"/>
      <c r="F898" s="291"/>
      <c r="G898" s="268"/>
      <c r="H898" s="268"/>
      <c r="I898" s="268"/>
      <c r="J898" s="268"/>
      <c r="K898" s="268"/>
      <c r="L898" s="271" t="str">
        <f t="shared" si="47"/>
        <v>12/30/99 0:00</v>
      </c>
      <c r="M898" s="278"/>
      <c r="N898" s="290"/>
      <c r="O898" s="276"/>
      <c r="P898" s="276"/>
      <c r="Q898" s="278"/>
      <c r="R898" s="278"/>
      <c r="S898" s="278"/>
      <c r="T898" s="278"/>
      <c r="U898" s="279"/>
      <c r="V898" s="279"/>
      <c r="W898" s="279"/>
      <c r="X898" s="279"/>
      <c r="Y898" s="279"/>
      <c r="Z898" s="282"/>
      <c r="AA898" s="282"/>
      <c r="AB898" s="282"/>
      <c r="AC898" s="284"/>
      <c r="AD898" s="284"/>
    </row>
    <row r="899" ht="14.25" customHeight="1">
      <c r="A899" s="266"/>
      <c r="B899" s="266"/>
      <c r="C899" s="266"/>
      <c r="D899" s="266"/>
      <c r="E899" s="268"/>
      <c r="F899" s="291"/>
      <c r="G899" s="268"/>
      <c r="H899" s="268"/>
      <c r="I899" s="268"/>
      <c r="J899" s="268"/>
      <c r="K899" s="268"/>
      <c r="L899" s="271" t="str">
        <f t="shared" si="47"/>
        <v>12/30/99 0:00</v>
      </c>
      <c r="M899" s="278"/>
      <c r="N899" s="290"/>
      <c r="O899" s="276"/>
      <c r="P899" s="276"/>
      <c r="Q899" s="278"/>
      <c r="R899" s="278"/>
      <c r="S899" s="278"/>
      <c r="T899" s="278"/>
      <c r="U899" s="279"/>
      <c r="V899" s="279"/>
      <c r="W899" s="279"/>
      <c r="X899" s="279"/>
      <c r="Y899" s="279"/>
      <c r="Z899" s="282"/>
      <c r="AA899" s="282"/>
      <c r="AB899" s="282"/>
      <c r="AC899" s="284"/>
      <c r="AD899" s="284"/>
    </row>
    <row r="900" ht="14.25" customHeight="1">
      <c r="A900" s="266"/>
      <c r="B900" s="266"/>
      <c r="C900" s="266"/>
      <c r="D900" s="266"/>
      <c r="E900" s="268"/>
      <c r="F900" s="291"/>
      <c r="G900" s="268"/>
      <c r="H900" s="268"/>
      <c r="I900" s="268"/>
      <c r="J900" s="268"/>
      <c r="K900" s="268"/>
      <c r="L900" s="271" t="str">
        <f t="shared" si="47"/>
        <v>12/30/99 0:00</v>
      </c>
      <c r="M900" s="278"/>
      <c r="N900" s="290"/>
      <c r="O900" s="276"/>
      <c r="P900" s="276"/>
      <c r="Q900" s="278"/>
      <c r="R900" s="278"/>
      <c r="S900" s="278"/>
      <c r="T900" s="278"/>
      <c r="U900" s="279"/>
      <c r="V900" s="279"/>
      <c r="W900" s="279"/>
      <c r="X900" s="279"/>
      <c r="Y900" s="279"/>
      <c r="Z900" s="282"/>
      <c r="AA900" s="282"/>
      <c r="AB900" s="282"/>
      <c r="AC900" s="284"/>
      <c r="AD900" s="284"/>
    </row>
    <row r="901" ht="14.25" customHeight="1">
      <c r="A901" s="266"/>
      <c r="B901" s="266"/>
      <c r="C901" s="266"/>
      <c r="D901" s="266"/>
      <c r="E901" s="268"/>
      <c r="F901" s="291"/>
      <c r="G901" s="268"/>
      <c r="H901" s="268"/>
      <c r="I901" s="268"/>
      <c r="J901" s="268"/>
      <c r="K901" s="268"/>
      <c r="L901" s="271" t="str">
        <f t="shared" si="47"/>
        <v>12/30/99 0:00</v>
      </c>
      <c r="M901" s="278"/>
      <c r="N901" s="290"/>
      <c r="O901" s="276"/>
      <c r="P901" s="276"/>
      <c r="Q901" s="278"/>
      <c r="R901" s="278"/>
      <c r="S901" s="278"/>
      <c r="T901" s="278"/>
      <c r="U901" s="279"/>
      <c r="V901" s="279"/>
      <c r="W901" s="279"/>
      <c r="X901" s="279"/>
      <c r="Y901" s="279"/>
      <c r="Z901" s="282"/>
      <c r="AA901" s="282"/>
      <c r="AB901" s="282"/>
      <c r="AC901" s="284"/>
      <c r="AD901" s="284"/>
    </row>
    <row r="902" ht="14.25" customHeight="1">
      <c r="A902" s="266"/>
      <c r="B902" s="266"/>
      <c r="C902" s="266"/>
      <c r="D902" s="266"/>
      <c r="E902" s="268"/>
      <c r="F902" s="291"/>
      <c r="G902" s="268"/>
      <c r="H902" s="268"/>
      <c r="I902" s="268"/>
      <c r="J902" s="268"/>
      <c r="K902" s="268"/>
      <c r="L902" s="271" t="str">
        <f t="shared" si="47"/>
        <v>12/30/99 0:00</v>
      </c>
      <c r="M902" s="278"/>
      <c r="N902" s="290"/>
      <c r="O902" s="276"/>
      <c r="P902" s="276"/>
      <c r="Q902" s="278"/>
      <c r="R902" s="278"/>
      <c r="S902" s="278"/>
      <c r="T902" s="278"/>
      <c r="U902" s="279"/>
      <c r="V902" s="279"/>
      <c r="W902" s="279"/>
      <c r="X902" s="279"/>
      <c r="Y902" s="279"/>
      <c r="Z902" s="282"/>
      <c r="AA902" s="282"/>
      <c r="AB902" s="282"/>
      <c r="AC902" s="284"/>
      <c r="AD902" s="284"/>
    </row>
    <row r="903" ht="14.25" customHeight="1">
      <c r="A903" s="266"/>
      <c r="B903" s="266"/>
      <c r="C903" s="266"/>
      <c r="D903" s="266"/>
      <c r="E903" s="268"/>
      <c r="F903" s="291"/>
      <c r="G903" s="268"/>
      <c r="H903" s="268"/>
      <c r="I903" s="268"/>
      <c r="J903" s="268"/>
      <c r="K903" s="268"/>
      <c r="L903" s="271" t="str">
        <f t="shared" si="47"/>
        <v>12/30/99 0:00</v>
      </c>
      <c r="M903" s="278"/>
      <c r="N903" s="290"/>
      <c r="O903" s="276"/>
      <c r="P903" s="276"/>
      <c r="Q903" s="278"/>
      <c r="R903" s="278"/>
      <c r="S903" s="278"/>
      <c r="T903" s="278"/>
      <c r="U903" s="279"/>
      <c r="V903" s="279"/>
      <c r="W903" s="279"/>
      <c r="X903" s="279"/>
      <c r="Y903" s="279"/>
      <c r="Z903" s="282"/>
      <c r="AA903" s="282"/>
      <c r="AB903" s="282"/>
      <c r="AC903" s="284"/>
      <c r="AD903" s="284"/>
    </row>
    <row r="904" ht="14.25" customHeight="1">
      <c r="A904" s="266"/>
      <c r="B904" s="266"/>
      <c r="C904" s="266"/>
      <c r="D904" s="266"/>
      <c r="E904" s="268"/>
      <c r="F904" s="291"/>
      <c r="G904" s="268"/>
      <c r="H904" s="268"/>
      <c r="I904" s="268"/>
      <c r="J904" s="268"/>
      <c r="K904" s="268"/>
      <c r="L904" s="271" t="str">
        <f t="shared" si="47"/>
        <v>12/30/99 0:00</v>
      </c>
      <c r="M904" s="278"/>
      <c r="N904" s="290"/>
      <c r="O904" s="276"/>
      <c r="P904" s="276"/>
      <c r="Q904" s="278"/>
      <c r="R904" s="278"/>
      <c r="S904" s="278"/>
      <c r="T904" s="278"/>
      <c r="U904" s="279"/>
      <c r="V904" s="279"/>
      <c r="W904" s="279"/>
      <c r="X904" s="279"/>
      <c r="Y904" s="279"/>
      <c r="Z904" s="282"/>
      <c r="AA904" s="282"/>
      <c r="AB904" s="282"/>
      <c r="AC904" s="284"/>
      <c r="AD904" s="284"/>
    </row>
    <row r="905" ht="14.25" customHeight="1">
      <c r="A905" s="266"/>
      <c r="B905" s="266"/>
      <c r="C905" s="266"/>
      <c r="D905" s="266"/>
      <c r="E905" s="268"/>
      <c r="F905" s="291"/>
      <c r="G905" s="268"/>
      <c r="H905" s="268"/>
      <c r="I905" s="268"/>
      <c r="J905" s="268"/>
      <c r="K905" s="268"/>
      <c r="L905" s="271" t="str">
        <f t="shared" si="47"/>
        <v>12/30/99 0:00</v>
      </c>
      <c r="M905" s="278"/>
      <c r="N905" s="290"/>
      <c r="O905" s="276"/>
      <c r="P905" s="276"/>
      <c r="Q905" s="278"/>
      <c r="R905" s="278"/>
      <c r="S905" s="278"/>
      <c r="T905" s="278"/>
      <c r="U905" s="279"/>
      <c r="V905" s="279"/>
      <c r="W905" s="279"/>
      <c r="X905" s="279"/>
      <c r="Y905" s="279"/>
      <c r="Z905" s="282"/>
      <c r="AA905" s="282"/>
      <c r="AB905" s="282"/>
      <c r="AC905" s="284"/>
      <c r="AD905" s="284"/>
    </row>
    <row r="906" ht="14.25" customHeight="1">
      <c r="A906" s="266"/>
      <c r="B906" s="266"/>
      <c r="C906" s="266"/>
      <c r="D906" s="266"/>
      <c r="E906" s="268"/>
      <c r="F906" s="291"/>
      <c r="G906" s="268"/>
      <c r="H906" s="268"/>
      <c r="I906" s="268"/>
      <c r="J906" s="268"/>
      <c r="K906" s="268"/>
      <c r="L906" s="271" t="str">
        <f t="shared" si="47"/>
        <v>12/30/99 0:00</v>
      </c>
      <c r="M906" s="278"/>
      <c r="N906" s="290"/>
      <c r="O906" s="276"/>
      <c r="P906" s="276"/>
      <c r="Q906" s="278"/>
      <c r="R906" s="278"/>
      <c r="S906" s="278"/>
      <c r="T906" s="278"/>
      <c r="U906" s="279"/>
      <c r="V906" s="279"/>
      <c r="W906" s="279"/>
      <c r="X906" s="279"/>
      <c r="Y906" s="279"/>
      <c r="Z906" s="282"/>
      <c r="AA906" s="282"/>
      <c r="AB906" s="282"/>
      <c r="AC906" s="284"/>
      <c r="AD906" s="284"/>
    </row>
    <row r="907" ht="14.25" customHeight="1">
      <c r="A907" s="266"/>
      <c r="B907" s="266"/>
      <c r="C907" s="266"/>
      <c r="D907" s="266"/>
      <c r="E907" s="268"/>
      <c r="F907" s="291"/>
      <c r="G907" s="268"/>
      <c r="H907" s="268"/>
      <c r="I907" s="268"/>
      <c r="J907" s="268"/>
      <c r="K907" s="268"/>
      <c r="L907" s="271" t="str">
        <f t="shared" si="47"/>
        <v>12/30/99 0:00</v>
      </c>
      <c r="M907" s="278"/>
      <c r="N907" s="290"/>
      <c r="O907" s="276"/>
      <c r="P907" s="276"/>
      <c r="Q907" s="278"/>
      <c r="R907" s="278"/>
      <c r="S907" s="278"/>
      <c r="T907" s="278"/>
      <c r="U907" s="279"/>
      <c r="V907" s="279"/>
      <c r="W907" s="279"/>
      <c r="X907" s="279"/>
      <c r="Y907" s="279"/>
      <c r="Z907" s="282"/>
      <c r="AA907" s="282"/>
      <c r="AB907" s="282"/>
      <c r="AC907" s="284"/>
      <c r="AD907" s="284"/>
    </row>
    <row r="908" ht="14.25" customHeight="1">
      <c r="A908" s="266"/>
      <c r="B908" s="266"/>
      <c r="C908" s="266"/>
      <c r="D908" s="266"/>
      <c r="E908" s="268"/>
      <c r="F908" s="291"/>
      <c r="G908" s="268"/>
      <c r="H908" s="268"/>
      <c r="I908" s="268"/>
      <c r="J908" s="268"/>
      <c r="K908" s="268"/>
      <c r="L908" s="271" t="str">
        <f t="shared" si="47"/>
        <v>12/30/99 0:00</v>
      </c>
      <c r="M908" s="278"/>
      <c r="N908" s="290"/>
      <c r="O908" s="276"/>
      <c r="P908" s="276"/>
      <c r="Q908" s="278"/>
      <c r="R908" s="278"/>
      <c r="S908" s="278"/>
      <c r="T908" s="278"/>
      <c r="U908" s="279"/>
      <c r="V908" s="279"/>
      <c r="W908" s="279"/>
      <c r="X908" s="279"/>
      <c r="Y908" s="279"/>
      <c r="Z908" s="282"/>
      <c r="AA908" s="282"/>
      <c r="AB908" s="282"/>
      <c r="AC908" s="284"/>
      <c r="AD908" s="284"/>
    </row>
    <row r="909" ht="14.25" customHeight="1">
      <c r="A909" s="266"/>
      <c r="B909" s="266"/>
      <c r="C909" s="266"/>
      <c r="D909" s="266"/>
      <c r="E909" s="268"/>
      <c r="F909" s="291"/>
      <c r="G909" s="268"/>
      <c r="H909" s="268"/>
      <c r="I909" s="268"/>
      <c r="J909" s="268"/>
      <c r="K909" s="268"/>
      <c r="L909" s="271" t="str">
        <f t="shared" si="47"/>
        <v>12/30/99 0:00</v>
      </c>
      <c r="M909" s="278"/>
      <c r="N909" s="290"/>
      <c r="O909" s="276"/>
      <c r="P909" s="276"/>
      <c r="Q909" s="278"/>
      <c r="R909" s="278"/>
      <c r="S909" s="278"/>
      <c r="T909" s="278"/>
      <c r="U909" s="279"/>
      <c r="V909" s="279"/>
      <c r="W909" s="279"/>
      <c r="X909" s="279"/>
      <c r="Y909" s="279"/>
      <c r="Z909" s="282"/>
      <c r="AA909" s="282"/>
      <c r="AB909" s="282"/>
      <c r="AC909" s="284"/>
      <c r="AD909" s="284"/>
    </row>
    <row r="910" ht="14.25" customHeight="1">
      <c r="A910" s="266"/>
      <c r="B910" s="266"/>
      <c r="C910" s="266"/>
      <c r="D910" s="266"/>
      <c r="E910" s="268"/>
      <c r="F910" s="291"/>
      <c r="G910" s="268"/>
      <c r="H910" s="268"/>
      <c r="I910" s="268"/>
      <c r="J910" s="268"/>
      <c r="K910" s="268"/>
      <c r="L910" s="271" t="str">
        <f t="shared" si="47"/>
        <v>12/30/99 0:00</v>
      </c>
      <c r="M910" s="278"/>
      <c r="N910" s="290"/>
      <c r="O910" s="276"/>
      <c r="P910" s="276"/>
      <c r="Q910" s="278"/>
      <c r="R910" s="278"/>
      <c r="S910" s="278"/>
      <c r="T910" s="278"/>
      <c r="U910" s="279"/>
      <c r="V910" s="279"/>
      <c r="W910" s="279"/>
      <c r="X910" s="279"/>
      <c r="Y910" s="279"/>
      <c r="Z910" s="282"/>
      <c r="AA910" s="282"/>
      <c r="AB910" s="282"/>
      <c r="AC910" s="284"/>
      <c r="AD910" s="284"/>
    </row>
    <row r="911" ht="14.25" customHeight="1">
      <c r="A911" s="266"/>
      <c r="B911" s="266"/>
      <c r="C911" s="266"/>
      <c r="D911" s="266"/>
      <c r="E911" s="268"/>
      <c r="F911" s="291"/>
      <c r="G911" s="268"/>
      <c r="H911" s="268"/>
      <c r="I911" s="268"/>
      <c r="J911" s="268"/>
      <c r="K911" s="268"/>
      <c r="L911" s="271" t="str">
        <f t="shared" si="47"/>
        <v>12/30/99 0:00</v>
      </c>
      <c r="M911" s="278"/>
      <c r="N911" s="290"/>
      <c r="O911" s="276"/>
      <c r="P911" s="276"/>
      <c r="Q911" s="278"/>
      <c r="R911" s="278"/>
      <c r="S911" s="278"/>
      <c r="T911" s="278"/>
      <c r="U911" s="279"/>
      <c r="V911" s="279"/>
      <c r="W911" s="279"/>
      <c r="X911" s="279"/>
      <c r="Y911" s="279"/>
      <c r="Z911" s="282"/>
      <c r="AA911" s="282"/>
      <c r="AB911" s="282"/>
      <c r="AC911" s="284"/>
      <c r="AD911" s="284"/>
    </row>
    <row r="912" ht="14.25" customHeight="1">
      <c r="A912" s="266"/>
      <c r="B912" s="266"/>
      <c r="C912" s="266"/>
      <c r="D912" s="266"/>
      <c r="E912" s="268"/>
      <c r="F912" s="291"/>
      <c r="G912" s="268"/>
      <c r="H912" s="268"/>
      <c r="I912" s="268"/>
      <c r="J912" s="268"/>
      <c r="K912" s="268"/>
      <c r="L912" s="271" t="str">
        <f t="shared" si="47"/>
        <v>12/30/99 0:00</v>
      </c>
      <c r="M912" s="278"/>
      <c r="N912" s="290"/>
      <c r="O912" s="276"/>
      <c r="P912" s="276"/>
      <c r="Q912" s="278"/>
      <c r="R912" s="278"/>
      <c r="S912" s="278"/>
      <c r="T912" s="278"/>
      <c r="U912" s="279"/>
      <c r="V912" s="279"/>
      <c r="W912" s="279"/>
      <c r="X912" s="279"/>
      <c r="Y912" s="279"/>
      <c r="Z912" s="282"/>
      <c r="AA912" s="282"/>
      <c r="AB912" s="282"/>
      <c r="AC912" s="284"/>
      <c r="AD912" s="284"/>
    </row>
    <row r="913" ht="14.25" customHeight="1">
      <c r="A913" s="266"/>
      <c r="B913" s="266"/>
      <c r="C913" s="266"/>
      <c r="D913" s="266"/>
      <c r="E913" s="268"/>
      <c r="F913" s="291"/>
      <c r="G913" s="268"/>
      <c r="H913" s="268"/>
      <c r="I913" s="268"/>
      <c r="J913" s="268"/>
      <c r="K913" s="268"/>
      <c r="L913" s="271" t="str">
        <f t="shared" si="47"/>
        <v>12/30/99 0:00</v>
      </c>
      <c r="M913" s="278"/>
      <c r="N913" s="290"/>
      <c r="O913" s="276"/>
      <c r="P913" s="276"/>
      <c r="Q913" s="278"/>
      <c r="R913" s="278"/>
      <c r="S913" s="278"/>
      <c r="T913" s="278"/>
      <c r="U913" s="279"/>
      <c r="V913" s="279"/>
      <c r="W913" s="279"/>
      <c r="X913" s="279"/>
      <c r="Y913" s="279"/>
      <c r="Z913" s="282"/>
      <c r="AA913" s="282"/>
      <c r="AB913" s="282"/>
      <c r="AC913" s="284"/>
      <c r="AD913" s="284"/>
    </row>
    <row r="914" ht="14.25" customHeight="1">
      <c r="A914" s="266"/>
      <c r="B914" s="266"/>
      <c r="C914" s="266"/>
      <c r="D914" s="266"/>
      <c r="E914" s="268"/>
      <c r="F914" s="291"/>
      <c r="G914" s="268"/>
      <c r="H914" s="268"/>
      <c r="I914" s="268"/>
      <c r="J914" s="268"/>
      <c r="K914" s="268"/>
      <c r="L914" s="271" t="str">
        <f t="shared" si="47"/>
        <v>12/30/99 0:00</v>
      </c>
      <c r="M914" s="278"/>
      <c r="N914" s="290"/>
      <c r="O914" s="276"/>
      <c r="P914" s="276"/>
      <c r="Q914" s="278"/>
      <c r="R914" s="278"/>
      <c r="S914" s="278"/>
      <c r="T914" s="278"/>
      <c r="U914" s="279"/>
      <c r="V914" s="279"/>
      <c r="W914" s="279"/>
      <c r="X914" s="279"/>
      <c r="Y914" s="279"/>
      <c r="Z914" s="282"/>
      <c r="AA914" s="282"/>
      <c r="AB914" s="282"/>
      <c r="AC914" s="284"/>
      <c r="AD914" s="284"/>
    </row>
    <row r="915" ht="14.25" customHeight="1">
      <c r="A915" s="266"/>
      <c r="B915" s="266"/>
      <c r="C915" s="266"/>
      <c r="D915" s="266"/>
      <c r="E915" s="268"/>
      <c r="F915" s="291"/>
      <c r="G915" s="268"/>
      <c r="H915" s="268"/>
      <c r="I915" s="268"/>
      <c r="J915" s="268"/>
      <c r="K915" s="268"/>
      <c r="L915" s="271" t="str">
        <f t="shared" si="47"/>
        <v>12/30/99 0:00</v>
      </c>
      <c r="M915" s="278"/>
      <c r="N915" s="290"/>
      <c r="O915" s="276"/>
      <c r="P915" s="276"/>
      <c r="Q915" s="278"/>
      <c r="R915" s="278"/>
      <c r="S915" s="278"/>
      <c r="T915" s="278"/>
      <c r="U915" s="279"/>
      <c r="V915" s="279"/>
      <c r="W915" s="279"/>
      <c r="X915" s="279"/>
      <c r="Y915" s="279"/>
      <c r="Z915" s="282"/>
      <c r="AA915" s="282"/>
      <c r="AB915" s="282"/>
      <c r="AC915" s="284"/>
      <c r="AD915" s="284"/>
    </row>
    <row r="916" ht="14.25" customHeight="1">
      <c r="A916" s="266"/>
      <c r="B916" s="266"/>
      <c r="C916" s="266"/>
      <c r="D916" s="266"/>
      <c r="E916" s="268"/>
      <c r="F916" s="291"/>
      <c r="G916" s="268"/>
      <c r="H916" s="268"/>
      <c r="I916" s="268"/>
      <c r="J916" s="268"/>
      <c r="K916" s="268"/>
      <c r="L916" s="271" t="str">
        <f t="shared" si="47"/>
        <v>12/30/99 0:00</v>
      </c>
      <c r="M916" s="278"/>
      <c r="N916" s="290"/>
      <c r="O916" s="276"/>
      <c r="P916" s="276"/>
      <c r="Q916" s="278"/>
      <c r="R916" s="278"/>
      <c r="S916" s="278"/>
      <c r="T916" s="278"/>
      <c r="U916" s="279"/>
      <c r="V916" s="279"/>
      <c r="W916" s="279"/>
      <c r="X916" s="279"/>
      <c r="Y916" s="279"/>
      <c r="Z916" s="282"/>
      <c r="AA916" s="282"/>
      <c r="AB916" s="282"/>
      <c r="AC916" s="284"/>
      <c r="AD916" s="284"/>
    </row>
    <row r="917" ht="14.25" customHeight="1">
      <c r="A917" s="266"/>
      <c r="B917" s="266"/>
      <c r="C917" s="266"/>
      <c r="D917" s="266"/>
      <c r="E917" s="268"/>
      <c r="F917" s="291"/>
      <c r="G917" s="268"/>
      <c r="H917" s="268"/>
      <c r="I917" s="268"/>
      <c r="J917" s="268"/>
      <c r="K917" s="268"/>
      <c r="L917" s="271" t="str">
        <f t="shared" si="47"/>
        <v>12/30/99 0:00</v>
      </c>
      <c r="M917" s="278"/>
      <c r="N917" s="290"/>
      <c r="O917" s="276"/>
      <c r="P917" s="276"/>
      <c r="Q917" s="278"/>
      <c r="R917" s="278"/>
      <c r="S917" s="278"/>
      <c r="T917" s="278"/>
      <c r="U917" s="279"/>
      <c r="V917" s="279"/>
      <c r="W917" s="279"/>
      <c r="X917" s="279"/>
      <c r="Y917" s="279"/>
      <c r="Z917" s="282"/>
      <c r="AA917" s="282"/>
      <c r="AB917" s="282"/>
      <c r="AC917" s="284"/>
      <c r="AD917" s="284"/>
    </row>
    <row r="918" ht="14.25" customHeight="1">
      <c r="A918" s="266"/>
      <c r="B918" s="266"/>
      <c r="C918" s="266"/>
      <c r="D918" s="266"/>
      <c r="E918" s="268"/>
      <c r="F918" s="291"/>
      <c r="G918" s="268"/>
      <c r="H918" s="268"/>
      <c r="I918" s="268"/>
      <c r="J918" s="268"/>
      <c r="K918" s="268"/>
      <c r="L918" s="271" t="str">
        <f t="shared" si="47"/>
        <v>12/30/99 0:00</v>
      </c>
      <c r="M918" s="278"/>
      <c r="N918" s="290"/>
      <c r="O918" s="276"/>
      <c r="P918" s="276"/>
      <c r="Q918" s="278"/>
      <c r="R918" s="278"/>
      <c r="S918" s="278"/>
      <c r="T918" s="278"/>
      <c r="U918" s="279"/>
      <c r="V918" s="279"/>
      <c r="W918" s="279"/>
      <c r="X918" s="279"/>
      <c r="Y918" s="279"/>
      <c r="Z918" s="282"/>
      <c r="AA918" s="282"/>
      <c r="AB918" s="282"/>
      <c r="AC918" s="284"/>
      <c r="AD918" s="284"/>
    </row>
    <row r="919" ht="14.25" customHeight="1">
      <c r="A919" s="266"/>
      <c r="B919" s="266"/>
      <c r="C919" s="266"/>
      <c r="D919" s="266"/>
      <c r="E919" s="268"/>
      <c r="F919" s="291"/>
      <c r="G919" s="268"/>
      <c r="H919" s="268"/>
      <c r="I919" s="268"/>
      <c r="J919" s="268"/>
      <c r="K919" s="268"/>
      <c r="L919" s="271" t="str">
        <f t="shared" si="47"/>
        <v>12/30/99 0:00</v>
      </c>
      <c r="M919" s="278"/>
      <c r="N919" s="290"/>
      <c r="O919" s="276"/>
      <c r="P919" s="276"/>
      <c r="Q919" s="278"/>
      <c r="R919" s="278"/>
      <c r="S919" s="278"/>
      <c r="T919" s="278"/>
      <c r="U919" s="279"/>
      <c r="V919" s="279"/>
      <c r="W919" s="279"/>
      <c r="X919" s="279"/>
      <c r="Y919" s="279"/>
      <c r="Z919" s="282"/>
      <c r="AA919" s="282"/>
      <c r="AB919" s="282"/>
      <c r="AC919" s="284"/>
      <c r="AD919" s="284"/>
    </row>
    <row r="920" ht="14.25" customHeight="1">
      <c r="A920" s="266"/>
      <c r="B920" s="266"/>
      <c r="C920" s="266"/>
      <c r="D920" s="266"/>
      <c r="E920" s="268"/>
      <c r="F920" s="291"/>
      <c r="G920" s="268"/>
      <c r="H920" s="268"/>
      <c r="I920" s="268"/>
      <c r="J920" s="268"/>
      <c r="K920" s="268"/>
      <c r="L920" s="271" t="str">
        <f t="shared" si="47"/>
        <v>12/30/99 0:00</v>
      </c>
      <c r="M920" s="278"/>
      <c r="N920" s="290"/>
      <c r="O920" s="276"/>
      <c r="P920" s="276"/>
      <c r="Q920" s="278"/>
      <c r="R920" s="278"/>
      <c r="S920" s="278"/>
      <c r="T920" s="278"/>
      <c r="U920" s="279"/>
      <c r="V920" s="279"/>
      <c r="W920" s="279"/>
      <c r="X920" s="279"/>
      <c r="Y920" s="279"/>
      <c r="Z920" s="282"/>
      <c r="AA920" s="282"/>
      <c r="AB920" s="282"/>
      <c r="AC920" s="284"/>
      <c r="AD920" s="284"/>
    </row>
    <row r="921" ht="14.25" customHeight="1">
      <c r="A921" s="266"/>
      <c r="B921" s="266"/>
      <c r="C921" s="266"/>
      <c r="D921" s="266"/>
      <c r="E921" s="268"/>
      <c r="F921" s="291"/>
      <c r="G921" s="268"/>
      <c r="H921" s="268"/>
      <c r="I921" s="268"/>
      <c r="J921" s="268"/>
      <c r="K921" s="268"/>
      <c r="L921" s="271" t="str">
        <f t="shared" si="47"/>
        <v>12/30/99 0:00</v>
      </c>
      <c r="M921" s="278"/>
      <c r="N921" s="290"/>
      <c r="O921" s="276"/>
      <c r="P921" s="276"/>
      <c r="Q921" s="278"/>
      <c r="R921" s="278"/>
      <c r="S921" s="278"/>
      <c r="T921" s="278"/>
      <c r="U921" s="279"/>
      <c r="V921" s="279"/>
      <c r="W921" s="279"/>
      <c r="X921" s="279"/>
      <c r="Y921" s="279"/>
      <c r="Z921" s="282"/>
      <c r="AA921" s="282"/>
      <c r="AB921" s="282"/>
      <c r="AC921" s="284"/>
      <c r="AD921" s="284"/>
    </row>
    <row r="922" ht="14.25" customHeight="1">
      <c r="A922" s="266"/>
      <c r="B922" s="266"/>
      <c r="C922" s="266"/>
      <c r="D922" s="266"/>
      <c r="E922" s="268"/>
      <c r="F922" s="291"/>
      <c r="G922" s="268"/>
      <c r="H922" s="268"/>
      <c r="I922" s="268"/>
      <c r="J922" s="268"/>
      <c r="K922" s="268"/>
      <c r="L922" s="271" t="str">
        <f t="shared" si="47"/>
        <v>12/30/99 0:00</v>
      </c>
      <c r="M922" s="278"/>
      <c r="N922" s="290"/>
      <c r="O922" s="276"/>
      <c r="P922" s="276"/>
      <c r="Q922" s="278"/>
      <c r="R922" s="278"/>
      <c r="S922" s="278"/>
      <c r="T922" s="278"/>
      <c r="U922" s="279"/>
      <c r="V922" s="279"/>
      <c r="W922" s="279"/>
      <c r="X922" s="279"/>
      <c r="Y922" s="279"/>
      <c r="Z922" s="282"/>
      <c r="AA922" s="282"/>
      <c r="AB922" s="282"/>
      <c r="AC922" s="284"/>
      <c r="AD922" s="284"/>
    </row>
    <row r="923" ht="14.25" customHeight="1">
      <c r="A923" s="266"/>
      <c r="B923" s="266"/>
      <c r="C923" s="266"/>
      <c r="D923" s="266"/>
      <c r="E923" s="268"/>
      <c r="F923" s="291"/>
      <c r="G923" s="268"/>
      <c r="H923" s="268"/>
      <c r="I923" s="268"/>
      <c r="J923" s="268"/>
      <c r="K923" s="268"/>
      <c r="L923" s="271" t="str">
        <f t="shared" si="47"/>
        <v>12/30/99 0:00</v>
      </c>
      <c r="M923" s="278"/>
      <c r="N923" s="290"/>
      <c r="O923" s="276"/>
      <c r="P923" s="276"/>
      <c r="Q923" s="278"/>
      <c r="R923" s="278"/>
      <c r="S923" s="278"/>
      <c r="T923" s="278"/>
      <c r="U923" s="279"/>
      <c r="V923" s="279"/>
      <c r="W923" s="279"/>
      <c r="X923" s="279"/>
      <c r="Y923" s="279"/>
      <c r="Z923" s="282"/>
      <c r="AA923" s="282"/>
      <c r="AB923" s="282"/>
      <c r="AC923" s="284"/>
      <c r="AD923" s="284"/>
    </row>
    <row r="924" ht="14.25" customHeight="1">
      <c r="A924" s="266"/>
      <c r="B924" s="266"/>
      <c r="C924" s="266"/>
      <c r="D924" s="266"/>
      <c r="E924" s="268"/>
      <c r="F924" s="291"/>
      <c r="G924" s="268"/>
      <c r="H924" s="268"/>
      <c r="I924" s="268"/>
      <c r="J924" s="268"/>
      <c r="K924" s="268"/>
      <c r="L924" s="271" t="str">
        <f t="shared" si="47"/>
        <v>12/30/99 0:00</v>
      </c>
      <c r="M924" s="278"/>
      <c r="N924" s="290"/>
      <c r="O924" s="276"/>
      <c r="P924" s="276"/>
      <c r="Q924" s="278"/>
      <c r="R924" s="278"/>
      <c r="S924" s="278"/>
      <c r="T924" s="278"/>
      <c r="U924" s="279"/>
      <c r="V924" s="279"/>
      <c r="W924" s="279"/>
      <c r="X924" s="279"/>
      <c r="Y924" s="279"/>
      <c r="Z924" s="282"/>
      <c r="AA924" s="282"/>
      <c r="AB924" s="282"/>
      <c r="AC924" s="284"/>
      <c r="AD924" s="284"/>
    </row>
    <row r="925" ht="14.25" customHeight="1">
      <c r="A925" s="266"/>
      <c r="B925" s="266"/>
      <c r="C925" s="266"/>
      <c r="D925" s="266"/>
      <c r="E925" s="268"/>
      <c r="F925" s="291"/>
      <c r="G925" s="268"/>
      <c r="H925" s="268"/>
      <c r="I925" s="268"/>
      <c r="J925" s="268"/>
      <c r="K925" s="268"/>
      <c r="L925" s="271" t="str">
        <f t="shared" si="47"/>
        <v>12/30/99 0:00</v>
      </c>
      <c r="M925" s="278"/>
      <c r="N925" s="290"/>
      <c r="O925" s="276"/>
      <c r="P925" s="276"/>
      <c r="Q925" s="278"/>
      <c r="R925" s="278"/>
      <c r="S925" s="278"/>
      <c r="T925" s="278"/>
      <c r="U925" s="279"/>
      <c r="V925" s="279"/>
      <c r="W925" s="279"/>
      <c r="X925" s="279"/>
      <c r="Y925" s="279"/>
      <c r="Z925" s="282"/>
      <c r="AA925" s="282"/>
      <c r="AB925" s="282"/>
      <c r="AC925" s="284"/>
      <c r="AD925" s="284"/>
    </row>
    <row r="926" ht="14.25" customHeight="1">
      <c r="A926" s="266"/>
      <c r="B926" s="266"/>
      <c r="C926" s="266"/>
      <c r="D926" s="266"/>
      <c r="E926" s="268"/>
      <c r="F926" s="291"/>
      <c r="G926" s="268"/>
      <c r="H926" s="268"/>
      <c r="I926" s="268"/>
      <c r="J926" s="268"/>
      <c r="K926" s="268"/>
      <c r="L926" s="271" t="str">
        <f t="shared" si="47"/>
        <v>12/30/99 0:00</v>
      </c>
      <c r="M926" s="278"/>
      <c r="N926" s="290"/>
      <c r="O926" s="276"/>
      <c r="P926" s="276"/>
      <c r="Q926" s="278"/>
      <c r="R926" s="278"/>
      <c r="S926" s="278"/>
      <c r="T926" s="278"/>
      <c r="U926" s="279"/>
      <c r="V926" s="279"/>
      <c r="W926" s="279"/>
      <c r="X926" s="279"/>
      <c r="Y926" s="279"/>
      <c r="Z926" s="282"/>
      <c r="AA926" s="282"/>
      <c r="AB926" s="282"/>
      <c r="AC926" s="284"/>
      <c r="AD926" s="284"/>
    </row>
    <row r="927" ht="14.25" customHeight="1">
      <c r="A927" s="266"/>
      <c r="B927" s="266"/>
      <c r="C927" s="266"/>
      <c r="D927" s="266"/>
      <c r="E927" s="268"/>
      <c r="F927" s="291"/>
      <c r="G927" s="268"/>
      <c r="H927" s="268"/>
      <c r="I927" s="268"/>
      <c r="J927" s="268"/>
      <c r="K927" s="268"/>
      <c r="L927" s="271" t="str">
        <f t="shared" si="47"/>
        <v>12/30/99 0:00</v>
      </c>
      <c r="M927" s="278"/>
      <c r="N927" s="290"/>
      <c r="O927" s="276"/>
      <c r="P927" s="276"/>
      <c r="Q927" s="278"/>
      <c r="R927" s="278"/>
      <c r="S927" s="278"/>
      <c r="T927" s="278"/>
      <c r="U927" s="279"/>
      <c r="V927" s="279"/>
      <c r="W927" s="279"/>
      <c r="X927" s="279"/>
      <c r="Y927" s="279"/>
      <c r="Z927" s="282"/>
      <c r="AA927" s="282"/>
      <c r="AB927" s="282"/>
      <c r="AC927" s="284"/>
      <c r="AD927" s="284"/>
    </row>
    <row r="928" ht="14.25" customHeight="1">
      <c r="A928" s="266"/>
      <c r="B928" s="266"/>
      <c r="C928" s="266"/>
      <c r="D928" s="266"/>
      <c r="E928" s="268"/>
      <c r="F928" s="291"/>
      <c r="G928" s="268"/>
      <c r="H928" s="268"/>
      <c r="I928" s="268"/>
      <c r="J928" s="268"/>
      <c r="K928" s="268"/>
      <c r="L928" s="271" t="str">
        <f t="shared" si="47"/>
        <v>12/30/99 0:00</v>
      </c>
      <c r="M928" s="278"/>
      <c r="N928" s="290"/>
      <c r="O928" s="276"/>
      <c r="P928" s="276"/>
      <c r="Q928" s="278"/>
      <c r="R928" s="278"/>
      <c r="S928" s="278"/>
      <c r="T928" s="278"/>
      <c r="U928" s="279"/>
      <c r="V928" s="279"/>
      <c r="W928" s="279"/>
      <c r="X928" s="279"/>
      <c r="Y928" s="279"/>
      <c r="Z928" s="282"/>
      <c r="AA928" s="282"/>
      <c r="AB928" s="282"/>
      <c r="AC928" s="284"/>
      <c r="AD928" s="284"/>
    </row>
    <row r="929" ht="14.25" customHeight="1">
      <c r="A929" s="266"/>
      <c r="B929" s="266"/>
      <c r="C929" s="266"/>
      <c r="D929" s="266"/>
      <c r="E929" s="268"/>
      <c r="F929" s="291"/>
      <c r="G929" s="268"/>
      <c r="H929" s="268"/>
      <c r="I929" s="268"/>
      <c r="J929" s="268"/>
      <c r="K929" s="268"/>
      <c r="L929" s="271" t="str">
        <f t="shared" si="47"/>
        <v>12/30/99 0:00</v>
      </c>
      <c r="M929" s="278"/>
      <c r="N929" s="290"/>
      <c r="O929" s="276"/>
      <c r="P929" s="276"/>
      <c r="Q929" s="278"/>
      <c r="R929" s="278"/>
      <c r="S929" s="278"/>
      <c r="T929" s="278"/>
      <c r="U929" s="279"/>
      <c r="V929" s="279"/>
      <c r="W929" s="279"/>
      <c r="X929" s="279"/>
      <c r="Y929" s="279"/>
      <c r="Z929" s="282"/>
      <c r="AA929" s="282"/>
      <c r="AB929" s="282"/>
      <c r="AC929" s="284"/>
      <c r="AD929" s="284"/>
    </row>
    <row r="930" ht="14.25" customHeight="1">
      <c r="A930" s="266"/>
      <c r="B930" s="266"/>
      <c r="C930" s="266"/>
      <c r="D930" s="266"/>
      <c r="E930" s="268"/>
      <c r="F930" s="291"/>
      <c r="G930" s="268"/>
      <c r="H930" s="268"/>
      <c r="I930" s="268"/>
      <c r="J930" s="268"/>
      <c r="K930" s="268"/>
      <c r="L930" s="271" t="str">
        <f t="shared" si="47"/>
        <v>12/30/99 0:00</v>
      </c>
      <c r="M930" s="278"/>
      <c r="N930" s="290"/>
      <c r="O930" s="276"/>
      <c r="P930" s="276"/>
      <c r="Q930" s="278"/>
      <c r="R930" s="278"/>
      <c r="S930" s="278"/>
      <c r="T930" s="278"/>
      <c r="U930" s="279"/>
      <c r="V930" s="279"/>
      <c r="W930" s="279"/>
      <c r="X930" s="279"/>
      <c r="Y930" s="279"/>
      <c r="Z930" s="282"/>
      <c r="AA930" s="282"/>
      <c r="AB930" s="282"/>
      <c r="AC930" s="284"/>
      <c r="AD930" s="284"/>
    </row>
    <row r="931" ht="14.25" customHeight="1">
      <c r="A931" s="266"/>
      <c r="B931" s="266"/>
      <c r="C931" s="266"/>
      <c r="D931" s="266"/>
      <c r="E931" s="268"/>
      <c r="F931" s="291"/>
      <c r="G931" s="268"/>
      <c r="H931" s="268"/>
      <c r="I931" s="268"/>
      <c r="J931" s="268"/>
      <c r="K931" s="268"/>
      <c r="L931" s="271" t="str">
        <f t="shared" si="47"/>
        <v>12/30/99 0:00</v>
      </c>
      <c r="M931" s="278"/>
      <c r="N931" s="290"/>
      <c r="O931" s="276"/>
      <c r="P931" s="276"/>
      <c r="Q931" s="278"/>
      <c r="R931" s="278"/>
      <c r="S931" s="278"/>
      <c r="T931" s="278"/>
      <c r="U931" s="279"/>
      <c r="V931" s="279"/>
      <c r="W931" s="279"/>
      <c r="X931" s="279"/>
      <c r="Y931" s="279"/>
      <c r="Z931" s="282"/>
      <c r="AA931" s="282"/>
      <c r="AB931" s="282"/>
      <c r="AC931" s="284"/>
      <c r="AD931" s="284"/>
    </row>
    <row r="932" ht="14.25" customHeight="1">
      <c r="A932" s="266"/>
      <c r="B932" s="266"/>
      <c r="C932" s="266"/>
      <c r="D932" s="266"/>
      <c r="E932" s="268"/>
      <c r="F932" s="291"/>
      <c r="G932" s="268"/>
      <c r="H932" s="268"/>
      <c r="I932" s="268"/>
      <c r="J932" s="268"/>
      <c r="K932" s="268"/>
      <c r="L932" s="271" t="str">
        <f t="shared" si="47"/>
        <v>12/30/99 0:00</v>
      </c>
      <c r="M932" s="278"/>
      <c r="N932" s="290"/>
      <c r="O932" s="276"/>
      <c r="P932" s="276"/>
      <c r="Q932" s="278"/>
      <c r="R932" s="278"/>
      <c r="S932" s="278"/>
      <c r="T932" s="278"/>
      <c r="U932" s="279"/>
      <c r="V932" s="279"/>
      <c r="W932" s="279"/>
      <c r="X932" s="279"/>
      <c r="Y932" s="279"/>
      <c r="Z932" s="282"/>
      <c r="AA932" s="282"/>
      <c r="AB932" s="282"/>
      <c r="AC932" s="284"/>
      <c r="AD932" s="284"/>
    </row>
    <row r="933" ht="14.25" customHeight="1">
      <c r="A933" s="266"/>
      <c r="B933" s="266"/>
      <c r="C933" s="266"/>
      <c r="D933" s="266"/>
      <c r="E933" s="268"/>
      <c r="F933" s="291"/>
      <c r="G933" s="268"/>
      <c r="H933" s="268"/>
      <c r="I933" s="268"/>
      <c r="J933" s="268"/>
      <c r="K933" s="268"/>
      <c r="L933" s="271" t="str">
        <f t="shared" si="47"/>
        <v>12/30/99 0:00</v>
      </c>
      <c r="M933" s="278"/>
      <c r="N933" s="290"/>
      <c r="O933" s="276"/>
      <c r="P933" s="276"/>
      <c r="Q933" s="278"/>
      <c r="R933" s="278"/>
      <c r="S933" s="278"/>
      <c r="T933" s="278"/>
      <c r="U933" s="279"/>
      <c r="V933" s="279"/>
      <c r="W933" s="279"/>
      <c r="X933" s="279"/>
      <c r="Y933" s="279"/>
      <c r="Z933" s="282"/>
      <c r="AA933" s="282"/>
      <c r="AB933" s="282"/>
      <c r="AC933" s="284"/>
      <c r="AD933" s="284"/>
    </row>
    <row r="934" ht="14.25" customHeight="1">
      <c r="A934" s="266"/>
      <c r="B934" s="266"/>
      <c r="C934" s="266"/>
      <c r="D934" s="266"/>
      <c r="E934" s="268"/>
      <c r="F934" s="291"/>
      <c r="G934" s="268"/>
      <c r="H934" s="268"/>
      <c r="I934" s="268"/>
      <c r="J934" s="268"/>
      <c r="K934" s="268"/>
      <c r="L934" s="271" t="str">
        <f t="shared" si="47"/>
        <v>12/30/99 0:00</v>
      </c>
      <c r="M934" s="278"/>
      <c r="N934" s="290"/>
      <c r="O934" s="276"/>
      <c r="P934" s="276"/>
      <c r="Q934" s="278"/>
      <c r="R934" s="278"/>
      <c r="S934" s="278"/>
      <c r="T934" s="278"/>
      <c r="U934" s="279"/>
      <c r="V934" s="279"/>
      <c r="W934" s="279"/>
      <c r="X934" s="279"/>
      <c r="Y934" s="279"/>
      <c r="Z934" s="282"/>
      <c r="AA934" s="282"/>
      <c r="AB934" s="282"/>
      <c r="AC934" s="284"/>
      <c r="AD934" s="284"/>
    </row>
    <row r="935" ht="14.25" customHeight="1">
      <c r="A935" s="266"/>
      <c r="B935" s="266"/>
      <c r="C935" s="266"/>
      <c r="D935" s="266"/>
      <c r="E935" s="268"/>
      <c r="F935" s="291"/>
      <c r="G935" s="268"/>
      <c r="H935" s="268"/>
      <c r="I935" s="268"/>
      <c r="J935" s="268"/>
      <c r="K935" s="268"/>
      <c r="L935" s="271" t="str">
        <f t="shared" si="47"/>
        <v>12/30/99 0:00</v>
      </c>
      <c r="M935" s="278"/>
      <c r="N935" s="290"/>
      <c r="O935" s="276"/>
      <c r="P935" s="276"/>
      <c r="Q935" s="278"/>
      <c r="R935" s="278"/>
      <c r="S935" s="278"/>
      <c r="T935" s="278"/>
      <c r="U935" s="279"/>
      <c r="V935" s="279"/>
      <c r="W935" s="279"/>
      <c r="X935" s="279"/>
      <c r="Y935" s="279"/>
      <c r="Z935" s="282"/>
      <c r="AA935" s="282"/>
      <c r="AB935" s="282"/>
      <c r="AC935" s="284"/>
      <c r="AD935" s="284"/>
    </row>
    <row r="936" ht="14.25" customHeight="1">
      <c r="A936" s="266"/>
      <c r="B936" s="266"/>
      <c r="C936" s="266"/>
      <c r="D936" s="266"/>
      <c r="E936" s="268"/>
      <c r="F936" s="291"/>
      <c r="G936" s="268"/>
      <c r="H936" s="268"/>
      <c r="I936" s="268"/>
      <c r="J936" s="268"/>
      <c r="K936" s="268"/>
      <c r="L936" s="271" t="str">
        <f t="shared" si="47"/>
        <v>12/30/99 0:00</v>
      </c>
      <c r="M936" s="278"/>
      <c r="N936" s="290"/>
      <c r="O936" s="276"/>
      <c r="P936" s="276"/>
      <c r="Q936" s="278"/>
      <c r="R936" s="278"/>
      <c r="S936" s="278"/>
      <c r="T936" s="278"/>
      <c r="U936" s="279"/>
      <c r="V936" s="279"/>
      <c r="W936" s="279"/>
      <c r="X936" s="279"/>
      <c r="Y936" s="279"/>
      <c r="Z936" s="282"/>
      <c r="AA936" s="282"/>
      <c r="AB936" s="282"/>
      <c r="AC936" s="284"/>
      <c r="AD936" s="284"/>
    </row>
    <row r="937" ht="14.25" customHeight="1">
      <c r="A937" s="266"/>
      <c r="B937" s="266"/>
      <c r="C937" s="266"/>
      <c r="D937" s="266"/>
      <c r="E937" s="268"/>
      <c r="F937" s="291"/>
      <c r="G937" s="268"/>
      <c r="H937" s="268"/>
      <c r="I937" s="268"/>
      <c r="J937" s="268"/>
      <c r="K937" s="268"/>
      <c r="L937" s="271" t="str">
        <f t="shared" si="47"/>
        <v>12/30/99 0:00</v>
      </c>
      <c r="M937" s="278"/>
      <c r="N937" s="290"/>
      <c r="O937" s="276"/>
      <c r="P937" s="276"/>
      <c r="Q937" s="278"/>
      <c r="R937" s="278"/>
      <c r="S937" s="278"/>
      <c r="T937" s="278"/>
      <c r="U937" s="279"/>
      <c r="V937" s="279"/>
      <c r="W937" s="279"/>
      <c r="X937" s="279"/>
      <c r="Y937" s="279"/>
      <c r="Z937" s="282"/>
      <c r="AA937" s="282"/>
      <c r="AB937" s="282"/>
      <c r="AC937" s="284"/>
      <c r="AD937" s="284"/>
    </row>
    <row r="938" ht="14.25" customHeight="1">
      <c r="A938" s="266"/>
      <c r="B938" s="266"/>
      <c r="C938" s="266"/>
      <c r="D938" s="266"/>
      <c r="E938" s="268"/>
      <c r="F938" s="291"/>
      <c r="G938" s="268"/>
      <c r="H938" s="268"/>
      <c r="I938" s="268"/>
      <c r="J938" s="268"/>
      <c r="K938" s="268"/>
      <c r="L938" s="271" t="str">
        <f t="shared" si="47"/>
        <v>12/30/99 0:00</v>
      </c>
      <c r="M938" s="278"/>
      <c r="N938" s="290"/>
      <c r="O938" s="276"/>
      <c r="P938" s="276"/>
      <c r="Q938" s="278"/>
      <c r="R938" s="278"/>
      <c r="S938" s="278"/>
      <c r="T938" s="278"/>
      <c r="U938" s="279"/>
      <c r="V938" s="279"/>
      <c r="W938" s="279"/>
      <c r="X938" s="279"/>
      <c r="Y938" s="279"/>
      <c r="Z938" s="282"/>
      <c r="AA938" s="282"/>
      <c r="AB938" s="282"/>
      <c r="AC938" s="284"/>
      <c r="AD938" s="284"/>
    </row>
    <row r="939" ht="14.25" customHeight="1">
      <c r="A939" s="266"/>
      <c r="B939" s="266"/>
      <c r="C939" s="266"/>
      <c r="D939" s="266"/>
      <c r="E939" s="268"/>
      <c r="F939" s="291"/>
      <c r="G939" s="268"/>
      <c r="H939" s="268"/>
      <c r="I939" s="268"/>
      <c r="J939" s="268"/>
      <c r="K939" s="268"/>
      <c r="L939" s="271" t="str">
        <f t="shared" si="47"/>
        <v>12/30/99 0:00</v>
      </c>
      <c r="M939" s="278"/>
      <c r="N939" s="290"/>
      <c r="O939" s="276"/>
      <c r="P939" s="276"/>
      <c r="Q939" s="278"/>
      <c r="R939" s="278"/>
      <c r="S939" s="278"/>
      <c r="T939" s="278"/>
      <c r="U939" s="279"/>
      <c r="V939" s="279"/>
      <c r="W939" s="279"/>
      <c r="X939" s="279"/>
      <c r="Y939" s="279"/>
      <c r="Z939" s="282"/>
      <c r="AA939" s="282"/>
      <c r="AB939" s="282"/>
      <c r="AC939" s="284"/>
      <c r="AD939" s="284"/>
    </row>
    <row r="940" ht="14.25" customHeight="1">
      <c r="A940" s="266"/>
      <c r="B940" s="266"/>
      <c r="C940" s="266"/>
      <c r="D940" s="266"/>
      <c r="E940" s="268"/>
      <c r="F940" s="291"/>
      <c r="G940" s="268"/>
      <c r="H940" s="268"/>
      <c r="I940" s="268"/>
      <c r="J940" s="268"/>
      <c r="K940" s="268"/>
      <c r="L940" s="271" t="str">
        <f t="shared" si="47"/>
        <v>12/30/99 0:00</v>
      </c>
      <c r="M940" s="278"/>
      <c r="N940" s="290"/>
      <c r="O940" s="276"/>
      <c r="P940" s="276"/>
      <c r="Q940" s="278"/>
      <c r="R940" s="278"/>
      <c r="S940" s="278"/>
      <c r="T940" s="278"/>
      <c r="U940" s="279"/>
      <c r="V940" s="279"/>
      <c r="W940" s="279"/>
      <c r="X940" s="279"/>
      <c r="Y940" s="279"/>
      <c r="Z940" s="282"/>
      <c r="AA940" s="282"/>
      <c r="AB940" s="282"/>
      <c r="AC940" s="284"/>
      <c r="AD940" s="284"/>
    </row>
    <row r="941" ht="14.25" customHeight="1">
      <c r="A941" s="266"/>
      <c r="B941" s="266"/>
      <c r="C941" s="266"/>
      <c r="D941" s="266"/>
      <c r="E941" s="268"/>
      <c r="F941" s="291"/>
      <c r="G941" s="268"/>
      <c r="H941" s="268"/>
      <c r="I941" s="268"/>
      <c r="J941" s="268"/>
      <c r="K941" s="268"/>
      <c r="L941" s="271" t="str">
        <f t="shared" si="47"/>
        <v>12/30/99 0:00</v>
      </c>
      <c r="M941" s="278"/>
      <c r="N941" s="290"/>
      <c r="O941" s="276"/>
      <c r="P941" s="276"/>
      <c r="Q941" s="278"/>
      <c r="R941" s="278"/>
      <c r="S941" s="278"/>
      <c r="T941" s="278"/>
      <c r="U941" s="279"/>
      <c r="V941" s="279"/>
      <c r="W941" s="279"/>
      <c r="X941" s="279"/>
      <c r="Y941" s="279"/>
      <c r="Z941" s="282"/>
      <c r="AA941" s="282"/>
      <c r="AB941" s="282"/>
      <c r="AC941" s="284"/>
      <c r="AD941" s="284"/>
    </row>
    <row r="942" ht="14.25" customHeight="1">
      <c r="A942" s="266"/>
      <c r="B942" s="266"/>
      <c r="C942" s="266"/>
      <c r="D942" s="266"/>
      <c r="E942" s="268"/>
      <c r="F942" s="291"/>
      <c r="G942" s="268"/>
      <c r="H942" s="268"/>
      <c r="I942" s="268"/>
      <c r="J942" s="268"/>
      <c r="K942" s="268"/>
      <c r="L942" s="271" t="str">
        <f t="shared" si="47"/>
        <v>12/30/99 0:00</v>
      </c>
      <c r="M942" s="278"/>
      <c r="N942" s="290"/>
      <c r="O942" s="276"/>
      <c r="P942" s="276"/>
      <c r="Q942" s="278"/>
      <c r="R942" s="278"/>
      <c r="S942" s="278"/>
      <c r="T942" s="278"/>
      <c r="U942" s="279"/>
      <c r="V942" s="279"/>
      <c r="W942" s="279"/>
      <c r="X942" s="279"/>
      <c r="Y942" s="279"/>
      <c r="Z942" s="282"/>
      <c r="AA942" s="282"/>
      <c r="AB942" s="282"/>
      <c r="AC942" s="284"/>
      <c r="AD942" s="284"/>
    </row>
    <row r="943" ht="14.25" customHeight="1">
      <c r="A943" s="266"/>
      <c r="B943" s="266"/>
      <c r="C943" s="266"/>
      <c r="D943" s="266"/>
      <c r="E943" s="268"/>
      <c r="F943" s="291"/>
      <c r="G943" s="268"/>
      <c r="H943" s="268"/>
      <c r="I943" s="268"/>
      <c r="J943" s="268"/>
      <c r="K943" s="268"/>
      <c r="L943" s="271" t="str">
        <f t="shared" si="47"/>
        <v>12/30/99 0:00</v>
      </c>
      <c r="M943" s="278"/>
      <c r="N943" s="290"/>
      <c r="O943" s="276"/>
      <c r="P943" s="276"/>
      <c r="Q943" s="278"/>
      <c r="R943" s="278"/>
      <c r="S943" s="278"/>
      <c r="T943" s="278"/>
      <c r="U943" s="279"/>
      <c r="V943" s="279"/>
      <c r="W943" s="279"/>
      <c r="X943" s="279"/>
      <c r="Y943" s="279"/>
      <c r="Z943" s="282"/>
      <c r="AA943" s="282"/>
      <c r="AB943" s="282"/>
      <c r="AC943" s="284"/>
      <c r="AD943" s="284"/>
    </row>
    <row r="944" ht="14.25" customHeight="1">
      <c r="A944" s="266"/>
      <c r="B944" s="266"/>
      <c r="C944" s="266"/>
      <c r="D944" s="266"/>
      <c r="E944" s="268"/>
      <c r="F944" s="291"/>
      <c r="G944" s="268"/>
      <c r="H944" s="268"/>
      <c r="I944" s="268"/>
      <c r="J944" s="268"/>
      <c r="K944" s="268"/>
      <c r="L944" s="271" t="str">
        <f t="shared" si="47"/>
        <v>12/30/99 0:00</v>
      </c>
      <c r="M944" s="278"/>
      <c r="N944" s="290"/>
      <c r="O944" s="276"/>
      <c r="P944" s="276"/>
      <c r="Q944" s="278"/>
      <c r="R944" s="278"/>
      <c r="S944" s="278"/>
      <c r="T944" s="278"/>
      <c r="U944" s="279"/>
      <c r="V944" s="279"/>
      <c r="W944" s="279"/>
      <c r="X944" s="279"/>
      <c r="Y944" s="279"/>
      <c r="Z944" s="282"/>
      <c r="AA944" s="282"/>
      <c r="AB944" s="282"/>
      <c r="AC944" s="284"/>
      <c r="AD944" s="284"/>
    </row>
    <row r="945" ht="14.25" customHeight="1">
      <c r="A945" s="266"/>
      <c r="B945" s="266"/>
      <c r="C945" s="266"/>
      <c r="D945" s="266"/>
      <c r="E945" s="268"/>
      <c r="F945" s="291"/>
      <c r="G945" s="268"/>
      <c r="H945" s="268"/>
      <c r="I945" s="268"/>
      <c r="J945" s="268"/>
      <c r="K945" s="268"/>
      <c r="L945" s="271" t="str">
        <f t="shared" si="47"/>
        <v>12/30/99 0:00</v>
      </c>
      <c r="M945" s="278"/>
      <c r="N945" s="290"/>
      <c r="O945" s="276"/>
      <c r="P945" s="276"/>
      <c r="Q945" s="278"/>
      <c r="R945" s="278"/>
      <c r="S945" s="278"/>
      <c r="T945" s="278"/>
      <c r="U945" s="279"/>
      <c r="V945" s="279"/>
      <c r="W945" s="279"/>
      <c r="X945" s="279"/>
      <c r="Y945" s="279"/>
      <c r="Z945" s="282"/>
      <c r="AA945" s="282"/>
      <c r="AB945" s="282"/>
      <c r="AC945" s="284"/>
      <c r="AD945" s="284"/>
    </row>
    <row r="946" ht="14.25" customHeight="1">
      <c r="A946" s="266"/>
      <c r="B946" s="266"/>
      <c r="C946" s="266"/>
      <c r="D946" s="266"/>
      <c r="E946" s="268"/>
      <c r="F946" s="291"/>
      <c r="G946" s="268"/>
      <c r="H946" s="268"/>
      <c r="I946" s="268"/>
      <c r="J946" s="268"/>
      <c r="K946" s="268"/>
      <c r="L946" s="271" t="str">
        <f t="shared" si="47"/>
        <v>12/30/99 0:00</v>
      </c>
      <c r="M946" s="278"/>
      <c r="N946" s="290"/>
      <c r="O946" s="276"/>
      <c r="P946" s="276"/>
      <c r="Q946" s="278"/>
      <c r="R946" s="278"/>
      <c r="S946" s="278"/>
      <c r="T946" s="278"/>
      <c r="U946" s="279"/>
      <c r="V946" s="279"/>
      <c r="W946" s="279"/>
      <c r="X946" s="279"/>
      <c r="Y946" s="279"/>
      <c r="Z946" s="282"/>
      <c r="AA946" s="282"/>
      <c r="AB946" s="282"/>
      <c r="AC946" s="284"/>
      <c r="AD946" s="284"/>
    </row>
    <row r="947" ht="14.25" customHeight="1">
      <c r="A947" s="266"/>
      <c r="B947" s="266"/>
      <c r="C947" s="266"/>
      <c r="D947" s="266"/>
      <c r="E947" s="268"/>
      <c r="F947" s="291"/>
      <c r="G947" s="268"/>
      <c r="H947" s="268"/>
      <c r="I947" s="268"/>
      <c r="J947" s="268"/>
      <c r="K947" s="268"/>
      <c r="L947" s="271" t="str">
        <f t="shared" si="47"/>
        <v>12/30/99 0:00</v>
      </c>
      <c r="M947" s="278"/>
      <c r="N947" s="290"/>
      <c r="O947" s="276"/>
      <c r="P947" s="276"/>
      <c r="Q947" s="278"/>
      <c r="R947" s="278"/>
      <c r="S947" s="278"/>
      <c r="T947" s="278"/>
      <c r="U947" s="279"/>
      <c r="V947" s="279"/>
      <c r="W947" s="279"/>
      <c r="X947" s="279"/>
      <c r="Y947" s="279"/>
      <c r="Z947" s="282"/>
      <c r="AA947" s="282"/>
      <c r="AB947" s="282"/>
      <c r="AC947" s="284"/>
      <c r="AD947" s="284"/>
    </row>
    <row r="948" ht="14.25" customHeight="1">
      <c r="A948" s="266"/>
      <c r="B948" s="266"/>
      <c r="C948" s="266"/>
      <c r="D948" s="266"/>
      <c r="E948" s="268"/>
      <c r="F948" s="291"/>
      <c r="G948" s="268"/>
      <c r="H948" s="268"/>
      <c r="I948" s="268"/>
      <c r="J948" s="268"/>
      <c r="K948" s="268"/>
      <c r="L948" s="271" t="str">
        <f t="shared" si="47"/>
        <v>12/30/99 0:00</v>
      </c>
      <c r="M948" s="278"/>
      <c r="N948" s="290"/>
      <c r="O948" s="276"/>
      <c r="P948" s="276"/>
      <c r="Q948" s="278"/>
      <c r="R948" s="278"/>
      <c r="S948" s="278"/>
      <c r="T948" s="278"/>
      <c r="U948" s="279"/>
      <c r="V948" s="279"/>
      <c r="W948" s="279"/>
      <c r="X948" s="279"/>
      <c r="Y948" s="279"/>
      <c r="Z948" s="282"/>
      <c r="AA948" s="282"/>
      <c r="AB948" s="282"/>
      <c r="AC948" s="284"/>
      <c r="AD948" s="284"/>
    </row>
    <row r="949" ht="14.25" customHeight="1">
      <c r="A949" s="266"/>
      <c r="B949" s="266"/>
      <c r="C949" s="266"/>
      <c r="D949" s="266"/>
      <c r="E949" s="268"/>
      <c r="F949" s="291"/>
      <c r="G949" s="268"/>
      <c r="H949" s="268"/>
      <c r="I949" s="268"/>
      <c r="J949" s="268"/>
      <c r="K949" s="268"/>
      <c r="L949" s="271" t="str">
        <f t="shared" si="47"/>
        <v>12/30/99 0:00</v>
      </c>
      <c r="M949" s="278"/>
      <c r="N949" s="290"/>
      <c r="O949" s="276"/>
      <c r="P949" s="276"/>
      <c r="Q949" s="278"/>
      <c r="R949" s="278"/>
      <c r="S949" s="278"/>
      <c r="T949" s="278"/>
      <c r="U949" s="279"/>
      <c r="V949" s="279"/>
      <c r="W949" s="279"/>
      <c r="X949" s="279"/>
      <c r="Y949" s="279"/>
      <c r="Z949" s="282"/>
      <c r="AA949" s="282"/>
      <c r="AB949" s="282"/>
      <c r="AC949" s="284"/>
      <c r="AD949" s="284"/>
    </row>
    <row r="950" ht="14.25" customHeight="1">
      <c r="A950" s="266"/>
      <c r="B950" s="266"/>
      <c r="C950" s="266"/>
      <c r="D950" s="266"/>
      <c r="E950" s="268"/>
      <c r="F950" s="291"/>
      <c r="G950" s="268"/>
      <c r="H950" s="268"/>
      <c r="I950" s="268"/>
      <c r="J950" s="268"/>
      <c r="K950" s="268"/>
      <c r="L950" s="271" t="str">
        <f t="shared" si="47"/>
        <v>12/30/99 0:00</v>
      </c>
      <c r="M950" s="278"/>
      <c r="N950" s="290"/>
      <c r="O950" s="276"/>
      <c r="P950" s="276"/>
      <c r="Q950" s="278"/>
      <c r="R950" s="278"/>
      <c r="S950" s="278"/>
      <c r="T950" s="278"/>
      <c r="U950" s="279"/>
      <c r="V950" s="279"/>
      <c r="W950" s="279"/>
      <c r="X950" s="279"/>
      <c r="Y950" s="279"/>
      <c r="Z950" s="282"/>
      <c r="AA950" s="282"/>
      <c r="AB950" s="282"/>
      <c r="AC950" s="284"/>
      <c r="AD950" s="284"/>
    </row>
    <row r="951" ht="14.25" customHeight="1">
      <c r="A951" s="266"/>
      <c r="B951" s="266"/>
      <c r="C951" s="266"/>
      <c r="D951" s="266"/>
      <c r="E951" s="268"/>
      <c r="F951" s="291"/>
      <c r="G951" s="268"/>
      <c r="H951" s="268"/>
      <c r="I951" s="268"/>
      <c r="J951" s="268"/>
      <c r="K951" s="268"/>
      <c r="L951" s="271" t="str">
        <f t="shared" si="47"/>
        <v>12/30/99 0:00</v>
      </c>
      <c r="M951" s="278"/>
      <c r="N951" s="290"/>
      <c r="O951" s="276"/>
      <c r="P951" s="276"/>
      <c r="Q951" s="278"/>
      <c r="R951" s="278"/>
      <c r="S951" s="278"/>
      <c r="T951" s="278"/>
      <c r="U951" s="279"/>
      <c r="V951" s="279"/>
      <c r="W951" s="279"/>
      <c r="X951" s="279"/>
      <c r="Y951" s="279"/>
      <c r="Z951" s="282"/>
      <c r="AA951" s="282"/>
      <c r="AB951" s="282"/>
      <c r="AC951" s="284"/>
      <c r="AD951" s="284"/>
    </row>
    <row r="952" ht="14.25" customHeight="1">
      <c r="A952" s="266"/>
      <c r="B952" s="266"/>
      <c r="C952" s="266"/>
      <c r="D952" s="266"/>
      <c r="E952" s="268"/>
      <c r="F952" s="291"/>
      <c r="G952" s="268"/>
      <c r="H952" s="268"/>
      <c r="I952" s="268"/>
      <c r="J952" s="268"/>
      <c r="K952" s="268"/>
      <c r="L952" s="271" t="str">
        <f t="shared" si="47"/>
        <v>12/30/99 0:00</v>
      </c>
      <c r="M952" s="278"/>
      <c r="N952" s="290"/>
      <c r="O952" s="276"/>
      <c r="P952" s="276"/>
      <c r="Q952" s="278"/>
      <c r="R952" s="278"/>
      <c r="S952" s="278"/>
      <c r="T952" s="278"/>
      <c r="U952" s="279"/>
      <c r="V952" s="279"/>
      <c r="W952" s="279"/>
      <c r="X952" s="279"/>
      <c r="Y952" s="279"/>
      <c r="Z952" s="282"/>
      <c r="AA952" s="282"/>
      <c r="AB952" s="282"/>
      <c r="AC952" s="284"/>
      <c r="AD952" s="284"/>
    </row>
    <row r="953" ht="14.25" customHeight="1">
      <c r="A953" s="266"/>
      <c r="B953" s="266"/>
      <c r="C953" s="266"/>
      <c r="D953" s="266"/>
      <c r="E953" s="268"/>
      <c r="F953" s="291"/>
      <c r="G953" s="268"/>
      <c r="H953" s="268"/>
      <c r="I953" s="268"/>
      <c r="J953" s="268"/>
      <c r="K953" s="268"/>
      <c r="L953" s="271" t="str">
        <f t="shared" si="47"/>
        <v>12/30/99 0:00</v>
      </c>
      <c r="M953" s="278"/>
      <c r="N953" s="290"/>
      <c r="O953" s="276"/>
      <c r="P953" s="276"/>
      <c r="Q953" s="278"/>
      <c r="R953" s="278"/>
      <c r="S953" s="278"/>
      <c r="T953" s="278"/>
      <c r="U953" s="279"/>
      <c r="V953" s="279"/>
      <c r="W953" s="279"/>
      <c r="X953" s="279"/>
      <c r="Y953" s="279"/>
      <c r="Z953" s="282"/>
      <c r="AA953" s="282"/>
      <c r="AB953" s="282"/>
      <c r="AC953" s="284"/>
      <c r="AD953" s="284"/>
    </row>
    <row r="954" ht="14.25" customHeight="1">
      <c r="A954" s="266"/>
      <c r="B954" s="266"/>
      <c r="C954" s="266"/>
      <c r="D954" s="266"/>
      <c r="E954" s="268"/>
      <c r="F954" s="291"/>
      <c r="G954" s="268"/>
      <c r="H954" s="268"/>
      <c r="I954" s="268"/>
      <c r="J954" s="268"/>
      <c r="K954" s="268"/>
      <c r="L954" s="271" t="str">
        <f t="shared" si="47"/>
        <v>12/30/99 0:00</v>
      </c>
      <c r="M954" s="278"/>
      <c r="N954" s="290"/>
      <c r="O954" s="276"/>
      <c r="P954" s="276"/>
      <c r="Q954" s="278"/>
      <c r="R954" s="278"/>
      <c r="S954" s="278"/>
      <c r="T954" s="278"/>
      <c r="U954" s="279"/>
      <c r="V954" s="279"/>
      <c r="W954" s="279"/>
      <c r="X954" s="279"/>
      <c r="Y954" s="279"/>
      <c r="Z954" s="282"/>
      <c r="AA954" s="282"/>
      <c r="AB954" s="282"/>
      <c r="AC954" s="284"/>
      <c r="AD954" s="284"/>
    </row>
    <row r="955" ht="14.25" customHeight="1">
      <c r="A955" s="265">
        <v>44140.0</v>
      </c>
      <c r="B955" s="266" t="s">
        <v>1685</v>
      </c>
      <c r="C955" s="266"/>
      <c r="D955" s="266" t="s">
        <v>1689</v>
      </c>
      <c r="E955" s="292"/>
      <c r="F955" s="294" t="s">
        <v>1687</v>
      </c>
      <c r="G955" s="292"/>
      <c r="H955" s="292"/>
      <c r="I955" s="292"/>
      <c r="J955" s="292"/>
      <c r="K955" s="292"/>
      <c r="L955" s="292"/>
      <c r="M955" s="296"/>
      <c r="N955" s="297"/>
      <c r="O955" s="298"/>
      <c r="P955" s="298"/>
      <c r="Q955" s="296"/>
      <c r="R955" s="296"/>
      <c r="S955" s="296"/>
      <c r="T955" s="296"/>
      <c r="U955" s="292"/>
      <c r="V955" s="292"/>
      <c r="W955" s="292"/>
      <c r="X955" s="292"/>
      <c r="Y955" s="292"/>
      <c r="Z955" s="292"/>
      <c r="AA955" s="292"/>
      <c r="AB955" s="292"/>
      <c r="AC955" s="292"/>
      <c r="AD955" s="292"/>
    </row>
  </sheetData>
  <autoFilter ref="$A$2:$CN$955"/>
  <mergeCells count="5">
    <mergeCell ref="AC1:AD1"/>
    <mergeCell ref="U1:X1"/>
    <mergeCell ref="A1:D1"/>
    <mergeCell ref="Z1:AB1"/>
    <mergeCell ref="E1:T1"/>
  </mergeCells>
  <printOptions/>
  <pageMargins bottom="0.787401575" footer="0.0" header="0.0" left="0.511811024" right="0.511811024" top="0.7874015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5.86"/>
    <col customWidth="1" min="3" max="3" width="75.57"/>
    <col customWidth="1" min="4" max="4" width="17.0"/>
    <col customWidth="1" hidden="1" min="5" max="5" width="26.29"/>
    <col customWidth="1" min="6" max="6" width="15.29"/>
    <col customWidth="1" hidden="1" min="7" max="7" width="28.14"/>
    <col customWidth="1" hidden="1" min="8" max="8" width="28.86"/>
    <col customWidth="1" min="9" max="9" width="31.57"/>
    <col customWidth="1" hidden="1" min="10" max="16" width="8.71"/>
    <col customWidth="1" hidden="1" min="17" max="17" width="10.57"/>
    <col customWidth="1" hidden="1" min="18" max="20" width="8.71"/>
    <col customWidth="1" hidden="1" min="21" max="21" width="11.86"/>
    <col customWidth="1" min="22" max="22" width="12.29"/>
    <col customWidth="1" min="23" max="23" width="14.0"/>
    <col customWidth="1" min="24" max="24" width="12.43"/>
  </cols>
  <sheetData>
    <row r="1" ht="14.25" customHeight="1">
      <c r="A1" s="372" t="s">
        <v>2721</v>
      </c>
      <c r="B1" s="373" t="s">
        <v>1474</v>
      </c>
      <c r="C1" s="373" t="s">
        <v>2722</v>
      </c>
      <c r="D1" s="373" t="s">
        <v>2723</v>
      </c>
      <c r="E1" s="258" t="s">
        <v>1478</v>
      </c>
      <c r="F1" s="258" t="s">
        <v>1479</v>
      </c>
      <c r="G1" s="258" t="s">
        <v>1480</v>
      </c>
      <c r="H1" s="258" t="s">
        <v>1482</v>
      </c>
      <c r="I1" s="259" t="s">
        <v>1484</v>
      </c>
      <c r="J1" s="260" t="s">
        <v>1485</v>
      </c>
      <c r="K1" s="261" t="s">
        <v>1486</v>
      </c>
      <c r="L1" s="261" t="s">
        <v>1487</v>
      </c>
      <c r="M1" s="261" t="s">
        <v>1488</v>
      </c>
      <c r="N1" s="262" t="s">
        <v>1489</v>
      </c>
      <c r="O1" s="262" t="s">
        <v>1490</v>
      </c>
      <c r="P1" s="262" t="s">
        <v>1491</v>
      </c>
      <c r="Q1" s="15" t="s">
        <v>1492</v>
      </c>
      <c r="R1" s="15" t="s">
        <v>1493</v>
      </c>
      <c r="S1" s="15" t="s">
        <v>1494</v>
      </c>
      <c r="T1" s="15" t="s">
        <v>1495</v>
      </c>
      <c r="U1" s="15" t="s">
        <v>1496</v>
      </c>
      <c r="V1" s="263" t="s">
        <v>1497</v>
      </c>
      <c r="W1" s="263" t="s">
        <v>1498</v>
      </c>
      <c r="X1" s="263" t="s">
        <v>1499</v>
      </c>
    </row>
    <row r="2" ht="14.25" customHeight="1">
      <c r="A2" s="374">
        <v>1010.0</v>
      </c>
      <c r="B2" s="266" t="s">
        <v>1500</v>
      </c>
      <c r="C2" s="375" t="s">
        <v>2724</v>
      </c>
      <c r="D2" s="375" t="s">
        <v>2725</v>
      </c>
      <c r="E2" s="268"/>
      <c r="F2" s="270">
        <v>0.049999999999999996</v>
      </c>
      <c r="G2" s="320"/>
      <c r="H2" s="287"/>
      <c r="I2" s="276" t="s">
        <v>2726</v>
      </c>
      <c r="J2" s="276"/>
      <c r="K2" s="276"/>
      <c r="L2" s="278"/>
      <c r="M2" s="278"/>
      <c r="N2" s="279"/>
      <c r="O2" s="279"/>
      <c r="P2" s="280"/>
      <c r="Q2" s="281"/>
      <c r="R2" s="279"/>
      <c r="S2" s="279"/>
      <c r="T2" s="279"/>
      <c r="U2" s="279"/>
      <c r="V2" s="282" t="s">
        <v>2727</v>
      </c>
      <c r="W2" s="293">
        <v>2543155.0</v>
      </c>
      <c r="X2" s="283">
        <v>44642.0</v>
      </c>
    </row>
    <row r="3" ht="14.25" customHeight="1">
      <c r="A3" s="374" t="s">
        <v>2728</v>
      </c>
      <c r="B3" s="266" t="s">
        <v>1783</v>
      </c>
      <c r="C3" s="266" t="s">
        <v>2729</v>
      </c>
      <c r="D3" s="375" t="s">
        <v>2725</v>
      </c>
      <c r="E3" s="268"/>
      <c r="F3" s="270">
        <v>0.03902777777777778</v>
      </c>
      <c r="G3" s="271"/>
      <c r="H3" s="287"/>
      <c r="I3" s="276"/>
      <c r="J3" s="276"/>
      <c r="K3" s="276"/>
      <c r="L3" s="278"/>
      <c r="M3" s="278"/>
      <c r="N3" s="279"/>
      <c r="O3" s="279"/>
      <c r="P3" s="280"/>
      <c r="Q3" s="279"/>
      <c r="R3" s="279"/>
      <c r="S3" s="279"/>
      <c r="T3" s="279"/>
      <c r="U3" s="279"/>
      <c r="V3" s="282"/>
      <c r="W3" s="376"/>
      <c r="X3" s="283"/>
    </row>
    <row r="4" ht="14.25" customHeight="1">
      <c r="A4" s="374" t="s">
        <v>2730</v>
      </c>
      <c r="B4" s="266" t="s">
        <v>1783</v>
      </c>
      <c r="C4" s="266" t="s">
        <v>2731</v>
      </c>
      <c r="D4" s="375" t="s">
        <v>2725</v>
      </c>
      <c r="E4" s="268"/>
      <c r="F4" s="270">
        <v>0.030324074074074073</v>
      </c>
      <c r="G4" s="271"/>
      <c r="H4" s="287"/>
      <c r="I4" s="276"/>
      <c r="J4" s="276"/>
      <c r="K4" s="276"/>
      <c r="L4" s="278"/>
      <c r="M4" s="278"/>
      <c r="N4" s="279"/>
      <c r="O4" s="279"/>
      <c r="P4" s="280"/>
      <c r="Q4" s="281"/>
      <c r="R4" s="279"/>
      <c r="S4" s="279"/>
      <c r="T4" s="279"/>
      <c r="U4" s="279"/>
      <c r="V4" s="282"/>
      <c r="W4" s="293"/>
      <c r="X4" s="283"/>
    </row>
    <row r="5" ht="14.25" customHeight="1">
      <c r="A5" s="374" t="s">
        <v>2732</v>
      </c>
      <c r="B5" s="266" t="s">
        <v>1783</v>
      </c>
      <c r="C5" s="266" t="s">
        <v>2733</v>
      </c>
      <c r="D5" s="375" t="s">
        <v>2725</v>
      </c>
      <c r="E5" s="268"/>
      <c r="F5" s="270">
        <v>0.025833333333333333</v>
      </c>
      <c r="G5" s="271"/>
      <c r="H5" s="287"/>
      <c r="I5" s="276" t="s">
        <v>2734</v>
      </c>
      <c r="J5" s="276"/>
      <c r="K5" s="276"/>
      <c r="L5" s="278"/>
      <c r="M5" s="278"/>
      <c r="N5" s="279"/>
      <c r="O5" s="279"/>
      <c r="P5" s="280"/>
      <c r="Q5" s="281"/>
      <c r="R5" s="279"/>
      <c r="S5" s="279"/>
      <c r="T5" s="279"/>
      <c r="U5" s="279"/>
      <c r="V5" s="282"/>
      <c r="W5" s="293"/>
      <c r="X5" s="283"/>
    </row>
    <row r="6" ht="14.25" customHeight="1">
      <c r="A6" s="374" t="s">
        <v>2728</v>
      </c>
      <c r="B6" s="266" t="s">
        <v>1783</v>
      </c>
      <c r="C6" s="266" t="s">
        <v>2735</v>
      </c>
      <c r="D6" s="375" t="s">
        <v>2725</v>
      </c>
      <c r="E6" s="268"/>
      <c r="F6" s="270">
        <v>0.030393518518518518</v>
      </c>
      <c r="G6" s="271"/>
      <c r="H6" s="287"/>
      <c r="I6" s="276" t="s">
        <v>2736</v>
      </c>
      <c r="J6" s="276"/>
      <c r="K6" s="276"/>
      <c r="L6" s="278"/>
      <c r="M6" s="278"/>
      <c r="N6" s="279"/>
      <c r="O6" s="279"/>
      <c r="P6" s="280"/>
      <c r="Q6" s="281"/>
      <c r="R6" s="279"/>
      <c r="S6" s="279"/>
      <c r="T6" s="279"/>
      <c r="U6" s="279"/>
      <c r="V6" s="282"/>
      <c r="W6" s="293"/>
      <c r="X6" s="283"/>
    </row>
    <row r="7" ht="14.25" customHeight="1">
      <c r="A7" s="377"/>
      <c r="B7" s="140"/>
      <c r="C7" s="140"/>
      <c r="D7" s="140"/>
    </row>
    <row r="8" ht="14.25" customHeight="1">
      <c r="A8" s="377"/>
      <c r="B8" s="140"/>
      <c r="C8" s="140"/>
      <c r="D8" s="140"/>
    </row>
    <row r="9" ht="14.25" customHeight="1">
      <c r="A9" s="377"/>
      <c r="B9" s="140"/>
      <c r="C9" s="140"/>
      <c r="D9" s="140"/>
    </row>
    <row r="10" ht="14.25" customHeight="1">
      <c r="A10" s="377"/>
      <c r="B10" s="140"/>
      <c r="C10" s="140"/>
      <c r="D10" s="140"/>
    </row>
    <row r="11" ht="14.25" customHeight="1">
      <c r="A11" s="377"/>
      <c r="B11" s="140"/>
      <c r="C11" s="140"/>
      <c r="D11" s="140"/>
    </row>
    <row r="12" ht="14.25" customHeight="1">
      <c r="A12" s="377"/>
      <c r="B12" s="140"/>
      <c r="C12" s="140"/>
      <c r="D12" s="140"/>
    </row>
    <row r="13" ht="14.25" customHeight="1">
      <c r="A13" s="377"/>
      <c r="B13" s="140"/>
      <c r="C13" s="140"/>
      <c r="D13" s="140"/>
    </row>
    <row r="14" ht="14.25" customHeight="1">
      <c r="A14" s="377"/>
      <c r="B14" s="140"/>
      <c r="C14" s="140"/>
      <c r="D14" s="140"/>
    </row>
    <row r="15" ht="14.25" customHeight="1">
      <c r="A15" s="377"/>
      <c r="B15" s="140"/>
      <c r="C15" s="140"/>
      <c r="D15" s="140"/>
    </row>
    <row r="16" ht="14.25" customHeight="1">
      <c r="A16" s="377"/>
      <c r="B16" s="140"/>
      <c r="C16" s="140"/>
      <c r="D16" s="140"/>
    </row>
    <row r="17" ht="14.25" customHeight="1">
      <c r="A17" s="377"/>
      <c r="B17" s="140"/>
      <c r="C17" s="140"/>
      <c r="D17" s="140"/>
    </row>
    <row r="18" ht="14.25" customHeight="1">
      <c r="A18" s="377"/>
      <c r="B18" s="140"/>
      <c r="C18" s="140"/>
      <c r="D18" s="140"/>
    </row>
    <row r="19" ht="14.25" customHeight="1">
      <c r="A19" s="377"/>
      <c r="B19" s="140"/>
      <c r="C19" s="140"/>
      <c r="D19" s="140"/>
    </row>
    <row r="20" ht="14.25" customHeight="1">
      <c r="A20" s="377"/>
      <c r="B20" s="140"/>
      <c r="C20" s="140"/>
      <c r="D20" s="140"/>
    </row>
    <row r="21" ht="14.25" customHeight="1">
      <c r="A21" s="377"/>
      <c r="B21" s="140"/>
      <c r="C21" s="140"/>
      <c r="D21" s="140"/>
    </row>
    <row r="22" ht="14.25" customHeight="1">
      <c r="A22" s="377"/>
      <c r="B22" s="140"/>
      <c r="C22" s="140"/>
      <c r="D22" s="140"/>
    </row>
    <row r="23" ht="14.25" customHeight="1">
      <c r="A23" s="377"/>
      <c r="B23" s="140"/>
      <c r="C23" s="140"/>
      <c r="D23" s="140"/>
    </row>
    <row r="24" ht="14.25" customHeight="1">
      <c r="A24" s="377"/>
      <c r="B24" s="140"/>
      <c r="C24" s="140"/>
      <c r="D24" s="140"/>
    </row>
    <row r="25" ht="14.25" customHeight="1">
      <c r="A25" s="377"/>
      <c r="B25" s="140"/>
      <c r="C25" s="140"/>
      <c r="D25" s="140"/>
    </row>
    <row r="26" ht="14.25" customHeight="1">
      <c r="A26" s="377"/>
      <c r="B26" s="140"/>
      <c r="C26" s="140"/>
      <c r="D26" s="140"/>
    </row>
    <row r="27" ht="14.25" customHeight="1">
      <c r="A27" s="377"/>
      <c r="B27" s="140"/>
      <c r="C27" s="140"/>
      <c r="D27" s="140"/>
    </row>
    <row r="28" ht="14.25" customHeight="1">
      <c r="A28" s="377"/>
      <c r="B28" s="140"/>
      <c r="C28" s="140"/>
      <c r="D28" s="140"/>
    </row>
    <row r="29" ht="14.25" customHeight="1">
      <c r="A29" s="377"/>
      <c r="B29" s="140"/>
      <c r="C29" s="140"/>
      <c r="D29" s="140"/>
    </row>
    <row r="30" ht="14.25" customHeight="1">
      <c r="A30" s="377"/>
      <c r="B30" s="140"/>
      <c r="C30" s="140"/>
      <c r="D30" s="140"/>
    </row>
    <row r="31" ht="14.25" customHeight="1">
      <c r="A31" s="377"/>
      <c r="B31" s="140"/>
      <c r="C31" s="140"/>
      <c r="D31" s="140"/>
    </row>
    <row r="32" ht="14.25" customHeight="1">
      <c r="A32" s="377"/>
      <c r="B32" s="140"/>
      <c r="C32" s="140"/>
      <c r="D32" s="140"/>
    </row>
    <row r="33" ht="14.25" customHeight="1">
      <c r="A33" s="377"/>
      <c r="B33" s="140"/>
      <c r="C33" s="140"/>
      <c r="D33" s="140"/>
    </row>
    <row r="34" ht="14.25" customHeight="1">
      <c r="A34" s="377"/>
      <c r="B34" s="140"/>
      <c r="C34" s="140"/>
      <c r="D34" s="140"/>
    </row>
    <row r="35" ht="14.25" customHeight="1">
      <c r="A35" s="377"/>
      <c r="B35" s="140"/>
      <c r="C35" s="140"/>
      <c r="D35" s="140"/>
    </row>
    <row r="36" ht="14.25" customHeight="1">
      <c r="A36" s="377"/>
      <c r="B36" s="140"/>
      <c r="C36" s="140"/>
      <c r="D36" s="140"/>
    </row>
    <row r="37" ht="14.25" customHeight="1">
      <c r="A37" s="377"/>
      <c r="B37" s="140"/>
      <c r="C37" s="140"/>
      <c r="D37" s="140"/>
    </row>
    <row r="38" ht="14.25" customHeight="1">
      <c r="A38" s="377"/>
      <c r="B38" s="140"/>
      <c r="C38" s="140"/>
      <c r="D38" s="140"/>
    </row>
    <row r="39" ht="14.25" customHeight="1">
      <c r="A39" s="377"/>
      <c r="B39" s="140"/>
      <c r="C39" s="140"/>
      <c r="D39" s="140"/>
    </row>
    <row r="40" ht="14.25" customHeight="1">
      <c r="A40" s="377"/>
      <c r="B40" s="140"/>
      <c r="C40" s="140"/>
      <c r="D40" s="140"/>
    </row>
    <row r="41" ht="14.25" customHeight="1">
      <c r="A41" s="377"/>
      <c r="B41" s="140"/>
      <c r="C41" s="140"/>
      <c r="D41" s="140"/>
    </row>
    <row r="42" ht="14.25" customHeight="1">
      <c r="A42" s="377"/>
      <c r="B42" s="140"/>
      <c r="C42" s="140"/>
      <c r="D42" s="140"/>
    </row>
    <row r="43" ht="14.25" customHeight="1">
      <c r="A43" s="377"/>
      <c r="B43" s="140"/>
      <c r="C43" s="140"/>
      <c r="D43" s="140"/>
    </row>
    <row r="44" ht="14.25" customHeight="1">
      <c r="A44" s="377"/>
      <c r="B44" s="140"/>
      <c r="C44" s="140"/>
      <c r="D44" s="140"/>
    </row>
    <row r="45" ht="14.25" customHeight="1">
      <c r="A45" s="377"/>
      <c r="B45" s="140"/>
      <c r="C45" s="140"/>
      <c r="D45" s="140"/>
    </row>
    <row r="46" ht="14.25" customHeight="1">
      <c r="A46" s="377"/>
      <c r="B46" s="140"/>
      <c r="C46" s="140"/>
      <c r="D46" s="140"/>
    </row>
    <row r="47" ht="14.25" customHeight="1">
      <c r="A47" s="377"/>
      <c r="B47" s="140"/>
      <c r="C47" s="140"/>
      <c r="D47" s="140"/>
    </row>
    <row r="48" ht="14.25" customHeight="1">
      <c r="A48" s="377"/>
      <c r="B48" s="140"/>
      <c r="C48" s="140"/>
      <c r="D48" s="140"/>
    </row>
    <row r="49" ht="14.25" customHeight="1">
      <c r="A49" s="377"/>
      <c r="B49" s="140"/>
      <c r="C49" s="140"/>
      <c r="D49" s="140"/>
    </row>
    <row r="50" ht="14.25" customHeight="1">
      <c r="A50" s="377"/>
      <c r="B50" s="140"/>
      <c r="C50" s="140"/>
      <c r="D50" s="140"/>
    </row>
    <row r="51" ht="14.25" customHeight="1">
      <c r="A51" s="377"/>
      <c r="B51" s="140"/>
      <c r="C51" s="140"/>
      <c r="D51" s="140"/>
    </row>
    <row r="52" ht="14.25" customHeight="1">
      <c r="A52" s="377"/>
      <c r="B52" s="140"/>
      <c r="C52" s="140"/>
      <c r="D52" s="140"/>
    </row>
    <row r="53" ht="14.25" customHeight="1">
      <c r="A53" s="377"/>
      <c r="B53" s="140"/>
      <c r="C53" s="140"/>
      <c r="D53" s="140"/>
    </row>
    <row r="54" ht="14.25" customHeight="1">
      <c r="A54" s="377"/>
      <c r="B54" s="140"/>
      <c r="C54" s="140"/>
      <c r="D54" s="140"/>
    </row>
    <row r="55" ht="14.25" customHeight="1">
      <c r="A55" s="377"/>
      <c r="B55" s="140"/>
      <c r="C55" s="140"/>
      <c r="D55" s="140"/>
    </row>
    <row r="56" ht="14.25" customHeight="1">
      <c r="A56" s="377"/>
      <c r="B56" s="140"/>
      <c r="C56" s="140"/>
      <c r="D56" s="140"/>
    </row>
    <row r="57" ht="14.25" customHeight="1">
      <c r="A57" s="377"/>
      <c r="B57" s="140"/>
      <c r="C57" s="140"/>
      <c r="D57" s="140"/>
    </row>
    <row r="58" ht="14.25" customHeight="1">
      <c r="A58" s="377"/>
      <c r="B58" s="140"/>
      <c r="C58" s="140"/>
      <c r="D58" s="140"/>
    </row>
    <row r="59" ht="14.25" customHeight="1">
      <c r="A59" s="377"/>
      <c r="B59" s="140"/>
      <c r="C59" s="140"/>
      <c r="D59" s="140"/>
    </row>
    <row r="60" ht="14.25" customHeight="1">
      <c r="A60" s="377"/>
      <c r="B60" s="140"/>
      <c r="C60" s="140"/>
      <c r="D60" s="140"/>
    </row>
    <row r="61" ht="14.25" customHeight="1">
      <c r="A61" s="377"/>
      <c r="B61" s="140"/>
      <c r="C61" s="140"/>
      <c r="D61" s="140"/>
    </row>
    <row r="62" ht="14.25" customHeight="1">
      <c r="A62" s="377"/>
      <c r="B62" s="140"/>
      <c r="C62" s="140"/>
      <c r="D62" s="140"/>
    </row>
    <row r="63" ht="14.25" customHeight="1">
      <c r="A63" s="377"/>
      <c r="B63" s="140"/>
      <c r="C63" s="140"/>
      <c r="D63" s="140"/>
    </row>
    <row r="64" ht="14.25" customHeight="1">
      <c r="A64" s="377"/>
      <c r="B64" s="140"/>
      <c r="C64" s="140"/>
      <c r="D64" s="140"/>
    </row>
    <row r="65" ht="14.25" customHeight="1">
      <c r="A65" s="377"/>
      <c r="B65" s="140"/>
      <c r="C65" s="140"/>
      <c r="D65" s="140"/>
    </row>
    <row r="66" ht="14.25" customHeight="1">
      <c r="A66" s="377"/>
      <c r="B66" s="140"/>
      <c r="C66" s="140"/>
      <c r="D66" s="140"/>
    </row>
    <row r="67" ht="14.25" customHeight="1">
      <c r="A67" s="377"/>
      <c r="B67" s="140"/>
      <c r="C67" s="140"/>
      <c r="D67" s="140"/>
    </row>
    <row r="68" ht="14.25" customHeight="1">
      <c r="A68" s="377"/>
      <c r="B68" s="140"/>
      <c r="C68" s="140"/>
      <c r="D68" s="140"/>
    </row>
    <row r="69" ht="14.25" customHeight="1">
      <c r="A69" s="377"/>
      <c r="B69" s="140"/>
      <c r="C69" s="140"/>
      <c r="D69" s="140"/>
    </row>
    <row r="70" ht="14.25" customHeight="1">
      <c r="A70" s="377"/>
      <c r="B70" s="140"/>
      <c r="C70" s="140"/>
      <c r="D70" s="140"/>
    </row>
    <row r="71" ht="14.25" customHeight="1">
      <c r="A71" s="377"/>
      <c r="B71" s="140"/>
      <c r="C71" s="140"/>
      <c r="D71" s="140"/>
    </row>
    <row r="72" ht="14.25" customHeight="1">
      <c r="A72" s="377"/>
      <c r="B72" s="140"/>
      <c r="C72" s="140"/>
      <c r="D72" s="140"/>
    </row>
    <row r="73" ht="14.25" customHeight="1">
      <c r="A73" s="377"/>
      <c r="B73" s="140"/>
      <c r="C73" s="140"/>
      <c r="D73" s="140"/>
    </row>
    <row r="74" ht="14.25" customHeight="1">
      <c r="A74" s="377"/>
      <c r="B74" s="140"/>
      <c r="C74" s="140"/>
      <c r="D74" s="140"/>
    </row>
    <row r="75" ht="14.25" customHeight="1">
      <c r="A75" s="377"/>
      <c r="B75" s="140"/>
      <c r="C75" s="140"/>
      <c r="D75" s="140"/>
    </row>
    <row r="76" ht="14.25" customHeight="1">
      <c r="A76" s="377"/>
      <c r="B76" s="140"/>
      <c r="C76" s="140"/>
      <c r="D76" s="140"/>
    </row>
    <row r="77" ht="14.25" customHeight="1">
      <c r="A77" s="377"/>
      <c r="B77" s="140"/>
      <c r="C77" s="140"/>
      <c r="D77" s="140"/>
    </row>
    <row r="78" ht="14.25" customHeight="1">
      <c r="A78" s="377"/>
      <c r="B78" s="140"/>
      <c r="C78" s="140"/>
      <c r="D78" s="140"/>
    </row>
    <row r="79" ht="14.25" customHeight="1">
      <c r="A79" s="377"/>
      <c r="B79" s="140"/>
      <c r="C79" s="140"/>
      <c r="D79" s="140"/>
    </row>
    <row r="80" ht="14.25" customHeight="1">
      <c r="A80" s="377"/>
      <c r="B80" s="140"/>
      <c r="C80" s="140"/>
      <c r="D80" s="140"/>
    </row>
    <row r="81" ht="14.25" customHeight="1">
      <c r="A81" s="377"/>
      <c r="B81" s="140"/>
      <c r="C81" s="140"/>
      <c r="D81" s="140"/>
    </row>
    <row r="82" ht="14.25" customHeight="1">
      <c r="A82" s="377"/>
      <c r="B82" s="140"/>
      <c r="C82" s="140"/>
      <c r="D82" s="140"/>
    </row>
    <row r="83" ht="14.25" customHeight="1">
      <c r="A83" s="377"/>
      <c r="B83" s="140"/>
      <c r="C83" s="140"/>
      <c r="D83" s="140"/>
    </row>
    <row r="84" ht="14.25" customHeight="1">
      <c r="A84" s="377"/>
      <c r="B84" s="140"/>
      <c r="C84" s="140"/>
      <c r="D84" s="140"/>
    </row>
    <row r="85" ht="14.25" customHeight="1">
      <c r="A85" s="377"/>
      <c r="B85" s="140"/>
      <c r="C85" s="140"/>
      <c r="D85" s="140"/>
    </row>
    <row r="86" ht="14.25" customHeight="1">
      <c r="A86" s="377"/>
      <c r="B86" s="140"/>
      <c r="C86" s="140"/>
      <c r="D86" s="140"/>
    </row>
    <row r="87" ht="14.25" customHeight="1">
      <c r="A87" s="377"/>
      <c r="B87" s="140"/>
      <c r="C87" s="140"/>
      <c r="D87" s="140"/>
    </row>
    <row r="88" ht="14.25" customHeight="1">
      <c r="A88" s="377"/>
      <c r="B88" s="140"/>
      <c r="C88" s="140"/>
      <c r="D88" s="140"/>
    </row>
    <row r="89" ht="14.25" customHeight="1">
      <c r="A89" s="377"/>
      <c r="B89" s="140"/>
      <c r="C89" s="140"/>
      <c r="D89" s="140"/>
    </row>
    <row r="90" ht="14.25" customHeight="1">
      <c r="A90" s="377"/>
      <c r="B90" s="140"/>
      <c r="C90" s="140"/>
      <c r="D90" s="140"/>
    </row>
    <row r="91" ht="14.25" customHeight="1">
      <c r="A91" s="377"/>
      <c r="B91" s="140"/>
      <c r="C91" s="140"/>
      <c r="D91" s="140"/>
    </row>
    <row r="92" ht="14.25" customHeight="1">
      <c r="A92" s="377"/>
      <c r="B92" s="140"/>
      <c r="C92" s="140"/>
      <c r="D92" s="140"/>
    </row>
    <row r="93" ht="14.25" customHeight="1">
      <c r="A93" s="377"/>
      <c r="B93" s="140"/>
      <c r="C93" s="140"/>
      <c r="D93" s="140"/>
    </row>
    <row r="94" ht="14.25" customHeight="1">
      <c r="A94" s="377"/>
      <c r="B94" s="140"/>
      <c r="C94" s="140"/>
      <c r="D94" s="140"/>
    </row>
    <row r="95" ht="14.25" customHeight="1">
      <c r="A95" s="377"/>
      <c r="B95" s="140"/>
      <c r="C95" s="140"/>
      <c r="D95" s="140"/>
    </row>
    <row r="96" ht="14.25" customHeight="1">
      <c r="A96" s="377"/>
      <c r="B96" s="140"/>
      <c r="C96" s="140"/>
      <c r="D96" s="140"/>
    </row>
    <row r="97" ht="14.25" customHeight="1">
      <c r="A97" s="377"/>
      <c r="B97" s="140"/>
      <c r="C97" s="140"/>
      <c r="D97" s="140"/>
    </row>
    <row r="98" ht="14.25" customHeight="1">
      <c r="A98" s="377"/>
      <c r="B98" s="140"/>
      <c r="C98" s="140"/>
      <c r="D98" s="140"/>
    </row>
    <row r="99" ht="14.25" customHeight="1">
      <c r="A99" s="377"/>
      <c r="B99" s="140"/>
      <c r="C99" s="140"/>
      <c r="D99" s="140"/>
    </row>
    <row r="100" ht="14.25" customHeight="1">
      <c r="A100" s="377"/>
      <c r="B100" s="140"/>
      <c r="C100" s="140"/>
      <c r="D100" s="140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 outlineLevelCol="1"/>
  <cols>
    <col customWidth="1" min="1" max="1" width="20.0"/>
    <col customWidth="1" min="2" max="2" width="15.29"/>
    <col customWidth="1" min="3" max="3" width="21.86"/>
    <col customWidth="1" min="4" max="4" width="20.0"/>
    <col customWidth="1" hidden="1" min="5" max="5" width="23.86"/>
    <col customWidth="1" min="6" max="6" width="96.71"/>
    <col customWidth="1" min="7" max="7" width="27.71"/>
    <col customWidth="1" min="8" max="8" width="22.14"/>
    <col customWidth="1" min="9" max="9" width="33.57"/>
    <col customWidth="1" hidden="1" min="10" max="10" width="36.57"/>
    <col customWidth="1" min="11" max="11" width="31.71"/>
    <col customWidth="1" hidden="1" min="12" max="12" width="53.14"/>
    <col customWidth="1" min="13" max="13" width="40.29"/>
    <col customWidth="1" min="14" max="14" width="32.86" outlineLevel="1"/>
    <col customWidth="1" min="15" max="15" width="55.43" outlineLevel="1"/>
    <col customWidth="1" min="16" max="16" width="49.86" outlineLevel="1"/>
    <col customWidth="1" min="17" max="17" width="32.86" outlineLevel="1"/>
    <col customWidth="1" min="18" max="18" width="33.14" outlineLevel="1"/>
    <col customWidth="1" min="19" max="19" width="29.71" outlineLevel="1"/>
    <col customWidth="1" min="20" max="20" width="39.57"/>
    <col customWidth="1" min="21" max="21" width="15.43"/>
    <col customWidth="1" min="22" max="22" width="16.29"/>
    <col customWidth="1" min="23" max="23" width="24.29"/>
    <col customWidth="1" min="24" max="24" width="16.0"/>
    <col customWidth="1" min="25" max="25" width="15.71"/>
    <col customWidth="1" min="26" max="26" width="22.86"/>
    <col customWidth="1" min="27" max="27" width="27.29"/>
    <col customWidth="1" min="28" max="28" width="29.43"/>
    <col customWidth="1" hidden="1" min="29" max="29" width="13.86"/>
    <col customWidth="1" min="30" max="30" width="29.71"/>
    <col customWidth="1" min="31" max="92" width="9.14"/>
  </cols>
  <sheetData>
    <row r="1" ht="21.75" customHeight="1">
      <c r="A1" s="244"/>
      <c r="B1" s="245"/>
      <c r="C1" s="245"/>
      <c r="D1" s="246"/>
      <c r="E1" s="247" t="s">
        <v>1470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9"/>
      <c r="U1" s="250" t="s">
        <v>28</v>
      </c>
      <c r="V1" s="251"/>
      <c r="W1" s="251"/>
      <c r="X1" s="252"/>
      <c r="Y1" s="253"/>
      <c r="Z1" s="254" t="s">
        <v>1471</v>
      </c>
      <c r="AA1" s="248"/>
      <c r="AB1" s="249"/>
      <c r="AC1" s="255" t="s">
        <v>1472</v>
      </c>
      <c r="AD1" s="249"/>
    </row>
    <row r="2" ht="24.75" customHeight="1">
      <c r="A2" s="256" t="s">
        <v>1473</v>
      </c>
      <c r="B2" s="256" t="s">
        <v>1474</v>
      </c>
      <c r="C2" s="256" t="s">
        <v>1475</v>
      </c>
      <c r="D2" s="256" t="s">
        <v>1448</v>
      </c>
      <c r="E2" s="257" t="s">
        <v>1476</v>
      </c>
      <c r="F2" s="258" t="s">
        <v>1477</v>
      </c>
      <c r="G2" s="258" t="s">
        <v>1478</v>
      </c>
      <c r="H2" s="258" t="s">
        <v>1479</v>
      </c>
      <c r="I2" s="258" t="s">
        <v>1480</v>
      </c>
      <c r="J2" s="258" t="s">
        <v>1481</v>
      </c>
      <c r="K2" s="258" t="s">
        <v>1482</v>
      </c>
      <c r="L2" s="258" t="s">
        <v>1483</v>
      </c>
      <c r="M2" s="259" t="s">
        <v>1484</v>
      </c>
      <c r="N2" s="260" t="s">
        <v>1485</v>
      </c>
      <c r="O2" s="261" t="s">
        <v>1486</v>
      </c>
      <c r="P2" s="261" t="s">
        <v>1487</v>
      </c>
      <c r="Q2" s="261" t="s">
        <v>1488</v>
      </c>
      <c r="R2" s="262" t="s">
        <v>1489</v>
      </c>
      <c r="S2" s="262" t="s">
        <v>1490</v>
      </c>
      <c r="T2" s="262" t="s">
        <v>1491</v>
      </c>
      <c r="U2" s="15" t="s">
        <v>1492</v>
      </c>
      <c r="V2" s="15" t="s">
        <v>1493</v>
      </c>
      <c r="W2" s="15" t="s">
        <v>1494</v>
      </c>
      <c r="X2" s="15" t="s">
        <v>1495</v>
      </c>
      <c r="Y2" s="15" t="s">
        <v>1496</v>
      </c>
      <c r="Z2" s="263" t="s">
        <v>1497</v>
      </c>
      <c r="AA2" s="263" t="s">
        <v>1498</v>
      </c>
      <c r="AB2" s="263" t="s">
        <v>1499</v>
      </c>
      <c r="AC2" s="264" t="s">
        <v>1493</v>
      </c>
      <c r="AD2" s="264" t="s">
        <v>1494</v>
      </c>
    </row>
    <row r="3" ht="14.25" customHeight="1">
      <c r="A3" s="265">
        <v>32874.0</v>
      </c>
      <c r="B3" s="266" t="s">
        <v>1500</v>
      </c>
      <c r="C3" s="266" t="s">
        <v>2737</v>
      </c>
      <c r="D3" s="266" t="s">
        <v>2738</v>
      </c>
      <c r="E3" s="268"/>
      <c r="F3" s="291" t="s">
        <v>2739</v>
      </c>
      <c r="G3" s="268" t="s">
        <v>1463</v>
      </c>
      <c r="H3" s="268"/>
      <c r="I3" s="271">
        <v>44412.666666666664</v>
      </c>
      <c r="J3" s="271">
        <v>44412.666666666664</v>
      </c>
      <c r="K3" s="271">
        <v>44412.666666666664</v>
      </c>
      <c r="L3" s="288"/>
      <c r="M3" s="278"/>
      <c r="N3" s="290"/>
      <c r="O3" s="276"/>
      <c r="P3" s="276"/>
      <c r="Q3" s="276"/>
      <c r="R3" s="278"/>
      <c r="S3" s="278"/>
      <c r="T3" s="278"/>
      <c r="U3" s="279"/>
      <c r="V3" s="279" t="s">
        <v>1500</v>
      </c>
      <c r="W3" s="280">
        <v>44484.0</v>
      </c>
      <c r="X3" s="279"/>
      <c r="Y3" s="279"/>
      <c r="Z3" s="282" t="s">
        <v>2740</v>
      </c>
      <c r="AA3" s="293">
        <v>6434508.0</v>
      </c>
      <c r="AB3" s="283">
        <v>44412.0</v>
      </c>
      <c r="AC3" s="284"/>
      <c r="AD3" s="284"/>
    </row>
    <row r="4" ht="14.25" customHeight="1">
      <c r="A4" s="265">
        <v>32874.0</v>
      </c>
      <c r="B4" s="266" t="s">
        <v>1500</v>
      </c>
      <c r="C4" s="266" t="s">
        <v>2737</v>
      </c>
      <c r="D4" s="266" t="s">
        <v>2738</v>
      </c>
      <c r="E4" s="268"/>
      <c r="F4" s="291" t="s">
        <v>2741</v>
      </c>
      <c r="G4" s="268" t="s">
        <v>1463</v>
      </c>
      <c r="H4" s="268"/>
      <c r="I4" s="271">
        <v>44412.666666666664</v>
      </c>
      <c r="J4" s="271">
        <v>44412.666666666664</v>
      </c>
      <c r="K4" s="271">
        <v>44412.666666666664</v>
      </c>
      <c r="L4" s="288"/>
      <c r="M4" s="278"/>
      <c r="N4" s="290"/>
      <c r="O4" s="276"/>
      <c r="P4" s="276"/>
      <c r="Q4" s="276"/>
      <c r="R4" s="278"/>
      <c r="S4" s="278"/>
      <c r="T4" s="278"/>
      <c r="U4" s="279"/>
      <c r="V4" s="279" t="s">
        <v>1500</v>
      </c>
      <c r="W4" s="280">
        <v>44485.0</v>
      </c>
      <c r="X4" s="279"/>
      <c r="Y4" s="279"/>
      <c r="Z4" s="282" t="s">
        <v>2740</v>
      </c>
      <c r="AA4" s="293">
        <v>6434509.0</v>
      </c>
      <c r="AB4" s="283">
        <v>44412.0</v>
      </c>
      <c r="AC4" s="284"/>
      <c r="AD4" s="284"/>
    </row>
    <row r="5" ht="14.25" customHeight="1">
      <c r="A5" s="265">
        <v>32874.0</v>
      </c>
      <c r="B5" s="266" t="s">
        <v>1500</v>
      </c>
      <c r="C5" s="266" t="s">
        <v>2737</v>
      </c>
      <c r="D5" s="266" t="s">
        <v>2738</v>
      </c>
      <c r="E5" s="268"/>
      <c r="F5" s="291" t="s">
        <v>2742</v>
      </c>
      <c r="G5" s="268" t="s">
        <v>1463</v>
      </c>
      <c r="H5" s="268"/>
      <c r="I5" s="271">
        <v>44412.666666666664</v>
      </c>
      <c r="J5" s="271">
        <v>44412.666666666664</v>
      </c>
      <c r="K5" s="271">
        <v>44412.666666666664</v>
      </c>
      <c r="L5" s="288"/>
      <c r="M5" s="278"/>
      <c r="N5" s="290"/>
      <c r="O5" s="276"/>
      <c r="P5" s="276"/>
      <c r="Q5" s="276"/>
      <c r="R5" s="278"/>
      <c r="S5" s="278"/>
      <c r="T5" s="278"/>
      <c r="U5" s="279"/>
      <c r="V5" s="279" t="s">
        <v>1500</v>
      </c>
      <c r="W5" s="280">
        <v>44486.0</v>
      </c>
      <c r="X5" s="279"/>
      <c r="Y5" s="279"/>
      <c r="Z5" s="282" t="s">
        <v>2740</v>
      </c>
      <c r="AA5" s="293">
        <v>6434510.0</v>
      </c>
      <c r="AB5" s="283">
        <v>44412.0</v>
      </c>
      <c r="AC5" s="284"/>
      <c r="AD5" s="284"/>
    </row>
    <row r="6" ht="14.25" customHeight="1">
      <c r="A6" s="265">
        <v>32874.0</v>
      </c>
      <c r="B6" s="266" t="s">
        <v>1500</v>
      </c>
      <c r="C6" s="266" t="s">
        <v>2737</v>
      </c>
      <c r="D6" s="266" t="s">
        <v>2738</v>
      </c>
      <c r="E6" s="268"/>
      <c r="F6" s="291" t="s">
        <v>2743</v>
      </c>
      <c r="G6" s="268" t="s">
        <v>1463</v>
      </c>
      <c r="H6" s="268"/>
      <c r="I6" s="271">
        <v>44412.666666666664</v>
      </c>
      <c r="J6" s="271">
        <v>44412.666666666664</v>
      </c>
      <c r="K6" s="271">
        <v>44412.666666666664</v>
      </c>
      <c r="L6" s="288"/>
      <c r="M6" s="278"/>
      <c r="N6" s="290"/>
      <c r="O6" s="276"/>
      <c r="P6" s="276"/>
      <c r="Q6" s="276"/>
      <c r="R6" s="278"/>
      <c r="S6" s="278"/>
      <c r="T6" s="278"/>
      <c r="U6" s="279"/>
      <c r="V6" s="279" t="s">
        <v>1500</v>
      </c>
      <c r="W6" s="280">
        <v>44496.0</v>
      </c>
      <c r="X6" s="279"/>
      <c r="Y6" s="279"/>
      <c r="Z6" s="282" t="s">
        <v>2740</v>
      </c>
      <c r="AA6" s="293">
        <v>6434511.0</v>
      </c>
      <c r="AB6" s="283">
        <v>44412.0</v>
      </c>
      <c r="AC6" s="284"/>
      <c r="AD6" s="284"/>
    </row>
    <row r="7" ht="14.25" customHeight="1">
      <c r="A7" s="265">
        <v>32874.0</v>
      </c>
      <c r="B7" s="266" t="s">
        <v>1500</v>
      </c>
      <c r="C7" s="266" t="s">
        <v>2737</v>
      </c>
      <c r="D7" s="266" t="s">
        <v>2738</v>
      </c>
      <c r="E7" s="268"/>
      <c r="F7" s="291" t="s">
        <v>2744</v>
      </c>
      <c r="G7" s="268" t="s">
        <v>1463</v>
      </c>
      <c r="H7" s="268"/>
      <c r="I7" s="271">
        <v>44412.666666666664</v>
      </c>
      <c r="J7" s="271">
        <v>44412.666666666664</v>
      </c>
      <c r="K7" s="271">
        <v>44412.666666666664</v>
      </c>
      <c r="L7" s="288"/>
      <c r="M7" s="278"/>
      <c r="N7" s="290"/>
      <c r="O7" s="276"/>
      <c r="P7" s="276"/>
      <c r="Q7" s="276"/>
      <c r="R7" s="278"/>
      <c r="S7" s="278"/>
      <c r="T7" s="278"/>
      <c r="U7" s="279"/>
      <c r="V7" s="279" t="s">
        <v>1500</v>
      </c>
      <c r="W7" s="280">
        <v>44496.0</v>
      </c>
      <c r="X7" s="279"/>
      <c r="Y7" s="279"/>
      <c r="Z7" s="282" t="s">
        <v>2740</v>
      </c>
      <c r="AA7" s="293">
        <v>6434512.0</v>
      </c>
      <c r="AB7" s="283">
        <v>44412.0</v>
      </c>
      <c r="AC7" s="284"/>
      <c r="AD7" s="284"/>
    </row>
    <row r="8" ht="14.25" customHeight="1">
      <c r="A8" s="265">
        <v>32874.0</v>
      </c>
      <c r="B8" s="266" t="s">
        <v>1500</v>
      </c>
      <c r="C8" s="266" t="s">
        <v>2737</v>
      </c>
      <c r="D8" s="266" t="s">
        <v>2738</v>
      </c>
      <c r="E8" s="268"/>
      <c r="F8" s="291" t="s">
        <v>2745</v>
      </c>
      <c r="G8" s="268" t="s">
        <v>1463</v>
      </c>
      <c r="H8" s="268"/>
      <c r="I8" s="271">
        <v>44412.666666666664</v>
      </c>
      <c r="J8" s="271">
        <v>44412.666666666664</v>
      </c>
      <c r="K8" s="271">
        <v>44412.666666666664</v>
      </c>
      <c r="L8" s="288"/>
      <c r="M8" s="278"/>
      <c r="N8" s="290"/>
      <c r="O8" s="276"/>
      <c r="P8" s="276"/>
      <c r="Q8" s="276"/>
      <c r="R8" s="278"/>
      <c r="S8" s="278"/>
      <c r="T8" s="278"/>
      <c r="U8" s="279"/>
      <c r="V8" s="279" t="s">
        <v>1500</v>
      </c>
      <c r="W8" s="280">
        <v>44497.0</v>
      </c>
      <c r="X8" s="279"/>
      <c r="Y8" s="279"/>
      <c r="Z8" s="282" t="s">
        <v>2740</v>
      </c>
      <c r="AA8" s="293">
        <v>6434515.0</v>
      </c>
      <c r="AB8" s="283">
        <v>44412.0</v>
      </c>
      <c r="AC8" s="284"/>
      <c r="AD8" s="284"/>
    </row>
    <row r="9" ht="14.25" customHeight="1">
      <c r="A9" s="265">
        <v>32874.0</v>
      </c>
      <c r="B9" s="266" t="s">
        <v>1500</v>
      </c>
      <c r="C9" s="266" t="s">
        <v>2737</v>
      </c>
      <c r="D9" s="266" t="s">
        <v>2738</v>
      </c>
      <c r="E9" s="268"/>
      <c r="F9" s="291" t="s">
        <v>2746</v>
      </c>
      <c r="G9" s="268" t="s">
        <v>1463</v>
      </c>
      <c r="H9" s="268"/>
      <c r="I9" s="271">
        <v>44412.666666666664</v>
      </c>
      <c r="J9" s="271">
        <v>44412.666666666664</v>
      </c>
      <c r="K9" s="271">
        <v>44412.666666666664</v>
      </c>
      <c r="L9" s="288"/>
      <c r="M9" s="278"/>
      <c r="N9" s="290"/>
      <c r="O9" s="276"/>
      <c r="P9" s="276"/>
      <c r="Q9" s="276"/>
      <c r="R9" s="278"/>
      <c r="S9" s="278"/>
      <c r="T9" s="278"/>
      <c r="U9" s="279"/>
      <c r="V9" s="279" t="s">
        <v>1500</v>
      </c>
      <c r="W9" s="280">
        <v>44497.0</v>
      </c>
      <c r="X9" s="279"/>
      <c r="Y9" s="279"/>
      <c r="Z9" s="282" t="s">
        <v>2740</v>
      </c>
      <c r="AA9" s="293">
        <v>6434516.0</v>
      </c>
      <c r="AB9" s="283">
        <v>44412.0</v>
      </c>
      <c r="AC9" s="284"/>
      <c r="AD9" s="284"/>
    </row>
    <row r="10" ht="14.25" customHeight="1">
      <c r="A10" s="265">
        <v>32874.0</v>
      </c>
      <c r="B10" s="266" t="s">
        <v>1500</v>
      </c>
      <c r="C10" s="266" t="s">
        <v>2737</v>
      </c>
      <c r="D10" s="266" t="s">
        <v>2738</v>
      </c>
      <c r="E10" s="268"/>
      <c r="F10" s="291" t="s">
        <v>2747</v>
      </c>
      <c r="G10" s="268" t="s">
        <v>1463</v>
      </c>
      <c r="H10" s="268"/>
      <c r="I10" s="271">
        <v>44412.666666666664</v>
      </c>
      <c r="J10" s="271">
        <v>44412.666666666664</v>
      </c>
      <c r="K10" s="271">
        <v>44412.666666666664</v>
      </c>
      <c r="L10" s="288"/>
      <c r="M10" s="278"/>
      <c r="N10" s="290"/>
      <c r="O10" s="276"/>
      <c r="P10" s="276"/>
      <c r="Q10" s="276"/>
      <c r="R10" s="278"/>
      <c r="S10" s="278"/>
      <c r="T10" s="278"/>
      <c r="U10" s="279"/>
      <c r="V10" s="279" t="s">
        <v>1500</v>
      </c>
      <c r="W10" s="280">
        <v>44497.0</v>
      </c>
      <c r="X10" s="279"/>
      <c r="Y10" s="279"/>
      <c r="Z10" s="282" t="s">
        <v>2740</v>
      </c>
      <c r="AA10" s="293">
        <v>6434517.0</v>
      </c>
      <c r="AB10" s="283">
        <v>44412.0</v>
      </c>
      <c r="AC10" s="284"/>
      <c r="AD10" s="284"/>
    </row>
    <row r="11" ht="14.25" customHeight="1">
      <c r="A11" s="265">
        <v>32874.0</v>
      </c>
      <c r="B11" s="266" t="s">
        <v>1500</v>
      </c>
      <c r="C11" s="266" t="s">
        <v>2737</v>
      </c>
      <c r="D11" s="266" t="s">
        <v>2738</v>
      </c>
      <c r="E11" s="268"/>
      <c r="F11" s="291" t="s">
        <v>2748</v>
      </c>
      <c r="G11" s="268" t="s">
        <v>1463</v>
      </c>
      <c r="H11" s="268"/>
      <c r="I11" s="271">
        <v>44412.666666666664</v>
      </c>
      <c r="J11" s="271">
        <v>44412.666666666664</v>
      </c>
      <c r="K11" s="271">
        <v>44412.666666666664</v>
      </c>
      <c r="L11" s="288"/>
      <c r="M11" s="278"/>
      <c r="N11" s="290"/>
      <c r="O11" s="276"/>
      <c r="P11" s="276"/>
      <c r="Q11" s="276"/>
      <c r="R11" s="278"/>
      <c r="S11" s="278"/>
      <c r="T11" s="278"/>
      <c r="U11" s="279"/>
      <c r="V11" s="279" t="s">
        <v>1500</v>
      </c>
      <c r="W11" s="280">
        <v>44497.0</v>
      </c>
      <c r="X11" s="279"/>
      <c r="Y11" s="279"/>
      <c r="Z11" s="282" t="s">
        <v>2740</v>
      </c>
      <c r="AA11" s="293">
        <v>6434519.0</v>
      </c>
      <c r="AB11" s="283">
        <v>44412.0</v>
      </c>
      <c r="AC11" s="284"/>
      <c r="AD11" s="284"/>
    </row>
    <row r="12" ht="14.25" customHeight="1">
      <c r="A12" s="265">
        <v>32874.0</v>
      </c>
      <c r="B12" s="266" t="s">
        <v>1500</v>
      </c>
      <c r="C12" s="266" t="s">
        <v>2737</v>
      </c>
      <c r="D12" s="266" t="s">
        <v>2738</v>
      </c>
      <c r="E12" s="268"/>
      <c r="F12" s="291" t="s">
        <v>2749</v>
      </c>
      <c r="G12" s="268" t="s">
        <v>1463</v>
      </c>
      <c r="H12" s="268"/>
      <c r="I12" s="271">
        <v>44412.666666666664</v>
      </c>
      <c r="J12" s="271">
        <v>44412.666666666664</v>
      </c>
      <c r="K12" s="271">
        <v>44412.666666666664</v>
      </c>
      <c r="L12" s="288"/>
      <c r="M12" s="278"/>
      <c r="N12" s="290"/>
      <c r="O12" s="276"/>
      <c r="P12" s="276"/>
      <c r="Q12" s="276"/>
      <c r="R12" s="278"/>
      <c r="S12" s="278"/>
      <c r="T12" s="278"/>
      <c r="U12" s="279"/>
      <c r="V12" s="279" t="s">
        <v>1500</v>
      </c>
      <c r="W12" s="280">
        <v>44497.0</v>
      </c>
      <c r="X12" s="279"/>
      <c r="Y12" s="279"/>
      <c r="Z12" s="282" t="s">
        <v>2740</v>
      </c>
      <c r="AA12" s="293">
        <v>6434520.0</v>
      </c>
      <c r="AB12" s="283">
        <v>44412.0</v>
      </c>
      <c r="AC12" s="284"/>
      <c r="AD12" s="284"/>
    </row>
    <row r="13" ht="14.25" customHeight="1">
      <c r="A13" s="265">
        <v>32874.0</v>
      </c>
      <c r="B13" s="266" t="s">
        <v>1500</v>
      </c>
      <c r="C13" s="266" t="s">
        <v>2737</v>
      </c>
      <c r="D13" s="266" t="s">
        <v>2738</v>
      </c>
      <c r="E13" s="268"/>
      <c r="F13" s="291" t="s">
        <v>2750</v>
      </c>
      <c r="G13" s="268" t="s">
        <v>1463</v>
      </c>
      <c r="H13" s="268"/>
      <c r="I13" s="271">
        <v>44412.666666666664</v>
      </c>
      <c r="J13" s="271">
        <v>44412.666666666664</v>
      </c>
      <c r="K13" s="271">
        <v>44412.666666666664</v>
      </c>
      <c r="L13" s="288"/>
      <c r="M13" s="278"/>
      <c r="N13" s="290"/>
      <c r="O13" s="276"/>
      <c r="P13" s="276"/>
      <c r="Q13" s="276"/>
      <c r="R13" s="278"/>
      <c r="S13" s="278"/>
      <c r="T13" s="278"/>
      <c r="U13" s="279"/>
      <c r="V13" s="279" t="s">
        <v>1500</v>
      </c>
      <c r="W13" s="280">
        <v>44503.0</v>
      </c>
      <c r="X13" s="279"/>
      <c r="Y13" s="279"/>
      <c r="Z13" s="282" t="s">
        <v>2740</v>
      </c>
      <c r="AA13" s="293">
        <v>6434521.0</v>
      </c>
      <c r="AB13" s="283">
        <v>44412.0</v>
      </c>
      <c r="AC13" s="284"/>
      <c r="AD13" s="284"/>
    </row>
    <row r="14" ht="14.25" customHeight="1">
      <c r="A14" s="265">
        <v>32874.0</v>
      </c>
      <c r="B14" s="266" t="s">
        <v>1500</v>
      </c>
      <c r="C14" s="266" t="s">
        <v>2737</v>
      </c>
      <c r="D14" s="266" t="s">
        <v>2738</v>
      </c>
      <c r="E14" s="268"/>
      <c r="F14" s="291" t="s">
        <v>2751</v>
      </c>
      <c r="G14" s="268" t="s">
        <v>1463</v>
      </c>
      <c r="H14" s="268"/>
      <c r="I14" s="271">
        <v>44412.666666666664</v>
      </c>
      <c r="J14" s="271">
        <v>44412.666666666664</v>
      </c>
      <c r="K14" s="271">
        <v>44412.666666666664</v>
      </c>
      <c r="L14" s="288"/>
      <c r="M14" s="278"/>
      <c r="N14" s="290"/>
      <c r="O14" s="276"/>
      <c r="P14" s="276"/>
      <c r="Q14" s="276"/>
      <c r="R14" s="278"/>
      <c r="S14" s="278"/>
      <c r="T14" s="278"/>
      <c r="U14" s="279"/>
      <c r="V14" s="279" t="s">
        <v>1500</v>
      </c>
      <c r="W14" s="280">
        <v>44503.0</v>
      </c>
      <c r="X14" s="279"/>
      <c r="Y14" s="279"/>
      <c r="Z14" s="282" t="s">
        <v>2740</v>
      </c>
      <c r="AA14" s="293">
        <v>6434522.0</v>
      </c>
      <c r="AB14" s="283">
        <v>44412.0</v>
      </c>
      <c r="AC14" s="284"/>
      <c r="AD14" s="284"/>
    </row>
    <row r="15" ht="14.25" customHeight="1">
      <c r="A15" s="265">
        <v>32874.0</v>
      </c>
      <c r="B15" s="266" t="s">
        <v>1500</v>
      </c>
      <c r="C15" s="266" t="s">
        <v>2737</v>
      </c>
      <c r="D15" s="266" t="s">
        <v>2738</v>
      </c>
      <c r="E15" s="268"/>
      <c r="F15" s="291" t="s">
        <v>2752</v>
      </c>
      <c r="G15" s="268" t="s">
        <v>1463</v>
      </c>
      <c r="H15" s="268"/>
      <c r="I15" s="271">
        <v>44412.666666666664</v>
      </c>
      <c r="J15" s="271">
        <v>44412.666666666664</v>
      </c>
      <c r="K15" s="271">
        <v>44412.666666666664</v>
      </c>
      <c r="L15" s="288"/>
      <c r="M15" s="278"/>
      <c r="N15" s="290"/>
      <c r="O15" s="276"/>
      <c r="P15" s="276"/>
      <c r="Q15" s="276"/>
      <c r="R15" s="278"/>
      <c r="S15" s="278"/>
      <c r="T15" s="278"/>
      <c r="U15" s="279"/>
      <c r="V15" s="279" t="s">
        <v>2753</v>
      </c>
      <c r="W15" s="280">
        <v>44503.0</v>
      </c>
      <c r="X15" s="279"/>
      <c r="Y15" s="279"/>
      <c r="Z15" s="282" t="s">
        <v>2740</v>
      </c>
      <c r="AA15" s="293">
        <v>6434523.0</v>
      </c>
      <c r="AB15" s="283">
        <v>44412.0</v>
      </c>
      <c r="AC15" s="284"/>
      <c r="AD15" s="284"/>
    </row>
    <row r="16" ht="14.25" customHeight="1">
      <c r="A16" s="265">
        <v>43911.0</v>
      </c>
      <c r="B16" s="266" t="s">
        <v>2030</v>
      </c>
      <c r="C16" s="266" t="s">
        <v>1457</v>
      </c>
      <c r="D16" s="266" t="s">
        <v>1543</v>
      </c>
      <c r="E16" s="268"/>
      <c r="F16" s="269" t="s">
        <v>2754</v>
      </c>
      <c r="G16" s="268" t="s">
        <v>1463</v>
      </c>
      <c r="H16" s="270">
        <v>0.007395833333333334</v>
      </c>
      <c r="I16" s="271">
        <v>44291.0</v>
      </c>
      <c r="J16" s="268"/>
      <c r="K16" s="271">
        <v>44291.52731481481</v>
      </c>
      <c r="L16" s="271"/>
      <c r="M16" s="272" t="s">
        <v>2755</v>
      </c>
      <c r="N16" s="352"/>
      <c r="O16" s="276"/>
      <c r="P16" s="275"/>
      <c r="Q16" s="276"/>
      <c r="R16" s="278"/>
      <c r="S16" s="278"/>
      <c r="T16" s="278"/>
      <c r="U16" s="279"/>
      <c r="V16" s="279" t="s">
        <v>1824</v>
      </c>
      <c r="W16" s="280">
        <v>44291.0</v>
      </c>
      <c r="X16" s="281">
        <v>0.009571759259259259</v>
      </c>
      <c r="Y16" s="279" t="s">
        <v>1693</v>
      </c>
      <c r="Z16" s="282" t="s">
        <v>53</v>
      </c>
      <c r="AA16" s="282">
        <v>6349398.0</v>
      </c>
      <c r="AB16" s="283">
        <v>44292.0</v>
      </c>
      <c r="AC16" s="284"/>
      <c r="AD16" s="284"/>
    </row>
    <row r="17" ht="14.25" customHeight="1">
      <c r="A17" s="265">
        <v>44061.0</v>
      </c>
      <c r="B17" s="266" t="s">
        <v>1500</v>
      </c>
      <c r="C17" s="266" t="s">
        <v>2756</v>
      </c>
      <c r="D17" s="266" t="s">
        <v>1543</v>
      </c>
      <c r="E17" s="378"/>
      <c r="F17" s="291" t="s">
        <v>2757</v>
      </c>
      <c r="G17" s="268" t="s">
        <v>1463</v>
      </c>
      <c r="H17" s="268"/>
      <c r="I17" s="271">
        <v>44537.40939814815</v>
      </c>
      <c r="J17" s="268"/>
      <c r="K17" s="271">
        <v>44537.46805555555</v>
      </c>
      <c r="L17" s="288"/>
      <c r="M17" s="278" t="s">
        <v>2758</v>
      </c>
      <c r="N17" s="290"/>
      <c r="O17" s="276"/>
      <c r="P17" s="276"/>
      <c r="Q17" s="276"/>
      <c r="R17" s="278"/>
      <c r="S17" s="278"/>
      <c r="T17" s="278"/>
      <c r="U17" s="279"/>
      <c r="V17" s="279" t="s">
        <v>1746</v>
      </c>
      <c r="W17" s="280">
        <v>44557.0</v>
      </c>
      <c r="X17" s="281">
        <v>0.006944444444444444</v>
      </c>
      <c r="Y17" s="279" t="s">
        <v>1693</v>
      </c>
      <c r="Z17" s="282"/>
      <c r="AA17" s="379">
        <v>7149633.0</v>
      </c>
      <c r="AB17" s="380">
        <v>44537.468506944446</v>
      </c>
      <c r="AC17" s="284"/>
      <c r="AD17" s="284"/>
    </row>
    <row r="18" ht="14.25" customHeight="1">
      <c r="A18" s="265">
        <v>44094.0</v>
      </c>
      <c r="B18" s="266" t="s">
        <v>1500</v>
      </c>
      <c r="C18" s="266" t="s">
        <v>2756</v>
      </c>
      <c r="D18" s="266" t="s">
        <v>1543</v>
      </c>
      <c r="E18" s="378"/>
      <c r="F18" s="291" t="s">
        <v>2759</v>
      </c>
      <c r="G18" s="268" t="s">
        <v>2085</v>
      </c>
      <c r="H18" s="270">
        <v>0.0033912037037037036</v>
      </c>
      <c r="I18" s="271">
        <v>44519.30564814815</v>
      </c>
      <c r="J18" s="268"/>
      <c r="K18" s="271">
        <v>44519.31633101852</v>
      </c>
      <c r="L18" s="288"/>
      <c r="M18" s="278" t="s">
        <v>2758</v>
      </c>
      <c r="N18" s="290"/>
      <c r="O18" s="276"/>
      <c r="P18" s="276"/>
      <c r="Q18" s="276"/>
      <c r="R18" s="278"/>
      <c r="S18" s="278"/>
      <c r="T18" s="278"/>
      <c r="U18" s="279"/>
      <c r="V18" s="279" t="s">
        <v>1824</v>
      </c>
      <c r="W18" s="280">
        <v>44539.0</v>
      </c>
      <c r="X18" s="281">
        <v>0.0062499999999999995</v>
      </c>
      <c r="Y18" s="279" t="s">
        <v>1693</v>
      </c>
      <c r="Z18" s="282" t="s">
        <v>53</v>
      </c>
      <c r="AA18" s="381">
        <v>7102393.0</v>
      </c>
      <c r="AB18" s="283">
        <v>44523.0</v>
      </c>
      <c r="AC18" s="284"/>
      <c r="AD18" s="284"/>
    </row>
    <row r="19" ht="14.25" customHeight="1">
      <c r="A19" s="265">
        <v>44094.0</v>
      </c>
      <c r="B19" s="266" t="s">
        <v>1500</v>
      </c>
      <c r="C19" s="266" t="s">
        <v>2756</v>
      </c>
      <c r="D19" s="266" t="s">
        <v>1543</v>
      </c>
      <c r="E19" s="378"/>
      <c r="F19" s="291" t="s">
        <v>2760</v>
      </c>
      <c r="G19" s="268" t="s">
        <v>2085</v>
      </c>
      <c r="H19" s="270">
        <v>0.005740740740740742</v>
      </c>
      <c r="I19" s="271">
        <v>44522.35778935185</v>
      </c>
      <c r="J19" s="268"/>
      <c r="K19" s="271">
        <v>44523.30918981481</v>
      </c>
      <c r="L19" s="288"/>
      <c r="M19" s="278" t="s">
        <v>2758</v>
      </c>
      <c r="N19" s="290"/>
      <c r="O19" s="276"/>
      <c r="P19" s="276"/>
      <c r="Q19" s="276"/>
      <c r="R19" s="278"/>
      <c r="S19" s="278"/>
      <c r="T19" s="278"/>
      <c r="U19" s="279"/>
      <c r="V19" s="279" t="s">
        <v>1824</v>
      </c>
      <c r="W19" s="280">
        <v>44540.0</v>
      </c>
      <c r="X19" s="281">
        <v>0.009722222222222222</v>
      </c>
      <c r="Y19" s="279" t="s">
        <v>1693</v>
      </c>
      <c r="Z19" s="282" t="s">
        <v>53</v>
      </c>
      <c r="AA19" s="381">
        <v>7113186.0</v>
      </c>
      <c r="AB19" s="283">
        <v>44523.0</v>
      </c>
      <c r="AC19" s="284"/>
      <c r="AD19" s="284"/>
    </row>
    <row r="20" ht="14.25" customHeight="1">
      <c r="A20" s="265">
        <v>44094.0</v>
      </c>
      <c r="B20" s="266" t="s">
        <v>1500</v>
      </c>
      <c r="C20" s="266" t="s">
        <v>2756</v>
      </c>
      <c r="D20" s="266" t="s">
        <v>1543</v>
      </c>
      <c r="E20" s="378"/>
      <c r="F20" s="291" t="s">
        <v>2761</v>
      </c>
      <c r="G20" s="268" t="s">
        <v>2085</v>
      </c>
      <c r="H20" s="270">
        <v>0.007372685185185186</v>
      </c>
      <c r="I20" s="271">
        <v>44522.35768518518</v>
      </c>
      <c r="J20" s="268"/>
      <c r="K20" s="271">
        <v>44523.30936342593</v>
      </c>
      <c r="L20" s="288"/>
      <c r="M20" s="278" t="s">
        <v>2758</v>
      </c>
      <c r="N20" s="290"/>
      <c r="O20" s="276"/>
      <c r="P20" s="276"/>
      <c r="Q20" s="276"/>
      <c r="R20" s="278"/>
      <c r="S20" s="278"/>
      <c r="T20" s="278"/>
      <c r="U20" s="279"/>
      <c r="V20" s="279" t="s">
        <v>1824</v>
      </c>
      <c r="W20" s="280">
        <v>44540.0</v>
      </c>
      <c r="X20" s="281">
        <v>0.0062499999999999995</v>
      </c>
      <c r="Y20" s="279" t="s">
        <v>1693</v>
      </c>
      <c r="Z20" s="282" t="s">
        <v>53</v>
      </c>
      <c r="AA20" s="381">
        <v>7113187.0</v>
      </c>
      <c r="AB20" s="283">
        <v>44523.0</v>
      </c>
      <c r="AC20" s="284"/>
      <c r="AD20" s="284"/>
    </row>
    <row r="21" ht="14.25" customHeight="1">
      <c r="A21" s="265">
        <v>44094.0</v>
      </c>
      <c r="B21" s="266" t="s">
        <v>1500</v>
      </c>
      <c r="C21" s="266" t="s">
        <v>2756</v>
      </c>
      <c r="D21" s="266" t="s">
        <v>1543</v>
      </c>
      <c r="E21" s="378"/>
      <c r="F21" s="291" t="s">
        <v>2762</v>
      </c>
      <c r="G21" s="268" t="s">
        <v>2085</v>
      </c>
      <c r="H21" s="270">
        <v>0.003969907407407407</v>
      </c>
      <c r="I21" s="271">
        <v>44522.36822916667</v>
      </c>
      <c r="J21" s="268"/>
      <c r="K21" s="271">
        <v>44523.30966435185</v>
      </c>
      <c r="L21" s="288"/>
      <c r="M21" s="278" t="s">
        <v>2758</v>
      </c>
      <c r="N21" s="290"/>
      <c r="O21" s="276"/>
      <c r="P21" s="276"/>
      <c r="Q21" s="276"/>
      <c r="R21" s="278"/>
      <c r="S21" s="278"/>
      <c r="T21" s="278"/>
      <c r="U21" s="279"/>
      <c r="V21" s="279" t="s">
        <v>1824</v>
      </c>
      <c r="W21" s="280">
        <v>44540.0</v>
      </c>
      <c r="X21" s="281">
        <v>0.004166666666666667</v>
      </c>
      <c r="Y21" s="279" t="s">
        <v>1693</v>
      </c>
      <c r="Z21" s="282" t="s">
        <v>53</v>
      </c>
      <c r="AA21" s="381">
        <v>7113188.0</v>
      </c>
      <c r="AB21" s="283">
        <v>44523.0</v>
      </c>
      <c r="AC21" s="284"/>
      <c r="AD21" s="284"/>
    </row>
    <row r="22" ht="14.25" customHeight="1">
      <c r="A22" s="265">
        <v>44094.0</v>
      </c>
      <c r="B22" s="266" t="s">
        <v>1500</v>
      </c>
      <c r="C22" s="266" t="s">
        <v>2756</v>
      </c>
      <c r="D22" s="266" t="s">
        <v>1543</v>
      </c>
      <c r="E22" s="378"/>
      <c r="F22" s="291" t="s">
        <v>2763</v>
      </c>
      <c r="G22" s="268" t="s">
        <v>1463</v>
      </c>
      <c r="H22" s="268"/>
      <c r="I22" s="271">
        <v>44537.40939814815</v>
      </c>
      <c r="J22" s="268"/>
      <c r="K22" s="271">
        <v>44537.46805555555</v>
      </c>
      <c r="L22" s="288"/>
      <c r="M22" s="278" t="s">
        <v>2758</v>
      </c>
      <c r="N22" s="290"/>
      <c r="O22" s="276"/>
      <c r="P22" s="276"/>
      <c r="Q22" s="276"/>
      <c r="R22" s="278"/>
      <c r="S22" s="278"/>
      <c r="T22" s="278"/>
      <c r="U22" s="279"/>
      <c r="V22" s="279" t="s">
        <v>1824</v>
      </c>
      <c r="W22" s="280">
        <v>44558.0</v>
      </c>
      <c r="X22" s="281">
        <v>0.003472222222222222</v>
      </c>
      <c r="Y22" s="279" t="s">
        <v>1693</v>
      </c>
      <c r="Z22" s="282"/>
      <c r="AA22" s="379">
        <v>7149640.0</v>
      </c>
      <c r="AB22" s="380">
        <v>44537.468506944446</v>
      </c>
      <c r="AC22" s="284"/>
      <c r="AD22" s="284"/>
    </row>
    <row r="23" ht="14.25" customHeight="1">
      <c r="A23" s="265">
        <v>44094.0</v>
      </c>
      <c r="B23" s="266" t="s">
        <v>1500</v>
      </c>
      <c r="C23" s="266" t="s">
        <v>2756</v>
      </c>
      <c r="D23" s="266" t="s">
        <v>1543</v>
      </c>
      <c r="E23" s="378"/>
      <c r="F23" s="291" t="s">
        <v>2764</v>
      </c>
      <c r="G23" s="268" t="s">
        <v>1463</v>
      </c>
      <c r="H23" s="268"/>
      <c r="I23" s="271">
        <v>44537.40939814815</v>
      </c>
      <c r="J23" s="268"/>
      <c r="K23" s="271">
        <v>44537.46805555555</v>
      </c>
      <c r="L23" s="288"/>
      <c r="M23" s="278" t="s">
        <v>2758</v>
      </c>
      <c r="N23" s="290"/>
      <c r="O23" s="276"/>
      <c r="P23" s="276"/>
      <c r="Q23" s="276"/>
      <c r="R23" s="278"/>
      <c r="S23" s="278"/>
      <c r="T23" s="278"/>
      <c r="U23" s="279"/>
      <c r="V23" s="279" t="s">
        <v>1824</v>
      </c>
      <c r="W23" s="280">
        <v>44567.0</v>
      </c>
      <c r="X23" s="281">
        <v>0.009027777777777779</v>
      </c>
      <c r="Y23" s="279" t="s">
        <v>1693</v>
      </c>
      <c r="Z23" s="282"/>
      <c r="AA23" s="379">
        <v>7172921.0</v>
      </c>
      <c r="AB23" s="380">
        <v>44537.468506944446</v>
      </c>
      <c r="AC23" s="284"/>
      <c r="AD23" s="284"/>
    </row>
    <row r="24" ht="14.25" customHeight="1">
      <c r="A24" s="265">
        <v>44094.0</v>
      </c>
      <c r="B24" s="266" t="s">
        <v>1500</v>
      </c>
      <c r="C24" s="266" t="s">
        <v>2756</v>
      </c>
      <c r="D24" s="266" t="s">
        <v>1543</v>
      </c>
      <c r="E24" s="378"/>
      <c r="F24" s="291" t="s">
        <v>2765</v>
      </c>
      <c r="G24" s="268" t="s">
        <v>1463</v>
      </c>
      <c r="H24" s="268"/>
      <c r="I24" s="271">
        <v>44537.40939814815</v>
      </c>
      <c r="J24" s="268"/>
      <c r="K24" s="271">
        <v>44537.46805555555</v>
      </c>
      <c r="L24" s="288"/>
      <c r="M24" s="278" t="s">
        <v>2758</v>
      </c>
      <c r="N24" s="290"/>
      <c r="O24" s="276"/>
      <c r="P24" s="276"/>
      <c r="Q24" s="276"/>
      <c r="R24" s="278"/>
      <c r="S24" s="278"/>
      <c r="T24" s="278"/>
      <c r="U24" s="279"/>
      <c r="V24" s="279" t="s">
        <v>1824</v>
      </c>
      <c r="W24" s="280">
        <v>44558.0</v>
      </c>
      <c r="X24" s="281">
        <v>0.006944444444444444</v>
      </c>
      <c r="Y24" s="279" t="s">
        <v>1693</v>
      </c>
      <c r="Z24" s="282"/>
      <c r="AA24" s="379">
        <v>7183710.0</v>
      </c>
      <c r="AB24" s="380">
        <v>44537.468506944446</v>
      </c>
      <c r="AC24" s="284"/>
      <c r="AD24" s="284"/>
    </row>
    <row r="25" ht="14.25" customHeight="1">
      <c r="A25" s="265">
        <v>44094.0</v>
      </c>
      <c r="B25" s="266" t="s">
        <v>1500</v>
      </c>
      <c r="C25" s="266" t="s">
        <v>2756</v>
      </c>
      <c r="D25" s="266" t="s">
        <v>1543</v>
      </c>
      <c r="E25" s="378"/>
      <c r="F25" s="291" t="s">
        <v>2766</v>
      </c>
      <c r="G25" s="268" t="s">
        <v>1463</v>
      </c>
      <c r="H25" s="268"/>
      <c r="I25" s="271">
        <v>44537.40939814815</v>
      </c>
      <c r="J25" s="268"/>
      <c r="K25" s="271">
        <v>44537.46805555555</v>
      </c>
      <c r="L25" s="288"/>
      <c r="M25" s="278" t="s">
        <v>2758</v>
      </c>
      <c r="N25" s="290"/>
      <c r="O25" s="276"/>
      <c r="P25" s="276"/>
      <c r="Q25" s="276"/>
      <c r="R25" s="278"/>
      <c r="S25" s="278"/>
      <c r="T25" s="278"/>
      <c r="U25" s="279"/>
      <c r="V25" s="279" t="s">
        <v>1824</v>
      </c>
      <c r="W25" s="280">
        <v>44558.0</v>
      </c>
      <c r="X25" s="281">
        <v>0.006944444444444444</v>
      </c>
      <c r="Y25" s="279" t="s">
        <v>1693</v>
      </c>
      <c r="Z25" s="282"/>
      <c r="AA25" s="379">
        <v>7183716.0</v>
      </c>
      <c r="AB25" s="380">
        <v>44537.468506944446</v>
      </c>
      <c r="AC25" s="284"/>
      <c r="AD25" s="284"/>
    </row>
    <row r="26" ht="14.25" customHeight="1">
      <c r="A26" s="265">
        <v>44094.0</v>
      </c>
      <c r="B26" s="266" t="s">
        <v>1500</v>
      </c>
      <c r="C26" s="266" t="s">
        <v>2756</v>
      </c>
      <c r="D26" s="266" t="s">
        <v>1543</v>
      </c>
      <c r="E26" s="378"/>
      <c r="F26" s="291" t="s">
        <v>2767</v>
      </c>
      <c r="G26" s="268" t="s">
        <v>1463</v>
      </c>
      <c r="H26" s="268"/>
      <c r="I26" s="271">
        <v>44537.40939814815</v>
      </c>
      <c r="J26" s="268"/>
      <c r="K26" s="271">
        <v>44537.46805555555</v>
      </c>
      <c r="L26" s="288"/>
      <c r="M26" s="278" t="s">
        <v>2758</v>
      </c>
      <c r="N26" s="290"/>
      <c r="O26" s="276"/>
      <c r="P26" s="276"/>
      <c r="Q26" s="276"/>
      <c r="R26" s="278"/>
      <c r="S26" s="278"/>
      <c r="T26" s="278"/>
      <c r="U26" s="279"/>
      <c r="V26" s="279" t="s">
        <v>1824</v>
      </c>
      <c r="W26" s="280">
        <v>44558.0</v>
      </c>
      <c r="X26" s="281">
        <v>0.004861111111111111</v>
      </c>
      <c r="Y26" s="279" t="s">
        <v>1693</v>
      </c>
      <c r="Z26" s="282"/>
      <c r="AA26" s="379">
        <v>7183717.0</v>
      </c>
      <c r="AB26" s="380">
        <v>44537.468506944446</v>
      </c>
      <c r="AC26" s="284"/>
      <c r="AD26" s="284"/>
    </row>
    <row r="27" ht="14.25" customHeight="1">
      <c r="A27" s="265">
        <v>44094.0</v>
      </c>
      <c r="B27" s="266" t="s">
        <v>1500</v>
      </c>
      <c r="C27" s="266" t="s">
        <v>2756</v>
      </c>
      <c r="D27" s="266" t="s">
        <v>1543</v>
      </c>
      <c r="E27" s="378"/>
      <c r="F27" s="291" t="s">
        <v>2768</v>
      </c>
      <c r="G27" s="268" t="s">
        <v>1463</v>
      </c>
      <c r="H27" s="268"/>
      <c r="I27" s="271">
        <v>44537.40939814815</v>
      </c>
      <c r="J27" s="268"/>
      <c r="K27" s="271">
        <v>44537.46805555555</v>
      </c>
      <c r="L27" s="288"/>
      <c r="M27" s="278" t="s">
        <v>2758</v>
      </c>
      <c r="N27" s="290"/>
      <c r="O27" s="276"/>
      <c r="P27" s="276"/>
      <c r="Q27" s="276"/>
      <c r="R27" s="278"/>
      <c r="S27" s="278"/>
      <c r="T27" s="278"/>
      <c r="U27" s="279"/>
      <c r="V27" s="279" t="s">
        <v>1824</v>
      </c>
      <c r="W27" s="280">
        <v>44568.0</v>
      </c>
      <c r="X27" s="281">
        <v>0.02291666666666667</v>
      </c>
      <c r="Y27" s="279" t="s">
        <v>1693</v>
      </c>
      <c r="Z27" s="282"/>
      <c r="AA27" s="379">
        <v>7183719.0</v>
      </c>
      <c r="AB27" s="380">
        <v>44537.468506944446</v>
      </c>
      <c r="AC27" s="284"/>
      <c r="AD27" s="284"/>
    </row>
    <row r="28" ht="14.25" customHeight="1">
      <c r="A28" s="265">
        <v>44094.0</v>
      </c>
      <c r="B28" s="266" t="s">
        <v>1500</v>
      </c>
      <c r="C28" s="266" t="s">
        <v>2756</v>
      </c>
      <c r="D28" s="266" t="s">
        <v>1543</v>
      </c>
      <c r="E28" s="378"/>
      <c r="F28" s="291" t="s">
        <v>2769</v>
      </c>
      <c r="G28" s="268" t="s">
        <v>1463</v>
      </c>
      <c r="H28" s="268"/>
      <c r="I28" s="271">
        <v>44537.40939814815</v>
      </c>
      <c r="J28" s="268"/>
      <c r="K28" s="271">
        <v>44537.46805555555</v>
      </c>
      <c r="L28" s="288"/>
      <c r="M28" s="278" t="s">
        <v>2758</v>
      </c>
      <c r="N28" s="290"/>
      <c r="O28" s="276"/>
      <c r="P28" s="276"/>
      <c r="Q28" s="276"/>
      <c r="R28" s="278"/>
      <c r="S28" s="278"/>
      <c r="T28" s="278"/>
      <c r="U28" s="279"/>
      <c r="V28" s="279" t="s">
        <v>1824</v>
      </c>
      <c r="W28" s="280">
        <v>44568.0</v>
      </c>
      <c r="X28" s="281">
        <v>0.012499999999999999</v>
      </c>
      <c r="Y28" s="279" t="s">
        <v>1693</v>
      </c>
      <c r="Z28" s="282"/>
      <c r="AA28" s="379">
        <v>7183720.0</v>
      </c>
      <c r="AB28" s="380">
        <v>44537.468506944446</v>
      </c>
      <c r="AC28" s="284"/>
      <c r="AD28" s="284"/>
    </row>
    <row r="29" ht="14.25" customHeight="1">
      <c r="A29" s="265">
        <v>44104.0</v>
      </c>
      <c r="B29" s="266" t="s">
        <v>1500</v>
      </c>
      <c r="C29" s="266" t="s">
        <v>2756</v>
      </c>
      <c r="D29" s="266" t="s">
        <v>1543</v>
      </c>
      <c r="E29" s="378"/>
      <c r="F29" s="291" t="s">
        <v>2770</v>
      </c>
      <c r="G29" s="268" t="s">
        <v>2085</v>
      </c>
      <c r="H29" s="270">
        <v>0.002013888888888889</v>
      </c>
      <c r="I29" s="271">
        <v>44519.30571759259</v>
      </c>
      <c r="J29" s="268"/>
      <c r="K29" s="271">
        <v>44519.31584490741</v>
      </c>
      <c r="L29" s="288"/>
      <c r="M29" s="278" t="s">
        <v>2758</v>
      </c>
      <c r="N29" s="290"/>
      <c r="O29" s="276"/>
      <c r="P29" s="276"/>
      <c r="Q29" s="276"/>
      <c r="R29" s="278"/>
      <c r="S29" s="278"/>
      <c r="T29" s="278"/>
      <c r="U29" s="279"/>
      <c r="V29" s="279" t="s">
        <v>1824</v>
      </c>
      <c r="W29" s="280">
        <v>44539.0</v>
      </c>
      <c r="X29" s="281">
        <v>0.004861111111111111</v>
      </c>
      <c r="Y29" s="279" t="s">
        <v>1693</v>
      </c>
      <c r="Z29" s="282" t="s">
        <v>53</v>
      </c>
      <c r="AA29" s="381">
        <v>7102392.0</v>
      </c>
      <c r="AB29" s="283">
        <v>44523.0</v>
      </c>
      <c r="AC29" s="284"/>
      <c r="AD29" s="284"/>
    </row>
    <row r="30" ht="14.25" customHeight="1">
      <c r="A30" s="265">
        <v>44104.0</v>
      </c>
      <c r="B30" s="266" t="s">
        <v>1500</v>
      </c>
      <c r="C30" s="266" t="s">
        <v>2756</v>
      </c>
      <c r="D30" s="266" t="s">
        <v>1543</v>
      </c>
      <c r="E30" s="378"/>
      <c r="F30" s="291" t="s">
        <v>2771</v>
      </c>
      <c r="G30" s="268" t="s">
        <v>2085</v>
      </c>
      <c r="H30" s="270">
        <v>0.002511574074074074</v>
      </c>
      <c r="I30" s="271">
        <v>44522.357766203706</v>
      </c>
      <c r="J30" s="268"/>
      <c r="K30" s="271">
        <v>44523.30857638889</v>
      </c>
      <c r="L30" s="288"/>
      <c r="M30" s="278" t="s">
        <v>2758</v>
      </c>
      <c r="N30" s="290"/>
      <c r="O30" s="276"/>
      <c r="P30" s="276"/>
      <c r="Q30" s="276"/>
      <c r="R30" s="278"/>
      <c r="S30" s="278"/>
      <c r="T30" s="278"/>
      <c r="U30" s="279"/>
      <c r="V30" s="279" t="s">
        <v>1824</v>
      </c>
      <c r="W30" s="280">
        <v>44539.0</v>
      </c>
      <c r="X30" s="281">
        <v>0.006944444444444444</v>
      </c>
      <c r="Y30" s="279" t="s">
        <v>1693</v>
      </c>
      <c r="Z30" s="282" t="s">
        <v>53</v>
      </c>
      <c r="AA30" s="381">
        <v>7113184.0</v>
      </c>
      <c r="AB30" s="283">
        <v>44523.0</v>
      </c>
      <c r="AC30" s="284"/>
      <c r="AD30" s="284"/>
    </row>
    <row r="31" ht="14.25" customHeight="1">
      <c r="A31" s="265">
        <v>44104.0</v>
      </c>
      <c r="B31" s="266" t="s">
        <v>1500</v>
      </c>
      <c r="C31" s="266" t="s">
        <v>2756</v>
      </c>
      <c r="D31" s="266" t="s">
        <v>1543</v>
      </c>
      <c r="E31" s="378"/>
      <c r="F31" s="291" t="s">
        <v>2772</v>
      </c>
      <c r="G31" s="268" t="s">
        <v>2085</v>
      </c>
      <c r="H31" s="270">
        <v>0.001967592592592593</v>
      </c>
      <c r="I31" s="271">
        <v>44522.357777777775</v>
      </c>
      <c r="J31" s="268"/>
      <c r="K31" s="271">
        <v>44523.30883101852</v>
      </c>
      <c r="L31" s="288"/>
      <c r="M31" s="278" t="s">
        <v>2758</v>
      </c>
      <c r="N31" s="290"/>
      <c r="O31" s="276"/>
      <c r="P31" s="276"/>
      <c r="Q31" s="276"/>
      <c r="R31" s="278"/>
      <c r="S31" s="278"/>
      <c r="T31" s="278"/>
      <c r="U31" s="279"/>
      <c r="V31" s="279" t="s">
        <v>1824</v>
      </c>
      <c r="W31" s="280">
        <v>44540.0</v>
      </c>
      <c r="X31" s="281">
        <v>0.013888888888888888</v>
      </c>
      <c r="Y31" s="279" t="s">
        <v>1693</v>
      </c>
      <c r="Z31" s="282" t="s">
        <v>53</v>
      </c>
      <c r="AA31" s="381">
        <v>7113185.0</v>
      </c>
      <c r="AB31" s="283">
        <v>44523.0</v>
      </c>
      <c r="AC31" s="284"/>
      <c r="AD31" s="284"/>
    </row>
    <row r="32" ht="14.25" customHeight="1">
      <c r="A32" s="265">
        <v>44104.0</v>
      </c>
      <c r="B32" s="266" t="s">
        <v>1500</v>
      </c>
      <c r="C32" s="266" t="s">
        <v>2756</v>
      </c>
      <c r="D32" s="266" t="s">
        <v>1543</v>
      </c>
      <c r="E32" s="378"/>
      <c r="F32" s="291" t="s">
        <v>2773</v>
      </c>
      <c r="G32" s="268" t="s">
        <v>1463</v>
      </c>
      <c r="H32" s="268"/>
      <c r="I32" s="271">
        <v>44537.40939814815</v>
      </c>
      <c r="J32" s="268"/>
      <c r="K32" s="271">
        <v>44537.46805555555</v>
      </c>
      <c r="L32" s="288"/>
      <c r="M32" s="278" t="s">
        <v>2758</v>
      </c>
      <c r="N32" s="290"/>
      <c r="O32" s="276"/>
      <c r="P32" s="276"/>
      <c r="Q32" s="276"/>
      <c r="R32" s="278"/>
      <c r="S32" s="278"/>
      <c r="T32" s="278"/>
      <c r="U32" s="279"/>
      <c r="V32" s="279" t="s">
        <v>1824</v>
      </c>
      <c r="W32" s="280">
        <v>44568.0</v>
      </c>
      <c r="X32" s="281">
        <v>0.004861111111111111</v>
      </c>
      <c r="Y32" s="279" t="s">
        <v>1693</v>
      </c>
      <c r="Z32" s="282"/>
      <c r="AA32" s="379">
        <v>7149630.0</v>
      </c>
      <c r="AB32" s="380">
        <v>44537.468506944446</v>
      </c>
      <c r="AC32" s="284"/>
      <c r="AD32" s="284"/>
    </row>
    <row r="33" ht="14.25" customHeight="1">
      <c r="A33" s="265">
        <v>44104.0</v>
      </c>
      <c r="B33" s="266" t="s">
        <v>1500</v>
      </c>
      <c r="C33" s="266" t="s">
        <v>2756</v>
      </c>
      <c r="D33" s="266" t="s">
        <v>1543</v>
      </c>
      <c r="E33" s="378"/>
      <c r="F33" s="291" t="s">
        <v>2774</v>
      </c>
      <c r="G33" s="268" t="s">
        <v>1463</v>
      </c>
      <c r="H33" s="268"/>
      <c r="I33" s="271">
        <v>44537.40939814815</v>
      </c>
      <c r="J33" s="268"/>
      <c r="K33" s="271">
        <v>44537.46805555555</v>
      </c>
      <c r="L33" s="288"/>
      <c r="M33" s="278" t="s">
        <v>2758</v>
      </c>
      <c r="N33" s="290"/>
      <c r="O33" s="276"/>
      <c r="P33" s="276"/>
      <c r="Q33" s="276"/>
      <c r="R33" s="278"/>
      <c r="S33" s="278"/>
      <c r="T33" s="278"/>
      <c r="U33" s="279"/>
      <c r="V33" s="279" t="s">
        <v>1824</v>
      </c>
      <c r="W33" s="280">
        <v>44568.0</v>
      </c>
      <c r="X33" s="281">
        <v>0.002777777777777778</v>
      </c>
      <c r="Y33" s="279" t="s">
        <v>1693</v>
      </c>
      <c r="Z33" s="282"/>
      <c r="AA33" s="379">
        <v>7149631.0</v>
      </c>
      <c r="AB33" s="380">
        <v>44537.468506944446</v>
      </c>
      <c r="AC33" s="284"/>
      <c r="AD33" s="284"/>
    </row>
    <row r="34" ht="14.25" customHeight="1">
      <c r="A34" s="265">
        <v>44104.0</v>
      </c>
      <c r="B34" s="266" t="s">
        <v>1500</v>
      </c>
      <c r="C34" s="266" t="s">
        <v>2756</v>
      </c>
      <c r="D34" s="266" t="s">
        <v>1543</v>
      </c>
      <c r="E34" s="378"/>
      <c r="F34" s="291" t="s">
        <v>2775</v>
      </c>
      <c r="G34" s="268" t="s">
        <v>1463</v>
      </c>
      <c r="H34" s="268"/>
      <c r="I34" s="271">
        <v>44537.40939814815</v>
      </c>
      <c r="J34" s="268"/>
      <c r="K34" s="271">
        <v>44537.46805555555</v>
      </c>
      <c r="L34" s="288"/>
      <c r="M34" s="278" t="s">
        <v>2758</v>
      </c>
      <c r="N34" s="290"/>
      <c r="O34" s="276"/>
      <c r="P34" s="276"/>
      <c r="Q34" s="276"/>
      <c r="R34" s="278"/>
      <c r="S34" s="278"/>
      <c r="T34" s="278"/>
      <c r="U34" s="279"/>
      <c r="V34" s="279" t="s">
        <v>1824</v>
      </c>
      <c r="W34" s="280">
        <v>44568.0</v>
      </c>
      <c r="X34" s="281">
        <v>0.004861111111111111</v>
      </c>
      <c r="Y34" s="279" t="s">
        <v>1693</v>
      </c>
      <c r="Z34" s="282"/>
      <c r="AA34" s="379">
        <v>7149638.0</v>
      </c>
      <c r="AB34" s="380">
        <v>44537.468506944446</v>
      </c>
      <c r="AC34" s="284"/>
      <c r="AD34" s="284"/>
    </row>
    <row r="35" ht="14.25" customHeight="1">
      <c r="A35" s="265">
        <v>44104.0</v>
      </c>
      <c r="B35" s="266" t="s">
        <v>1500</v>
      </c>
      <c r="C35" s="266" t="s">
        <v>2756</v>
      </c>
      <c r="D35" s="266" t="s">
        <v>1543</v>
      </c>
      <c r="E35" s="378"/>
      <c r="F35" s="291" t="s">
        <v>2776</v>
      </c>
      <c r="G35" s="268" t="s">
        <v>1463</v>
      </c>
      <c r="H35" s="268"/>
      <c r="I35" s="271">
        <v>44537.40939814815</v>
      </c>
      <c r="J35" s="268"/>
      <c r="K35" s="271">
        <v>44537.46805555555</v>
      </c>
      <c r="L35" s="288"/>
      <c r="M35" s="278" t="s">
        <v>2758</v>
      </c>
      <c r="N35" s="290"/>
      <c r="O35" s="276"/>
      <c r="P35" s="276"/>
      <c r="Q35" s="276"/>
      <c r="R35" s="278"/>
      <c r="S35" s="278"/>
      <c r="T35" s="278"/>
      <c r="U35" s="279"/>
      <c r="V35" s="279" t="s">
        <v>1824</v>
      </c>
      <c r="W35" s="280">
        <v>44568.0</v>
      </c>
      <c r="X35" s="281">
        <v>0.004861111111111111</v>
      </c>
      <c r="Y35" s="279" t="s">
        <v>1693</v>
      </c>
      <c r="Z35" s="282"/>
      <c r="AA35" s="379">
        <v>7149639.0</v>
      </c>
      <c r="AB35" s="380">
        <v>44537.468506944446</v>
      </c>
      <c r="AC35" s="284"/>
      <c r="AD35" s="284"/>
    </row>
    <row r="36" ht="14.25" customHeight="1">
      <c r="A36" s="265">
        <v>44104.0</v>
      </c>
      <c r="B36" s="266" t="s">
        <v>1500</v>
      </c>
      <c r="C36" s="266" t="s">
        <v>2756</v>
      </c>
      <c r="D36" s="266" t="s">
        <v>1543</v>
      </c>
      <c r="E36" s="378"/>
      <c r="F36" s="291" t="s">
        <v>2777</v>
      </c>
      <c r="G36" s="268" t="s">
        <v>1463</v>
      </c>
      <c r="H36" s="268"/>
      <c r="I36" s="271">
        <v>44537.40939814815</v>
      </c>
      <c r="J36" s="268"/>
      <c r="K36" s="271">
        <v>44537.46805555555</v>
      </c>
      <c r="L36" s="288"/>
      <c r="M36" s="278" t="s">
        <v>2758</v>
      </c>
      <c r="N36" s="290"/>
      <c r="O36" s="276"/>
      <c r="P36" s="276"/>
      <c r="Q36" s="276"/>
      <c r="R36" s="278"/>
      <c r="S36" s="278"/>
      <c r="T36" s="278"/>
      <c r="U36" s="279"/>
      <c r="V36" s="279" t="s">
        <v>1824</v>
      </c>
      <c r="W36" s="280">
        <v>44568.0</v>
      </c>
      <c r="X36" s="281">
        <v>0.003472222222222222</v>
      </c>
      <c r="Y36" s="279" t="s">
        <v>1693</v>
      </c>
      <c r="Z36" s="282"/>
      <c r="AA36" s="379">
        <v>7149642.0</v>
      </c>
      <c r="AB36" s="380">
        <v>44537.468506944446</v>
      </c>
      <c r="AC36" s="284"/>
      <c r="AD36" s="284"/>
    </row>
    <row r="37" ht="14.25" customHeight="1">
      <c r="A37" s="265">
        <v>44104.0</v>
      </c>
      <c r="B37" s="266" t="s">
        <v>1500</v>
      </c>
      <c r="C37" s="266" t="s">
        <v>2756</v>
      </c>
      <c r="D37" s="266" t="s">
        <v>1543</v>
      </c>
      <c r="E37" s="378"/>
      <c r="F37" s="291" t="s">
        <v>2778</v>
      </c>
      <c r="G37" s="268" t="s">
        <v>1463</v>
      </c>
      <c r="H37" s="268"/>
      <c r="I37" s="271">
        <v>44537.40939814815</v>
      </c>
      <c r="J37" s="268"/>
      <c r="K37" s="271">
        <v>44537.46805555555</v>
      </c>
      <c r="L37" s="288"/>
      <c r="M37" s="278" t="s">
        <v>2758</v>
      </c>
      <c r="N37" s="290"/>
      <c r="O37" s="276"/>
      <c r="P37" s="276"/>
      <c r="Q37" s="276"/>
      <c r="R37" s="278"/>
      <c r="S37" s="278"/>
      <c r="T37" s="278"/>
      <c r="U37" s="279"/>
      <c r="V37" s="279" t="s">
        <v>1824</v>
      </c>
      <c r="W37" s="280">
        <v>44568.0</v>
      </c>
      <c r="X37" s="281">
        <v>0.0062499999999999995</v>
      </c>
      <c r="Y37" s="279" t="s">
        <v>1693</v>
      </c>
      <c r="Z37" s="282"/>
      <c r="AA37" s="379">
        <v>7149643.0</v>
      </c>
      <c r="AB37" s="380">
        <v>44537.468506944446</v>
      </c>
      <c r="AC37" s="284"/>
      <c r="AD37" s="284"/>
    </row>
    <row r="38" ht="14.25" customHeight="1">
      <c r="A38" s="265">
        <v>44104.0</v>
      </c>
      <c r="B38" s="266" t="s">
        <v>1500</v>
      </c>
      <c r="C38" s="266" t="s">
        <v>2756</v>
      </c>
      <c r="D38" s="266" t="s">
        <v>1543</v>
      </c>
      <c r="E38" s="378"/>
      <c r="F38" s="291" t="s">
        <v>2779</v>
      </c>
      <c r="G38" s="268" t="s">
        <v>1463</v>
      </c>
      <c r="H38" s="268"/>
      <c r="I38" s="271">
        <v>44537.40939814815</v>
      </c>
      <c r="J38" s="268"/>
      <c r="K38" s="271">
        <v>44537.46805555555</v>
      </c>
      <c r="L38" s="288"/>
      <c r="M38" s="278" t="s">
        <v>2758</v>
      </c>
      <c r="N38" s="290"/>
      <c r="O38" s="276"/>
      <c r="P38" s="276"/>
      <c r="Q38" s="276"/>
      <c r="R38" s="278"/>
      <c r="S38" s="278"/>
      <c r="T38" s="278"/>
      <c r="U38" s="279"/>
      <c r="V38" s="279" t="s">
        <v>1824</v>
      </c>
      <c r="W38" s="280">
        <v>44567.0</v>
      </c>
      <c r="X38" s="281">
        <v>0.004166666666666667</v>
      </c>
      <c r="Y38" s="279" t="s">
        <v>1693</v>
      </c>
      <c r="Z38" s="282"/>
      <c r="AA38" s="379">
        <v>7149644.0</v>
      </c>
      <c r="AB38" s="380">
        <v>44537.468506944446</v>
      </c>
      <c r="AC38" s="284"/>
      <c r="AD38" s="284"/>
    </row>
    <row r="39" ht="14.25" customHeight="1">
      <c r="A39" s="265">
        <v>44104.0</v>
      </c>
      <c r="B39" s="266" t="s">
        <v>1500</v>
      </c>
      <c r="C39" s="266" t="s">
        <v>2756</v>
      </c>
      <c r="D39" s="266" t="s">
        <v>1543</v>
      </c>
      <c r="E39" s="378"/>
      <c r="F39" s="291" t="s">
        <v>2780</v>
      </c>
      <c r="G39" s="268" t="s">
        <v>1463</v>
      </c>
      <c r="H39" s="268"/>
      <c r="I39" s="271">
        <v>44537.40939814815</v>
      </c>
      <c r="J39" s="268"/>
      <c r="K39" s="271">
        <v>44537.46805555555</v>
      </c>
      <c r="L39" s="288"/>
      <c r="M39" s="278" t="s">
        <v>2758</v>
      </c>
      <c r="N39" s="290"/>
      <c r="O39" s="276"/>
      <c r="P39" s="276"/>
      <c r="Q39" s="276"/>
      <c r="R39" s="278"/>
      <c r="S39" s="278"/>
      <c r="T39" s="278"/>
      <c r="U39" s="279"/>
      <c r="V39" s="279" t="s">
        <v>1824</v>
      </c>
      <c r="W39" s="280">
        <v>44567.0</v>
      </c>
      <c r="X39" s="281">
        <v>0.004861111111111111</v>
      </c>
      <c r="Y39" s="279" t="s">
        <v>1693</v>
      </c>
      <c r="Z39" s="282"/>
      <c r="AA39" s="379">
        <v>7172922.0</v>
      </c>
      <c r="AB39" s="380">
        <v>44537.468506944446</v>
      </c>
      <c r="AC39" s="284"/>
      <c r="AD39" s="284"/>
    </row>
    <row r="40" ht="14.25" customHeight="1">
      <c r="A40" s="265">
        <v>44104.0</v>
      </c>
      <c r="B40" s="266" t="s">
        <v>1500</v>
      </c>
      <c r="C40" s="266" t="s">
        <v>2756</v>
      </c>
      <c r="D40" s="266" t="s">
        <v>1543</v>
      </c>
      <c r="E40" s="378"/>
      <c r="F40" s="291" t="s">
        <v>2781</v>
      </c>
      <c r="G40" s="268" t="s">
        <v>1463</v>
      </c>
      <c r="H40" s="268"/>
      <c r="I40" s="271">
        <v>44537.40939814815</v>
      </c>
      <c r="J40" s="268"/>
      <c r="K40" s="271">
        <v>44537.46805555555</v>
      </c>
      <c r="L40" s="288"/>
      <c r="M40" s="278" t="s">
        <v>2758</v>
      </c>
      <c r="N40" s="290"/>
      <c r="O40" s="276"/>
      <c r="P40" s="276"/>
      <c r="Q40" s="276"/>
      <c r="R40" s="278"/>
      <c r="S40" s="278"/>
      <c r="T40" s="278"/>
      <c r="U40" s="279"/>
      <c r="V40" s="279" t="s">
        <v>1824</v>
      </c>
      <c r="W40" s="280">
        <v>44567.0</v>
      </c>
      <c r="X40" s="281">
        <v>0.006944444444444444</v>
      </c>
      <c r="Y40" s="279" t="s">
        <v>1693</v>
      </c>
      <c r="Z40" s="282"/>
      <c r="AA40" s="379">
        <v>7172923.0</v>
      </c>
      <c r="AB40" s="380">
        <v>44537.468506944446</v>
      </c>
      <c r="AC40" s="284"/>
      <c r="AD40" s="284"/>
    </row>
    <row r="41" ht="14.25" customHeight="1">
      <c r="A41" s="265">
        <v>44104.0</v>
      </c>
      <c r="B41" s="266" t="s">
        <v>1500</v>
      </c>
      <c r="C41" s="266" t="s">
        <v>2756</v>
      </c>
      <c r="D41" s="266" t="s">
        <v>1543</v>
      </c>
      <c r="E41" s="378"/>
      <c r="F41" s="291" t="s">
        <v>2782</v>
      </c>
      <c r="G41" s="268" t="s">
        <v>1463</v>
      </c>
      <c r="H41" s="268"/>
      <c r="I41" s="271">
        <v>44537.40939814815</v>
      </c>
      <c r="J41" s="268"/>
      <c r="K41" s="271">
        <v>44537.46805555555</v>
      </c>
      <c r="L41" s="288"/>
      <c r="M41" s="278" t="s">
        <v>2758</v>
      </c>
      <c r="N41" s="290"/>
      <c r="O41" s="276"/>
      <c r="P41" s="276"/>
      <c r="Q41" s="276"/>
      <c r="R41" s="278"/>
      <c r="S41" s="278"/>
      <c r="T41" s="278"/>
      <c r="U41" s="279"/>
      <c r="V41" s="279" t="s">
        <v>1824</v>
      </c>
      <c r="W41" s="280">
        <v>44567.0</v>
      </c>
      <c r="X41" s="281">
        <v>0.011805555555555555</v>
      </c>
      <c r="Y41" s="279" t="s">
        <v>1693</v>
      </c>
      <c r="Z41" s="282"/>
      <c r="AA41" s="379">
        <v>7183709.0</v>
      </c>
      <c r="AB41" s="380">
        <v>44537.468506944446</v>
      </c>
      <c r="AC41" s="284"/>
      <c r="AD41" s="284"/>
    </row>
    <row r="42" ht="14.25" customHeight="1">
      <c r="A42" s="265">
        <v>44109.0</v>
      </c>
      <c r="B42" s="266" t="s">
        <v>1500</v>
      </c>
      <c r="C42" s="266" t="s">
        <v>2756</v>
      </c>
      <c r="D42" s="266" t="s">
        <v>1543</v>
      </c>
      <c r="E42" s="378"/>
      <c r="F42" s="291" t="s">
        <v>2783</v>
      </c>
      <c r="G42" s="268" t="s">
        <v>2085</v>
      </c>
      <c r="H42" s="270">
        <v>0.0011574074074074073</v>
      </c>
      <c r="I42" s="271">
        <v>44519.305659722224</v>
      </c>
      <c r="J42" s="268"/>
      <c r="K42" s="271">
        <v>44519.31512731482</v>
      </c>
      <c r="L42" s="288"/>
      <c r="M42" s="278" t="s">
        <v>2758</v>
      </c>
      <c r="N42" s="290"/>
      <c r="O42" s="276"/>
      <c r="P42" s="276"/>
      <c r="Q42" s="276"/>
      <c r="R42" s="278"/>
      <c r="S42" s="278"/>
      <c r="T42" s="278"/>
      <c r="U42" s="279"/>
      <c r="V42" s="279" t="s">
        <v>1824</v>
      </c>
      <c r="W42" s="280">
        <v>44539.0</v>
      </c>
      <c r="X42" s="281">
        <v>0.004861111111111111</v>
      </c>
      <c r="Y42" s="279" t="s">
        <v>1693</v>
      </c>
      <c r="Z42" s="282" t="s">
        <v>53</v>
      </c>
      <c r="AA42" s="381">
        <v>7102390.0</v>
      </c>
      <c r="AB42" s="283">
        <v>44523.0</v>
      </c>
      <c r="AC42" s="284"/>
      <c r="AD42" s="284"/>
    </row>
    <row r="43" ht="14.25" customHeight="1">
      <c r="A43" s="265">
        <v>44109.0</v>
      </c>
      <c r="B43" s="266" t="s">
        <v>1500</v>
      </c>
      <c r="C43" s="266" t="s">
        <v>2756</v>
      </c>
      <c r="D43" s="266" t="s">
        <v>1543</v>
      </c>
      <c r="E43" s="378"/>
      <c r="F43" s="291" t="s">
        <v>2784</v>
      </c>
      <c r="G43" s="268" t="s">
        <v>2085</v>
      </c>
      <c r="H43" s="270">
        <v>0.008333333333333333</v>
      </c>
      <c r="I43" s="271">
        <v>44519.30574074074</v>
      </c>
      <c r="J43" s="268"/>
      <c r="K43" s="271">
        <v>44519.315474537034</v>
      </c>
      <c r="L43" s="288"/>
      <c r="M43" s="278" t="s">
        <v>2758</v>
      </c>
      <c r="N43" s="290"/>
      <c r="O43" s="276"/>
      <c r="P43" s="276"/>
      <c r="Q43" s="276"/>
      <c r="R43" s="278"/>
      <c r="S43" s="278"/>
      <c r="T43" s="278"/>
      <c r="U43" s="279"/>
      <c r="V43" s="279" t="s">
        <v>1824</v>
      </c>
      <c r="W43" s="280">
        <v>44539.0</v>
      </c>
      <c r="X43" s="281">
        <v>0.009722222222222222</v>
      </c>
      <c r="Y43" s="279" t="s">
        <v>1693</v>
      </c>
      <c r="Z43" s="282" t="s">
        <v>53</v>
      </c>
      <c r="AA43" s="381">
        <v>7102391.0</v>
      </c>
      <c r="AB43" s="283">
        <v>44523.0</v>
      </c>
      <c r="AC43" s="284"/>
      <c r="AD43" s="284"/>
    </row>
    <row r="44" ht="14.25" customHeight="1">
      <c r="A44" s="265">
        <v>44109.0</v>
      </c>
      <c r="B44" s="266" t="s">
        <v>1500</v>
      </c>
      <c r="C44" s="266" t="s">
        <v>2756</v>
      </c>
      <c r="D44" s="266" t="s">
        <v>1543</v>
      </c>
      <c r="E44" s="378"/>
      <c r="F44" s="291" t="s">
        <v>2785</v>
      </c>
      <c r="G44" s="268" t="s">
        <v>2085</v>
      </c>
      <c r="H44" s="270">
        <v>0.008784722222222223</v>
      </c>
      <c r="I44" s="271">
        <v>44522.35774305555</v>
      </c>
      <c r="J44" s="268"/>
      <c r="K44" s="271">
        <v>44523.30818287037</v>
      </c>
      <c r="L44" s="288"/>
      <c r="M44" s="278" t="s">
        <v>2758</v>
      </c>
      <c r="N44" s="290"/>
      <c r="O44" s="276"/>
      <c r="P44" s="276"/>
      <c r="Q44" s="276"/>
      <c r="R44" s="278"/>
      <c r="S44" s="278"/>
      <c r="T44" s="278"/>
      <c r="U44" s="279"/>
      <c r="V44" s="279" t="s">
        <v>1824</v>
      </c>
      <c r="W44" s="280">
        <v>44539.0</v>
      </c>
      <c r="X44" s="281">
        <v>0.009722222222222222</v>
      </c>
      <c r="Y44" s="279" t="s">
        <v>1693</v>
      </c>
      <c r="Z44" s="282" t="s">
        <v>53</v>
      </c>
      <c r="AA44" s="381">
        <v>7113183.0</v>
      </c>
      <c r="AB44" s="283">
        <v>44523.0</v>
      </c>
      <c r="AC44" s="284"/>
      <c r="AD44" s="284"/>
    </row>
    <row r="45" ht="14.25" customHeight="1">
      <c r="A45" s="265">
        <v>44114.0</v>
      </c>
      <c r="B45" s="266" t="s">
        <v>1500</v>
      </c>
      <c r="C45" s="266" t="s">
        <v>2756</v>
      </c>
      <c r="D45" s="266" t="s">
        <v>1543</v>
      </c>
      <c r="E45" s="378"/>
      <c r="F45" s="291" t="s">
        <v>2786</v>
      </c>
      <c r="G45" s="268" t="s">
        <v>1463</v>
      </c>
      <c r="H45" s="268"/>
      <c r="I45" s="271">
        <v>44537.40939814815</v>
      </c>
      <c r="J45" s="268"/>
      <c r="K45" s="271">
        <v>44537.46805555555</v>
      </c>
      <c r="L45" s="288"/>
      <c r="M45" s="278" t="s">
        <v>2758</v>
      </c>
      <c r="N45" s="290"/>
      <c r="O45" s="276"/>
      <c r="P45" s="276"/>
      <c r="Q45" s="276"/>
      <c r="R45" s="278"/>
      <c r="S45" s="278"/>
      <c r="T45" s="278"/>
      <c r="U45" s="279"/>
      <c r="V45" s="279" t="s">
        <v>1824</v>
      </c>
      <c r="W45" s="280">
        <v>44559.0</v>
      </c>
      <c r="X45" s="281">
        <v>0.004166666666666667</v>
      </c>
      <c r="Y45" s="279" t="s">
        <v>1693</v>
      </c>
      <c r="Z45" s="282"/>
      <c r="AA45" s="379">
        <v>7149634.0</v>
      </c>
      <c r="AB45" s="380">
        <v>44537.468506944446</v>
      </c>
      <c r="AC45" s="284"/>
      <c r="AD45" s="284"/>
    </row>
    <row r="46" ht="14.25" customHeight="1">
      <c r="A46" s="265">
        <v>44114.0</v>
      </c>
      <c r="B46" s="266" t="s">
        <v>1500</v>
      </c>
      <c r="C46" s="266" t="s">
        <v>2756</v>
      </c>
      <c r="D46" s="266" t="s">
        <v>1543</v>
      </c>
      <c r="E46" s="378"/>
      <c r="F46" s="291" t="s">
        <v>2787</v>
      </c>
      <c r="G46" s="268" t="s">
        <v>1463</v>
      </c>
      <c r="H46" s="268"/>
      <c r="I46" s="271">
        <v>44537.40939814815</v>
      </c>
      <c r="J46" s="268"/>
      <c r="K46" s="271">
        <v>44537.46805555555</v>
      </c>
      <c r="L46" s="288"/>
      <c r="M46" s="278" t="s">
        <v>2758</v>
      </c>
      <c r="N46" s="290"/>
      <c r="O46" s="276"/>
      <c r="P46" s="276"/>
      <c r="Q46" s="276"/>
      <c r="R46" s="278"/>
      <c r="S46" s="278"/>
      <c r="T46" s="278"/>
      <c r="U46" s="279"/>
      <c r="V46" s="279" t="s">
        <v>1824</v>
      </c>
      <c r="W46" s="280">
        <v>44559.0</v>
      </c>
      <c r="X46" s="281">
        <v>0.011111111111111112</v>
      </c>
      <c r="Y46" s="279" t="s">
        <v>1693</v>
      </c>
      <c r="Z46" s="282"/>
      <c r="AA46" s="379">
        <v>7149635.0</v>
      </c>
      <c r="AB46" s="380">
        <v>44537.468506944446</v>
      </c>
      <c r="AC46" s="284"/>
      <c r="AD46" s="284"/>
    </row>
    <row r="47" ht="14.25" customHeight="1">
      <c r="A47" s="265">
        <v>44114.0</v>
      </c>
      <c r="B47" s="266" t="s">
        <v>1500</v>
      </c>
      <c r="C47" s="266" t="s">
        <v>2756</v>
      </c>
      <c r="D47" s="266" t="s">
        <v>1543</v>
      </c>
      <c r="E47" s="378"/>
      <c r="F47" s="291" t="s">
        <v>2788</v>
      </c>
      <c r="G47" s="268" t="s">
        <v>1463</v>
      </c>
      <c r="H47" s="268"/>
      <c r="I47" s="271">
        <v>44537.40939814815</v>
      </c>
      <c r="J47" s="268"/>
      <c r="K47" s="271">
        <v>44537.46805555555</v>
      </c>
      <c r="L47" s="288"/>
      <c r="M47" s="278" t="s">
        <v>2758</v>
      </c>
      <c r="N47" s="290"/>
      <c r="O47" s="276"/>
      <c r="P47" s="276"/>
      <c r="Q47" s="276"/>
      <c r="R47" s="278"/>
      <c r="S47" s="278"/>
      <c r="T47" s="278"/>
      <c r="U47" s="279"/>
      <c r="V47" s="279" t="s">
        <v>1824</v>
      </c>
      <c r="W47" s="280">
        <v>44568.0</v>
      </c>
      <c r="X47" s="281">
        <v>0.0062499999999999995</v>
      </c>
      <c r="Y47" s="279" t="s">
        <v>1693</v>
      </c>
      <c r="Z47" s="282"/>
      <c r="AA47" s="379">
        <v>7149636.0</v>
      </c>
      <c r="AB47" s="380">
        <v>44537.468506944446</v>
      </c>
      <c r="AC47" s="284"/>
      <c r="AD47" s="284"/>
    </row>
    <row r="48" ht="14.25" customHeight="1">
      <c r="A48" s="265">
        <v>44114.0</v>
      </c>
      <c r="B48" s="266" t="s">
        <v>1500</v>
      </c>
      <c r="C48" s="266" t="s">
        <v>2756</v>
      </c>
      <c r="D48" s="266" t="s">
        <v>1543</v>
      </c>
      <c r="E48" s="378"/>
      <c r="F48" s="291" t="s">
        <v>2789</v>
      </c>
      <c r="G48" s="268" t="s">
        <v>1463</v>
      </c>
      <c r="H48" s="268"/>
      <c r="I48" s="271">
        <v>44537.40939814815</v>
      </c>
      <c r="J48" s="268"/>
      <c r="K48" s="271">
        <v>44537.46805555555</v>
      </c>
      <c r="L48" s="288"/>
      <c r="M48" s="278" t="s">
        <v>2758</v>
      </c>
      <c r="N48" s="290"/>
      <c r="O48" s="276"/>
      <c r="P48" s="276"/>
      <c r="Q48" s="276"/>
      <c r="R48" s="278"/>
      <c r="S48" s="278"/>
      <c r="T48" s="278"/>
      <c r="U48" s="279"/>
      <c r="V48" s="279" t="s">
        <v>1824</v>
      </c>
      <c r="W48" s="280">
        <v>44568.0</v>
      </c>
      <c r="X48" s="281">
        <v>0.006944444444444444</v>
      </c>
      <c r="Y48" s="279" t="s">
        <v>1693</v>
      </c>
      <c r="Z48" s="282"/>
      <c r="AA48" s="379">
        <v>7172924.0</v>
      </c>
      <c r="AB48" s="380">
        <v>44537.468506944446</v>
      </c>
      <c r="AC48" s="284"/>
      <c r="AD48" s="284"/>
    </row>
    <row r="49" ht="14.25" customHeight="1">
      <c r="A49" s="265">
        <v>44129.0</v>
      </c>
      <c r="B49" s="266" t="s">
        <v>1500</v>
      </c>
      <c r="C49" s="266" t="s">
        <v>2756</v>
      </c>
      <c r="D49" s="266" t="s">
        <v>1543</v>
      </c>
      <c r="E49" s="378"/>
      <c r="F49" s="291" t="s">
        <v>2790</v>
      </c>
      <c r="G49" s="268" t="s">
        <v>1463</v>
      </c>
      <c r="H49" s="268"/>
      <c r="I49" s="271">
        <v>44537.40939814815</v>
      </c>
      <c r="J49" s="268"/>
      <c r="K49" s="271">
        <v>44537.46805555555</v>
      </c>
      <c r="L49" s="288"/>
      <c r="M49" s="278" t="s">
        <v>2758</v>
      </c>
      <c r="N49" s="290"/>
      <c r="O49" s="276"/>
      <c r="P49" s="276"/>
      <c r="Q49" s="276"/>
      <c r="R49" s="278"/>
      <c r="S49" s="278"/>
      <c r="T49" s="278"/>
      <c r="U49" s="279"/>
      <c r="V49" s="279" t="s">
        <v>1824</v>
      </c>
      <c r="W49" s="280">
        <v>44568.0</v>
      </c>
      <c r="X49" s="281">
        <v>0.004861111111111111</v>
      </c>
      <c r="Y49" s="279" t="s">
        <v>1693</v>
      </c>
      <c r="Z49" s="282"/>
      <c r="AA49" s="379">
        <v>7149637.0</v>
      </c>
      <c r="AB49" s="380">
        <v>44537.468506944446</v>
      </c>
      <c r="AC49" s="284"/>
      <c r="AD49" s="284"/>
    </row>
    <row r="50" ht="14.25" customHeight="1">
      <c r="A50" s="265">
        <v>44141.0</v>
      </c>
      <c r="B50" s="266" t="s">
        <v>1500</v>
      </c>
      <c r="C50" s="266" t="s">
        <v>2756</v>
      </c>
      <c r="D50" s="266" t="s">
        <v>1543</v>
      </c>
      <c r="E50" s="378"/>
      <c r="F50" s="291" t="s">
        <v>2791</v>
      </c>
      <c r="G50" s="268" t="s">
        <v>1463</v>
      </c>
      <c r="H50" s="268"/>
      <c r="I50" s="271">
        <v>44537.40939814815</v>
      </c>
      <c r="J50" s="268"/>
      <c r="K50" s="271">
        <v>44537.46805555555</v>
      </c>
      <c r="L50" s="288"/>
      <c r="M50" s="278" t="s">
        <v>2758</v>
      </c>
      <c r="N50" s="290"/>
      <c r="O50" s="276"/>
      <c r="P50" s="276"/>
      <c r="Q50" s="276"/>
      <c r="R50" s="278"/>
      <c r="S50" s="278"/>
      <c r="T50" s="278"/>
      <c r="U50" s="279"/>
      <c r="V50" s="279" t="s">
        <v>1824</v>
      </c>
      <c r="W50" s="280">
        <v>44568.0</v>
      </c>
      <c r="X50" s="281">
        <v>0.004166666666666667</v>
      </c>
      <c r="Y50" s="279" t="s">
        <v>1693</v>
      </c>
      <c r="Z50" s="282"/>
      <c r="AA50" s="379">
        <v>7183715.0</v>
      </c>
      <c r="AB50" s="380">
        <v>44537.468506944446</v>
      </c>
      <c r="AC50" s="284"/>
      <c r="AD50" s="284"/>
    </row>
    <row r="51" ht="14.25" customHeight="1">
      <c r="A51" s="265">
        <v>44161.0</v>
      </c>
      <c r="B51" s="266" t="s">
        <v>1500</v>
      </c>
      <c r="C51" s="266" t="s">
        <v>2756</v>
      </c>
      <c r="D51" s="266" t="s">
        <v>1543</v>
      </c>
      <c r="E51" s="378"/>
      <c r="F51" s="291" t="s">
        <v>2792</v>
      </c>
      <c r="G51" s="268" t="s">
        <v>1463</v>
      </c>
      <c r="H51" s="268"/>
      <c r="I51" s="271">
        <v>44537.40939814815</v>
      </c>
      <c r="J51" s="268"/>
      <c r="K51" s="271">
        <v>44537.46805555555</v>
      </c>
      <c r="L51" s="288"/>
      <c r="M51" s="278" t="s">
        <v>2758</v>
      </c>
      <c r="N51" s="290"/>
      <c r="O51" s="276"/>
      <c r="P51" s="276"/>
      <c r="Q51" s="276"/>
      <c r="R51" s="278"/>
      <c r="S51" s="278"/>
      <c r="T51" s="278"/>
      <c r="U51" s="279"/>
      <c r="V51" s="279" t="s">
        <v>1824</v>
      </c>
      <c r="W51" s="280">
        <v>44568.0</v>
      </c>
      <c r="X51" s="281">
        <v>0.004861111111111111</v>
      </c>
      <c r="Y51" s="279" t="s">
        <v>1693</v>
      </c>
      <c r="Z51" s="282"/>
      <c r="AA51" s="379">
        <v>7183711.0</v>
      </c>
      <c r="AB51" s="380">
        <v>44537.468506944446</v>
      </c>
      <c r="AC51" s="284"/>
      <c r="AD51" s="284"/>
    </row>
    <row r="52" ht="14.25" customHeight="1">
      <c r="A52" s="265">
        <v>44187.0</v>
      </c>
      <c r="B52" s="266" t="s">
        <v>1500</v>
      </c>
      <c r="C52" s="266" t="s">
        <v>2756</v>
      </c>
      <c r="D52" s="266" t="s">
        <v>1543</v>
      </c>
      <c r="E52" s="378"/>
      <c r="F52" s="291" t="s">
        <v>2793</v>
      </c>
      <c r="G52" s="268" t="s">
        <v>1463</v>
      </c>
      <c r="H52" s="268"/>
      <c r="I52" s="271">
        <v>44537.40939814815</v>
      </c>
      <c r="J52" s="268"/>
      <c r="K52" s="271">
        <v>44537.46805555555</v>
      </c>
      <c r="L52" s="288"/>
      <c r="M52" s="278" t="s">
        <v>2758</v>
      </c>
      <c r="N52" s="290"/>
      <c r="O52" s="276"/>
      <c r="P52" s="276"/>
      <c r="Q52" s="276"/>
      <c r="R52" s="278"/>
      <c r="S52" s="278"/>
      <c r="T52" s="278"/>
      <c r="U52" s="279"/>
      <c r="V52" s="279" t="s">
        <v>1824</v>
      </c>
      <c r="W52" s="280">
        <v>44568.0</v>
      </c>
      <c r="X52" s="281">
        <v>0.007638888888888889</v>
      </c>
      <c r="Y52" s="279" t="s">
        <v>1693</v>
      </c>
      <c r="Z52" s="282"/>
      <c r="AA52" s="379">
        <v>7149641.0</v>
      </c>
      <c r="AB52" s="380">
        <v>44537.468506944446</v>
      </c>
      <c r="AC52" s="284"/>
      <c r="AD52" s="284"/>
    </row>
    <row r="53" ht="14.25" customHeight="1">
      <c r="A53" s="265">
        <v>44187.0</v>
      </c>
      <c r="B53" s="266" t="s">
        <v>1500</v>
      </c>
      <c r="C53" s="266" t="s">
        <v>2756</v>
      </c>
      <c r="D53" s="266" t="s">
        <v>1543</v>
      </c>
      <c r="E53" s="378"/>
      <c r="F53" s="291" t="s">
        <v>2794</v>
      </c>
      <c r="G53" s="268" t="s">
        <v>1463</v>
      </c>
      <c r="H53" s="268"/>
      <c r="I53" s="271">
        <v>44537.40939814815</v>
      </c>
      <c r="J53" s="268"/>
      <c r="K53" s="271">
        <v>44537.46805555555</v>
      </c>
      <c r="L53" s="288"/>
      <c r="M53" s="278" t="s">
        <v>2758</v>
      </c>
      <c r="N53" s="290"/>
      <c r="O53" s="276"/>
      <c r="P53" s="276"/>
      <c r="Q53" s="276"/>
      <c r="R53" s="278"/>
      <c r="S53" s="278"/>
      <c r="T53" s="278"/>
      <c r="U53" s="279"/>
      <c r="V53" s="279" t="s">
        <v>1824</v>
      </c>
      <c r="W53" s="280">
        <v>44559.0</v>
      </c>
      <c r="X53" s="281">
        <v>0.013888888888888888</v>
      </c>
      <c r="Y53" s="279" t="s">
        <v>1693</v>
      </c>
      <c r="Z53" s="282"/>
      <c r="AA53" s="379">
        <v>7149646.0</v>
      </c>
      <c r="AB53" s="380">
        <v>44537.468506944446</v>
      </c>
      <c r="AC53" s="284"/>
      <c r="AD53" s="284"/>
    </row>
    <row r="54" ht="14.25" customHeight="1">
      <c r="A54" s="265">
        <v>44187.0</v>
      </c>
      <c r="B54" s="266" t="s">
        <v>1500</v>
      </c>
      <c r="C54" s="266" t="s">
        <v>2756</v>
      </c>
      <c r="D54" s="266" t="s">
        <v>1543</v>
      </c>
      <c r="E54" s="378"/>
      <c r="F54" s="291" t="s">
        <v>2795</v>
      </c>
      <c r="G54" s="268" t="s">
        <v>1463</v>
      </c>
      <c r="H54" s="268"/>
      <c r="I54" s="271">
        <v>44537.40939814815</v>
      </c>
      <c r="J54" s="268"/>
      <c r="K54" s="271">
        <v>44537.46805555555</v>
      </c>
      <c r="L54" s="288"/>
      <c r="M54" s="278" t="s">
        <v>2758</v>
      </c>
      <c r="N54" s="290"/>
      <c r="O54" s="276"/>
      <c r="P54" s="276"/>
      <c r="Q54" s="276"/>
      <c r="R54" s="278"/>
      <c r="S54" s="278"/>
      <c r="T54" s="278"/>
      <c r="U54" s="279"/>
      <c r="V54" s="279" t="s">
        <v>1824</v>
      </c>
      <c r="W54" s="280">
        <v>44559.0</v>
      </c>
      <c r="X54" s="281">
        <v>0.004861111111111111</v>
      </c>
      <c r="Y54" s="279" t="s">
        <v>1693</v>
      </c>
      <c r="Z54" s="282"/>
      <c r="AA54" s="379">
        <v>7149647.0</v>
      </c>
      <c r="AB54" s="380">
        <v>44537.468506944446</v>
      </c>
      <c r="AC54" s="284"/>
      <c r="AD54" s="284"/>
    </row>
    <row r="55" ht="14.25" customHeight="1">
      <c r="A55" s="265">
        <v>44187.0</v>
      </c>
      <c r="B55" s="266" t="s">
        <v>1500</v>
      </c>
      <c r="C55" s="266" t="s">
        <v>2756</v>
      </c>
      <c r="D55" s="266" t="s">
        <v>1543</v>
      </c>
      <c r="E55" s="378"/>
      <c r="F55" s="291" t="s">
        <v>2796</v>
      </c>
      <c r="G55" s="268" t="s">
        <v>1463</v>
      </c>
      <c r="H55" s="268"/>
      <c r="I55" s="271">
        <v>44537.40939814815</v>
      </c>
      <c r="J55" s="268"/>
      <c r="K55" s="271">
        <v>44537.46805555555</v>
      </c>
      <c r="L55" s="288"/>
      <c r="M55" s="278" t="s">
        <v>2758</v>
      </c>
      <c r="N55" s="290"/>
      <c r="O55" s="276"/>
      <c r="P55" s="276"/>
      <c r="Q55" s="276"/>
      <c r="R55" s="278"/>
      <c r="S55" s="278"/>
      <c r="T55" s="278"/>
      <c r="U55" s="279"/>
      <c r="V55" s="279" t="s">
        <v>1824</v>
      </c>
      <c r="W55" s="280">
        <v>44559.0</v>
      </c>
      <c r="X55" s="281">
        <v>0.005555555555555556</v>
      </c>
      <c r="Y55" s="279" t="s">
        <v>1693</v>
      </c>
      <c r="Z55" s="282"/>
      <c r="AA55" s="379">
        <v>7149648.0</v>
      </c>
      <c r="AB55" s="380">
        <v>44537.468506944446</v>
      </c>
      <c r="AC55" s="284"/>
      <c r="AD55" s="284"/>
    </row>
    <row r="56" ht="14.25" customHeight="1">
      <c r="A56" s="265">
        <v>44187.0</v>
      </c>
      <c r="B56" s="266" t="s">
        <v>1500</v>
      </c>
      <c r="C56" s="266" t="s">
        <v>2756</v>
      </c>
      <c r="D56" s="266" t="s">
        <v>1543</v>
      </c>
      <c r="E56" s="378"/>
      <c r="F56" s="291" t="s">
        <v>2797</v>
      </c>
      <c r="G56" s="268" t="s">
        <v>1463</v>
      </c>
      <c r="H56" s="268"/>
      <c r="I56" s="271">
        <v>44537.40939814815</v>
      </c>
      <c r="J56" s="268"/>
      <c r="K56" s="271">
        <v>44537.46805555555</v>
      </c>
      <c r="L56" s="288"/>
      <c r="M56" s="278" t="s">
        <v>2758</v>
      </c>
      <c r="N56" s="290"/>
      <c r="O56" s="276"/>
      <c r="P56" s="276"/>
      <c r="Q56" s="276"/>
      <c r="R56" s="278"/>
      <c r="S56" s="278"/>
      <c r="T56" s="278"/>
      <c r="U56" s="279"/>
      <c r="V56" s="279" t="s">
        <v>1824</v>
      </c>
      <c r="W56" s="280">
        <v>44559.0</v>
      </c>
      <c r="X56" s="281">
        <v>0.0062499999999999995</v>
      </c>
      <c r="Y56" s="279" t="s">
        <v>1693</v>
      </c>
      <c r="Z56" s="282"/>
      <c r="AA56" s="379">
        <v>7149649.0</v>
      </c>
      <c r="AB56" s="380">
        <v>44537.468506944446</v>
      </c>
      <c r="AC56" s="284"/>
      <c r="AD56" s="284"/>
    </row>
    <row r="57" ht="14.25" customHeight="1">
      <c r="A57" s="265">
        <v>44187.0</v>
      </c>
      <c r="B57" s="266" t="s">
        <v>1500</v>
      </c>
      <c r="C57" s="266" t="s">
        <v>2756</v>
      </c>
      <c r="D57" s="266" t="s">
        <v>1543</v>
      </c>
      <c r="E57" s="378"/>
      <c r="F57" s="291" t="s">
        <v>2798</v>
      </c>
      <c r="G57" s="268" t="s">
        <v>1463</v>
      </c>
      <c r="H57" s="268"/>
      <c r="I57" s="271">
        <v>44537.40939814815</v>
      </c>
      <c r="J57" s="268"/>
      <c r="K57" s="271">
        <v>44537.46805555555</v>
      </c>
      <c r="L57" s="288"/>
      <c r="M57" s="278" t="s">
        <v>2758</v>
      </c>
      <c r="N57" s="290"/>
      <c r="O57" s="276"/>
      <c r="P57" s="276"/>
      <c r="Q57" s="276"/>
      <c r="R57" s="278"/>
      <c r="S57" s="278"/>
      <c r="T57" s="278"/>
      <c r="U57" s="279"/>
      <c r="V57" s="279" t="s">
        <v>1824</v>
      </c>
      <c r="W57" s="280">
        <v>44559.0</v>
      </c>
      <c r="X57" s="281">
        <v>0.004861111111111111</v>
      </c>
      <c r="Y57" s="279" t="s">
        <v>1693</v>
      </c>
      <c r="Z57" s="282"/>
      <c r="AA57" s="379">
        <v>7183714.0</v>
      </c>
      <c r="AB57" s="380">
        <v>44537.468506944446</v>
      </c>
      <c r="AC57" s="284"/>
      <c r="AD57" s="284"/>
    </row>
    <row r="58" ht="14.25" customHeight="1">
      <c r="A58" s="265">
        <v>44187.0</v>
      </c>
      <c r="B58" s="266" t="s">
        <v>1500</v>
      </c>
      <c r="C58" s="266" t="s">
        <v>2756</v>
      </c>
      <c r="D58" s="266" t="s">
        <v>1543</v>
      </c>
      <c r="E58" s="378"/>
      <c r="F58" s="291" t="s">
        <v>2799</v>
      </c>
      <c r="G58" s="268" t="s">
        <v>1463</v>
      </c>
      <c r="H58" s="268"/>
      <c r="I58" s="271">
        <v>44537.40939814815</v>
      </c>
      <c r="J58" s="268"/>
      <c r="K58" s="271">
        <v>44537.46805555555</v>
      </c>
      <c r="L58" s="288"/>
      <c r="M58" s="278" t="s">
        <v>2758</v>
      </c>
      <c r="N58" s="290"/>
      <c r="O58" s="276"/>
      <c r="P58" s="276"/>
      <c r="Q58" s="276"/>
      <c r="R58" s="278"/>
      <c r="S58" s="278"/>
      <c r="T58" s="278"/>
      <c r="U58" s="279"/>
      <c r="V58" s="279" t="s">
        <v>1824</v>
      </c>
      <c r="W58" s="280">
        <v>44559.0</v>
      </c>
      <c r="X58" s="281">
        <v>0.004861111111111111</v>
      </c>
      <c r="Y58" s="279" t="s">
        <v>1693</v>
      </c>
      <c r="Z58" s="282"/>
      <c r="AA58" s="379">
        <v>7183718.0</v>
      </c>
      <c r="AB58" s="380">
        <v>44537.468506944446</v>
      </c>
      <c r="AC58" s="284"/>
      <c r="AD58" s="284"/>
    </row>
    <row r="59" ht="14.25" customHeight="1">
      <c r="A59" s="265">
        <v>44187.0</v>
      </c>
      <c r="B59" s="266" t="s">
        <v>1500</v>
      </c>
      <c r="C59" s="266" t="s">
        <v>2756</v>
      </c>
      <c r="D59" s="266" t="s">
        <v>1543</v>
      </c>
      <c r="E59" s="378"/>
      <c r="F59" s="291" t="s">
        <v>2800</v>
      </c>
      <c r="G59" s="268" t="s">
        <v>1463</v>
      </c>
      <c r="H59" s="268"/>
      <c r="I59" s="271">
        <v>44537.40939814815</v>
      </c>
      <c r="J59" s="268"/>
      <c r="K59" s="271">
        <v>44537.46805555555</v>
      </c>
      <c r="L59" s="288"/>
      <c r="M59" s="278" t="s">
        <v>2758</v>
      </c>
      <c r="N59" s="290"/>
      <c r="O59" s="276"/>
      <c r="P59" s="276"/>
      <c r="Q59" s="276"/>
      <c r="R59" s="278"/>
      <c r="S59" s="278"/>
      <c r="T59" s="278"/>
      <c r="U59" s="279"/>
      <c r="V59" s="279" t="s">
        <v>1824</v>
      </c>
      <c r="W59" s="280">
        <v>44558.0</v>
      </c>
      <c r="X59" s="281">
        <v>0.004166666666666667</v>
      </c>
      <c r="Y59" s="279" t="s">
        <v>1693</v>
      </c>
      <c r="Z59" s="282"/>
      <c r="AA59" s="379">
        <v>7184380.0</v>
      </c>
      <c r="AB59" s="380">
        <v>44537.468506944446</v>
      </c>
      <c r="AC59" s="284"/>
      <c r="AD59" s="284"/>
    </row>
    <row r="60" ht="14.25" customHeight="1">
      <c r="A60" s="265">
        <v>44187.0</v>
      </c>
      <c r="B60" s="266" t="s">
        <v>1500</v>
      </c>
      <c r="C60" s="266" t="s">
        <v>2756</v>
      </c>
      <c r="D60" s="266" t="s">
        <v>1543</v>
      </c>
      <c r="E60" s="378"/>
      <c r="F60" s="291" t="s">
        <v>2801</v>
      </c>
      <c r="G60" s="268" t="s">
        <v>1463</v>
      </c>
      <c r="H60" s="268"/>
      <c r="I60" s="271">
        <v>44537.40939814815</v>
      </c>
      <c r="J60" s="268"/>
      <c r="K60" s="271">
        <v>44537.46805555555</v>
      </c>
      <c r="L60" s="288"/>
      <c r="M60" s="278" t="s">
        <v>2758</v>
      </c>
      <c r="N60" s="290"/>
      <c r="O60" s="276"/>
      <c r="P60" s="276"/>
      <c r="Q60" s="276"/>
      <c r="R60" s="278"/>
      <c r="S60" s="278"/>
      <c r="T60" s="278"/>
      <c r="U60" s="279"/>
      <c r="V60" s="279" t="s">
        <v>1824</v>
      </c>
      <c r="W60" s="280">
        <v>44558.0</v>
      </c>
      <c r="X60" s="281">
        <v>0.006944444444444444</v>
      </c>
      <c r="Y60" s="279" t="s">
        <v>1693</v>
      </c>
      <c r="Z60" s="282"/>
      <c r="AA60" s="379">
        <v>7184381.0</v>
      </c>
      <c r="AB60" s="380">
        <v>44537.468506944446</v>
      </c>
      <c r="AC60" s="284"/>
      <c r="AD60" s="284"/>
    </row>
    <row r="61" ht="14.25" customHeight="1">
      <c r="A61" s="265">
        <v>44196.0</v>
      </c>
      <c r="B61" s="266" t="s">
        <v>1500</v>
      </c>
      <c r="C61" s="266" t="s">
        <v>1696</v>
      </c>
      <c r="D61" s="265" t="s">
        <v>1543</v>
      </c>
      <c r="E61" s="268"/>
      <c r="F61" s="291" t="s">
        <v>2802</v>
      </c>
      <c r="G61" s="268" t="s">
        <v>1463</v>
      </c>
      <c r="H61" s="270">
        <v>8.680555555555555E-4</v>
      </c>
      <c r="I61" s="271">
        <v>44201.65625</v>
      </c>
      <c r="J61" s="268"/>
      <c r="K61" s="271">
        <v>44202.03456018519</v>
      </c>
      <c r="L61" s="271"/>
      <c r="M61" s="272" t="s">
        <v>2803</v>
      </c>
      <c r="N61" s="290"/>
      <c r="O61" s="276"/>
      <c r="P61" s="276"/>
      <c r="Q61" s="276"/>
      <c r="R61" s="278"/>
      <c r="S61" s="278"/>
      <c r="T61" s="278"/>
      <c r="U61" s="279"/>
      <c r="V61" s="279" t="s">
        <v>1500</v>
      </c>
      <c r="W61" s="280">
        <v>44222.0</v>
      </c>
      <c r="X61" s="281">
        <v>0.013888888888888888</v>
      </c>
      <c r="Y61" s="279" t="s">
        <v>1693</v>
      </c>
      <c r="Z61" s="282" t="s">
        <v>1570</v>
      </c>
      <c r="AA61" s="282">
        <v>6313801.0</v>
      </c>
      <c r="AB61" s="283">
        <v>44203.0</v>
      </c>
      <c r="AC61" s="284"/>
      <c r="AD61" s="284"/>
    </row>
    <row r="62" ht="14.25" customHeight="1">
      <c r="A62" s="265">
        <v>44197.0</v>
      </c>
      <c r="B62" s="266" t="s">
        <v>1500</v>
      </c>
      <c r="C62" s="266" t="s">
        <v>2804</v>
      </c>
      <c r="D62" s="266" t="s">
        <v>1543</v>
      </c>
      <c r="E62" s="268"/>
      <c r="F62" s="269" t="s">
        <v>2805</v>
      </c>
      <c r="G62" s="268" t="s">
        <v>1463</v>
      </c>
      <c r="H62" s="270">
        <v>0.011504629629629629</v>
      </c>
      <c r="I62" s="271">
        <v>44201.625</v>
      </c>
      <c r="J62" s="268"/>
      <c r="K62" s="271">
        <v>44202.01758101852</v>
      </c>
      <c r="L62" s="271"/>
      <c r="M62" s="272" t="s">
        <v>2806</v>
      </c>
      <c r="N62" s="290"/>
      <c r="O62" s="276"/>
      <c r="P62" s="276"/>
      <c r="Q62" s="276"/>
      <c r="R62" s="278"/>
      <c r="S62" s="278"/>
      <c r="T62" s="278"/>
      <c r="U62" s="279"/>
      <c r="V62" s="279" t="s">
        <v>2030</v>
      </c>
      <c r="W62" s="280">
        <v>44237.0</v>
      </c>
      <c r="X62" s="281">
        <v>0.041666666666666664</v>
      </c>
      <c r="Y62" s="279" t="s">
        <v>1693</v>
      </c>
      <c r="Z62" s="282" t="s">
        <v>1570</v>
      </c>
      <c r="AA62" s="282">
        <v>6313800.0</v>
      </c>
      <c r="AB62" s="283">
        <v>44203.0</v>
      </c>
      <c r="AC62" s="284"/>
      <c r="AD62" s="284"/>
    </row>
    <row r="63" ht="14.25" customHeight="1">
      <c r="A63" s="265">
        <v>44197.0</v>
      </c>
      <c r="B63" s="266" t="s">
        <v>1783</v>
      </c>
      <c r="C63" s="266"/>
      <c r="D63" s="266" t="s">
        <v>1686</v>
      </c>
      <c r="E63" s="268"/>
      <c r="F63" s="358" t="s">
        <v>2807</v>
      </c>
      <c r="G63" s="268" t="s">
        <v>2085</v>
      </c>
      <c r="H63" s="270">
        <v>0.04217592592592592</v>
      </c>
      <c r="I63" s="271">
        <v>44197.75208333333</v>
      </c>
      <c r="J63" s="268" t="s">
        <v>2808</v>
      </c>
      <c r="K63" s="271"/>
      <c r="L63" s="271"/>
      <c r="M63" s="307" t="s">
        <v>2809</v>
      </c>
      <c r="N63" s="273">
        <v>44199.790972222225</v>
      </c>
      <c r="O63" s="276" t="s">
        <v>2810</v>
      </c>
      <c r="P63" s="276" t="s">
        <v>1463</v>
      </c>
      <c r="Q63" s="276"/>
      <c r="R63" s="278"/>
      <c r="S63" s="278"/>
      <c r="T63" s="278" t="s">
        <v>2807</v>
      </c>
      <c r="U63" s="279"/>
      <c r="V63" s="279" t="s">
        <v>2030</v>
      </c>
      <c r="W63" s="280">
        <v>44202.0</v>
      </c>
      <c r="X63" s="281">
        <v>0.125</v>
      </c>
      <c r="Y63" s="281" t="s">
        <v>1693</v>
      </c>
      <c r="Z63" s="282" t="s">
        <v>53</v>
      </c>
      <c r="AA63" s="282" t="s">
        <v>2807</v>
      </c>
      <c r="AB63" s="283">
        <v>44201.0</v>
      </c>
      <c r="AC63" s="284"/>
      <c r="AD63" s="284"/>
    </row>
    <row r="64" ht="14.25" customHeight="1">
      <c r="A64" s="265">
        <v>44197.0</v>
      </c>
      <c r="B64" s="266" t="s">
        <v>1733</v>
      </c>
      <c r="C64" s="266"/>
      <c r="D64" s="266" t="s">
        <v>1455</v>
      </c>
      <c r="E64" s="268"/>
      <c r="F64" s="358" t="s">
        <v>2811</v>
      </c>
      <c r="G64" s="268" t="s">
        <v>2085</v>
      </c>
      <c r="H64" s="270">
        <v>0.021180555555555553</v>
      </c>
      <c r="I64" s="271">
        <v>44197.87291666667</v>
      </c>
      <c r="J64" s="268"/>
      <c r="K64" s="271">
        <v>44198.22688657408</v>
      </c>
      <c r="L64" s="271"/>
      <c r="M64" s="359" t="s">
        <v>2524</v>
      </c>
      <c r="N64" s="290"/>
      <c r="O64" s="276"/>
      <c r="P64" s="276"/>
      <c r="Q64" s="276"/>
      <c r="R64" s="278"/>
      <c r="S64" s="278"/>
      <c r="T64" s="278"/>
      <c r="U64" s="279"/>
      <c r="V64" s="279" t="s">
        <v>1783</v>
      </c>
      <c r="W64" s="280">
        <v>44203.0</v>
      </c>
      <c r="X64" s="281">
        <v>0.125</v>
      </c>
      <c r="Y64" s="281" t="s">
        <v>1693</v>
      </c>
      <c r="Z64" s="282" t="s">
        <v>1570</v>
      </c>
      <c r="AA64" s="282" t="s">
        <v>2811</v>
      </c>
      <c r="AB64" s="283">
        <v>44200.0</v>
      </c>
      <c r="AC64" s="284"/>
      <c r="AD64" s="284"/>
    </row>
    <row r="65" ht="14.25" customHeight="1">
      <c r="A65" s="265">
        <v>44197.0</v>
      </c>
      <c r="B65" s="266" t="s">
        <v>1500</v>
      </c>
      <c r="C65" s="266" t="s">
        <v>2812</v>
      </c>
      <c r="D65" s="265" t="s">
        <v>1543</v>
      </c>
      <c r="E65" s="378"/>
      <c r="F65" s="291" t="s">
        <v>2813</v>
      </c>
      <c r="G65" s="268" t="s">
        <v>1463</v>
      </c>
      <c r="H65" s="270">
        <v>4.8611111111111104E-4</v>
      </c>
      <c r="I65" s="271">
        <v>44476.56458333333</v>
      </c>
      <c r="J65" s="378"/>
      <c r="K65" s="271">
        <v>44476.571180555555</v>
      </c>
      <c r="L65" s="378"/>
      <c r="M65" s="278" t="s">
        <v>2814</v>
      </c>
      <c r="N65" s="290"/>
      <c r="O65" s="276"/>
      <c r="P65" s="276"/>
      <c r="Q65" s="276"/>
      <c r="R65" s="278"/>
      <c r="S65" s="278"/>
      <c r="T65" s="278"/>
      <c r="U65" s="279"/>
      <c r="V65" s="279" t="s">
        <v>1824</v>
      </c>
      <c r="W65" s="280">
        <v>44494.0</v>
      </c>
      <c r="X65" s="281">
        <v>0.003472222222222222</v>
      </c>
      <c r="Y65" s="279" t="s">
        <v>1693</v>
      </c>
      <c r="Z65" s="282" t="s">
        <v>53</v>
      </c>
      <c r="AA65" s="282">
        <v>6758958.0</v>
      </c>
      <c r="AB65" s="283">
        <v>44477.0</v>
      </c>
      <c r="AC65" s="378"/>
      <c r="AD65" s="284"/>
    </row>
    <row r="66" ht="14.25" customHeight="1">
      <c r="A66" s="265">
        <v>44197.0</v>
      </c>
      <c r="B66" s="266" t="s">
        <v>1500</v>
      </c>
      <c r="C66" s="266" t="s">
        <v>2812</v>
      </c>
      <c r="D66" s="265" t="s">
        <v>1543</v>
      </c>
      <c r="E66" s="378"/>
      <c r="F66" s="291" t="s">
        <v>2815</v>
      </c>
      <c r="G66" s="268" t="s">
        <v>1463</v>
      </c>
      <c r="H66" s="270">
        <v>0.0010532407407407407</v>
      </c>
      <c r="I66" s="271">
        <v>44476.58125</v>
      </c>
      <c r="J66" s="378"/>
      <c r="K66" s="271">
        <v>44476.58592592592</v>
      </c>
      <c r="L66" s="378"/>
      <c r="M66" s="278" t="s">
        <v>2816</v>
      </c>
      <c r="N66" s="290"/>
      <c r="O66" s="276"/>
      <c r="P66" s="276"/>
      <c r="Q66" s="276"/>
      <c r="R66" s="278"/>
      <c r="S66" s="278"/>
      <c r="T66" s="278"/>
      <c r="U66" s="279"/>
      <c r="V66" s="279" t="s">
        <v>1824</v>
      </c>
      <c r="W66" s="280">
        <v>44494.0</v>
      </c>
      <c r="X66" s="281">
        <v>0.002777777777777778</v>
      </c>
      <c r="Y66" s="279" t="s">
        <v>1693</v>
      </c>
      <c r="Z66" s="282" t="s">
        <v>53</v>
      </c>
      <c r="AA66" s="282">
        <v>6758959.0</v>
      </c>
      <c r="AB66" s="283">
        <v>44477.0</v>
      </c>
      <c r="AC66" s="378"/>
      <c r="AD66" s="284"/>
    </row>
    <row r="67" ht="14.25" customHeight="1">
      <c r="A67" s="265">
        <v>44197.0</v>
      </c>
      <c r="B67" s="266" t="s">
        <v>1500</v>
      </c>
      <c r="C67" s="266" t="s">
        <v>2812</v>
      </c>
      <c r="D67" s="265" t="s">
        <v>1543</v>
      </c>
      <c r="E67" s="378"/>
      <c r="F67" s="291" t="s">
        <v>2817</v>
      </c>
      <c r="G67" s="268" t="s">
        <v>1463</v>
      </c>
      <c r="H67" s="270">
        <v>2.662037037037037E-4</v>
      </c>
      <c r="I67" s="271">
        <v>44476.58125</v>
      </c>
      <c r="J67" s="378"/>
      <c r="K67" s="271">
        <v>44476.586331018516</v>
      </c>
      <c r="L67" s="378"/>
      <c r="M67" s="278" t="s">
        <v>2818</v>
      </c>
      <c r="N67" s="290"/>
      <c r="O67" s="276"/>
      <c r="P67" s="276"/>
      <c r="Q67" s="276"/>
      <c r="R67" s="278"/>
      <c r="S67" s="278"/>
      <c r="T67" s="278"/>
      <c r="U67" s="279"/>
      <c r="V67" s="279" t="s">
        <v>1824</v>
      </c>
      <c r="W67" s="280">
        <v>44494.0</v>
      </c>
      <c r="X67" s="281">
        <v>0.0020833333333333333</v>
      </c>
      <c r="Y67" s="279" t="s">
        <v>1693</v>
      </c>
      <c r="Z67" s="282" t="s">
        <v>53</v>
      </c>
      <c r="AA67" s="282">
        <v>6758960.0</v>
      </c>
      <c r="AB67" s="283">
        <v>44477.0</v>
      </c>
      <c r="AC67" s="378"/>
      <c r="AD67" s="284"/>
    </row>
    <row r="68" ht="14.25" customHeight="1">
      <c r="A68" s="265">
        <v>44197.0</v>
      </c>
      <c r="B68" s="266" t="s">
        <v>1500</v>
      </c>
      <c r="C68" s="266" t="s">
        <v>2812</v>
      </c>
      <c r="D68" s="265" t="s">
        <v>1543</v>
      </c>
      <c r="E68" s="378"/>
      <c r="F68" s="291" t="s">
        <v>2819</v>
      </c>
      <c r="G68" s="268" t="s">
        <v>1463</v>
      </c>
      <c r="H68" s="270">
        <v>0.002627314814814815</v>
      </c>
      <c r="I68" s="271">
        <v>44476.65902777778</v>
      </c>
      <c r="J68" s="378"/>
      <c r="K68" s="271">
        <v>44476.67283564815</v>
      </c>
      <c r="L68" s="378"/>
      <c r="M68" s="278" t="s">
        <v>2820</v>
      </c>
      <c r="N68" s="290"/>
      <c r="O68" s="276"/>
      <c r="P68" s="276"/>
      <c r="Q68" s="276"/>
      <c r="R68" s="278"/>
      <c r="S68" s="278"/>
      <c r="T68" s="278"/>
      <c r="U68" s="279"/>
      <c r="V68" s="279" t="s">
        <v>1824</v>
      </c>
      <c r="W68" s="280">
        <v>44494.0</v>
      </c>
      <c r="X68" s="281">
        <v>0.004861111111111111</v>
      </c>
      <c r="Y68" s="279" t="s">
        <v>1693</v>
      </c>
      <c r="Z68" s="282" t="s">
        <v>53</v>
      </c>
      <c r="AA68" s="282">
        <v>6758961.0</v>
      </c>
      <c r="AB68" s="283">
        <v>44477.0</v>
      </c>
      <c r="AC68" s="378"/>
      <c r="AD68" s="284"/>
    </row>
    <row r="69" ht="14.25" customHeight="1">
      <c r="A69" s="265">
        <v>44197.0</v>
      </c>
      <c r="B69" s="266" t="s">
        <v>1500</v>
      </c>
      <c r="C69" s="266" t="s">
        <v>2812</v>
      </c>
      <c r="D69" s="265" t="s">
        <v>1543</v>
      </c>
      <c r="E69" s="378"/>
      <c r="F69" s="291" t="s">
        <v>2821</v>
      </c>
      <c r="G69" s="268" t="s">
        <v>1463</v>
      </c>
      <c r="H69" s="270">
        <v>0.0020949074074074073</v>
      </c>
      <c r="I69" s="271">
        <v>44476.665972222225</v>
      </c>
      <c r="J69" s="378"/>
      <c r="K69" s="271">
        <v>44476.68206018519</v>
      </c>
      <c r="L69" s="378"/>
      <c r="M69" s="278" t="s">
        <v>2822</v>
      </c>
      <c r="N69" s="290"/>
      <c r="O69" s="276"/>
      <c r="P69" s="276"/>
      <c r="Q69" s="276"/>
      <c r="R69" s="278"/>
      <c r="S69" s="278"/>
      <c r="T69" s="278"/>
      <c r="U69" s="279"/>
      <c r="V69" s="279" t="s">
        <v>1824</v>
      </c>
      <c r="W69" s="280">
        <v>44494.0</v>
      </c>
      <c r="X69" s="281">
        <v>0.005555555555555556</v>
      </c>
      <c r="Y69" s="279" t="s">
        <v>1693</v>
      </c>
      <c r="Z69" s="282" t="s">
        <v>53</v>
      </c>
      <c r="AA69" s="282">
        <v>6758962.0</v>
      </c>
      <c r="AB69" s="283">
        <v>44477.0</v>
      </c>
      <c r="AC69" s="378"/>
      <c r="AD69" s="284"/>
    </row>
    <row r="70" ht="14.25" customHeight="1">
      <c r="A70" s="265">
        <v>44197.0</v>
      </c>
      <c r="B70" s="266" t="s">
        <v>1500</v>
      </c>
      <c r="C70" s="266" t="s">
        <v>2812</v>
      </c>
      <c r="D70" s="265" t="s">
        <v>1543</v>
      </c>
      <c r="E70" s="378"/>
      <c r="F70" s="291" t="s">
        <v>2823</v>
      </c>
      <c r="G70" s="268" t="s">
        <v>1463</v>
      </c>
      <c r="H70" s="270">
        <v>0.003645833333333333</v>
      </c>
      <c r="I70" s="271">
        <v>44477.700694444444</v>
      </c>
      <c r="J70" s="378"/>
      <c r="K70" s="271">
        <v>44476.70652777778</v>
      </c>
      <c r="L70" s="378"/>
      <c r="M70" s="278" t="s">
        <v>2824</v>
      </c>
      <c r="N70" s="290"/>
      <c r="O70" s="276"/>
      <c r="P70" s="276"/>
      <c r="Q70" s="276"/>
      <c r="R70" s="278"/>
      <c r="S70" s="278"/>
      <c r="T70" s="278"/>
      <c r="U70" s="279"/>
      <c r="V70" s="279" t="s">
        <v>1824</v>
      </c>
      <c r="W70" s="280">
        <v>44494.0</v>
      </c>
      <c r="X70" s="281">
        <v>0.0062499999999999995</v>
      </c>
      <c r="Y70" s="279" t="s">
        <v>1693</v>
      </c>
      <c r="Z70" s="282" t="s">
        <v>53</v>
      </c>
      <c r="AA70" s="282">
        <v>6758963.0</v>
      </c>
      <c r="AB70" s="283">
        <v>44477.0</v>
      </c>
      <c r="AC70" s="378"/>
      <c r="AD70" s="284"/>
    </row>
    <row r="71" ht="14.25" customHeight="1">
      <c r="A71" s="265">
        <v>44198.0</v>
      </c>
      <c r="B71" s="266" t="s">
        <v>1783</v>
      </c>
      <c r="C71" s="266"/>
      <c r="D71" s="266" t="s">
        <v>1686</v>
      </c>
      <c r="E71" s="268"/>
      <c r="F71" s="358" t="s">
        <v>2825</v>
      </c>
      <c r="G71" s="268" t="s">
        <v>2085</v>
      </c>
      <c r="H71" s="270">
        <v>0.04158564814814815</v>
      </c>
      <c r="I71" s="299">
        <v>44199.78472222222</v>
      </c>
      <c r="J71" s="268"/>
      <c r="K71" s="271">
        <v>44200.201585648145</v>
      </c>
      <c r="L71" s="271"/>
      <c r="M71" s="359" t="s">
        <v>2524</v>
      </c>
      <c r="N71" s="300"/>
      <c r="O71" s="301"/>
      <c r="P71" s="301"/>
      <c r="Q71" s="301"/>
      <c r="R71" s="272"/>
      <c r="S71" s="272"/>
      <c r="T71" s="272"/>
      <c r="U71" s="279"/>
      <c r="V71" s="279" t="s">
        <v>2030</v>
      </c>
      <c r="W71" s="280">
        <v>44203.0</v>
      </c>
      <c r="X71" s="281">
        <v>0.14583333333333334</v>
      </c>
      <c r="Y71" s="281" t="s">
        <v>1693</v>
      </c>
      <c r="Z71" s="282" t="s">
        <v>1570</v>
      </c>
      <c r="AA71" s="282" t="s">
        <v>2825</v>
      </c>
      <c r="AB71" s="283">
        <v>44200.0</v>
      </c>
      <c r="AC71" s="284"/>
      <c r="AD71" s="284"/>
    </row>
    <row r="72" ht="14.25" customHeight="1">
      <c r="A72" s="265">
        <v>44198.0</v>
      </c>
      <c r="B72" s="266" t="s">
        <v>1733</v>
      </c>
      <c r="C72" s="266"/>
      <c r="D72" s="266" t="s">
        <v>1455</v>
      </c>
      <c r="E72" s="268"/>
      <c r="F72" s="358" t="s">
        <v>2826</v>
      </c>
      <c r="G72" s="268" t="s">
        <v>2085</v>
      </c>
      <c r="H72" s="270">
        <v>0.01744212962962963</v>
      </c>
      <c r="I72" s="299">
        <v>44199.771527777775</v>
      </c>
      <c r="J72" s="268"/>
      <c r="K72" s="271">
        <v>44200.16274305555</v>
      </c>
      <c r="L72" s="271"/>
      <c r="M72" s="359" t="s">
        <v>2524</v>
      </c>
      <c r="N72" s="300"/>
      <c r="O72" s="301"/>
      <c r="P72" s="301"/>
      <c r="Q72" s="301"/>
      <c r="R72" s="272"/>
      <c r="S72" s="272"/>
      <c r="T72" s="272"/>
      <c r="U72" s="279"/>
      <c r="V72" s="279" t="s">
        <v>1783</v>
      </c>
      <c r="W72" s="280" t="s">
        <v>2827</v>
      </c>
      <c r="X72" s="281">
        <v>0.125</v>
      </c>
      <c r="Y72" s="281" t="s">
        <v>1693</v>
      </c>
      <c r="Z72" s="282" t="s">
        <v>1570</v>
      </c>
      <c r="AA72" s="282" t="s">
        <v>2826</v>
      </c>
      <c r="AB72" s="283">
        <v>44200.0</v>
      </c>
      <c r="AC72" s="284"/>
      <c r="AD72" s="284"/>
    </row>
    <row r="73" ht="14.25" customHeight="1">
      <c r="A73" s="265">
        <v>44199.0</v>
      </c>
      <c r="B73" s="266" t="s">
        <v>1783</v>
      </c>
      <c r="C73" s="266"/>
      <c r="D73" s="266" t="s">
        <v>1457</v>
      </c>
      <c r="E73" s="268"/>
      <c r="F73" s="358" t="s">
        <v>2828</v>
      </c>
      <c r="G73" s="268" t="s">
        <v>2085</v>
      </c>
      <c r="H73" s="270">
        <v>0.01761574074074074</v>
      </c>
      <c r="I73" s="271">
        <v>44200.36597222222</v>
      </c>
      <c r="J73" s="268"/>
      <c r="K73" s="271">
        <v>44200.46050925926</v>
      </c>
      <c r="L73" s="271"/>
      <c r="M73" s="359" t="s">
        <v>2524</v>
      </c>
      <c r="N73" s="290"/>
      <c r="O73" s="276"/>
      <c r="P73" s="276"/>
      <c r="Q73" s="276"/>
      <c r="R73" s="278"/>
      <c r="S73" s="278"/>
      <c r="T73" s="278"/>
      <c r="U73" s="279"/>
      <c r="V73" s="279" t="s">
        <v>1783</v>
      </c>
      <c r="W73" s="280">
        <v>43834.0</v>
      </c>
      <c r="X73" s="281">
        <v>0.041666666666666664</v>
      </c>
      <c r="Y73" s="281" t="s">
        <v>1693</v>
      </c>
      <c r="Z73" s="282" t="s">
        <v>1570</v>
      </c>
      <c r="AA73" s="282" t="s">
        <v>2828</v>
      </c>
      <c r="AB73" s="283">
        <v>44200.0</v>
      </c>
      <c r="AC73" s="284"/>
      <c r="AD73" s="284"/>
    </row>
    <row r="74" ht="14.25" customHeight="1">
      <c r="A74" s="265">
        <v>44199.0</v>
      </c>
      <c r="B74" s="266" t="s">
        <v>1500</v>
      </c>
      <c r="C74" s="266"/>
      <c r="D74" s="266" t="s">
        <v>2829</v>
      </c>
      <c r="E74" s="268"/>
      <c r="F74" s="358" t="s">
        <v>2830</v>
      </c>
      <c r="G74" s="268" t="s">
        <v>2085</v>
      </c>
      <c r="H74" s="270">
        <v>0.018425925925925925</v>
      </c>
      <c r="I74" s="271">
        <v>44200.46527777778</v>
      </c>
      <c r="J74" s="268"/>
      <c r="K74" s="271">
        <v>44202.003796296296</v>
      </c>
      <c r="L74" s="271"/>
      <c r="M74" s="359" t="s">
        <v>2524</v>
      </c>
      <c r="N74" s="290"/>
      <c r="O74" s="276"/>
      <c r="P74" s="276"/>
      <c r="Q74" s="276"/>
      <c r="R74" s="278"/>
      <c r="S74" s="278"/>
      <c r="T74" s="278"/>
      <c r="U74" s="279"/>
      <c r="V74" s="279"/>
      <c r="W74" s="280"/>
      <c r="X74" s="281"/>
      <c r="Y74" s="281" t="s">
        <v>1693</v>
      </c>
      <c r="Z74" s="282" t="s">
        <v>1570</v>
      </c>
      <c r="AA74" s="282" t="s">
        <v>2830</v>
      </c>
      <c r="AB74" s="283">
        <v>44201.0</v>
      </c>
      <c r="AC74" s="284"/>
      <c r="AD74" s="284"/>
    </row>
    <row r="75" ht="14.25" customHeight="1">
      <c r="A75" s="265">
        <v>44200.0</v>
      </c>
      <c r="B75" s="266" t="s">
        <v>1500</v>
      </c>
      <c r="C75" s="266" t="s">
        <v>1686</v>
      </c>
      <c r="D75" s="266" t="s">
        <v>1543</v>
      </c>
      <c r="E75" s="268"/>
      <c r="F75" s="269" t="s">
        <v>2831</v>
      </c>
      <c r="G75" s="268" t="s">
        <v>1463</v>
      </c>
      <c r="H75" s="270">
        <v>0.0019328703703703704</v>
      </c>
      <c r="I75" s="271">
        <v>44201.498611111114</v>
      </c>
      <c r="J75" s="268"/>
      <c r="K75" s="271">
        <v>44201.87961805556</v>
      </c>
      <c r="L75" s="271"/>
      <c r="M75" s="278" t="s">
        <v>2832</v>
      </c>
      <c r="N75" s="290"/>
      <c r="O75" s="276"/>
      <c r="P75" s="276"/>
      <c r="Q75" s="276"/>
      <c r="R75" s="278"/>
      <c r="S75" s="278"/>
      <c r="T75" s="278"/>
      <c r="U75" s="279"/>
      <c r="V75" s="279" t="s">
        <v>1685</v>
      </c>
      <c r="W75" s="280">
        <v>44211.0</v>
      </c>
      <c r="X75" s="281">
        <v>0.004166666666666667</v>
      </c>
      <c r="Y75" s="281" t="s">
        <v>1693</v>
      </c>
      <c r="Z75" s="282" t="s">
        <v>1570</v>
      </c>
      <c r="AA75" s="282">
        <v>6313802.0</v>
      </c>
      <c r="AB75" s="283">
        <v>44203.0</v>
      </c>
      <c r="AC75" s="284"/>
      <c r="AD75" s="284"/>
    </row>
    <row r="76" ht="14.25" customHeight="1">
      <c r="A76" s="265">
        <v>44200.0</v>
      </c>
      <c r="B76" s="266" t="s">
        <v>1500</v>
      </c>
      <c r="C76" s="266" t="s">
        <v>1455</v>
      </c>
      <c r="D76" s="266" t="s">
        <v>1543</v>
      </c>
      <c r="E76" s="268"/>
      <c r="F76" s="269" t="s">
        <v>2833</v>
      </c>
      <c r="G76" s="268" t="s">
        <v>1463</v>
      </c>
      <c r="H76" s="270">
        <v>0.0015162037037037036</v>
      </c>
      <c r="I76" s="271">
        <v>44201.59027777778</v>
      </c>
      <c r="J76" s="268"/>
      <c r="K76" s="271">
        <v>44202.005578703705</v>
      </c>
      <c r="L76" s="271"/>
      <c r="M76" s="278" t="s">
        <v>2834</v>
      </c>
      <c r="N76" s="290"/>
      <c r="O76" s="276"/>
      <c r="P76" s="276"/>
      <c r="Q76" s="276"/>
      <c r="R76" s="278"/>
      <c r="S76" s="278"/>
      <c r="T76" s="278"/>
      <c r="U76" s="279"/>
      <c r="V76" s="279" t="s">
        <v>1685</v>
      </c>
      <c r="W76" s="280">
        <v>44211.0</v>
      </c>
      <c r="X76" s="281">
        <v>0.003472222222222222</v>
      </c>
      <c r="Y76" s="281" t="s">
        <v>1693</v>
      </c>
      <c r="Z76" s="282" t="s">
        <v>1570</v>
      </c>
      <c r="AA76" s="282">
        <v>6313803.0</v>
      </c>
      <c r="AB76" s="283">
        <v>44203.0</v>
      </c>
      <c r="AC76" s="284"/>
      <c r="AD76" s="284"/>
    </row>
    <row r="77" ht="14.25" customHeight="1">
      <c r="A77" s="265">
        <v>44200.0</v>
      </c>
      <c r="B77" s="266" t="s">
        <v>1500</v>
      </c>
      <c r="C77" s="266" t="s">
        <v>1455</v>
      </c>
      <c r="D77" s="266" t="s">
        <v>1543</v>
      </c>
      <c r="E77" s="268"/>
      <c r="F77" s="269" t="s">
        <v>2835</v>
      </c>
      <c r="G77" s="268" t="s">
        <v>1463</v>
      </c>
      <c r="H77" s="270">
        <v>0.0035069444444444445</v>
      </c>
      <c r="I77" s="271">
        <v>44201.59027777778</v>
      </c>
      <c r="J77" s="268"/>
      <c r="K77" s="271">
        <v>44202.0047337963</v>
      </c>
      <c r="L77" s="271"/>
      <c r="M77" s="278" t="s">
        <v>2836</v>
      </c>
      <c r="N77" s="290"/>
      <c r="O77" s="276"/>
      <c r="P77" s="276"/>
      <c r="Q77" s="276"/>
      <c r="R77" s="278"/>
      <c r="S77" s="278"/>
      <c r="T77" s="278"/>
      <c r="U77" s="279"/>
      <c r="V77" s="279" t="s">
        <v>1500</v>
      </c>
      <c r="W77" s="280">
        <v>44222.0</v>
      </c>
      <c r="X77" s="281">
        <v>0.013888888888888888</v>
      </c>
      <c r="Y77" s="281" t="s">
        <v>1693</v>
      </c>
      <c r="Z77" s="282" t="s">
        <v>1570</v>
      </c>
      <c r="AA77" s="282">
        <v>6313804.0</v>
      </c>
      <c r="AB77" s="283">
        <v>44203.0</v>
      </c>
      <c r="AC77" s="284"/>
      <c r="AD77" s="284"/>
    </row>
    <row r="78" ht="14.25" customHeight="1">
      <c r="A78" s="265">
        <v>44200.0</v>
      </c>
      <c r="B78" s="266" t="s">
        <v>1570</v>
      </c>
      <c r="C78" s="266"/>
      <c r="D78" s="266" t="s">
        <v>1450</v>
      </c>
      <c r="E78" s="268"/>
      <c r="F78" s="358" t="s">
        <v>2837</v>
      </c>
      <c r="G78" s="268" t="s">
        <v>2085</v>
      </c>
      <c r="H78" s="270">
        <v>0.10069444444444443</v>
      </c>
      <c r="I78" s="271">
        <v>44200.59027777778</v>
      </c>
      <c r="J78" s="268"/>
      <c r="K78" s="271">
        <v>44201.49534722222</v>
      </c>
      <c r="L78" s="271"/>
      <c r="M78" s="359" t="s">
        <v>2524</v>
      </c>
      <c r="N78" s="290"/>
      <c r="O78" s="276"/>
      <c r="P78" s="276"/>
      <c r="Q78" s="276"/>
      <c r="R78" s="278"/>
      <c r="S78" s="278"/>
      <c r="T78" s="278"/>
      <c r="U78" s="279"/>
      <c r="V78" s="279" t="s">
        <v>2030</v>
      </c>
      <c r="W78" s="280">
        <v>44223.0</v>
      </c>
      <c r="X78" s="281">
        <v>0.004513888888888889</v>
      </c>
      <c r="Y78" s="281" t="s">
        <v>1693</v>
      </c>
      <c r="Z78" s="282" t="s">
        <v>1570</v>
      </c>
      <c r="AA78" s="282" t="s">
        <v>2837</v>
      </c>
      <c r="AB78" s="283">
        <v>44200.0</v>
      </c>
      <c r="AC78" s="284"/>
      <c r="AD78" s="284"/>
    </row>
    <row r="79" ht="14.25" customHeight="1">
      <c r="A79" s="265">
        <v>44200.0</v>
      </c>
      <c r="B79" s="266" t="s">
        <v>1783</v>
      </c>
      <c r="C79" s="266"/>
      <c r="D79" s="266" t="s">
        <v>1452</v>
      </c>
      <c r="E79" s="268"/>
      <c r="F79" s="358" t="s">
        <v>2838</v>
      </c>
      <c r="G79" s="268" t="s">
        <v>2085</v>
      </c>
      <c r="H79" s="270">
        <v>0.009722222222222222</v>
      </c>
      <c r="I79" s="271">
        <v>44200.59027777778</v>
      </c>
      <c r="J79" s="268"/>
      <c r="K79" s="271">
        <v>44200.98563657407</v>
      </c>
      <c r="L79" s="271"/>
      <c r="M79" s="359" t="s">
        <v>2524</v>
      </c>
      <c r="N79" s="290"/>
      <c r="O79" s="276"/>
      <c r="P79" s="276"/>
      <c r="Q79" s="276"/>
      <c r="R79" s="278"/>
      <c r="S79" s="278"/>
      <c r="T79" s="278"/>
      <c r="U79" s="279"/>
      <c r="V79" s="279" t="s">
        <v>1772</v>
      </c>
      <c r="W79" s="280" t="s">
        <v>2839</v>
      </c>
      <c r="X79" s="281">
        <v>0.041666666666666664</v>
      </c>
      <c r="Y79" s="281" t="s">
        <v>1693</v>
      </c>
      <c r="Z79" s="282" t="s">
        <v>1570</v>
      </c>
      <c r="AA79" s="282" t="s">
        <v>2838</v>
      </c>
      <c r="AB79" s="283">
        <v>44200.0</v>
      </c>
      <c r="AC79" s="284"/>
      <c r="AD79" s="284"/>
    </row>
    <row r="80" ht="14.25" customHeight="1">
      <c r="A80" s="265">
        <v>44200.0</v>
      </c>
      <c r="B80" s="266" t="s">
        <v>2030</v>
      </c>
      <c r="C80" s="266"/>
      <c r="D80" s="266" t="s">
        <v>1686</v>
      </c>
      <c r="E80" s="268"/>
      <c r="F80" s="358" t="s">
        <v>2840</v>
      </c>
      <c r="G80" s="268" t="s">
        <v>2085</v>
      </c>
      <c r="H80" s="270">
        <v>0.04114583333333333</v>
      </c>
      <c r="I80" s="271">
        <v>44200.65902777778</v>
      </c>
      <c r="J80" s="268"/>
      <c r="K80" s="271">
        <v>44201.069444444445</v>
      </c>
      <c r="L80" s="271"/>
      <c r="M80" s="359" t="s">
        <v>2524</v>
      </c>
      <c r="N80" s="290"/>
      <c r="O80" s="276"/>
      <c r="P80" s="276"/>
      <c r="Q80" s="276"/>
      <c r="R80" s="278"/>
      <c r="S80" s="278"/>
      <c r="T80" s="278"/>
      <c r="U80" s="279"/>
      <c r="V80" s="279" t="s">
        <v>2030</v>
      </c>
      <c r="W80" s="280" t="s">
        <v>2827</v>
      </c>
      <c r="X80" s="281">
        <v>0.14583333333333334</v>
      </c>
      <c r="Y80" s="281" t="s">
        <v>1693</v>
      </c>
      <c r="Z80" s="282" t="s">
        <v>1570</v>
      </c>
      <c r="AA80" s="282" t="s">
        <v>2840</v>
      </c>
      <c r="AB80" s="283">
        <v>44200.0</v>
      </c>
      <c r="AC80" s="284"/>
      <c r="AD80" s="284"/>
    </row>
    <row r="81" ht="14.25" customHeight="1">
      <c r="A81" s="265">
        <v>44200.0</v>
      </c>
      <c r="B81" s="266" t="s">
        <v>1746</v>
      </c>
      <c r="C81" s="266"/>
      <c r="D81" s="266" t="s">
        <v>1455</v>
      </c>
      <c r="E81" s="268"/>
      <c r="F81" s="358" t="s">
        <v>2841</v>
      </c>
      <c r="G81" s="268" t="s">
        <v>2085</v>
      </c>
      <c r="H81" s="270">
        <v>0.02136574074074074</v>
      </c>
      <c r="I81" s="271">
        <v>44201.486805555556</v>
      </c>
      <c r="J81" s="268"/>
      <c r="K81" s="271">
        <v>44201.88686342593</v>
      </c>
      <c r="L81" s="271"/>
      <c r="M81" s="359" t="s">
        <v>2524</v>
      </c>
      <c r="N81" s="290"/>
      <c r="O81" s="276"/>
      <c r="P81" s="276"/>
      <c r="Q81" s="276"/>
      <c r="R81" s="278"/>
      <c r="S81" s="278"/>
      <c r="T81" s="278"/>
      <c r="U81" s="279"/>
      <c r="V81" s="279" t="s">
        <v>1783</v>
      </c>
      <c r="W81" s="280">
        <v>44204.0</v>
      </c>
      <c r="X81" s="281">
        <v>0.125</v>
      </c>
      <c r="Y81" s="281" t="s">
        <v>1693</v>
      </c>
      <c r="Z81" s="282" t="s">
        <v>1570</v>
      </c>
      <c r="AA81" s="282" t="s">
        <v>2841</v>
      </c>
      <c r="AB81" s="283">
        <v>44201.0</v>
      </c>
      <c r="AC81" s="284"/>
      <c r="AD81" s="284"/>
    </row>
    <row r="82" ht="14.25" customHeight="1">
      <c r="A82" s="265">
        <v>44201.0</v>
      </c>
      <c r="B82" s="266" t="s">
        <v>1500</v>
      </c>
      <c r="C82" s="266" t="s">
        <v>1696</v>
      </c>
      <c r="D82" s="266" t="s">
        <v>1543</v>
      </c>
      <c r="E82" s="268"/>
      <c r="F82" s="269" t="s">
        <v>2842</v>
      </c>
      <c r="G82" s="268" t="s">
        <v>1463</v>
      </c>
      <c r="H82" s="270">
        <v>0.002893518518518519</v>
      </c>
      <c r="I82" s="271">
        <v>44202.438888888886</v>
      </c>
      <c r="J82" s="268"/>
      <c r="K82" s="271">
        <v>44202.53021990741</v>
      </c>
      <c r="L82" s="271"/>
      <c r="M82" s="307" t="s">
        <v>2843</v>
      </c>
      <c r="N82" s="290"/>
      <c r="O82" s="276"/>
      <c r="P82" s="276"/>
      <c r="Q82" s="276"/>
      <c r="R82" s="278"/>
      <c r="S82" s="278"/>
      <c r="T82" s="278" t="s">
        <v>2844</v>
      </c>
      <c r="U82" s="279"/>
      <c r="V82" s="279" t="s">
        <v>1500</v>
      </c>
      <c r="W82" s="280">
        <v>44222.0</v>
      </c>
      <c r="X82" s="281">
        <v>0.013888888888888888</v>
      </c>
      <c r="Y82" s="281" t="s">
        <v>1693</v>
      </c>
      <c r="Z82" s="282" t="s">
        <v>1570</v>
      </c>
      <c r="AA82" s="282">
        <v>6313805.0</v>
      </c>
      <c r="AB82" s="283">
        <v>44203.0</v>
      </c>
      <c r="AC82" s="284"/>
      <c r="AD82" s="284"/>
    </row>
    <row r="83" ht="14.25" customHeight="1">
      <c r="A83" s="265">
        <v>44201.0</v>
      </c>
      <c r="B83" s="266" t="s">
        <v>1500</v>
      </c>
      <c r="C83" s="266" t="s">
        <v>2083</v>
      </c>
      <c r="D83" s="266" t="s">
        <v>1543</v>
      </c>
      <c r="E83" s="268"/>
      <c r="F83" s="269" t="s">
        <v>2845</v>
      </c>
      <c r="G83" s="268" t="s">
        <v>1463</v>
      </c>
      <c r="H83" s="270">
        <v>0.0011805555555555556</v>
      </c>
      <c r="I83" s="271">
        <v>44202.48263888889</v>
      </c>
      <c r="J83" s="268"/>
      <c r="K83" s="271">
        <v>44202.53146990741</v>
      </c>
      <c r="L83" s="271"/>
      <c r="M83" s="272" t="s">
        <v>2846</v>
      </c>
      <c r="N83" s="290"/>
      <c r="O83" s="276"/>
      <c r="P83" s="276"/>
      <c r="Q83" s="276"/>
      <c r="R83" s="278"/>
      <c r="S83" s="278"/>
      <c r="T83" s="278"/>
      <c r="U83" s="279"/>
      <c r="V83" s="279" t="s">
        <v>1500</v>
      </c>
      <c r="W83" s="280">
        <v>44222.0</v>
      </c>
      <c r="X83" s="281">
        <v>0.013888888888888888</v>
      </c>
      <c r="Y83" s="281" t="s">
        <v>1693</v>
      </c>
      <c r="Z83" s="282" t="s">
        <v>1570</v>
      </c>
      <c r="AA83" s="282">
        <v>6313806.0</v>
      </c>
      <c r="AB83" s="283">
        <v>44203.0</v>
      </c>
      <c r="AC83" s="284"/>
      <c r="AD83" s="284"/>
    </row>
    <row r="84" ht="14.25" customHeight="1">
      <c r="A84" s="265">
        <v>44201.0</v>
      </c>
      <c r="B84" s="266" t="s">
        <v>1500</v>
      </c>
      <c r="C84" s="266" t="s">
        <v>2847</v>
      </c>
      <c r="D84" s="266" t="s">
        <v>1543</v>
      </c>
      <c r="E84" s="268"/>
      <c r="F84" s="269" t="s">
        <v>2848</v>
      </c>
      <c r="G84" s="268" t="s">
        <v>1463</v>
      </c>
      <c r="H84" s="270">
        <v>0.0017592592592592592</v>
      </c>
      <c r="I84" s="271">
        <v>44207.72638888889</v>
      </c>
      <c r="J84" s="268"/>
      <c r="K84" s="271">
        <v>44208.0665625</v>
      </c>
      <c r="L84" s="271"/>
      <c r="M84" s="272" t="s">
        <v>2849</v>
      </c>
      <c r="N84" s="290"/>
      <c r="O84" s="276"/>
      <c r="P84" s="276"/>
      <c r="Q84" s="276"/>
      <c r="R84" s="278"/>
      <c r="S84" s="278"/>
      <c r="T84" s="278"/>
      <c r="U84" s="279"/>
      <c r="V84" s="279" t="s">
        <v>1500</v>
      </c>
      <c r="W84" s="280">
        <v>44222.0</v>
      </c>
      <c r="X84" s="281">
        <v>0.013888888888888888</v>
      </c>
      <c r="Y84" s="281" t="s">
        <v>1693</v>
      </c>
      <c r="Z84" s="282" t="s">
        <v>53</v>
      </c>
      <c r="AA84" s="282">
        <v>6316363.0</v>
      </c>
      <c r="AB84" s="283">
        <v>44209.0</v>
      </c>
      <c r="AC84" s="284"/>
      <c r="AD84" s="284"/>
    </row>
    <row r="85" ht="14.25" customHeight="1">
      <c r="A85" s="265">
        <v>44201.0</v>
      </c>
      <c r="B85" s="266" t="s">
        <v>1570</v>
      </c>
      <c r="C85" s="266"/>
      <c r="D85" s="266" t="s">
        <v>1450</v>
      </c>
      <c r="E85" s="268"/>
      <c r="F85" s="358" t="s">
        <v>2850</v>
      </c>
      <c r="G85" s="268" t="s">
        <v>2085</v>
      </c>
      <c r="H85" s="270">
        <v>0.10069444444444443</v>
      </c>
      <c r="I85" s="271">
        <v>44201.73819444444</v>
      </c>
      <c r="J85" s="268"/>
      <c r="K85" s="271">
        <v>44202.227638888886</v>
      </c>
      <c r="L85" s="271"/>
      <c r="M85" s="359" t="s">
        <v>2524</v>
      </c>
      <c r="N85" s="290"/>
      <c r="O85" s="276"/>
      <c r="P85" s="276"/>
      <c r="Q85" s="276"/>
      <c r="R85" s="278"/>
      <c r="S85" s="278"/>
      <c r="T85" s="278"/>
      <c r="U85" s="279"/>
      <c r="V85" s="279" t="s">
        <v>2030</v>
      </c>
      <c r="W85" s="280">
        <v>44222.0</v>
      </c>
      <c r="X85" s="281">
        <v>0.004513888888888889</v>
      </c>
      <c r="Y85" s="281" t="s">
        <v>1693</v>
      </c>
      <c r="Z85" s="282" t="s">
        <v>1570</v>
      </c>
      <c r="AA85" s="282" t="s">
        <v>2850</v>
      </c>
      <c r="AB85" s="283">
        <v>44201.0</v>
      </c>
      <c r="AC85" s="284"/>
      <c r="AD85" s="284"/>
    </row>
    <row r="86" ht="14.25" customHeight="1">
      <c r="A86" s="265">
        <v>44201.0</v>
      </c>
      <c r="B86" s="266" t="s">
        <v>1783</v>
      </c>
      <c r="C86" s="266"/>
      <c r="D86" s="266" t="s">
        <v>1452</v>
      </c>
      <c r="E86" s="268"/>
      <c r="F86" s="358" t="s">
        <v>2851</v>
      </c>
      <c r="G86" s="268" t="s">
        <v>2085</v>
      </c>
      <c r="H86" s="270">
        <v>0.011331018518518518</v>
      </c>
      <c r="I86" s="271">
        <v>44201.486805555556</v>
      </c>
      <c r="J86" s="268"/>
      <c r="K86" s="271">
        <v>44201.87835648148</v>
      </c>
      <c r="L86" s="271"/>
      <c r="M86" s="359" t="s">
        <v>2524</v>
      </c>
      <c r="N86" s="290"/>
      <c r="O86" s="276"/>
      <c r="P86" s="276"/>
      <c r="Q86" s="276"/>
      <c r="R86" s="278"/>
      <c r="S86" s="278"/>
      <c r="T86" s="278"/>
      <c r="U86" s="279"/>
      <c r="V86" s="279" t="s">
        <v>1772</v>
      </c>
      <c r="W86" s="280">
        <v>43855.0</v>
      </c>
      <c r="X86" s="281">
        <v>0.041666666666666664</v>
      </c>
      <c r="Y86" s="281" t="s">
        <v>1693</v>
      </c>
      <c r="Z86" s="282" t="s">
        <v>1570</v>
      </c>
      <c r="AA86" s="282" t="s">
        <v>2851</v>
      </c>
      <c r="AB86" s="283">
        <v>44201.0</v>
      </c>
      <c r="AC86" s="284"/>
      <c r="AD86" s="284"/>
    </row>
    <row r="87" ht="14.25" customHeight="1">
      <c r="A87" s="265">
        <v>44201.0</v>
      </c>
      <c r="B87" s="266" t="s">
        <v>1500</v>
      </c>
      <c r="C87" s="266"/>
      <c r="D87" s="266" t="s">
        <v>1686</v>
      </c>
      <c r="E87" s="268"/>
      <c r="F87" s="358" t="s">
        <v>2852</v>
      </c>
      <c r="G87" s="268" t="s">
        <v>2085</v>
      </c>
      <c r="H87" s="270">
        <v>0.04175925925925925</v>
      </c>
      <c r="I87" s="271">
        <v>44201.63333333333</v>
      </c>
      <c r="J87" s="268"/>
      <c r="K87" s="271">
        <v>44202.05278935185</v>
      </c>
      <c r="L87" s="271"/>
      <c r="M87" s="359" t="s">
        <v>2524</v>
      </c>
      <c r="N87" s="290"/>
      <c r="O87" s="276"/>
      <c r="P87" s="276"/>
      <c r="Q87" s="276"/>
      <c r="R87" s="278"/>
      <c r="S87" s="278"/>
      <c r="T87" s="278"/>
      <c r="U87" s="279"/>
      <c r="V87" s="279" t="s">
        <v>2030</v>
      </c>
      <c r="W87" s="280">
        <v>44204.0</v>
      </c>
      <c r="X87" s="281">
        <v>0.14583333333333334</v>
      </c>
      <c r="Y87" s="281" t="s">
        <v>1693</v>
      </c>
      <c r="Z87" s="282" t="s">
        <v>1570</v>
      </c>
      <c r="AA87" s="282" t="s">
        <v>2852</v>
      </c>
      <c r="AB87" s="283">
        <v>44201.0</v>
      </c>
      <c r="AC87" s="284"/>
      <c r="AD87" s="284"/>
    </row>
    <row r="88" ht="14.25" customHeight="1">
      <c r="A88" s="265">
        <v>44201.0</v>
      </c>
      <c r="B88" s="266" t="s">
        <v>1746</v>
      </c>
      <c r="C88" s="266"/>
      <c r="D88" s="266" t="s">
        <v>1455</v>
      </c>
      <c r="E88" s="268"/>
      <c r="F88" s="358" t="s">
        <v>2853</v>
      </c>
      <c r="G88" s="268" t="s">
        <v>2085</v>
      </c>
      <c r="H88" s="270">
        <v>0.024386574074074074</v>
      </c>
      <c r="I88" s="271">
        <v>44202.0</v>
      </c>
      <c r="J88" s="268"/>
      <c r="K88" s="271">
        <v>44202.063738425924</v>
      </c>
      <c r="L88" s="271"/>
      <c r="M88" s="359" t="s">
        <v>2524</v>
      </c>
      <c r="N88" s="290"/>
      <c r="O88" s="276"/>
      <c r="P88" s="276"/>
      <c r="Q88" s="276"/>
      <c r="R88" s="278"/>
      <c r="S88" s="278"/>
      <c r="T88" s="278"/>
      <c r="U88" s="279"/>
      <c r="V88" s="279" t="s">
        <v>1783</v>
      </c>
      <c r="W88" s="280">
        <v>44207.0</v>
      </c>
      <c r="X88" s="281">
        <v>0.125</v>
      </c>
      <c r="Y88" s="281" t="s">
        <v>1693</v>
      </c>
      <c r="Z88" s="282" t="s">
        <v>1570</v>
      </c>
      <c r="AA88" s="282" t="s">
        <v>2853</v>
      </c>
      <c r="AB88" s="283">
        <v>44202.0</v>
      </c>
      <c r="AC88" s="284"/>
      <c r="AD88" s="284"/>
    </row>
    <row r="89" ht="14.25" customHeight="1">
      <c r="A89" s="265">
        <v>44202.0</v>
      </c>
      <c r="B89" s="266" t="s">
        <v>1570</v>
      </c>
      <c r="C89" s="266" t="s">
        <v>264</v>
      </c>
      <c r="D89" s="266" t="s">
        <v>1450</v>
      </c>
      <c r="E89" s="268"/>
      <c r="F89" s="358" t="s">
        <v>2854</v>
      </c>
      <c r="G89" s="268" t="s">
        <v>2085</v>
      </c>
      <c r="H89" s="270">
        <v>0.09930555555555555</v>
      </c>
      <c r="I89" s="271">
        <v>44202.583333333336</v>
      </c>
      <c r="J89" s="268"/>
      <c r="K89" s="271">
        <v>44203.053090277775</v>
      </c>
      <c r="L89" s="271"/>
      <c r="M89" s="359" t="s">
        <v>2524</v>
      </c>
      <c r="N89" s="290"/>
      <c r="O89" s="276"/>
      <c r="P89" s="276"/>
      <c r="Q89" s="276"/>
      <c r="R89" s="278"/>
      <c r="S89" s="278"/>
      <c r="T89" s="278"/>
      <c r="U89" s="279"/>
      <c r="V89" s="279" t="s">
        <v>1824</v>
      </c>
      <c r="W89" s="280">
        <v>44223.0</v>
      </c>
      <c r="X89" s="281">
        <v>0.3541666666666667</v>
      </c>
      <c r="Y89" s="281" t="s">
        <v>1693</v>
      </c>
      <c r="Z89" s="282" t="s">
        <v>1570</v>
      </c>
      <c r="AA89" s="282" t="s">
        <v>2854</v>
      </c>
      <c r="AB89" s="283">
        <v>44202.0</v>
      </c>
      <c r="AC89" s="284"/>
      <c r="AD89" s="284"/>
    </row>
    <row r="90" ht="14.25" customHeight="1">
      <c r="A90" s="265">
        <v>44202.0</v>
      </c>
      <c r="B90" s="266" t="s">
        <v>1783</v>
      </c>
      <c r="C90" s="266"/>
      <c r="D90" s="266" t="s">
        <v>1452</v>
      </c>
      <c r="E90" s="268"/>
      <c r="F90" s="358" t="s">
        <v>2855</v>
      </c>
      <c r="G90" s="268" t="s">
        <v>2085</v>
      </c>
      <c r="H90" s="270">
        <v>0.014490740740740742</v>
      </c>
      <c r="I90" s="271">
        <v>44202.486805555556</v>
      </c>
      <c r="J90" s="268"/>
      <c r="K90" s="271">
        <v>44202.543958333335</v>
      </c>
      <c r="L90" s="271"/>
      <c r="M90" s="359" t="s">
        <v>2524</v>
      </c>
      <c r="N90" s="290"/>
      <c r="O90" s="276"/>
      <c r="P90" s="276"/>
      <c r="Q90" s="276"/>
      <c r="R90" s="278"/>
      <c r="S90" s="278"/>
      <c r="T90" s="278"/>
      <c r="U90" s="279"/>
      <c r="V90" s="279" t="s">
        <v>1772</v>
      </c>
      <c r="W90" s="280">
        <v>44208.0</v>
      </c>
      <c r="X90" s="281">
        <v>0.041666666666666664</v>
      </c>
      <c r="Y90" s="281" t="s">
        <v>1693</v>
      </c>
      <c r="Z90" s="282" t="s">
        <v>53</v>
      </c>
      <c r="AA90" s="282" t="s">
        <v>2855</v>
      </c>
      <c r="AB90" s="283">
        <v>44202.0</v>
      </c>
      <c r="AC90" s="284"/>
      <c r="AD90" s="284"/>
    </row>
    <row r="91" ht="14.25" customHeight="1">
      <c r="A91" s="265">
        <v>44202.0</v>
      </c>
      <c r="B91" s="266" t="s">
        <v>2030</v>
      </c>
      <c r="C91" s="266"/>
      <c r="D91" s="266" t="s">
        <v>1686</v>
      </c>
      <c r="E91" s="268"/>
      <c r="F91" s="358" t="s">
        <v>2856</v>
      </c>
      <c r="G91" s="268" t="s">
        <v>2085</v>
      </c>
      <c r="H91" s="270">
        <v>0.04027777777777778</v>
      </c>
      <c r="I91" s="271">
        <v>44203.334027777775</v>
      </c>
      <c r="J91" s="268"/>
      <c r="K91" s="271">
        <v>44203.483194444445</v>
      </c>
      <c r="L91" s="271"/>
      <c r="M91" s="359" t="s">
        <v>2524</v>
      </c>
      <c r="N91" s="290"/>
      <c r="O91" s="276"/>
      <c r="P91" s="276"/>
      <c r="Q91" s="276"/>
      <c r="R91" s="278"/>
      <c r="S91" s="278"/>
      <c r="T91" s="278"/>
      <c r="U91" s="279"/>
      <c r="V91" s="279" t="s">
        <v>1685</v>
      </c>
      <c r="W91" s="280">
        <v>44207.0</v>
      </c>
      <c r="X91" s="281">
        <v>0.16666666666666666</v>
      </c>
      <c r="Y91" s="281" t="s">
        <v>1693</v>
      </c>
      <c r="Z91" s="282" t="s">
        <v>1570</v>
      </c>
      <c r="AA91" s="282" t="s">
        <v>2856</v>
      </c>
      <c r="AB91" s="283">
        <v>44203.0</v>
      </c>
      <c r="AC91" s="284"/>
      <c r="AD91" s="284"/>
    </row>
    <row r="92" ht="14.25" customHeight="1">
      <c r="A92" s="265">
        <v>44202.0</v>
      </c>
      <c r="B92" s="266" t="s">
        <v>1746</v>
      </c>
      <c r="C92" s="266"/>
      <c r="D92" s="266" t="s">
        <v>1455</v>
      </c>
      <c r="E92" s="268"/>
      <c r="F92" s="358" t="s">
        <v>2857</v>
      </c>
      <c r="G92" s="268" t="s">
        <v>2085</v>
      </c>
      <c r="H92" s="270">
        <v>0.01965277777777778</v>
      </c>
      <c r="I92" s="271">
        <v>44203.334027777775</v>
      </c>
      <c r="J92" s="268"/>
      <c r="K92" s="271">
        <v>44203.48347222222</v>
      </c>
      <c r="L92" s="271"/>
      <c r="M92" s="359" t="s">
        <v>2524</v>
      </c>
      <c r="N92" s="290"/>
      <c r="O92" s="276"/>
      <c r="P92" s="276"/>
      <c r="Q92" s="276"/>
      <c r="R92" s="278"/>
      <c r="S92" s="278"/>
      <c r="T92" s="278"/>
      <c r="U92" s="279"/>
      <c r="V92" s="279" t="s">
        <v>1783</v>
      </c>
      <c r="W92" s="280">
        <v>44207.0</v>
      </c>
      <c r="X92" s="281">
        <v>0.125</v>
      </c>
      <c r="Y92" s="281" t="s">
        <v>1693</v>
      </c>
      <c r="Z92" s="282" t="s">
        <v>1570</v>
      </c>
      <c r="AA92" s="282" t="s">
        <v>2857</v>
      </c>
      <c r="AB92" s="283">
        <v>44203.0</v>
      </c>
      <c r="AC92" s="284"/>
      <c r="AD92" s="284"/>
    </row>
    <row r="93" ht="14.25" customHeight="1">
      <c r="A93" s="265">
        <v>44203.0</v>
      </c>
      <c r="B93" s="266" t="s">
        <v>1500</v>
      </c>
      <c r="C93" s="266"/>
      <c r="D93" s="266" t="s">
        <v>1450</v>
      </c>
      <c r="E93" s="268"/>
      <c r="F93" s="358" t="s">
        <v>2858</v>
      </c>
      <c r="G93" s="268" t="s">
        <v>2085</v>
      </c>
      <c r="H93" s="288">
        <v>0.09986111111111111</v>
      </c>
      <c r="I93" s="271">
        <v>44203.46319444444</v>
      </c>
      <c r="J93" s="268"/>
      <c r="K93" s="271">
        <v>44204.48876157407</v>
      </c>
      <c r="L93" s="271"/>
      <c r="M93" s="359" t="s">
        <v>2524</v>
      </c>
      <c r="N93" s="290"/>
      <c r="O93" s="276"/>
      <c r="P93" s="276"/>
      <c r="Q93" s="276"/>
      <c r="R93" s="278"/>
      <c r="S93" s="278"/>
      <c r="T93" s="278"/>
      <c r="U93" s="279"/>
      <c r="V93" s="279" t="s">
        <v>2030</v>
      </c>
      <c r="W93" s="280">
        <v>44224.0</v>
      </c>
      <c r="X93" s="281">
        <v>0.25</v>
      </c>
      <c r="Y93" s="281" t="s">
        <v>1693</v>
      </c>
      <c r="Z93" s="282" t="s">
        <v>1570</v>
      </c>
      <c r="AA93" s="282" t="s">
        <v>2858</v>
      </c>
      <c r="AB93" s="283">
        <v>44203.0</v>
      </c>
      <c r="AC93" s="284"/>
      <c r="AD93" s="284"/>
    </row>
    <row r="94" ht="14.25" customHeight="1">
      <c r="A94" s="265">
        <v>44203.0</v>
      </c>
      <c r="B94" s="266" t="s">
        <v>1500</v>
      </c>
      <c r="C94" s="266"/>
      <c r="D94" s="266" t="s">
        <v>1452</v>
      </c>
      <c r="E94" s="268"/>
      <c r="F94" s="358" t="s">
        <v>2859</v>
      </c>
      <c r="G94" s="268" t="s">
        <v>2085</v>
      </c>
      <c r="H94" s="288">
        <v>0.004641203703703704</v>
      </c>
      <c r="I94" s="271">
        <v>44203.47152777778</v>
      </c>
      <c r="J94" s="268"/>
      <c r="K94" s="271">
        <v>44204.49015046296</v>
      </c>
      <c r="L94" s="271"/>
      <c r="M94" s="359" t="s">
        <v>2524</v>
      </c>
      <c r="N94" s="290"/>
      <c r="O94" s="276"/>
      <c r="P94" s="276"/>
      <c r="Q94" s="276"/>
      <c r="R94" s="278"/>
      <c r="S94" s="278"/>
      <c r="T94" s="278"/>
      <c r="U94" s="279"/>
      <c r="V94" s="279" t="s">
        <v>1772</v>
      </c>
      <c r="W94" s="280">
        <v>44207.0</v>
      </c>
      <c r="X94" s="281">
        <v>0.041666666666666664</v>
      </c>
      <c r="Y94" s="281" t="s">
        <v>1693</v>
      </c>
      <c r="Z94" s="282" t="s">
        <v>1570</v>
      </c>
      <c r="AA94" s="282" t="s">
        <v>2859</v>
      </c>
      <c r="AB94" s="283">
        <v>44203.0</v>
      </c>
      <c r="AC94" s="284"/>
      <c r="AD94" s="284"/>
    </row>
    <row r="95" ht="14.25" customHeight="1">
      <c r="A95" s="265">
        <v>44203.0</v>
      </c>
      <c r="B95" s="266" t="s">
        <v>1500</v>
      </c>
      <c r="C95" s="266"/>
      <c r="D95" s="266" t="s">
        <v>1686</v>
      </c>
      <c r="E95" s="268"/>
      <c r="F95" s="358" t="s">
        <v>2860</v>
      </c>
      <c r="G95" s="268" t="s">
        <v>2085</v>
      </c>
      <c r="H95" s="288">
        <v>0.040671296296296296</v>
      </c>
      <c r="I95" s="271">
        <v>44204.319444444445</v>
      </c>
      <c r="J95" s="268"/>
      <c r="K95" s="271">
        <v>44204.49355324074</v>
      </c>
      <c r="L95" s="271"/>
      <c r="M95" s="359" t="s">
        <v>2524</v>
      </c>
      <c r="N95" s="290"/>
      <c r="O95" s="276"/>
      <c r="P95" s="276"/>
      <c r="Q95" s="276"/>
      <c r="R95" s="278"/>
      <c r="S95" s="278"/>
      <c r="T95" s="278"/>
      <c r="U95" s="279"/>
      <c r="V95" s="279" t="s">
        <v>1685</v>
      </c>
      <c r="W95" s="280">
        <v>44207.0</v>
      </c>
      <c r="X95" s="281">
        <v>0.16666666666666666</v>
      </c>
      <c r="Y95" s="281" t="s">
        <v>1693</v>
      </c>
      <c r="Z95" s="282" t="s">
        <v>1570</v>
      </c>
      <c r="AA95" s="282" t="s">
        <v>2860</v>
      </c>
      <c r="AB95" s="283">
        <v>44204.0</v>
      </c>
      <c r="AC95" s="284"/>
      <c r="AD95" s="284"/>
    </row>
    <row r="96" ht="14.25" customHeight="1">
      <c r="A96" s="265">
        <v>44203.0</v>
      </c>
      <c r="B96" s="266" t="s">
        <v>1746</v>
      </c>
      <c r="C96" s="266"/>
      <c r="D96" s="266" t="s">
        <v>1455</v>
      </c>
      <c r="E96" s="268"/>
      <c r="F96" s="358" t="s">
        <v>2861</v>
      </c>
      <c r="G96" s="268" t="s">
        <v>2085</v>
      </c>
      <c r="H96" s="288">
        <v>0.02113425925925926</v>
      </c>
      <c r="I96" s="271">
        <v>44204.34722222222</v>
      </c>
      <c r="J96" s="268"/>
      <c r="K96" s="271">
        <v>44204.494050925925</v>
      </c>
      <c r="L96" s="271"/>
      <c r="M96" s="359" t="s">
        <v>2524</v>
      </c>
      <c r="N96" s="290"/>
      <c r="O96" s="276"/>
      <c r="P96" s="276"/>
      <c r="Q96" s="276"/>
      <c r="R96" s="278"/>
      <c r="S96" s="278"/>
      <c r="T96" s="278"/>
      <c r="U96" s="279"/>
      <c r="V96" s="279" t="s">
        <v>1783</v>
      </c>
      <c r="W96" s="280" t="s">
        <v>2862</v>
      </c>
      <c r="X96" s="281">
        <v>0.125</v>
      </c>
      <c r="Y96" s="281" t="s">
        <v>1693</v>
      </c>
      <c r="Z96" s="282" t="s">
        <v>1570</v>
      </c>
      <c r="AA96" s="282" t="s">
        <v>2861</v>
      </c>
      <c r="AB96" s="283">
        <v>44204.0</v>
      </c>
      <c r="AC96" s="284"/>
      <c r="AD96" s="284"/>
    </row>
    <row r="97" ht="14.25" customHeight="1">
      <c r="A97" s="265">
        <v>44204.0</v>
      </c>
      <c r="B97" s="266" t="s">
        <v>1500</v>
      </c>
      <c r="C97" s="266" t="s">
        <v>1696</v>
      </c>
      <c r="D97" s="266" t="s">
        <v>1543</v>
      </c>
      <c r="E97" s="268"/>
      <c r="F97" s="269" t="s">
        <v>2863</v>
      </c>
      <c r="G97" s="268" t="s">
        <v>1463</v>
      </c>
      <c r="H97" s="288">
        <v>0.0036111111111111114</v>
      </c>
      <c r="I97" s="271">
        <v>44208.694444444445</v>
      </c>
      <c r="J97" s="268"/>
      <c r="K97" s="271">
        <v>44209.0090625</v>
      </c>
      <c r="L97" s="271"/>
      <c r="M97" s="272" t="s">
        <v>2864</v>
      </c>
      <c r="N97" s="290"/>
      <c r="O97" s="276"/>
      <c r="P97" s="276"/>
      <c r="Q97" s="276"/>
      <c r="R97" s="278"/>
      <c r="S97" s="278"/>
      <c r="T97" s="278"/>
      <c r="U97" s="279"/>
      <c r="V97" s="279" t="s">
        <v>1500</v>
      </c>
      <c r="W97" s="280">
        <v>44222.0</v>
      </c>
      <c r="X97" s="281">
        <v>0.013888888888888888</v>
      </c>
      <c r="Y97" s="281" t="s">
        <v>1693</v>
      </c>
      <c r="Z97" s="282" t="s">
        <v>53</v>
      </c>
      <c r="AA97" s="282">
        <v>6316875.0</v>
      </c>
      <c r="AB97" s="283">
        <v>44210.0</v>
      </c>
      <c r="AC97" s="284"/>
      <c r="AD97" s="284"/>
    </row>
    <row r="98" ht="14.25" customHeight="1">
      <c r="A98" s="265">
        <v>44204.0</v>
      </c>
      <c r="B98" s="266" t="s">
        <v>1500</v>
      </c>
      <c r="C98" s="266"/>
      <c r="D98" s="266" t="s">
        <v>1450</v>
      </c>
      <c r="E98" s="268"/>
      <c r="F98" s="358" t="s">
        <v>2865</v>
      </c>
      <c r="G98" s="268" t="s">
        <v>2085</v>
      </c>
      <c r="H98" s="288">
        <v>0.10024305555555556</v>
      </c>
      <c r="I98" s="271">
        <v>44204.643055555556</v>
      </c>
      <c r="J98" s="268"/>
      <c r="K98" s="271">
        <v>44205.072118055556</v>
      </c>
      <c r="L98" s="271"/>
      <c r="M98" s="359" t="s">
        <v>2524</v>
      </c>
      <c r="N98" s="290"/>
      <c r="O98" s="276"/>
      <c r="P98" s="276"/>
      <c r="Q98" s="276"/>
      <c r="R98" s="278"/>
      <c r="S98" s="278"/>
      <c r="T98" s="278"/>
      <c r="U98" s="279"/>
      <c r="V98" s="279" t="s">
        <v>1824</v>
      </c>
      <c r="W98" s="280">
        <v>44224.0</v>
      </c>
      <c r="X98" s="281">
        <v>0.4375</v>
      </c>
      <c r="Y98" s="281" t="s">
        <v>1693</v>
      </c>
      <c r="Z98" s="282" t="s">
        <v>1570</v>
      </c>
      <c r="AA98" s="282" t="s">
        <v>2865</v>
      </c>
      <c r="AB98" s="283">
        <v>44204.0</v>
      </c>
      <c r="AC98" s="284"/>
      <c r="AD98" s="284"/>
    </row>
    <row r="99" ht="14.25" customHeight="1">
      <c r="A99" s="265">
        <v>44204.0</v>
      </c>
      <c r="B99" s="266" t="s">
        <v>1500</v>
      </c>
      <c r="C99" s="266"/>
      <c r="D99" s="266" t="s">
        <v>1452</v>
      </c>
      <c r="E99" s="268"/>
      <c r="F99" s="358" t="s">
        <v>2866</v>
      </c>
      <c r="G99" s="268" t="s">
        <v>2085</v>
      </c>
      <c r="H99" s="288">
        <v>0.007662037037037037</v>
      </c>
      <c r="I99" s="271">
        <v>44204.643055555556</v>
      </c>
      <c r="J99" s="268"/>
      <c r="K99" s="271">
        <v>44207.44311342593</v>
      </c>
      <c r="L99" s="271"/>
      <c r="M99" s="359" t="s">
        <v>2524</v>
      </c>
      <c r="N99" s="290"/>
      <c r="O99" s="276"/>
      <c r="P99" s="276"/>
      <c r="Q99" s="276"/>
      <c r="R99" s="278"/>
      <c r="S99" s="278"/>
      <c r="T99" s="278"/>
      <c r="U99" s="279"/>
      <c r="V99" s="279" t="s">
        <v>1772</v>
      </c>
      <c r="W99" s="280">
        <v>44207.0</v>
      </c>
      <c r="X99" s="281">
        <v>0.041666666666666664</v>
      </c>
      <c r="Y99" s="281" t="s">
        <v>1693</v>
      </c>
      <c r="Z99" s="282" t="s">
        <v>1570</v>
      </c>
      <c r="AA99" s="282" t="s">
        <v>2866</v>
      </c>
      <c r="AB99" s="283">
        <v>44204.0</v>
      </c>
      <c r="AC99" s="284"/>
      <c r="AD99" s="284"/>
    </row>
    <row r="100" ht="14.25" customHeight="1">
      <c r="A100" s="265">
        <v>44204.0</v>
      </c>
      <c r="B100" s="266" t="s">
        <v>1500</v>
      </c>
      <c r="C100" s="266"/>
      <c r="D100" s="266" t="s">
        <v>1686</v>
      </c>
      <c r="E100" s="268"/>
      <c r="F100" s="358" t="s">
        <v>2867</v>
      </c>
      <c r="G100" s="268" t="s">
        <v>2085</v>
      </c>
      <c r="H100" s="288">
        <v>0.040219907407407406</v>
      </c>
      <c r="I100" s="271">
        <v>44204.643055555556</v>
      </c>
      <c r="J100" s="268"/>
      <c r="K100" s="271">
        <v>44208.39611111111</v>
      </c>
      <c r="L100" s="271"/>
      <c r="M100" s="359" t="s">
        <v>2524</v>
      </c>
      <c r="N100" s="290"/>
      <c r="O100" s="276"/>
      <c r="P100" s="382"/>
      <c r="Q100" s="276"/>
      <c r="R100" s="278"/>
      <c r="S100" s="278"/>
      <c r="T100" s="278"/>
      <c r="U100" s="279"/>
      <c r="V100" s="279" t="s">
        <v>1685</v>
      </c>
      <c r="W100" s="280">
        <v>44208.0</v>
      </c>
      <c r="X100" s="281">
        <v>0.16666666666666666</v>
      </c>
      <c r="Y100" s="281" t="s">
        <v>1693</v>
      </c>
      <c r="Z100" s="282" t="s">
        <v>53</v>
      </c>
      <c r="AA100" s="282" t="s">
        <v>2867</v>
      </c>
      <c r="AB100" s="283">
        <v>44208.0</v>
      </c>
      <c r="AC100" s="284"/>
      <c r="AD100" s="284"/>
    </row>
    <row r="101" ht="14.25" customHeight="1">
      <c r="A101" s="265">
        <v>44204.0</v>
      </c>
      <c r="B101" s="266" t="s">
        <v>1500</v>
      </c>
      <c r="C101" s="266"/>
      <c r="D101" s="266" t="s">
        <v>1455</v>
      </c>
      <c r="E101" s="268"/>
      <c r="F101" s="358" t="s">
        <v>2868</v>
      </c>
      <c r="G101" s="268" t="s">
        <v>2085</v>
      </c>
      <c r="H101" s="288">
        <v>0.019988425925925927</v>
      </c>
      <c r="I101" s="271">
        <v>44508.96111111111</v>
      </c>
      <c r="J101" s="268"/>
      <c r="K101" s="271">
        <v>44207.44221064815</v>
      </c>
      <c r="L101" s="271"/>
      <c r="M101" s="359" t="s">
        <v>2524</v>
      </c>
      <c r="N101" s="290"/>
      <c r="O101" s="276"/>
      <c r="P101" s="276"/>
      <c r="Q101" s="276"/>
      <c r="R101" s="278"/>
      <c r="S101" s="278"/>
      <c r="T101" s="278"/>
      <c r="U101" s="279"/>
      <c r="V101" s="279" t="s">
        <v>1783</v>
      </c>
      <c r="W101" s="280">
        <v>44209.0</v>
      </c>
      <c r="X101" s="281">
        <v>0.125</v>
      </c>
      <c r="Y101" s="281" t="s">
        <v>1693</v>
      </c>
      <c r="Z101" s="282" t="s">
        <v>53</v>
      </c>
      <c r="AA101" s="282" t="s">
        <v>2868</v>
      </c>
      <c r="AB101" s="283">
        <v>44205.0</v>
      </c>
      <c r="AC101" s="284"/>
      <c r="AD101" s="284"/>
    </row>
    <row r="102" ht="14.25" customHeight="1">
      <c r="A102" s="265">
        <v>44205.0</v>
      </c>
      <c r="B102" s="266" t="s">
        <v>2030</v>
      </c>
      <c r="C102" s="266"/>
      <c r="D102" s="266" t="s">
        <v>1686</v>
      </c>
      <c r="E102" s="268"/>
      <c r="F102" s="358" t="s">
        <v>2869</v>
      </c>
      <c r="G102" s="268" t="s">
        <v>2085</v>
      </c>
      <c r="H102" s="288">
        <v>0.04011574074074074</v>
      </c>
      <c r="I102" s="271">
        <v>44207.45277777778</v>
      </c>
      <c r="J102" s="268"/>
      <c r="K102" s="271">
        <v>44207.81512731482</v>
      </c>
      <c r="L102" s="271"/>
      <c r="M102" s="359" t="s">
        <v>2524</v>
      </c>
      <c r="N102" s="290"/>
      <c r="O102" s="276"/>
      <c r="P102" s="276"/>
      <c r="Q102" s="276"/>
      <c r="R102" s="278"/>
      <c r="S102" s="278"/>
      <c r="T102" s="278"/>
      <c r="U102" s="279"/>
      <c r="V102" s="279" t="s">
        <v>1685</v>
      </c>
      <c r="W102" s="280">
        <v>43842.0</v>
      </c>
      <c r="X102" s="281">
        <v>0.125</v>
      </c>
      <c r="Y102" s="279" t="s">
        <v>1693</v>
      </c>
      <c r="Z102" s="282" t="s">
        <v>53</v>
      </c>
      <c r="AA102" s="282" t="s">
        <v>2869</v>
      </c>
      <c r="AB102" s="283">
        <v>44208.0</v>
      </c>
      <c r="AC102" s="284"/>
      <c r="AD102" s="284"/>
    </row>
    <row r="103" ht="14.25" customHeight="1">
      <c r="A103" s="265">
        <v>44205.0</v>
      </c>
      <c r="B103" s="266" t="s">
        <v>1500</v>
      </c>
      <c r="C103" s="266"/>
      <c r="D103" s="266" t="s">
        <v>1455</v>
      </c>
      <c r="E103" s="268"/>
      <c r="F103" s="358" t="s">
        <v>2870</v>
      </c>
      <c r="G103" s="268" t="s">
        <v>2085</v>
      </c>
      <c r="H103" s="288">
        <v>0.020844907407407406</v>
      </c>
      <c r="I103" s="271">
        <v>44207.67986111111</v>
      </c>
      <c r="J103" s="268"/>
      <c r="K103" s="271">
        <v>44211.600694444445</v>
      </c>
      <c r="L103" s="271"/>
      <c r="M103" s="359" t="s">
        <v>2524</v>
      </c>
      <c r="N103" s="273">
        <v>44208.94097222222</v>
      </c>
      <c r="O103" s="276" t="s">
        <v>2871</v>
      </c>
      <c r="P103" s="276" t="s">
        <v>1463</v>
      </c>
      <c r="Q103" s="276"/>
      <c r="R103" s="278"/>
      <c r="S103" s="278"/>
      <c r="T103" s="268" t="s">
        <v>2870</v>
      </c>
      <c r="U103" s="279"/>
      <c r="V103" s="279" t="s">
        <v>1783</v>
      </c>
      <c r="W103" s="280">
        <v>43848.0</v>
      </c>
      <c r="X103" s="281">
        <v>0.10416666666666667</v>
      </c>
      <c r="Y103" s="279" t="s">
        <v>1693</v>
      </c>
      <c r="Z103" s="282" t="s">
        <v>53</v>
      </c>
      <c r="AA103" s="282" t="s">
        <v>2870</v>
      </c>
      <c r="AB103" s="283">
        <v>44209.0</v>
      </c>
      <c r="AC103" s="284"/>
      <c r="AD103" s="284"/>
    </row>
    <row r="104" ht="14.25" customHeight="1">
      <c r="A104" s="265">
        <v>44206.0</v>
      </c>
      <c r="B104" s="266" t="s">
        <v>1500</v>
      </c>
      <c r="C104" s="266" t="s">
        <v>2179</v>
      </c>
      <c r="D104" s="266" t="s">
        <v>1543</v>
      </c>
      <c r="E104" s="268"/>
      <c r="F104" s="291" t="s">
        <v>2872</v>
      </c>
      <c r="G104" s="268" t="s">
        <v>1463</v>
      </c>
      <c r="H104" s="288">
        <v>0.001261574074074074</v>
      </c>
      <c r="I104" s="271">
        <v>44207.67013888889</v>
      </c>
      <c r="J104" s="268"/>
      <c r="K104" s="271">
        <v>44208.001284722224</v>
      </c>
      <c r="L104" s="271"/>
      <c r="M104" s="272" t="s">
        <v>2873</v>
      </c>
      <c r="N104" s="300"/>
      <c r="O104" s="301"/>
      <c r="P104" s="301"/>
      <c r="Q104" s="301"/>
      <c r="R104" s="272"/>
      <c r="S104" s="272"/>
      <c r="T104" s="272"/>
      <c r="U104" s="279"/>
      <c r="V104" s="279" t="s">
        <v>1500</v>
      </c>
      <c r="W104" s="280">
        <v>44222.0</v>
      </c>
      <c r="X104" s="281">
        <v>0.013888888888888888</v>
      </c>
      <c r="Y104" s="279" t="s">
        <v>1693</v>
      </c>
      <c r="Z104" s="282" t="s">
        <v>53</v>
      </c>
      <c r="AA104" s="282">
        <v>6316364.0</v>
      </c>
      <c r="AB104" s="283">
        <v>44209.0</v>
      </c>
      <c r="AC104" s="284"/>
      <c r="AD104" s="284"/>
    </row>
    <row r="105" ht="14.25" customHeight="1">
      <c r="A105" s="265">
        <v>44206.0</v>
      </c>
      <c r="B105" s="266" t="s">
        <v>1500</v>
      </c>
      <c r="C105" s="266" t="s">
        <v>2641</v>
      </c>
      <c r="D105" s="266" t="s">
        <v>1543</v>
      </c>
      <c r="E105" s="268"/>
      <c r="F105" s="291" t="s">
        <v>2874</v>
      </c>
      <c r="G105" s="268" t="s">
        <v>1463</v>
      </c>
      <c r="H105" s="288">
        <v>0.001423611111111111</v>
      </c>
      <c r="I105" s="271">
        <v>44209.42361111111</v>
      </c>
      <c r="J105" s="268"/>
      <c r="K105" s="271">
        <v>44209.43592592593</v>
      </c>
      <c r="L105" s="271"/>
      <c r="M105" s="272" t="s">
        <v>2875</v>
      </c>
      <c r="N105" s="300"/>
      <c r="O105" s="301"/>
      <c r="P105" s="301"/>
      <c r="Q105" s="301"/>
      <c r="R105" s="272"/>
      <c r="S105" s="272"/>
      <c r="T105" s="272"/>
      <c r="U105" s="279"/>
      <c r="V105" s="279" t="s">
        <v>1500</v>
      </c>
      <c r="W105" s="280">
        <v>44222.0</v>
      </c>
      <c r="X105" s="281">
        <v>0.013888888888888888</v>
      </c>
      <c r="Y105" s="279" t="s">
        <v>1693</v>
      </c>
      <c r="Z105" s="282" t="s">
        <v>53</v>
      </c>
      <c r="AA105" s="282">
        <v>6316876.0</v>
      </c>
      <c r="AB105" s="283">
        <v>44210.0</v>
      </c>
      <c r="AC105" s="284"/>
      <c r="AD105" s="284"/>
    </row>
    <row r="106" ht="14.25" customHeight="1">
      <c r="A106" s="265">
        <v>44206.0</v>
      </c>
      <c r="B106" s="266" t="s">
        <v>1500</v>
      </c>
      <c r="C106" s="266" t="s">
        <v>2876</v>
      </c>
      <c r="D106" s="266" t="s">
        <v>1543</v>
      </c>
      <c r="E106" s="268"/>
      <c r="F106" s="291" t="s">
        <v>2877</v>
      </c>
      <c r="G106" s="268" t="s">
        <v>1463</v>
      </c>
      <c r="H106" s="288">
        <v>0.002199074074074074</v>
      </c>
      <c r="I106" s="271">
        <v>44209.486805555556</v>
      </c>
      <c r="J106" s="268"/>
      <c r="K106" s="271">
        <v>44209.51289351852</v>
      </c>
      <c r="L106" s="271"/>
      <c r="M106" s="307" t="s">
        <v>2878</v>
      </c>
      <c r="N106" s="319">
        <v>44210.44375</v>
      </c>
      <c r="O106" s="291" t="s">
        <v>2879</v>
      </c>
      <c r="P106" s="301" t="s">
        <v>1463</v>
      </c>
      <c r="Q106" s="301" t="s">
        <v>1819</v>
      </c>
      <c r="R106" s="361">
        <v>44210.453738425924</v>
      </c>
      <c r="S106" s="316"/>
      <c r="T106" s="316" t="s">
        <v>2880</v>
      </c>
      <c r="U106" s="279"/>
      <c r="V106" s="279" t="s">
        <v>1500</v>
      </c>
      <c r="W106" s="280">
        <v>44222.0</v>
      </c>
      <c r="X106" s="281">
        <v>0.013888888888888888</v>
      </c>
      <c r="Y106" s="279" t="s">
        <v>1693</v>
      </c>
      <c r="Z106" s="282" t="s">
        <v>53</v>
      </c>
      <c r="AA106" s="282">
        <v>6317499.0</v>
      </c>
      <c r="AB106" s="283">
        <v>44211.0</v>
      </c>
      <c r="AC106" s="284"/>
      <c r="AD106" s="284"/>
    </row>
    <row r="107" ht="14.25" customHeight="1">
      <c r="A107" s="265">
        <v>44206.0</v>
      </c>
      <c r="B107" s="266" t="s">
        <v>1783</v>
      </c>
      <c r="C107" s="266"/>
      <c r="D107" s="266" t="s">
        <v>1457</v>
      </c>
      <c r="E107" s="268"/>
      <c r="F107" s="358" t="s">
        <v>2881</v>
      </c>
      <c r="G107" s="268" t="s">
        <v>2085</v>
      </c>
      <c r="H107" s="288">
        <v>0.016967592592592593</v>
      </c>
      <c r="I107" s="271">
        <v>44207.67986111111</v>
      </c>
      <c r="J107" s="268"/>
      <c r="K107" s="271">
        <v>44208.023981481485</v>
      </c>
      <c r="L107" s="271"/>
      <c r="M107" s="359" t="s">
        <v>2524</v>
      </c>
      <c r="N107" s="300"/>
      <c r="O107" s="301"/>
      <c r="P107" s="301"/>
      <c r="Q107" s="301"/>
      <c r="R107" s="272"/>
      <c r="S107" s="272"/>
      <c r="T107" s="272"/>
      <c r="U107" s="279"/>
      <c r="V107" s="279" t="s">
        <v>1783</v>
      </c>
      <c r="W107" s="280">
        <v>43843.0</v>
      </c>
      <c r="X107" s="281">
        <v>0.03125</v>
      </c>
      <c r="Y107" s="279" t="s">
        <v>1693</v>
      </c>
      <c r="Z107" s="282" t="s">
        <v>53</v>
      </c>
      <c r="AA107" s="282" t="s">
        <v>2881</v>
      </c>
      <c r="AB107" s="283">
        <v>44208.0</v>
      </c>
      <c r="AC107" s="284"/>
      <c r="AD107" s="284"/>
    </row>
    <row r="108" ht="14.25" customHeight="1">
      <c r="A108" s="265">
        <v>44206.0</v>
      </c>
      <c r="B108" s="266" t="s">
        <v>1500</v>
      </c>
      <c r="C108" s="266"/>
      <c r="D108" s="266" t="s">
        <v>2829</v>
      </c>
      <c r="E108" s="268"/>
      <c r="F108" s="358" t="s">
        <v>2882</v>
      </c>
      <c r="G108" s="268" t="s">
        <v>2085</v>
      </c>
      <c r="H108" s="288">
        <v>0.01769675925925926</v>
      </c>
      <c r="I108" s="271">
        <v>44207.745833333334</v>
      </c>
      <c r="J108" s="268"/>
      <c r="K108" s="271">
        <v>44209.29861111111</v>
      </c>
      <c r="L108" s="271"/>
      <c r="M108" s="359" t="s">
        <v>2524</v>
      </c>
      <c r="N108" s="319">
        <v>44208.947916666664</v>
      </c>
      <c r="O108" s="301" t="s">
        <v>2883</v>
      </c>
      <c r="P108" s="301" t="s">
        <v>1463</v>
      </c>
      <c r="Q108" s="301"/>
      <c r="R108" s="272"/>
      <c r="S108" s="272"/>
      <c r="T108" s="316" t="s">
        <v>2882</v>
      </c>
      <c r="U108" s="279"/>
      <c r="V108" s="279"/>
      <c r="W108" s="280"/>
      <c r="X108" s="279"/>
      <c r="Y108" s="279" t="s">
        <v>1693</v>
      </c>
      <c r="Z108" s="282" t="s">
        <v>53</v>
      </c>
      <c r="AA108" s="282" t="s">
        <v>2882</v>
      </c>
      <c r="AB108" s="283">
        <v>44209.0</v>
      </c>
      <c r="AC108" s="284"/>
      <c r="AD108" s="284"/>
    </row>
    <row r="109" ht="14.25" customHeight="1">
      <c r="A109" s="265">
        <v>44207.0</v>
      </c>
      <c r="B109" s="266" t="s">
        <v>1500</v>
      </c>
      <c r="C109" s="266"/>
      <c r="D109" s="266" t="s">
        <v>1450</v>
      </c>
      <c r="E109" s="268"/>
      <c r="F109" s="358" t="s">
        <v>2884</v>
      </c>
      <c r="G109" s="268" t="s">
        <v>2085</v>
      </c>
      <c r="H109" s="288">
        <v>0.09937499999999999</v>
      </c>
      <c r="I109" s="271">
        <v>44207.68402777778</v>
      </c>
      <c r="J109" s="268"/>
      <c r="K109" s="271">
        <v>44208.11922453704</v>
      </c>
      <c r="L109" s="271"/>
      <c r="M109" s="359" t="s">
        <v>2524</v>
      </c>
      <c r="N109" s="300"/>
      <c r="O109" s="301"/>
      <c r="P109" s="301"/>
      <c r="Q109" s="301"/>
      <c r="R109" s="272"/>
      <c r="S109" s="272"/>
      <c r="T109" s="272"/>
      <c r="U109" s="279"/>
      <c r="V109" s="279" t="s">
        <v>1733</v>
      </c>
      <c r="W109" s="280">
        <v>44230.0</v>
      </c>
      <c r="X109" s="281">
        <v>0.3333333333333333</v>
      </c>
      <c r="Y109" s="281" t="s">
        <v>1693</v>
      </c>
      <c r="Z109" s="282" t="s">
        <v>53</v>
      </c>
      <c r="AA109" s="282" t="s">
        <v>2884</v>
      </c>
      <c r="AB109" s="283">
        <v>44208.0</v>
      </c>
      <c r="AC109" s="284"/>
      <c r="AD109" s="284"/>
    </row>
    <row r="110" ht="14.25" customHeight="1">
      <c r="A110" s="265">
        <v>44207.0</v>
      </c>
      <c r="B110" s="266" t="s">
        <v>1500</v>
      </c>
      <c r="C110" s="266"/>
      <c r="D110" s="266" t="s">
        <v>1452</v>
      </c>
      <c r="E110" s="268"/>
      <c r="F110" s="358" t="s">
        <v>2885</v>
      </c>
      <c r="G110" s="268" t="s">
        <v>2085</v>
      </c>
      <c r="H110" s="288">
        <v>0.011840277777777778</v>
      </c>
      <c r="I110" s="271">
        <v>44207.69375</v>
      </c>
      <c r="J110" s="268"/>
      <c r="K110" s="271">
        <v>44208.04415509259</v>
      </c>
      <c r="L110" s="271"/>
      <c r="M110" s="359" t="s">
        <v>2524</v>
      </c>
      <c r="N110" s="300"/>
      <c r="O110" s="301"/>
      <c r="P110" s="301"/>
      <c r="Q110" s="301"/>
      <c r="R110" s="272"/>
      <c r="S110" s="272"/>
      <c r="T110" s="272"/>
      <c r="U110" s="279"/>
      <c r="V110" s="279" t="s">
        <v>1772</v>
      </c>
      <c r="W110" s="280">
        <v>44211.0</v>
      </c>
      <c r="X110" s="281">
        <v>0.041666666666666664</v>
      </c>
      <c r="Y110" s="281" t="s">
        <v>1693</v>
      </c>
      <c r="Z110" s="282" t="s">
        <v>53</v>
      </c>
      <c r="AA110" s="282" t="s">
        <v>2885</v>
      </c>
      <c r="AB110" s="283">
        <v>44208.0</v>
      </c>
      <c r="AC110" s="284"/>
      <c r="AD110" s="284"/>
    </row>
    <row r="111" ht="14.25" customHeight="1">
      <c r="A111" s="265">
        <v>44207.0</v>
      </c>
      <c r="B111" s="266" t="s">
        <v>1500</v>
      </c>
      <c r="C111" s="266"/>
      <c r="D111" s="266" t="s">
        <v>1686</v>
      </c>
      <c r="E111" s="268"/>
      <c r="F111" s="358" t="s">
        <v>2886</v>
      </c>
      <c r="G111" s="268" t="s">
        <v>2085</v>
      </c>
      <c r="H111" s="288">
        <v>0.03913194444444445</v>
      </c>
      <c r="I111" s="271">
        <v>44207.745833333334</v>
      </c>
      <c r="J111" s="268"/>
      <c r="K111" s="271">
        <v>44208.069375</v>
      </c>
      <c r="L111" s="271"/>
      <c r="M111" s="359" t="s">
        <v>2524</v>
      </c>
      <c r="N111" s="300"/>
      <c r="O111" s="301"/>
      <c r="P111" s="301"/>
      <c r="Q111" s="301"/>
      <c r="R111" s="272"/>
      <c r="S111" s="272"/>
      <c r="T111" s="272"/>
      <c r="U111" s="279"/>
      <c r="V111" s="279" t="s">
        <v>1685</v>
      </c>
      <c r="W111" s="280">
        <v>44209.0</v>
      </c>
      <c r="X111" s="281">
        <v>0.16666666666666666</v>
      </c>
      <c r="Y111" s="281" t="s">
        <v>1693</v>
      </c>
      <c r="Z111" s="282" t="s">
        <v>53</v>
      </c>
      <c r="AA111" s="282" t="s">
        <v>2886</v>
      </c>
      <c r="AB111" s="283">
        <v>44208.0</v>
      </c>
      <c r="AC111" s="284"/>
      <c r="AD111" s="284"/>
    </row>
    <row r="112" ht="14.25" customHeight="1">
      <c r="A112" s="265">
        <v>44207.0</v>
      </c>
      <c r="B112" s="266" t="s">
        <v>1733</v>
      </c>
      <c r="C112" s="266"/>
      <c r="D112" s="266" t="s">
        <v>1455</v>
      </c>
      <c r="E112" s="268"/>
      <c r="F112" s="358" t="s">
        <v>2887</v>
      </c>
      <c r="G112" s="268" t="s">
        <v>2085</v>
      </c>
      <c r="H112" s="288">
        <v>0.02280092592592593</v>
      </c>
      <c r="I112" s="271">
        <v>44208.03333333333</v>
      </c>
      <c r="J112" s="268"/>
      <c r="K112" s="271">
        <v>44208.384733796294</v>
      </c>
      <c r="L112" s="271"/>
      <c r="M112" s="359" t="s">
        <v>2524</v>
      </c>
      <c r="N112" s="300"/>
      <c r="O112" s="301"/>
      <c r="P112" s="301"/>
      <c r="Q112" s="301"/>
      <c r="R112" s="272"/>
      <c r="S112" s="272"/>
      <c r="T112" s="272"/>
      <c r="U112" s="279"/>
      <c r="V112" s="279" t="s">
        <v>1783</v>
      </c>
      <c r="W112" s="280">
        <v>44208.0</v>
      </c>
      <c r="X112" s="281">
        <v>0.125</v>
      </c>
      <c r="Y112" s="281" t="s">
        <v>1693</v>
      </c>
      <c r="Z112" s="282" t="s">
        <v>53</v>
      </c>
      <c r="AA112" s="282" t="s">
        <v>2887</v>
      </c>
      <c r="AB112" s="283">
        <v>44208.0</v>
      </c>
      <c r="AC112" s="284"/>
      <c r="AD112" s="284"/>
    </row>
    <row r="113" ht="14.25" customHeight="1">
      <c r="A113" s="265">
        <v>44208.0</v>
      </c>
      <c r="B113" s="266" t="s">
        <v>1500</v>
      </c>
      <c r="C113" s="266" t="s">
        <v>2888</v>
      </c>
      <c r="D113" s="266" t="s">
        <v>1543</v>
      </c>
      <c r="E113" s="268"/>
      <c r="F113" s="269" t="s">
        <v>2889</v>
      </c>
      <c r="G113" s="268" t="s">
        <v>1463</v>
      </c>
      <c r="H113" s="288">
        <v>0.0022800925925925927</v>
      </c>
      <c r="I113" s="271">
        <v>44209.46597222222</v>
      </c>
      <c r="J113" s="268"/>
      <c r="K113" s="271">
        <v>44209.53306712963</v>
      </c>
      <c r="L113" s="271"/>
      <c r="M113" s="272" t="s">
        <v>2890</v>
      </c>
      <c r="N113" s="300"/>
      <c r="O113" s="301"/>
      <c r="P113" s="301"/>
      <c r="Q113" s="301"/>
      <c r="R113" s="272"/>
      <c r="S113" s="272"/>
      <c r="T113" s="272"/>
      <c r="U113" s="279"/>
      <c r="V113" s="279" t="s">
        <v>1685</v>
      </c>
      <c r="W113" s="280">
        <v>44235.0</v>
      </c>
      <c r="X113" s="281">
        <v>0.002777777777777778</v>
      </c>
      <c r="Y113" s="281" t="s">
        <v>1693</v>
      </c>
      <c r="Z113" s="282" t="s">
        <v>53</v>
      </c>
      <c r="AA113" s="282">
        <v>6316877.0</v>
      </c>
      <c r="AB113" s="283">
        <v>44210.0</v>
      </c>
      <c r="AC113" s="284"/>
      <c r="AD113" s="284"/>
    </row>
    <row r="114" ht="14.25" customHeight="1">
      <c r="A114" s="265">
        <v>44208.0</v>
      </c>
      <c r="B114" s="266" t="s">
        <v>1500</v>
      </c>
      <c r="C114" s="266"/>
      <c r="D114" s="266" t="s">
        <v>1450</v>
      </c>
      <c r="E114" s="268"/>
      <c r="F114" s="358" t="s">
        <v>2891</v>
      </c>
      <c r="G114" s="268" t="s">
        <v>2085</v>
      </c>
      <c r="H114" s="288">
        <v>0.09961805555555554</v>
      </c>
      <c r="I114" s="271">
        <v>44512.95</v>
      </c>
      <c r="J114" s="268"/>
      <c r="K114" s="271">
        <v>44209.43958333333</v>
      </c>
      <c r="L114" s="271"/>
      <c r="M114" s="359" t="s">
        <v>2524</v>
      </c>
      <c r="N114" s="300"/>
      <c r="O114" s="301"/>
      <c r="P114" s="301"/>
      <c r="Q114" s="301"/>
      <c r="R114" s="272"/>
      <c r="S114" s="272"/>
      <c r="T114" s="272"/>
      <c r="U114" s="279"/>
      <c r="V114" s="279" t="s">
        <v>1738</v>
      </c>
      <c r="W114" s="280">
        <v>44237.0</v>
      </c>
      <c r="X114" s="281">
        <v>0.3333333333333333</v>
      </c>
      <c r="Y114" s="281" t="s">
        <v>1693</v>
      </c>
      <c r="Z114" s="282" t="s">
        <v>53</v>
      </c>
      <c r="AA114" s="282" t="s">
        <v>2891</v>
      </c>
      <c r="AB114" s="283">
        <v>44209.0</v>
      </c>
      <c r="AC114" s="284"/>
      <c r="AD114" s="284"/>
    </row>
    <row r="115" ht="14.25" customHeight="1">
      <c r="A115" s="265">
        <v>44208.0</v>
      </c>
      <c r="B115" s="266" t="s">
        <v>1500</v>
      </c>
      <c r="C115" s="266"/>
      <c r="D115" s="266" t="s">
        <v>1452</v>
      </c>
      <c r="E115" s="268"/>
      <c r="F115" s="358" t="s">
        <v>2892</v>
      </c>
      <c r="G115" s="268" t="s">
        <v>2085</v>
      </c>
      <c r="H115" s="288">
        <v>0.012974537037037036</v>
      </c>
      <c r="I115" s="271">
        <v>44512.95416666667</v>
      </c>
      <c r="J115" s="268"/>
      <c r="K115" s="271">
        <v>44209.73472222222</v>
      </c>
      <c r="L115" s="271"/>
      <c r="M115" s="359" t="s">
        <v>2524</v>
      </c>
      <c r="N115" s="300"/>
      <c r="O115" s="301"/>
      <c r="P115" s="301"/>
      <c r="Q115" s="301"/>
      <c r="R115" s="272"/>
      <c r="S115" s="272"/>
      <c r="T115" s="272"/>
      <c r="U115" s="279"/>
      <c r="V115" s="279" t="s">
        <v>1772</v>
      </c>
      <c r="W115" s="280">
        <v>44209.0</v>
      </c>
      <c r="X115" s="281">
        <v>0.041666666666666664</v>
      </c>
      <c r="Y115" s="281" t="s">
        <v>1693</v>
      </c>
      <c r="Z115" s="282" t="s">
        <v>53</v>
      </c>
      <c r="AA115" s="282" t="s">
        <v>2892</v>
      </c>
      <c r="AB115" s="283">
        <v>44209.0</v>
      </c>
      <c r="AC115" s="284"/>
      <c r="AD115" s="284"/>
    </row>
    <row r="116" ht="14.25" customHeight="1">
      <c r="A116" s="265">
        <v>44208.0</v>
      </c>
      <c r="B116" s="266" t="s">
        <v>1500</v>
      </c>
      <c r="C116" s="266"/>
      <c r="D116" s="266" t="s">
        <v>1686</v>
      </c>
      <c r="E116" s="268"/>
      <c r="F116" s="358" t="s">
        <v>2893</v>
      </c>
      <c r="G116" s="268" t="s">
        <v>2085</v>
      </c>
      <c r="H116" s="288">
        <v>0.03947916666666667</v>
      </c>
      <c r="I116" s="271">
        <v>44512.95694444444</v>
      </c>
      <c r="J116" s="268"/>
      <c r="K116" s="271">
        <v>44209.82777777778</v>
      </c>
      <c r="L116" s="271"/>
      <c r="M116" s="359" t="s">
        <v>2524</v>
      </c>
      <c r="N116" s="300"/>
      <c r="O116" s="301"/>
      <c r="P116" s="301"/>
      <c r="Q116" s="301"/>
      <c r="R116" s="272"/>
      <c r="S116" s="272"/>
      <c r="T116" s="272"/>
      <c r="U116" s="279"/>
      <c r="V116" s="279" t="s">
        <v>1685</v>
      </c>
      <c r="W116" s="280">
        <v>44209.0</v>
      </c>
      <c r="X116" s="281"/>
      <c r="Y116" s="281" t="s">
        <v>1693</v>
      </c>
      <c r="Z116" s="282" t="s">
        <v>53</v>
      </c>
      <c r="AA116" s="282" t="s">
        <v>2893</v>
      </c>
      <c r="AB116" s="283">
        <v>44209.0</v>
      </c>
      <c r="AC116" s="284"/>
      <c r="AD116" s="284"/>
    </row>
    <row r="117" ht="14.25" customHeight="1">
      <c r="A117" s="265">
        <v>44208.0</v>
      </c>
      <c r="B117" s="266" t="s">
        <v>1733</v>
      </c>
      <c r="C117" s="266"/>
      <c r="D117" s="266" t="s">
        <v>1455</v>
      </c>
      <c r="E117" s="268"/>
      <c r="F117" s="358" t="s">
        <v>2894</v>
      </c>
      <c r="G117" s="268" t="s">
        <v>2085</v>
      </c>
      <c r="H117" s="288">
        <v>0.020925925925925928</v>
      </c>
      <c r="I117" s="271">
        <v>44512.970138888886</v>
      </c>
      <c r="J117" s="268"/>
      <c r="K117" s="271">
        <v>44209.45347222222</v>
      </c>
      <c r="L117" s="271"/>
      <c r="M117" s="359" t="s">
        <v>2524</v>
      </c>
      <c r="N117" s="300"/>
      <c r="O117" s="301"/>
      <c r="P117" s="301"/>
      <c r="Q117" s="301"/>
      <c r="R117" s="272"/>
      <c r="S117" s="272"/>
      <c r="T117" s="272"/>
      <c r="U117" s="279"/>
      <c r="V117" s="279" t="s">
        <v>1783</v>
      </c>
      <c r="W117" s="280">
        <v>44209.0</v>
      </c>
      <c r="X117" s="281">
        <v>0.125</v>
      </c>
      <c r="Y117" s="281" t="s">
        <v>1693</v>
      </c>
      <c r="Z117" s="282" t="s">
        <v>53</v>
      </c>
      <c r="AA117" s="282" t="s">
        <v>2894</v>
      </c>
      <c r="AB117" s="283">
        <v>44209.0</v>
      </c>
      <c r="AC117" s="284"/>
      <c r="AD117" s="284"/>
    </row>
    <row r="118" ht="14.25" customHeight="1">
      <c r="A118" s="265">
        <v>44209.0</v>
      </c>
      <c r="B118" s="266" t="s">
        <v>1500</v>
      </c>
      <c r="C118" s="266" t="s">
        <v>1696</v>
      </c>
      <c r="D118" s="266" t="s">
        <v>1543</v>
      </c>
      <c r="E118" s="268"/>
      <c r="F118" s="269" t="s">
        <v>2895</v>
      </c>
      <c r="G118" s="268" t="s">
        <v>1463</v>
      </c>
      <c r="H118" s="288">
        <v>0.003252314814814815</v>
      </c>
      <c r="I118" s="271">
        <v>44209.791666666664</v>
      </c>
      <c r="J118" s="268"/>
      <c r="K118" s="271">
        <v>44210.47081018519</v>
      </c>
      <c r="L118" s="271"/>
      <c r="M118" s="278" t="s">
        <v>2896</v>
      </c>
      <c r="N118" s="290"/>
      <c r="O118" s="382"/>
      <c r="P118" s="382"/>
      <c r="Q118" s="382"/>
      <c r="R118" s="383"/>
      <c r="S118" s="383"/>
      <c r="T118" s="383"/>
      <c r="U118" s="279"/>
      <c r="V118" s="279" t="s">
        <v>2030</v>
      </c>
      <c r="W118" s="280">
        <v>44239.0</v>
      </c>
      <c r="X118" s="281">
        <v>0.013888888888888888</v>
      </c>
      <c r="Y118" s="281" t="s">
        <v>1693</v>
      </c>
      <c r="Z118" s="282" t="s">
        <v>53</v>
      </c>
      <c r="AA118" s="282">
        <v>6317500.0</v>
      </c>
      <c r="AB118" s="283">
        <v>44211.0</v>
      </c>
      <c r="AC118" s="284"/>
      <c r="AD118" s="284"/>
    </row>
    <row r="119" ht="14.25" customHeight="1">
      <c r="A119" s="265">
        <v>44209.0</v>
      </c>
      <c r="B119" s="266" t="s">
        <v>1500</v>
      </c>
      <c r="C119" s="266" t="s">
        <v>2471</v>
      </c>
      <c r="D119" s="266" t="s">
        <v>1543</v>
      </c>
      <c r="E119" s="268"/>
      <c r="F119" s="269" t="s">
        <v>2897</v>
      </c>
      <c r="G119" s="268" t="s">
        <v>1463</v>
      </c>
      <c r="H119" s="288">
        <v>5.555555555555556E-4</v>
      </c>
      <c r="I119" s="271">
        <v>44210.50555555556</v>
      </c>
      <c r="J119" s="268"/>
      <c r="K119" s="271">
        <v>44210.511469907404</v>
      </c>
      <c r="L119" s="271"/>
      <c r="M119" s="278" t="s">
        <v>2898</v>
      </c>
      <c r="N119" s="290"/>
      <c r="O119" s="276"/>
      <c r="P119" s="276"/>
      <c r="Q119" s="276"/>
      <c r="R119" s="278"/>
      <c r="S119" s="278"/>
      <c r="T119" s="278"/>
      <c r="U119" s="279"/>
      <c r="V119" s="279" t="s">
        <v>2030</v>
      </c>
      <c r="W119" s="280">
        <v>44239.0</v>
      </c>
      <c r="X119" s="281">
        <v>0.003472222222222222</v>
      </c>
      <c r="Y119" s="281" t="s">
        <v>1693</v>
      </c>
      <c r="Z119" s="282" t="s">
        <v>53</v>
      </c>
      <c r="AA119" s="282">
        <v>6317501.0</v>
      </c>
      <c r="AB119" s="283">
        <v>44211.0</v>
      </c>
      <c r="AC119" s="284"/>
      <c r="AD119" s="284"/>
    </row>
    <row r="120" ht="14.25" customHeight="1">
      <c r="A120" s="265">
        <v>44209.0</v>
      </c>
      <c r="B120" s="266" t="s">
        <v>1500</v>
      </c>
      <c r="C120" s="266"/>
      <c r="D120" s="266" t="s">
        <v>1450</v>
      </c>
      <c r="E120" s="268"/>
      <c r="F120" s="358" t="s">
        <v>2899</v>
      </c>
      <c r="G120" s="268" t="s">
        <v>2085</v>
      </c>
      <c r="H120" s="288">
        <v>0.10072916666666666</v>
      </c>
      <c r="I120" s="271">
        <v>44209.87222222222</v>
      </c>
      <c r="J120" s="268"/>
      <c r="K120" s="271">
        <v>44210.46240740741</v>
      </c>
      <c r="L120" s="271"/>
      <c r="M120" s="359" t="s">
        <v>2524</v>
      </c>
      <c r="N120" s="290"/>
      <c r="O120" s="276"/>
      <c r="P120" s="276"/>
      <c r="Q120" s="276"/>
      <c r="R120" s="278"/>
      <c r="S120" s="278"/>
      <c r="T120" s="278"/>
      <c r="U120" s="279"/>
      <c r="V120" s="279" t="s">
        <v>1738</v>
      </c>
      <c r="W120" s="280">
        <v>44238.0</v>
      </c>
      <c r="X120" s="281">
        <v>0.3333333333333333</v>
      </c>
      <c r="Y120" s="281" t="s">
        <v>1693</v>
      </c>
      <c r="Z120" s="282" t="s">
        <v>53</v>
      </c>
      <c r="AA120" s="282" t="s">
        <v>2899</v>
      </c>
      <c r="AB120" s="283">
        <v>44210.0</v>
      </c>
      <c r="AC120" s="284"/>
      <c r="AD120" s="284"/>
    </row>
    <row r="121" ht="14.25" customHeight="1">
      <c r="A121" s="265">
        <v>44209.0</v>
      </c>
      <c r="B121" s="266" t="s">
        <v>1500</v>
      </c>
      <c r="C121" s="266"/>
      <c r="D121" s="266" t="s">
        <v>1452</v>
      </c>
      <c r="E121" s="268"/>
      <c r="F121" s="358" t="s">
        <v>2900</v>
      </c>
      <c r="G121" s="268" t="s">
        <v>2085</v>
      </c>
      <c r="H121" s="288">
        <v>0.006481481481481481</v>
      </c>
      <c r="I121" s="271">
        <v>44209.873611111114</v>
      </c>
      <c r="J121" s="268"/>
      <c r="K121" s="271">
        <v>44210.463113425925</v>
      </c>
      <c r="L121" s="271"/>
      <c r="M121" s="359" t="s">
        <v>2524</v>
      </c>
      <c r="N121" s="290"/>
      <c r="O121" s="276"/>
      <c r="P121" s="276"/>
      <c r="Q121" s="276"/>
      <c r="R121" s="278"/>
      <c r="S121" s="278"/>
      <c r="T121" s="278"/>
      <c r="U121" s="279"/>
      <c r="V121" s="279" t="s">
        <v>1772</v>
      </c>
      <c r="W121" s="280">
        <v>44211.0</v>
      </c>
      <c r="X121" s="281">
        <v>0.027777777777777776</v>
      </c>
      <c r="Y121" s="281" t="s">
        <v>1693</v>
      </c>
      <c r="Z121" s="282" t="s">
        <v>53</v>
      </c>
      <c r="AA121" s="282" t="s">
        <v>2900</v>
      </c>
      <c r="AB121" s="283">
        <v>44210.0</v>
      </c>
      <c r="AC121" s="284"/>
      <c r="AD121" s="284"/>
    </row>
    <row r="122" ht="14.25" customHeight="1">
      <c r="A122" s="265">
        <v>44209.0</v>
      </c>
      <c r="B122" s="266" t="s">
        <v>1500</v>
      </c>
      <c r="C122" s="266"/>
      <c r="D122" s="266" t="s">
        <v>1686</v>
      </c>
      <c r="E122" s="268"/>
      <c r="F122" s="358" t="s">
        <v>2901</v>
      </c>
      <c r="G122" s="268" t="s">
        <v>2085</v>
      </c>
      <c r="H122" s="288">
        <v>0.04090277777777778</v>
      </c>
      <c r="I122" s="271">
        <v>44209.89513888889</v>
      </c>
      <c r="J122" s="268"/>
      <c r="K122" s="271">
        <v>44210.55428240741</v>
      </c>
      <c r="L122" s="271"/>
      <c r="M122" s="359" t="s">
        <v>2524</v>
      </c>
      <c r="N122" s="290"/>
      <c r="O122" s="276"/>
      <c r="P122" s="276"/>
      <c r="Q122" s="276"/>
      <c r="R122" s="278"/>
      <c r="S122" s="278"/>
      <c r="T122" s="278"/>
      <c r="U122" s="279"/>
      <c r="V122" s="279" t="s">
        <v>1685</v>
      </c>
      <c r="W122" s="280">
        <v>44210.0</v>
      </c>
      <c r="X122" s="281">
        <v>0.16666666666666666</v>
      </c>
      <c r="Y122" s="281" t="s">
        <v>1693</v>
      </c>
      <c r="Z122" s="282" t="s">
        <v>53</v>
      </c>
      <c r="AA122" s="282" t="s">
        <v>2901</v>
      </c>
      <c r="AB122" s="283">
        <v>44210.0</v>
      </c>
      <c r="AC122" s="284"/>
      <c r="AD122" s="284"/>
    </row>
    <row r="123" ht="14.25" customHeight="1">
      <c r="A123" s="265">
        <v>44209.0</v>
      </c>
      <c r="B123" s="266" t="s">
        <v>1733</v>
      </c>
      <c r="C123" s="266"/>
      <c r="D123" s="266" t="s">
        <v>1455</v>
      </c>
      <c r="E123" s="268"/>
      <c r="F123" s="358" t="s">
        <v>2902</v>
      </c>
      <c r="G123" s="268" t="s">
        <v>2085</v>
      </c>
      <c r="H123" s="288">
        <v>0.02011574074074074</v>
      </c>
      <c r="I123" s="271">
        <v>44209.87013888889</v>
      </c>
      <c r="J123" s="268"/>
      <c r="K123" s="271">
        <v>44210.40966435185</v>
      </c>
      <c r="L123" s="271"/>
      <c r="M123" s="359" t="s">
        <v>2524</v>
      </c>
      <c r="N123" s="290"/>
      <c r="O123" s="276"/>
      <c r="P123" s="276"/>
      <c r="Q123" s="276"/>
      <c r="R123" s="278"/>
      <c r="S123" s="278"/>
      <c r="T123" s="278"/>
      <c r="U123" s="279"/>
      <c r="V123" s="279" t="s">
        <v>1783</v>
      </c>
      <c r="W123" s="280">
        <v>44210.0</v>
      </c>
      <c r="X123" s="281">
        <v>0.125</v>
      </c>
      <c r="Y123" s="281" t="s">
        <v>1693</v>
      </c>
      <c r="Z123" s="282" t="s">
        <v>53</v>
      </c>
      <c r="AA123" s="282" t="s">
        <v>2902</v>
      </c>
      <c r="AB123" s="283">
        <v>44210.0</v>
      </c>
      <c r="AC123" s="284"/>
      <c r="AD123" s="284"/>
    </row>
    <row r="124" ht="14.25" customHeight="1">
      <c r="A124" s="265">
        <v>44210.0</v>
      </c>
      <c r="B124" s="266" t="s">
        <v>1500</v>
      </c>
      <c r="C124" s="266" t="s">
        <v>1686</v>
      </c>
      <c r="D124" s="266" t="s">
        <v>1543</v>
      </c>
      <c r="E124" s="268"/>
      <c r="F124" s="291" t="s">
        <v>2903</v>
      </c>
      <c r="G124" s="268" t="s">
        <v>1463</v>
      </c>
      <c r="H124" s="288">
        <v>6.597222222222221E-4</v>
      </c>
      <c r="I124" s="271">
        <v>44210.47638888889</v>
      </c>
      <c r="J124" s="268"/>
      <c r="K124" s="271">
        <v>44210.483622685184</v>
      </c>
      <c r="L124" s="271"/>
      <c r="M124" s="278" t="s">
        <v>2904</v>
      </c>
      <c r="N124" s="290"/>
      <c r="O124" s="276"/>
      <c r="P124" s="276"/>
      <c r="Q124" s="276"/>
      <c r="R124" s="278"/>
      <c r="S124" s="278"/>
      <c r="T124" s="278"/>
      <c r="U124" s="279"/>
      <c r="V124" s="279" t="s">
        <v>2030</v>
      </c>
      <c r="W124" s="280">
        <v>44239.0</v>
      </c>
      <c r="X124" s="281">
        <v>0.003472222222222222</v>
      </c>
      <c r="Y124" s="279" t="s">
        <v>1693</v>
      </c>
      <c r="Z124" s="282" t="s">
        <v>53</v>
      </c>
      <c r="AA124" s="282">
        <v>6317502.0</v>
      </c>
      <c r="AB124" s="283">
        <v>44211.0</v>
      </c>
      <c r="AC124" s="284"/>
      <c r="AD124" s="284"/>
    </row>
    <row r="125" ht="14.25" customHeight="1">
      <c r="A125" s="265">
        <v>44210.0</v>
      </c>
      <c r="B125" s="266" t="s">
        <v>1500</v>
      </c>
      <c r="C125" s="266" t="s">
        <v>1686</v>
      </c>
      <c r="D125" s="266" t="s">
        <v>1543</v>
      </c>
      <c r="E125" s="268"/>
      <c r="F125" s="291" t="s">
        <v>2905</v>
      </c>
      <c r="G125" s="268" t="s">
        <v>1463</v>
      </c>
      <c r="H125" s="288">
        <v>0.0012847222222222223</v>
      </c>
      <c r="I125" s="271">
        <v>44211.47107638889</v>
      </c>
      <c r="J125" s="268"/>
      <c r="K125" s="271">
        <v>44211.47802083333</v>
      </c>
      <c r="L125" s="271"/>
      <c r="M125" s="278" t="s">
        <v>2906</v>
      </c>
      <c r="N125" s="290"/>
      <c r="O125" s="276"/>
      <c r="P125" s="276"/>
      <c r="Q125" s="276"/>
      <c r="R125" s="278"/>
      <c r="S125" s="278"/>
      <c r="T125" s="278"/>
      <c r="U125" s="279"/>
      <c r="V125" s="279" t="s">
        <v>2030</v>
      </c>
      <c r="W125" s="280">
        <v>44239.0</v>
      </c>
      <c r="X125" s="281">
        <v>0.003472222222222222</v>
      </c>
      <c r="Y125" s="279" t="s">
        <v>1693</v>
      </c>
      <c r="Z125" s="282" t="s">
        <v>53</v>
      </c>
      <c r="AA125" s="282">
        <v>6318069.0</v>
      </c>
      <c r="AB125" s="283">
        <v>44214.0</v>
      </c>
      <c r="AC125" s="284"/>
      <c r="AD125" s="284"/>
    </row>
    <row r="126" ht="14.25" customHeight="1">
      <c r="A126" s="265">
        <v>44210.0</v>
      </c>
      <c r="B126" s="266" t="s">
        <v>1500</v>
      </c>
      <c r="C126" s="266" t="s">
        <v>2471</v>
      </c>
      <c r="D126" s="266" t="s">
        <v>1543</v>
      </c>
      <c r="E126" s="268"/>
      <c r="F126" s="291" t="s">
        <v>2907</v>
      </c>
      <c r="G126" s="268" t="s">
        <v>1463</v>
      </c>
      <c r="H126" s="288">
        <v>0.0018402777777777777</v>
      </c>
      <c r="I126" s="271">
        <v>44211.49885416667</v>
      </c>
      <c r="J126" s="268"/>
      <c r="K126" s="271">
        <v>44211.522881944446</v>
      </c>
      <c r="L126" s="271"/>
      <c r="M126" s="307" t="s">
        <v>2908</v>
      </c>
      <c r="N126" s="273">
        <v>44211.62847222222</v>
      </c>
      <c r="O126" s="276" t="s">
        <v>2909</v>
      </c>
      <c r="P126" s="301" t="s">
        <v>1463</v>
      </c>
      <c r="Q126" s="276" t="s">
        <v>1819</v>
      </c>
      <c r="R126" s="277">
        <v>44211.66961805556</v>
      </c>
      <c r="S126" s="278"/>
      <c r="T126" s="278" t="s">
        <v>2910</v>
      </c>
      <c r="U126" s="279"/>
      <c r="V126" s="279" t="s">
        <v>2030</v>
      </c>
      <c r="W126" s="280">
        <v>44239.0</v>
      </c>
      <c r="X126" s="281">
        <v>0.010416666666666666</v>
      </c>
      <c r="Y126" s="279" t="s">
        <v>1693</v>
      </c>
      <c r="Z126" s="282" t="s">
        <v>53</v>
      </c>
      <c r="AA126" s="282">
        <v>6318070.0</v>
      </c>
      <c r="AB126" s="283">
        <v>44214.0</v>
      </c>
      <c r="AC126" s="284"/>
      <c r="AD126" s="284"/>
    </row>
    <row r="127" ht="14.25" customHeight="1">
      <c r="A127" s="265">
        <v>44210.0</v>
      </c>
      <c r="B127" s="266" t="s">
        <v>1500</v>
      </c>
      <c r="C127" s="266" t="s">
        <v>1455</v>
      </c>
      <c r="D127" s="266" t="s">
        <v>1543</v>
      </c>
      <c r="E127" s="268"/>
      <c r="F127" s="291" t="s">
        <v>2911</v>
      </c>
      <c r="G127" s="268" t="s">
        <v>1463</v>
      </c>
      <c r="H127" s="288">
        <v>0.0032175925925925926</v>
      </c>
      <c r="I127" s="271">
        <v>44211.625</v>
      </c>
      <c r="J127" s="268"/>
      <c r="K127" s="271">
        <v>44211.67298611111</v>
      </c>
      <c r="L127" s="271"/>
      <c r="M127" s="307" t="s">
        <v>2912</v>
      </c>
      <c r="N127" s="273">
        <v>44211.708333333336</v>
      </c>
      <c r="O127" s="276" t="s">
        <v>2913</v>
      </c>
      <c r="P127" s="301" t="s">
        <v>1463</v>
      </c>
      <c r="Q127" s="276" t="s">
        <v>1819</v>
      </c>
      <c r="R127" s="278"/>
      <c r="S127" s="278"/>
      <c r="T127" s="278" t="s">
        <v>2914</v>
      </c>
      <c r="U127" s="279"/>
      <c r="V127" s="279" t="s">
        <v>2030</v>
      </c>
      <c r="W127" s="280">
        <v>44239.0</v>
      </c>
      <c r="X127" s="281">
        <v>0.010416666666666666</v>
      </c>
      <c r="Y127" s="279" t="s">
        <v>1693</v>
      </c>
      <c r="Z127" s="282" t="s">
        <v>53</v>
      </c>
      <c r="AA127" s="282">
        <v>6319325.0</v>
      </c>
      <c r="AB127" s="283">
        <v>44218.0</v>
      </c>
      <c r="AC127" s="284"/>
      <c r="AD127" s="284"/>
    </row>
    <row r="128" ht="14.25" customHeight="1">
      <c r="A128" s="265">
        <v>44210.0</v>
      </c>
      <c r="B128" s="266" t="s">
        <v>1500</v>
      </c>
      <c r="C128" s="266"/>
      <c r="D128" s="266" t="s">
        <v>1450</v>
      </c>
      <c r="E128" s="268"/>
      <c r="F128" s="358" t="s">
        <v>2915</v>
      </c>
      <c r="G128" s="268" t="s">
        <v>2085</v>
      </c>
      <c r="H128" s="288">
        <v>0.09917824074074073</v>
      </c>
      <c r="I128" s="271">
        <v>44210.80625</v>
      </c>
      <c r="J128" s="268"/>
      <c r="K128" s="271">
        <v>44211.26074074074</v>
      </c>
      <c r="L128" s="271"/>
      <c r="M128" s="359" t="s">
        <v>2524</v>
      </c>
      <c r="N128" s="290"/>
      <c r="O128" s="276"/>
      <c r="P128" s="276"/>
      <c r="Q128" s="276"/>
      <c r="R128" s="278"/>
      <c r="S128" s="278"/>
      <c r="T128" s="278"/>
      <c r="U128" s="279"/>
      <c r="V128" s="279" t="s">
        <v>1772</v>
      </c>
      <c r="W128" s="280" t="s">
        <v>2916</v>
      </c>
      <c r="X128" s="281">
        <v>0.3541666666666667</v>
      </c>
      <c r="Y128" s="279" t="s">
        <v>1693</v>
      </c>
      <c r="Z128" s="282" t="s">
        <v>53</v>
      </c>
      <c r="AA128" s="282" t="s">
        <v>2915</v>
      </c>
      <c r="AB128" s="283">
        <v>44211.0</v>
      </c>
      <c r="AC128" s="284"/>
      <c r="AD128" s="284"/>
    </row>
    <row r="129" ht="14.25" customHeight="1">
      <c r="A129" s="265">
        <v>44210.0</v>
      </c>
      <c r="B129" s="266" t="s">
        <v>1500</v>
      </c>
      <c r="C129" s="266"/>
      <c r="D129" s="266" t="s">
        <v>1452</v>
      </c>
      <c r="E129" s="268"/>
      <c r="F129" s="358" t="s">
        <v>2917</v>
      </c>
      <c r="G129" s="268" t="s">
        <v>2085</v>
      </c>
      <c r="H129" s="288">
        <v>0.006666666666666667</v>
      </c>
      <c r="I129" s="271">
        <v>44210.80902777778</v>
      </c>
      <c r="J129" s="268"/>
      <c r="K129" s="271">
        <v>44211.151458333334</v>
      </c>
      <c r="L129" s="271"/>
      <c r="M129" s="359" t="s">
        <v>2524</v>
      </c>
      <c r="N129" s="290"/>
      <c r="O129" s="276"/>
      <c r="P129" s="276"/>
      <c r="Q129" s="276"/>
      <c r="R129" s="278"/>
      <c r="S129" s="278"/>
      <c r="T129" s="278"/>
      <c r="U129" s="279"/>
      <c r="V129" s="279" t="s">
        <v>1772</v>
      </c>
      <c r="W129" s="280">
        <v>44211.0</v>
      </c>
      <c r="X129" s="281"/>
      <c r="Y129" s="279" t="s">
        <v>1693</v>
      </c>
      <c r="Z129" s="282" t="s">
        <v>53</v>
      </c>
      <c r="AA129" s="282" t="s">
        <v>2917</v>
      </c>
      <c r="AB129" s="283">
        <v>44211.0</v>
      </c>
      <c r="AC129" s="284"/>
      <c r="AD129" s="284"/>
    </row>
    <row r="130" ht="14.25" customHeight="1">
      <c r="A130" s="265">
        <v>44210.0</v>
      </c>
      <c r="B130" s="266" t="s">
        <v>1500</v>
      </c>
      <c r="C130" s="266"/>
      <c r="D130" s="266" t="s">
        <v>1686</v>
      </c>
      <c r="E130" s="268"/>
      <c r="F130" s="358" t="s">
        <v>2918</v>
      </c>
      <c r="G130" s="268" t="s">
        <v>2085</v>
      </c>
      <c r="H130" s="288">
        <v>0.04</v>
      </c>
      <c r="I130" s="271">
        <v>44210.811111111114</v>
      </c>
      <c r="J130" s="268"/>
      <c r="K130" s="271">
        <v>44211.38061342593</v>
      </c>
      <c r="L130" s="271"/>
      <c r="M130" s="359" t="s">
        <v>2524</v>
      </c>
      <c r="N130" s="290"/>
      <c r="O130" s="276"/>
      <c r="P130" s="276"/>
      <c r="Q130" s="276"/>
      <c r="R130" s="278"/>
      <c r="S130" s="278"/>
      <c r="T130" s="278"/>
      <c r="U130" s="279"/>
      <c r="V130" s="279" t="s">
        <v>1685</v>
      </c>
      <c r="W130" s="280">
        <v>44211.0</v>
      </c>
      <c r="X130" s="281"/>
      <c r="Y130" s="279" t="s">
        <v>1693</v>
      </c>
      <c r="Z130" s="282" t="s">
        <v>53</v>
      </c>
      <c r="AA130" s="282" t="s">
        <v>2918</v>
      </c>
      <c r="AB130" s="283">
        <v>44211.0</v>
      </c>
      <c r="AC130" s="284"/>
      <c r="AD130" s="284"/>
    </row>
    <row r="131" ht="14.25" customHeight="1">
      <c r="A131" s="265">
        <v>44210.0</v>
      </c>
      <c r="B131" s="266" t="s">
        <v>1733</v>
      </c>
      <c r="C131" s="266"/>
      <c r="D131" s="266" t="s">
        <v>1455</v>
      </c>
      <c r="E131" s="268"/>
      <c r="F131" s="358" t="s">
        <v>2919</v>
      </c>
      <c r="G131" s="268" t="s">
        <v>2085</v>
      </c>
      <c r="H131" s="288">
        <v>0.022685185185185183</v>
      </c>
      <c r="I131" s="271">
        <v>44210.90277777778</v>
      </c>
      <c r="J131" s="268"/>
      <c r="K131" s="271">
        <v>44211.385196759256</v>
      </c>
      <c r="L131" s="271"/>
      <c r="M131" s="359" t="s">
        <v>2524</v>
      </c>
      <c r="N131" s="290"/>
      <c r="O131" s="276"/>
      <c r="P131" s="276"/>
      <c r="Q131" s="276"/>
      <c r="R131" s="278"/>
      <c r="S131" s="278"/>
      <c r="T131" s="278"/>
      <c r="U131" s="279"/>
      <c r="V131" s="279" t="s">
        <v>1783</v>
      </c>
      <c r="W131" s="280">
        <v>43845.0</v>
      </c>
      <c r="X131" s="281">
        <v>0.125</v>
      </c>
      <c r="Y131" s="279" t="s">
        <v>1693</v>
      </c>
      <c r="Z131" s="282" t="s">
        <v>53</v>
      </c>
      <c r="AA131" s="282" t="s">
        <v>2919</v>
      </c>
      <c r="AB131" s="283">
        <v>44211.0</v>
      </c>
      <c r="AC131" s="284"/>
      <c r="AD131" s="284"/>
    </row>
    <row r="132" ht="14.25" customHeight="1">
      <c r="A132" s="265">
        <v>44211.0</v>
      </c>
      <c r="B132" s="266" t="s">
        <v>1500</v>
      </c>
      <c r="C132" s="266" t="s">
        <v>1686</v>
      </c>
      <c r="D132" s="266" t="s">
        <v>1543</v>
      </c>
      <c r="E132" s="268"/>
      <c r="F132" s="291" t="s">
        <v>2920</v>
      </c>
      <c r="G132" s="268" t="s">
        <v>1463</v>
      </c>
      <c r="H132" s="288">
        <v>0.0016319444444444445</v>
      </c>
      <c r="I132" s="271">
        <v>44211.661770833336</v>
      </c>
      <c r="J132" s="268"/>
      <c r="K132" s="271">
        <v>44211.668807870374</v>
      </c>
      <c r="L132" s="271"/>
      <c r="M132" s="278" t="s">
        <v>2921</v>
      </c>
      <c r="N132" s="290"/>
      <c r="O132" s="276"/>
      <c r="P132" s="276"/>
      <c r="Q132" s="276"/>
      <c r="R132" s="278"/>
      <c r="S132" s="278"/>
      <c r="T132" s="278"/>
      <c r="U132" s="279"/>
      <c r="V132" s="279" t="s">
        <v>2030</v>
      </c>
      <c r="W132" s="280">
        <v>44239.0</v>
      </c>
      <c r="X132" s="281">
        <v>0.010416666666666666</v>
      </c>
      <c r="Y132" s="281" t="s">
        <v>1693</v>
      </c>
      <c r="Z132" s="282" t="s">
        <v>53</v>
      </c>
      <c r="AA132" s="282">
        <v>6318071.0</v>
      </c>
      <c r="AB132" s="283">
        <v>44214.0</v>
      </c>
      <c r="AC132" s="284"/>
      <c r="AD132" s="284"/>
    </row>
    <row r="133" ht="14.25" customHeight="1">
      <c r="A133" s="265">
        <v>44211.0</v>
      </c>
      <c r="B133" s="266" t="s">
        <v>1738</v>
      </c>
      <c r="C133" s="266"/>
      <c r="D133" s="266" t="s">
        <v>1686</v>
      </c>
      <c r="E133" s="268"/>
      <c r="F133" s="269" t="s">
        <v>2922</v>
      </c>
      <c r="G133" s="268" t="s">
        <v>2085</v>
      </c>
      <c r="H133" s="288">
        <v>0.0022916666666666667</v>
      </c>
      <c r="I133" s="271">
        <v>43846.68402777778</v>
      </c>
      <c r="J133" s="268"/>
      <c r="K133" s="271">
        <v>43846.70138888889</v>
      </c>
      <c r="L133" s="271"/>
      <c r="M133" s="278" t="s">
        <v>2923</v>
      </c>
      <c r="N133" s="290"/>
      <c r="O133" s="276"/>
      <c r="P133" s="276"/>
      <c r="Q133" s="276"/>
      <c r="R133" s="278"/>
      <c r="S133" s="278"/>
      <c r="T133" s="278"/>
      <c r="U133" s="279"/>
      <c r="V133" s="279" t="s">
        <v>1738</v>
      </c>
      <c r="W133" s="280">
        <v>44212.0</v>
      </c>
      <c r="X133" s="281">
        <v>0.006944444444444444</v>
      </c>
      <c r="Y133" s="281" t="s">
        <v>1693</v>
      </c>
      <c r="Z133" s="282" t="s">
        <v>53</v>
      </c>
      <c r="AA133" s="282">
        <v>6318140.0</v>
      </c>
      <c r="AB133" s="283">
        <v>44215.0</v>
      </c>
      <c r="AC133" s="284"/>
      <c r="AD133" s="284"/>
    </row>
    <row r="134" ht="14.25" customHeight="1">
      <c r="A134" s="265">
        <v>44211.0</v>
      </c>
      <c r="B134" s="266" t="s">
        <v>1500</v>
      </c>
      <c r="C134" s="266" t="s">
        <v>2924</v>
      </c>
      <c r="D134" s="266" t="s">
        <v>1543</v>
      </c>
      <c r="E134" s="268"/>
      <c r="F134" s="291" t="s">
        <v>2925</v>
      </c>
      <c r="G134" s="268" t="s">
        <v>1463</v>
      </c>
      <c r="H134" s="288">
        <v>0.003425925925925926</v>
      </c>
      <c r="I134" s="271">
        <v>44216.50486111111</v>
      </c>
      <c r="J134" s="268"/>
      <c r="K134" s="271">
        <v>44216.51394675926</v>
      </c>
      <c r="L134" s="271"/>
      <c r="M134" s="307" t="s">
        <v>2926</v>
      </c>
      <c r="N134" s="273">
        <v>44216.64166666667</v>
      </c>
      <c r="O134" s="276" t="s">
        <v>2927</v>
      </c>
      <c r="P134" s="276" t="s">
        <v>2085</v>
      </c>
      <c r="Q134" s="276" t="s">
        <v>1819</v>
      </c>
      <c r="R134" s="277">
        <v>44216.68755787037</v>
      </c>
      <c r="S134" s="278"/>
      <c r="T134" s="278" t="s">
        <v>2928</v>
      </c>
      <c r="U134" s="279"/>
      <c r="V134" s="279" t="s">
        <v>2030</v>
      </c>
      <c r="W134" s="280">
        <v>44239.0</v>
      </c>
      <c r="X134" s="281">
        <v>0.006944444444444444</v>
      </c>
      <c r="Y134" s="281" t="s">
        <v>1693</v>
      </c>
      <c r="Z134" s="282" t="s">
        <v>53</v>
      </c>
      <c r="AA134" s="282">
        <v>6318781.0</v>
      </c>
      <c r="AB134" s="283">
        <v>44217.0</v>
      </c>
      <c r="AC134" s="284"/>
      <c r="AD134" s="284"/>
    </row>
    <row r="135" ht="14.25" customHeight="1">
      <c r="A135" s="265">
        <v>44211.0</v>
      </c>
      <c r="B135" s="266" t="s">
        <v>1500</v>
      </c>
      <c r="C135" s="266" t="s">
        <v>1686</v>
      </c>
      <c r="D135" s="266" t="s">
        <v>1543</v>
      </c>
      <c r="E135" s="268"/>
      <c r="F135" s="269" t="s">
        <v>2929</v>
      </c>
      <c r="G135" s="268" t="s">
        <v>1463</v>
      </c>
      <c r="H135" s="288">
        <v>0.010925925925925924</v>
      </c>
      <c r="I135" s="271">
        <v>44219.76875</v>
      </c>
      <c r="J135" s="268"/>
      <c r="K135" s="271">
        <v>44220.154131944444</v>
      </c>
      <c r="L135" s="271"/>
      <c r="M135" s="272" t="s">
        <v>2930</v>
      </c>
      <c r="N135" s="290"/>
      <c r="O135" s="276"/>
      <c r="P135" s="276"/>
      <c r="Q135" s="276"/>
      <c r="R135" s="278"/>
      <c r="S135" s="278"/>
      <c r="T135" s="278"/>
      <c r="U135" s="279"/>
      <c r="V135" s="279" t="s">
        <v>1733</v>
      </c>
      <c r="W135" s="280">
        <v>44241.0</v>
      </c>
      <c r="X135" s="281">
        <v>0.013888888888888888</v>
      </c>
      <c r="Y135" s="281" t="s">
        <v>1693</v>
      </c>
      <c r="Z135" s="282" t="s">
        <v>53</v>
      </c>
      <c r="AA135" s="282">
        <v>6320822.0</v>
      </c>
      <c r="AB135" s="283">
        <v>44225.0</v>
      </c>
      <c r="AC135" s="284"/>
      <c r="AD135" s="284"/>
    </row>
    <row r="136" ht="14.25" customHeight="1">
      <c r="A136" s="265">
        <v>44211.0</v>
      </c>
      <c r="B136" s="266" t="s">
        <v>1500</v>
      </c>
      <c r="C136" s="266" t="s">
        <v>1686</v>
      </c>
      <c r="D136" s="266" t="s">
        <v>1543</v>
      </c>
      <c r="E136" s="268"/>
      <c r="F136" s="269" t="s">
        <v>2931</v>
      </c>
      <c r="G136" s="268" t="s">
        <v>1463</v>
      </c>
      <c r="H136" s="288">
        <v>0.0016550925925925926</v>
      </c>
      <c r="I136" s="271">
        <v>44223.49166666667</v>
      </c>
      <c r="J136" s="268"/>
      <c r="K136" s="271">
        <v>44223.5415625</v>
      </c>
      <c r="L136" s="271"/>
      <c r="M136" s="272" t="s">
        <v>2932</v>
      </c>
      <c r="N136" s="290"/>
      <c r="O136" s="276"/>
      <c r="P136" s="276"/>
      <c r="Q136" s="276"/>
      <c r="R136" s="278"/>
      <c r="S136" s="278"/>
      <c r="T136" s="278"/>
      <c r="U136" s="279"/>
      <c r="V136" s="279" t="s">
        <v>1733</v>
      </c>
      <c r="W136" s="280">
        <v>44241.0</v>
      </c>
      <c r="X136" s="281">
        <v>0.013888888888888888</v>
      </c>
      <c r="Y136" s="281" t="s">
        <v>2933</v>
      </c>
      <c r="Z136" s="282" t="s">
        <v>53</v>
      </c>
      <c r="AA136" s="282">
        <v>6320823.0</v>
      </c>
      <c r="AB136" s="283">
        <v>44225.0</v>
      </c>
      <c r="AC136" s="284"/>
      <c r="AD136" s="284"/>
    </row>
    <row r="137" ht="14.25" customHeight="1">
      <c r="A137" s="265">
        <v>44211.0</v>
      </c>
      <c r="B137" s="266" t="s">
        <v>1500</v>
      </c>
      <c r="C137" s="266"/>
      <c r="D137" s="266" t="s">
        <v>1450</v>
      </c>
      <c r="E137" s="268"/>
      <c r="F137" s="358" t="s">
        <v>2934</v>
      </c>
      <c r="G137" s="268" t="s">
        <v>2085</v>
      </c>
      <c r="H137" s="288">
        <v>0.09937499999999999</v>
      </c>
      <c r="I137" s="271">
        <v>44211.94583333333</v>
      </c>
      <c r="J137" s="268"/>
      <c r="K137" s="271">
        <v>44212.424837962964</v>
      </c>
      <c r="L137" s="271"/>
      <c r="M137" s="359" t="s">
        <v>2524</v>
      </c>
      <c r="N137" s="290"/>
      <c r="O137" s="276"/>
      <c r="P137" s="276"/>
      <c r="Q137" s="276"/>
      <c r="R137" s="278"/>
      <c r="S137" s="278"/>
      <c r="T137" s="278"/>
      <c r="U137" s="279"/>
      <c r="V137" s="279" t="s">
        <v>1772</v>
      </c>
      <c r="W137" s="280">
        <v>43848.0</v>
      </c>
      <c r="X137" s="281">
        <v>0.3125</v>
      </c>
      <c r="Y137" s="281" t="s">
        <v>1693</v>
      </c>
      <c r="Z137" s="282" t="s">
        <v>53</v>
      </c>
      <c r="AA137" s="282" t="s">
        <v>2934</v>
      </c>
      <c r="AB137" s="283">
        <v>44212.0</v>
      </c>
      <c r="AC137" s="284"/>
      <c r="AD137" s="284"/>
    </row>
    <row r="138" ht="14.25" customHeight="1">
      <c r="A138" s="265">
        <v>44211.0</v>
      </c>
      <c r="B138" s="266" t="s">
        <v>1500</v>
      </c>
      <c r="C138" s="266"/>
      <c r="D138" s="266" t="s">
        <v>1452</v>
      </c>
      <c r="E138" s="268"/>
      <c r="F138" s="358" t="s">
        <v>2935</v>
      </c>
      <c r="G138" s="268" t="s">
        <v>2085</v>
      </c>
      <c r="H138" s="288">
        <v>0.00900462962962963</v>
      </c>
      <c r="I138" s="271">
        <v>44211.947916666664</v>
      </c>
      <c r="J138" s="268"/>
      <c r="K138" s="271">
        <v>44212.33636574074</v>
      </c>
      <c r="L138" s="271"/>
      <c r="M138" s="359" t="s">
        <v>2524</v>
      </c>
      <c r="N138" s="290"/>
      <c r="O138" s="276"/>
      <c r="P138" s="382"/>
      <c r="Q138" s="276"/>
      <c r="R138" s="278"/>
      <c r="S138" s="278"/>
      <c r="T138" s="278"/>
      <c r="U138" s="279"/>
      <c r="V138" s="279" t="s">
        <v>1783</v>
      </c>
      <c r="W138" s="280">
        <v>43849.0</v>
      </c>
      <c r="X138" s="281">
        <v>0.027777777777777776</v>
      </c>
      <c r="Y138" s="281" t="s">
        <v>1693</v>
      </c>
      <c r="Z138" s="282" t="s">
        <v>53</v>
      </c>
      <c r="AA138" s="282" t="s">
        <v>2935</v>
      </c>
      <c r="AB138" s="283">
        <v>44212.0</v>
      </c>
      <c r="AC138" s="284"/>
      <c r="AD138" s="284"/>
    </row>
    <row r="139" ht="14.25" customHeight="1">
      <c r="A139" s="265">
        <v>44211.0</v>
      </c>
      <c r="B139" s="266" t="s">
        <v>1500</v>
      </c>
      <c r="C139" s="266"/>
      <c r="D139" s="266" t="s">
        <v>1686</v>
      </c>
      <c r="E139" s="268"/>
      <c r="F139" s="358" t="s">
        <v>2936</v>
      </c>
      <c r="G139" s="268" t="s">
        <v>2085</v>
      </c>
      <c r="H139" s="288">
        <v>0.04099537037037037</v>
      </c>
      <c r="I139" s="271">
        <v>44211.94930555556</v>
      </c>
      <c r="J139" s="268"/>
      <c r="K139" s="271">
        <v>44212.802465277775</v>
      </c>
      <c r="L139" s="271"/>
      <c r="M139" s="359" t="s">
        <v>2524</v>
      </c>
      <c r="N139" s="290"/>
      <c r="O139" s="276"/>
      <c r="P139" s="276"/>
      <c r="Q139" s="276"/>
      <c r="R139" s="278"/>
      <c r="S139" s="278"/>
      <c r="T139" s="278"/>
      <c r="U139" s="279"/>
      <c r="V139" s="279" t="s">
        <v>1738</v>
      </c>
      <c r="W139" s="280">
        <v>44214.0</v>
      </c>
      <c r="X139" s="281">
        <v>0.16666666666666666</v>
      </c>
      <c r="Y139" s="281" t="s">
        <v>1693</v>
      </c>
      <c r="Z139" s="282" t="s">
        <v>53</v>
      </c>
      <c r="AA139" s="282" t="s">
        <v>2936</v>
      </c>
      <c r="AB139" s="283">
        <v>44212.0</v>
      </c>
      <c r="AC139" s="284"/>
      <c r="AD139" s="284"/>
    </row>
    <row r="140" ht="14.25" customHeight="1">
      <c r="A140" s="265">
        <v>44211.0</v>
      </c>
      <c r="B140" s="266" t="s">
        <v>1733</v>
      </c>
      <c r="C140" s="266"/>
      <c r="D140" s="266" t="s">
        <v>1455</v>
      </c>
      <c r="E140" s="268"/>
      <c r="F140" s="358" t="s">
        <v>2937</v>
      </c>
      <c r="G140" s="268" t="s">
        <v>2085</v>
      </c>
      <c r="H140" s="288">
        <v>0.022835648148148147</v>
      </c>
      <c r="I140" s="271">
        <v>44211.94375</v>
      </c>
      <c r="J140" s="268"/>
      <c r="K140" s="271">
        <v>44212.52269675926</v>
      </c>
      <c r="L140" s="271"/>
      <c r="M140" s="359" t="s">
        <v>2524</v>
      </c>
      <c r="N140" s="290"/>
      <c r="O140" s="276"/>
      <c r="P140" s="276"/>
      <c r="Q140" s="276"/>
      <c r="R140" s="278"/>
      <c r="S140" s="278"/>
      <c r="T140" s="278"/>
      <c r="U140" s="279"/>
      <c r="V140" s="279" t="s">
        <v>1783</v>
      </c>
      <c r="W140" s="280">
        <v>44212.0</v>
      </c>
      <c r="X140" s="281">
        <v>0.125</v>
      </c>
      <c r="Y140" s="281" t="s">
        <v>1693</v>
      </c>
      <c r="Z140" s="282" t="s">
        <v>53</v>
      </c>
      <c r="AA140" s="282" t="s">
        <v>2937</v>
      </c>
      <c r="AB140" s="283">
        <v>44212.0</v>
      </c>
      <c r="AC140" s="284"/>
      <c r="AD140" s="284"/>
    </row>
    <row r="141" ht="14.25" customHeight="1">
      <c r="A141" s="265">
        <v>44212.0</v>
      </c>
      <c r="B141" s="266" t="s">
        <v>1685</v>
      </c>
      <c r="C141" s="266"/>
      <c r="D141" s="266" t="s">
        <v>1686</v>
      </c>
      <c r="E141" s="268"/>
      <c r="F141" s="269" t="s">
        <v>2938</v>
      </c>
      <c r="G141" s="268" t="s">
        <v>2085</v>
      </c>
      <c r="H141" s="288">
        <v>0.039699074074074074</v>
      </c>
      <c r="I141" s="271">
        <v>44214.399305555555</v>
      </c>
      <c r="J141" s="268"/>
      <c r="K141" s="271">
        <v>44214.468206018515</v>
      </c>
      <c r="L141" s="271"/>
      <c r="M141" s="278" t="s">
        <v>2939</v>
      </c>
      <c r="N141" s="290"/>
      <c r="O141" s="276"/>
      <c r="P141" s="276"/>
      <c r="Q141" s="276"/>
      <c r="R141" s="278"/>
      <c r="S141" s="278"/>
      <c r="T141" s="278"/>
      <c r="U141" s="279"/>
      <c r="V141" s="279" t="s">
        <v>1738</v>
      </c>
      <c r="W141" s="280">
        <v>44214.0</v>
      </c>
      <c r="X141" s="281">
        <v>0.16666666666666666</v>
      </c>
      <c r="Y141" s="281" t="s">
        <v>1693</v>
      </c>
      <c r="Z141" s="282" t="s">
        <v>53</v>
      </c>
      <c r="AA141" s="282" t="s">
        <v>2940</v>
      </c>
      <c r="AB141" s="283">
        <v>44215.0</v>
      </c>
      <c r="AC141" s="284"/>
      <c r="AD141" s="284"/>
    </row>
    <row r="142" ht="14.25" customHeight="1">
      <c r="A142" s="265">
        <v>44212.0</v>
      </c>
      <c r="B142" s="266" t="s">
        <v>1783</v>
      </c>
      <c r="C142" s="266"/>
      <c r="D142" s="266" t="s">
        <v>1455</v>
      </c>
      <c r="E142" s="268"/>
      <c r="F142" s="358" t="s">
        <v>2941</v>
      </c>
      <c r="G142" s="268" t="s">
        <v>2085</v>
      </c>
      <c r="H142" s="288">
        <v>0.01875</v>
      </c>
      <c r="I142" s="271">
        <v>44214.48611111111</v>
      </c>
      <c r="J142" s="268"/>
      <c r="K142" s="271">
        <v>44214.88030092593</v>
      </c>
      <c r="L142" s="271"/>
      <c r="M142" s="359" t="s">
        <v>2524</v>
      </c>
      <c r="N142" s="290"/>
      <c r="O142" s="276"/>
      <c r="P142" s="276"/>
      <c r="Q142" s="276"/>
      <c r="R142" s="278"/>
      <c r="S142" s="278"/>
      <c r="T142" s="278"/>
      <c r="U142" s="279"/>
      <c r="V142" s="279" t="s">
        <v>1783</v>
      </c>
      <c r="W142" s="280">
        <v>44214.0</v>
      </c>
      <c r="X142" s="281">
        <v>0.11458333333333333</v>
      </c>
      <c r="Y142" s="281" t="s">
        <v>1693</v>
      </c>
      <c r="Z142" s="282" t="s">
        <v>53</v>
      </c>
      <c r="AA142" s="282" t="s">
        <v>2941</v>
      </c>
      <c r="AB142" s="283">
        <v>44214.0</v>
      </c>
      <c r="AC142" s="284"/>
      <c r="AD142" s="284"/>
    </row>
    <row r="143" ht="14.25" customHeight="1">
      <c r="A143" s="265">
        <v>44213.0</v>
      </c>
      <c r="B143" s="266" t="s">
        <v>1500</v>
      </c>
      <c r="C143" s="266" t="s">
        <v>2179</v>
      </c>
      <c r="D143" s="266" t="s">
        <v>1543</v>
      </c>
      <c r="E143" s="268"/>
      <c r="F143" s="269" t="s">
        <v>2942</v>
      </c>
      <c r="G143" s="268" t="s">
        <v>1463</v>
      </c>
      <c r="H143" s="288">
        <v>0.0018865740740740742</v>
      </c>
      <c r="I143" s="271">
        <v>44214.70972222222</v>
      </c>
      <c r="J143" s="268"/>
      <c r="K143" s="271">
        <v>44215.09337962963</v>
      </c>
      <c r="L143" s="271"/>
      <c r="M143" s="278" t="s">
        <v>2943</v>
      </c>
      <c r="N143" s="290"/>
      <c r="O143" s="276"/>
      <c r="P143" s="276"/>
      <c r="Q143" s="276"/>
      <c r="R143" s="278"/>
      <c r="S143" s="278"/>
      <c r="T143" s="278"/>
      <c r="U143" s="279"/>
      <c r="V143" s="279" t="s">
        <v>1733</v>
      </c>
      <c r="W143" s="280">
        <v>44241.0</v>
      </c>
      <c r="X143" s="281">
        <v>0.013888888888888888</v>
      </c>
      <c r="Y143" s="281" t="s">
        <v>1693</v>
      </c>
      <c r="Z143" s="282" t="s">
        <v>53</v>
      </c>
      <c r="AA143" s="282">
        <v>6318782.0</v>
      </c>
      <c r="AB143" s="283">
        <v>44217.0</v>
      </c>
      <c r="AC143" s="284"/>
      <c r="AD143" s="284"/>
    </row>
    <row r="144" ht="14.25" customHeight="1">
      <c r="A144" s="265">
        <v>44213.0</v>
      </c>
      <c r="B144" s="266" t="s">
        <v>1500</v>
      </c>
      <c r="C144" s="266" t="s">
        <v>1450</v>
      </c>
      <c r="D144" s="266" t="s">
        <v>1543</v>
      </c>
      <c r="E144" s="268"/>
      <c r="F144" s="269" t="s">
        <v>2944</v>
      </c>
      <c r="G144" s="268" t="s">
        <v>1463</v>
      </c>
      <c r="H144" s="288">
        <v>9.490740740740741E-4</v>
      </c>
      <c r="I144" s="271">
        <v>44215.49791666667</v>
      </c>
      <c r="J144" s="268"/>
      <c r="K144" s="271">
        <v>44215.54688657408</v>
      </c>
      <c r="L144" s="271"/>
      <c r="M144" s="278" t="s">
        <v>2945</v>
      </c>
      <c r="N144" s="290"/>
      <c r="O144" s="276"/>
      <c r="P144" s="276"/>
      <c r="Q144" s="276"/>
      <c r="R144" s="278"/>
      <c r="S144" s="278"/>
      <c r="T144" s="278"/>
      <c r="U144" s="279"/>
      <c r="V144" s="279" t="s">
        <v>1733</v>
      </c>
      <c r="W144" s="280">
        <v>44242.0</v>
      </c>
      <c r="X144" s="281">
        <v>0.015277777777777777</v>
      </c>
      <c r="Y144" s="281" t="s">
        <v>1693</v>
      </c>
      <c r="Z144" s="282" t="s">
        <v>53</v>
      </c>
      <c r="AA144" s="282">
        <v>6318783.0</v>
      </c>
      <c r="AB144" s="283">
        <v>44217.0</v>
      </c>
      <c r="AC144" s="284"/>
      <c r="AD144" s="284"/>
    </row>
    <row r="145" ht="14.25" customHeight="1">
      <c r="A145" s="265">
        <v>44213.0</v>
      </c>
      <c r="B145" s="266" t="s">
        <v>1783</v>
      </c>
      <c r="C145" s="266"/>
      <c r="D145" s="266" t="s">
        <v>1457</v>
      </c>
      <c r="E145" s="268"/>
      <c r="F145" s="358" t="s">
        <v>2946</v>
      </c>
      <c r="G145" s="268" t="s">
        <v>2085</v>
      </c>
      <c r="H145" s="288">
        <v>0.017627314814814814</v>
      </c>
      <c r="I145" s="271">
        <v>44214.48611111111</v>
      </c>
      <c r="J145" s="268"/>
      <c r="K145" s="271">
        <v>44215.455196759256</v>
      </c>
      <c r="L145" s="271"/>
      <c r="M145" s="359" t="s">
        <v>2524</v>
      </c>
      <c r="N145" s="290"/>
      <c r="O145" s="276"/>
      <c r="P145" s="276"/>
      <c r="Q145" s="276"/>
      <c r="R145" s="278"/>
      <c r="S145" s="278"/>
      <c r="T145" s="278"/>
      <c r="U145" s="279"/>
      <c r="V145" s="279" t="s">
        <v>1783</v>
      </c>
      <c r="W145" s="280" t="s">
        <v>2947</v>
      </c>
      <c r="X145" s="281">
        <v>0.041666666666666664</v>
      </c>
      <c r="Y145" s="281" t="s">
        <v>1693</v>
      </c>
      <c r="Z145" s="282" t="s">
        <v>53</v>
      </c>
      <c r="AA145" s="282" t="s">
        <v>2946</v>
      </c>
      <c r="AB145" s="283">
        <v>44214.0</v>
      </c>
      <c r="AC145" s="284"/>
      <c r="AD145" s="284"/>
    </row>
    <row r="146" ht="14.25" customHeight="1">
      <c r="A146" s="265">
        <v>44213.0</v>
      </c>
      <c r="B146" s="266" t="s">
        <v>1500</v>
      </c>
      <c r="C146" s="266"/>
      <c r="D146" s="266" t="s">
        <v>2829</v>
      </c>
      <c r="E146" s="268"/>
      <c r="F146" s="358" t="s">
        <v>2948</v>
      </c>
      <c r="G146" s="268" t="s">
        <v>2085</v>
      </c>
      <c r="H146" s="288">
        <v>0.01851851851851852</v>
      </c>
      <c r="I146" s="271">
        <v>44214.70972222222</v>
      </c>
      <c r="J146" s="268"/>
      <c r="K146" s="271">
        <v>44214.75408564815</v>
      </c>
      <c r="L146" s="271"/>
      <c r="M146" s="307" t="s">
        <v>2949</v>
      </c>
      <c r="N146" s="273">
        <v>44216.67916666667</v>
      </c>
      <c r="O146" s="276" t="s">
        <v>2950</v>
      </c>
      <c r="P146" s="301" t="s">
        <v>1463</v>
      </c>
      <c r="Q146" s="276" t="s">
        <v>1819</v>
      </c>
      <c r="R146" s="277">
        <v>44217.07407407407</v>
      </c>
      <c r="S146" s="278"/>
      <c r="T146" s="278" t="s">
        <v>2951</v>
      </c>
      <c r="U146" s="279"/>
      <c r="V146" s="279"/>
      <c r="W146" s="280"/>
      <c r="X146" s="281"/>
      <c r="Y146" s="281" t="s">
        <v>1693</v>
      </c>
      <c r="Z146" s="282" t="s">
        <v>53</v>
      </c>
      <c r="AA146" s="282" t="s">
        <v>2948</v>
      </c>
      <c r="AB146" s="283">
        <v>44217.0</v>
      </c>
      <c r="AC146" s="284"/>
      <c r="AD146" s="284"/>
    </row>
    <row r="147" ht="14.25" customHeight="1">
      <c r="A147" s="265">
        <v>44214.0</v>
      </c>
      <c r="B147" s="266" t="s">
        <v>1500</v>
      </c>
      <c r="C147" s="266" t="s">
        <v>1686</v>
      </c>
      <c r="D147" s="266" t="s">
        <v>1543</v>
      </c>
      <c r="E147" s="268"/>
      <c r="F147" s="291" t="s">
        <v>2952</v>
      </c>
      <c r="G147" s="268" t="s">
        <v>1463</v>
      </c>
      <c r="H147" s="288">
        <v>0.0038888888888888883</v>
      </c>
      <c r="I147" s="271">
        <v>44215.705555555556</v>
      </c>
      <c r="J147" s="268"/>
      <c r="K147" s="271">
        <v>44216.085810185185</v>
      </c>
      <c r="L147" s="271"/>
      <c r="M147" s="278" t="s">
        <v>2953</v>
      </c>
      <c r="N147" s="290"/>
      <c r="O147" s="276"/>
      <c r="P147" s="276"/>
      <c r="Q147" s="276"/>
      <c r="R147" s="278"/>
      <c r="S147" s="278"/>
      <c r="T147" s="278"/>
      <c r="U147" s="279"/>
      <c r="V147" s="279" t="s">
        <v>1733</v>
      </c>
      <c r="W147" s="280">
        <v>44242.0</v>
      </c>
      <c r="X147" s="281">
        <v>0.020833333333333332</v>
      </c>
      <c r="Y147" s="281" t="s">
        <v>1693</v>
      </c>
      <c r="Z147" s="282" t="s">
        <v>53</v>
      </c>
      <c r="AA147" s="282">
        <v>6318784.0</v>
      </c>
      <c r="AB147" s="283">
        <v>44217.0</v>
      </c>
      <c r="AC147" s="284"/>
      <c r="AD147" s="284"/>
    </row>
    <row r="148" ht="14.25" customHeight="1">
      <c r="A148" s="265">
        <v>44214.0</v>
      </c>
      <c r="B148" s="266" t="s">
        <v>1500</v>
      </c>
      <c r="C148" s="266" t="s">
        <v>1450</v>
      </c>
      <c r="D148" s="266" t="s">
        <v>1543</v>
      </c>
      <c r="E148" s="268"/>
      <c r="F148" s="291" t="s">
        <v>2954</v>
      </c>
      <c r="G148" s="268" t="s">
        <v>1463</v>
      </c>
      <c r="H148" s="288">
        <v>0.0017708333333333332</v>
      </c>
      <c r="I148" s="271">
        <v>44221.62986111111</v>
      </c>
      <c r="J148" s="268"/>
      <c r="K148" s="271">
        <v>44222.011655092596</v>
      </c>
      <c r="L148" s="271"/>
      <c r="M148" s="278" t="s">
        <v>2955</v>
      </c>
      <c r="N148" s="290"/>
      <c r="O148" s="276"/>
      <c r="P148" s="276"/>
      <c r="Q148" s="276"/>
      <c r="R148" s="278"/>
      <c r="S148" s="278"/>
      <c r="T148" s="278"/>
      <c r="U148" s="279"/>
      <c r="V148" s="279" t="s">
        <v>1733</v>
      </c>
      <c r="W148" s="280">
        <v>44242.0</v>
      </c>
      <c r="X148" s="281">
        <v>0.010416666666666666</v>
      </c>
      <c r="Y148" s="281" t="s">
        <v>1693</v>
      </c>
      <c r="Z148" s="282" t="s">
        <v>53</v>
      </c>
      <c r="AA148" s="282">
        <v>6320824.0</v>
      </c>
      <c r="AB148" s="283">
        <v>44225.0</v>
      </c>
      <c r="AC148" s="284"/>
      <c r="AD148" s="284"/>
    </row>
    <row r="149" ht="14.25" customHeight="1">
      <c r="A149" s="265">
        <v>44214.0</v>
      </c>
      <c r="B149" s="266" t="s">
        <v>1500</v>
      </c>
      <c r="C149" s="266"/>
      <c r="D149" s="266" t="s">
        <v>1450</v>
      </c>
      <c r="E149" s="268"/>
      <c r="F149" s="358" t="s">
        <v>2956</v>
      </c>
      <c r="G149" s="268" t="s">
        <v>2085</v>
      </c>
      <c r="H149" s="288">
        <v>0.09887731481481482</v>
      </c>
      <c r="I149" s="271">
        <v>44214.479166666664</v>
      </c>
      <c r="J149" s="268"/>
      <c r="K149" s="271">
        <v>44215.50707175926</v>
      </c>
      <c r="L149" s="271"/>
      <c r="M149" s="359" t="s">
        <v>2524</v>
      </c>
      <c r="N149" s="290"/>
      <c r="O149" s="276"/>
      <c r="P149" s="276"/>
      <c r="Q149" s="276"/>
      <c r="R149" s="278"/>
      <c r="S149" s="278"/>
      <c r="T149" s="278"/>
      <c r="U149" s="279"/>
      <c r="V149" s="279" t="s">
        <v>1772</v>
      </c>
      <c r="W149" s="280">
        <v>44215.0</v>
      </c>
      <c r="X149" s="281">
        <v>0.3125</v>
      </c>
      <c r="Y149" s="281" t="s">
        <v>1693</v>
      </c>
      <c r="Z149" s="282" t="s">
        <v>53</v>
      </c>
      <c r="AA149" s="282" t="s">
        <v>2956</v>
      </c>
      <c r="AB149" s="283">
        <v>44215.0</v>
      </c>
      <c r="AC149" s="284"/>
      <c r="AD149" s="284"/>
    </row>
    <row r="150" ht="14.25" customHeight="1">
      <c r="A150" s="265">
        <v>44214.0</v>
      </c>
      <c r="B150" s="266" t="s">
        <v>1500</v>
      </c>
      <c r="C150" s="266"/>
      <c r="D150" s="266" t="s">
        <v>1452</v>
      </c>
      <c r="E150" s="268"/>
      <c r="F150" s="358" t="s">
        <v>2957</v>
      </c>
      <c r="G150" s="268" t="s">
        <v>2085</v>
      </c>
      <c r="H150" s="288">
        <v>0.012511574074074073</v>
      </c>
      <c r="I150" s="271">
        <v>44214.48611111111</v>
      </c>
      <c r="J150" s="268"/>
      <c r="K150" s="271">
        <v>44215.48583333333</v>
      </c>
      <c r="L150" s="271"/>
      <c r="M150" s="359" t="s">
        <v>2524</v>
      </c>
      <c r="N150" s="290"/>
      <c r="O150" s="276"/>
      <c r="P150" s="276"/>
      <c r="Q150" s="276"/>
      <c r="R150" s="278"/>
      <c r="S150" s="278"/>
      <c r="T150" s="278"/>
      <c r="U150" s="279"/>
      <c r="V150" s="279" t="s">
        <v>1783</v>
      </c>
      <c r="W150" s="280">
        <v>44215.0</v>
      </c>
      <c r="X150" s="281">
        <v>0.03125</v>
      </c>
      <c r="Y150" s="281" t="s">
        <v>1693</v>
      </c>
      <c r="Z150" s="282" t="s">
        <v>53</v>
      </c>
      <c r="AA150" s="282" t="s">
        <v>2957</v>
      </c>
      <c r="AB150" s="283">
        <v>44214.0</v>
      </c>
      <c r="AC150" s="284"/>
      <c r="AD150" s="284"/>
    </row>
    <row r="151" ht="14.25" customHeight="1">
      <c r="A151" s="265">
        <v>44214.0</v>
      </c>
      <c r="B151" s="266" t="s">
        <v>1500</v>
      </c>
      <c r="C151" s="266"/>
      <c r="D151" s="266" t="s">
        <v>1686</v>
      </c>
      <c r="E151" s="268"/>
      <c r="F151" s="358" t="s">
        <v>2958</v>
      </c>
      <c r="G151" s="268" t="s">
        <v>2085</v>
      </c>
      <c r="H151" s="288">
        <v>0.03891203703703704</v>
      </c>
      <c r="I151" s="271">
        <v>44214.70972222222</v>
      </c>
      <c r="J151" s="268"/>
      <c r="K151" s="271">
        <v>44215.48920138889</v>
      </c>
      <c r="L151" s="271"/>
      <c r="M151" s="359" t="s">
        <v>2524</v>
      </c>
      <c r="N151" s="290"/>
      <c r="O151" s="276"/>
      <c r="P151" s="276"/>
      <c r="Q151" s="276"/>
      <c r="R151" s="278"/>
      <c r="S151" s="278"/>
      <c r="T151" s="278"/>
      <c r="U151" s="279"/>
      <c r="V151" s="279" t="s">
        <v>1738</v>
      </c>
      <c r="W151" s="280">
        <v>44215.0</v>
      </c>
      <c r="X151" s="281">
        <v>0.16666666666666666</v>
      </c>
      <c r="Y151" s="281" t="s">
        <v>1693</v>
      </c>
      <c r="Z151" s="282" t="s">
        <v>53</v>
      </c>
      <c r="AA151" s="282" t="s">
        <v>2958</v>
      </c>
      <c r="AB151" s="283">
        <v>44215.0</v>
      </c>
      <c r="AC151" s="284"/>
      <c r="AD151" s="284"/>
    </row>
    <row r="152" ht="14.25" customHeight="1">
      <c r="A152" s="265">
        <v>44214.0</v>
      </c>
      <c r="B152" s="266" t="s">
        <v>1500</v>
      </c>
      <c r="C152" s="266"/>
      <c r="D152" s="266" t="s">
        <v>1455</v>
      </c>
      <c r="E152" s="268"/>
      <c r="F152" s="358" t="s">
        <v>2959</v>
      </c>
      <c r="G152" s="268" t="s">
        <v>2085</v>
      </c>
      <c r="H152" s="288">
        <v>0.02304398148148148</v>
      </c>
      <c r="I152" s="271">
        <v>44215.72222222222</v>
      </c>
      <c r="J152" s="268"/>
      <c r="K152" s="271">
        <v>44216.42203703704</v>
      </c>
      <c r="L152" s="271"/>
      <c r="M152" s="359" t="s">
        <v>2524</v>
      </c>
      <c r="N152" s="290"/>
      <c r="O152" s="276"/>
      <c r="P152" s="382"/>
      <c r="Q152" s="276"/>
      <c r="R152" s="278"/>
      <c r="S152" s="278"/>
      <c r="T152" s="278"/>
      <c r="U152" s="279"/>
      <c r="V152" s="279" t="s">
        <v>1783</v>
      </c>
      <c r="W152" s="280">
        <v>44216.0</v>
      </c>
      <c r="X152" s="281">
        <v>0.11458333333333333</v>
      </c>
      <c r="Y152" s="281" t="s">
        <v>1693</v>
      </c>
      <c r="Z152" s="282" t="s">
        <v>53</v>
      </c>
      <c r="AA152" s="282" t="s">
        <v>2959</v>
      </c>
      <c r="AB152" s="283">
        <v>44217.0</v>
      </c>
      <c r="AC152" s="284"/>
      <c r="AD152" s="284"/>
    </row>
    <row r="153" ht="14.25" customHeight="1">
      <c r="A153" s="265">
        <v>44215.0</v>
      </c>
      <c r="B153" s="266" t="s">
        <v>1500</v>
      </c>
      <c r="C153" s="266"/>
      <c r="D153" s="266" t="s">
        <v>1543</v>
      </c>
      <c r="E153" s="268"/>
      <c r="F153" s="269" t="s">
        <v>2960</v>
      </c>
      <c r="G153" s="268" t="s">
        <v>1463</v>
      </c>
      <c r="H153" s="288">
        <v>9.490740740740741E-4</v>
      </c>
      <c r="I153" s="271">
        <v>44216.50486111111</v>
      </c>
      <c r="J153" s="268"/>
      <c r="K153" s="271">
        <v>44216.55226851852</v>
      </c>
      <c r="L153" s="271"/>
      <c r="M153" s="278" t="s">
        <v>2961</v>
      </c>
      <c r="N153" s="290"/>
      <c r="O153" s="276"/>
      <c r="P153" s="276"/>
      <c r="Q153" s="276"/>
      <c r="R153" s="278"/>
      <c r="S153" s="278"/>
      <c r="T153" s="278"/>
      <c r="U153" s="279"/>
      <c r="V153" s="279" t="s">
        <v>1500</v>
      </c>
      <c r="W153" s="280">
        <v>44249.0</v>
      </c>
      <c r="X153" s="281">
        <v>0.020833333333333332</v>
      </c>
      <c r="Y153" s="279" t="s">
        <v>1693</v>
      </c>
      <c r="Z153" s="282" t="s">
        <v>53</v>
      </c>
      <c r="AA153" s="282">
        <v>6318785.0</v>
      </c>
      <c r="AB153" s="283">
        <v>44217.0</v>
      </c>
      <c r="AC153" s="284"/>
      <c r="AD153" s="284"/>
    </row>
    <row r="154" ht="14.25" customHeight="1">
      <c r="A154" s="265">
        <v>44215.0</v>
      </c>
      <c r="B154" s="266" t="s">
        <v>1500</v>
      </c>
      <c r="C154" s="266" t="s">
        <v>1450</v>
      </c>
      <c r="D154" s="266" t="s">
        <v>1543</v>
      </c>
      <c r="E154" s="268"/>
      <c r="F154" s="269" t="s">
        <v>2962</v>
      </c>
      <c r="G154" s="268" t="s">
        <v>1463</v>
      </c>
      <c r="H154" s="288">
        <v>0.0019328703703703704</v>
      </c>
      <c r="I154" s="271">
        <v>44244.625</v>
      </c>
      <c r="J154" s="268"/>
      <c r="K154" s="271">
        <v>44244.65225694444</v>
      </c>
      <c r="L154" s="271"/>
      <c r="M154" s="278" t="s">
        <v>2963</v>
      </c>
      <c r="N154" s="290"/>
      <c r="O154" s="276"/>
      <c r="P154" s="276"/>
      <c r="Q154" s="276"/>
      <c r="R154" s="278"/>
      <c r="S154" s="278"/>
      <c r="T154" s="278"/>
      <c r="U154" s="279"/>
      <c r="V154" s="279" t="s">
        <v>1733</v>
      </c>
      <c r="W154" s="280">
        <v>44213.0</v>
      </c>
      <c r="X154" s="281">
        <v>0.013888888888888888</v>
      </c>
      <c r="Y154" s="279" t="s">
        <v>1693</v>
      </c>
      <c r="Z154" s="282" t="s">
        <v>1570</v>
      </c>
      <c r="AA154" s="282">
        <v>6326886.0</v>
      </c>
      <c r="AB154" s="283">
        <v>44245.0</v>
      </c>
      <c r="AC154" s="284"/>
      <c r="AD154" s="284"/>
    </row>
    <row r="155" ht="14.25" customHeight="1">
      <c r="A155" s="265">
        <v>44215.0</v>
      </c>
      <c r="B155" s="266" t="s">
        <v>1500</v>
      </c>
      <c r="C155" s="266"/>
      <c r="D155" s="266" t="s">
        <v>1450</v>
      </c>
      <c r="E155" s="268"/>
      <c r="F155" s="358" t="s">
        <v>2964</v>
      </c>
      <c r="G155" s="268" t="s">
        <v>2085</v>
      </c>
      <c r="H155" s="288">
        <v>0.09995370370370371</v>
      </c>
      <c r="I155" s="271">
        <v>44215.72222222222</v>
      </c>
      <c r="J155" s="268"/>
      <c r="K155" s="271">
        <v>44216.447291666664</v>
      </c>
      <c r="L155" s="271"/>
      <c r="M155" s="359" t="s">
        <v>2524</v>
      </c>
      <c r="N155" s="290"/>
      <c r="O155" s="276"/>
      <c r="P155" s="276"/>
      <c r="Q155" s="276"/>
      <c r="R155" s="278"/>
      <c r="S155" s="278"/>
      <c r="T155" s="278"/>
      <c r="U155" s="279"/>
      <c r="V155" s="279" t="s">
        <v>1772</v>
      </c>
      <c r="W155" s="280">
        <v>44216.0</v>
      </c>
      <c r="X155" s="281">
        <v>0.3125</v>
      </c>
      <c r="Y155" s="279" t="s">
        <v>1693</v>
      </c>
      <c r="Z155" s="282" t="s">
        <v>53</v>
      </c>
      <c r="AA155" s="282" t="s">
        <v>2964</v>
      </c>
      <c r="AB155" s="283">
        <v>44217.0</v>
      </c>
      <c r="AC155" s="284"/>
      <c r="AD155" s="284"/>
    </row>
    <row r="156" ht="14.25" customHeight="1">
      <c r="A156" s="265">
        <v>44215.0</v>
      </c>
      <c r="B156" s="266" t="s">
        <v>1500</v>
      </c>
      <c r="C156" s="266"/>
      <c r="D156" s="266" t="s">
        <v>1452</v>
      </c>
      <c r="E156" s="268"/>
      <c r="F156" s="358" t="s">
        <v>2965</v>
      </c>
      <c r="G156" s="268" t="s">
        <v>2085</v>
      </c>
      <c r="H156" s="288">
        <v>0.010520833333333333</v>
      </c>
      <c r="I156" s="271">
        <v>44215.72222222222</v>
      </c>
      <c r="J156" s="268"/>
      <c r="K156" s="271">
        <v>44216.121412037035</v>
      </c>
      <c r="L156" s="271"/>
      <c r="M156" s="359" t="s">
        <v>2524</v>
      </c>
      <c r="N156" s="290"/>
      <c r="O156" s="276"/>
      <c r="P156" s="276"/>
      <c r="Q156" s="276"/>
      <c r="R156" s="278"/>
      <c r="S156" s="278"/>
      <c r="T156" s="278"/>
      <c r="U156" s="279"/>
      <c r="V156" s="279" t="s">
        <v>1783</v>
      </c>
      <c r="W156" s="280" t="s">
        <v>2966</v>
      </c>
      <c r="X156" s="281">
        <v>0.03819444444444444</v>
      </c>
      <c r="Y156" s="279" t="s">
        <v>1693</v>
      </c>
      <c r="Z156" s="282" t="s">
        <v>53</v>
      </c>
      <c r="AA156" s="282" t="s">
        <v>2965</v>
      </c>
      <c r="AB156" s="283">
        <v>44217.0</v>
      </c>
      <c r="AC156" s="284"/>
      <c r="AD156" s="284"/>
    </row>
    <row r="157" ht="14.25" customHeight="1">
      <c r="A157" s="265">
        <v>44215.0</v>
      </c>
      <c r="B157" s="266" t="s">
        <v>1500</v>
      </c>
      <c r="C157" s="266"/>
      <c r="D157" s="266" t="s">
        <v>1686</v>
      </c>
      <c r="E157" s="268"/>
      <c r="F157" s="358" t="s">
        <v>2967</v>
      </c>
      <c r="G157" s="268" t="s">
        <v>2085</v>
      </c>
      <c r="H157" s="288">
        <v>0.04040509259259259</v>
      </c>
      <c r="I157" s="271">
        <v>44215.72222222222</v>
      </c>
      <c r="J157" s="268"/>
      <c r="K157" s="271">
        <v>44216.141875</v>
      </c>
      <c r="L157" s="271"/>
      <c r="M157" s="359" t="s">
        <v>2524</v>
      </c>
      <c r="N157" s="290"/>
      <c r="O157" s="276"/>
      <c r="P157" s="276"/>
      <c r="Q157" s="276"/>
      <c r="R157" s="278"/>
      <c r="S157" s="278"/>
      <c r="T157" s="278"/>
      <c r="U157" s="279"/>
      <c r="V157" s="279" t="s">
        <v>1738</v>
      </c>
      <c r="W157" s="280">
        <v>44216.0</v>
      </c>
      <c r="X157" s="281">
        <v>0.16666666666666666</v>
      </c>
      <c r="Y157" s="279" t="s">
        <v>1693</v>
      </c>
      <c r="Z157" s="282" t="s">
        <v>53</v>
      </c>
      <c r="AA157" s="282" t="s">
        <v>2967</v>
      </c>
      <c r="AB157" s="283">
        <v>44217.0</v>
      </c>
      <c r="AC157" s="284"/>
      <c r="AD157" s="284"/>
    </row>
    <row r="158" ht="14.25" customHeight="1">
      <c r="A158" s="265">
        <v>44215.0</v>
      </c>
      <c r="B158" s="266" t="s">
        <v>1500</v>
      </c>
      <c r="C158" s="266"/>
      <c r="D158" s="266" t="s">
        <v>1455</v>
      </c>
      <c r="E158" s="268"/>
      <c r="F158" s="358" t="s">
        <v>2968</v>
      </c>
      <c r="G158" s="268" t="s">
        <v>2085</v>
      </c>
      <c r="H158" s="288">
        <v>0.020428240740740743</v>
      </c>
      <c r="I158" s="271">
        <v>44216.413194444445</v>
      </c>
      <c r="J158" s="268"/>
      <c r="K158" s="271">
        <v>44216.601539351854</v>
      </c>
      <c r="L158" s="271"/>
      <c r="M158" s="359" t="s">
        <v>2524</v>
      </c>
      <c r="N158" s="290"/>
      <c r="O158" s="276"/>
      <c r="P158" s="276"/>
      <c r="Q158" s="276"/>
      <c r="R158" s="278"/>
      <c r="S158" s="278"/>
      <c r="T158" s="278"/>
      <c r="U158" s="279"/>
      <c r="V158" s="279" t="s">
        <v>1783</v>
      </c>
      <c r="W158" s="280" t="s">
        <v>2969</v>
      </c>
      <c r="X158" s="281">
        <v>0.10416666666666667</v>
      </c>
      <c r="Y158" s="279" t="s">
        <v>1693</v>
      </c>
      <c r="Z158" s="282" t="s">
        <v>53</v>
      </c>
      <c r="AA158" s="282" t="s">
        <v>2968</v>
      </c>
      <c r="AB158" s="283">
        <v>44217.0</v>
      </c>
      <c r="AC158" s="284"/>
      <c r="AD158" s="284"/>
    </row>
    <row r="159" ht="14.25" customHeight="1">
      <c r="A159" s="265">
        <v>44216.0</v>
      </c>
      <c r="B159" s="266" t="s">
        <v>1500</v>
      </c>
      <c r="C159" s="266" t="s">
        <v>1686</v>
      </c>
      <c r="D159" s="266" t="s">
        <v>1543</v>
      </c>
      <c r="E159" s="268"/>
      <c r="F159" s="338" t="s">
        <v>2970</v>
      </c>
      <c r="G159" s="268" t="s">
        <v>1463</v>
      </c>
      <c r="H159" s="288">
        <v>0.0016782407407407406</v>
      </c>
      <c r="I159" s="271">
        <v>44216.70972222222</v>
      </c>
      <c r="J159" s="268"/>
      <c r="K159" s="271">
        <v>44217.046944444446</v>
      </c>
      <c r="L159" s="271"/>
      <c r="M159" s="278" t="s">
        <v>2971</v>
      </c>
      <c r="N159" s="290"/>
      <c r="O159" s="276"/>
      <c r="P159" s="276"/>
      <c r="Q159" s="276"/>
      <c r="R159" s="278"/>
      <c r="S159" s="278"/>
      <c r="T159" s="278"/>
      <c r="U159" s="279"/>
      <c r="V159" s="279" t="s">
        <v>1733</v>
      </c>
      <c r="W159" s="280">
        <v>44242.0</v>
      </c>
      <c r="X159" s="281">
        <v>0.010416666666666666</v>
      </c>
      <c r="Y159" s="279" t="s">
        <v>1693</v>
      </c>
      <c r="Z159" s="282" t="s">
        <v>53</v>
      </c>
      <c r="AA159" s="282">
        <v>6319326.0</v>
      </c>
      <c r="AB159" s="283">
        <v>44218.0</v>
      </c>
      <c r="AC159" s="284"/>
      <c r="AD159" s="284"/>
    </row>
    <row r="160" ht="14.25" customHeight="1">
      <c r="A160" s="265">
        <v>44216.0</v>
      </c>
      <c r="B160" s="266" t="s">
        <v>1500</v>
      </c>
      <c r="C160" s="266" t="s">
        <v>1455</v>
      </c>
      <c r="D160" s="266" t="s">
        <v>1543</v>
      </c>
      <c r="E160" s="268"/>
      <c r="F160" s="338" t="s">
        <v>2972</v>
      </c>
      <c r="G160" s="268" t="s">
        <v>1463</v>
      </c>
      <c r="H160" s="288">
        <v>0.0011805555555555556</v>
      </c>
      <c r="I160" s="271">
        <v>44221.62986111111</v>
      </c>
      <c r="J160" s="268"/>
      <c r="K160" s="271">
        <v>44222.0096875</v>
      </c>
      <c r="L160" s="271"/>
      <c r="M160" s="278" t="s">
        <v>2973</v>
      </c>
      <c r="N160" s="290"/>
      <c r="O160" s="276"/>
      <c r="P160" s="276"/>
      <c r="Q160" s="276"/>
      <c r="R160" s="278"/>
      <c r="S160" s="278"/>
      <c r="T160" s="278"/>
      <c r="U160" s="279"/>
      <c r="V160" s="279" t="s">
        <v>1733</v>
      </c>
      <c r="W160" s="280">
        <v>44244.0</v>
      </c>
      <c r="X160" s="281">
        <v>0.010416666666666666</v>
      </c>
      <c r="Y160" s="279" t="s">
        <v>1693</v>
      </c>
      <c r="Z160" s="282" t="s">
        <v>53</v>
      </c>
      <c r="AA160" s="282">
        <v>6320825.0</v>
      </c>
      <c r="AB160" s="283">
        <v>44225.0</v>
      </c>
      <c r="AC160" s="284"/>
      <c r="AD160" s="284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  <c r="BA160" s="318"/>
      <c r="BB160" s="318"/>
      <c r="BC160" s="318"/>
      <c r="BD160" s="318"/>
      <c r="BE160" s="318"/>
      <c r="BF160" s="318"/>
      <c r="BG160" s="318"/>
      <c r="BH160" s="318"/>
      <c r="BI160" s="318"/>
      <c r="BJ160" s="318"/>
      <c r="BK160" s="318"/>
      <c r="BL160" s="318"/>
      <c r="BM160" s="318"/>
      <c r="BN160" s="318"/>
      <c r="BO160" s="318"/>
      <c r="BP160" s="318"/>
      <c r="BQ160" s="318"/>
      <c r="BR160" s="318"/>
      <c r="BS160" s="318"/>
      <c r="BT160" s="318"/>
      <c r="BU160" s="318"/>
      <c r="BV160" s="318"/>
      <c r="BW160" s="318"/>
      <c r="BX160" s="318"/>
      <c r="BY160" s="318"/>
      <c r="BZ160" s="318"/>
      <c r="CA160" s="318"/>
      <c r="CB160" s="318"/>
      <c r="CC160" s="318"/>
      <c r="CD160" s="318"/>
      <c r="CE160" s="318"/>
      <c r="CF160" s="318"/>
      <c r="CG160" s="318"/>
      <c r="CH160" s="318"/>
      <c r="CI160" s="318"/>
      <c r="CJ160" s="318"/>
      <c r="CK160" s="318"/>
      <c r="CL160" s="318"/>
      <c r="CM160" s="318"/>
      <c r="CN160" s="318"/>
    </row>
    <row r="161" ht="14.25" customHeight="1">
      <c r="A161" s="265">
        <v>44216.0</v>
      </c>
      <c r="B161" s="266" t="s">
        <v>1500</v>
      </c>
      <c r="C161" s="266" t="s">
        <v>1455</v>
      </c>
      <c r="D161" s="266" t="s">
        <v>1543</v>
      </c>
      <c r="E161" s="268"/>
      <c r="F161" s="338" t="s">
        <v>2974</v>
      </c>
      <c r="G161" s="268" t="s">
        <v>1463</v>
      </c>
      <c r="H161" s="288">
        <v>0.003148148148148148</v>
      </c>
      <c r="I161" s="271">
        <v>44221.62986111111</v>
      </c>
      <c r="J161" s="268"/>
      <c r="K161" s="271">
        <v>44222.01322916667</v>
      </c>
      <c r="L161" s="271"/>
      <c r="M161" s="278" t="s">
        <v>2975</v>
      </c>
      <c r="N161" s="290"/>
      <c r="O161" s="276"/>
      <c r="P161" s="276"/>
      <c r="Q161" s="276"/>
      <c r="R161" s="278"/>
      <c r="S161" s="278"/>
      <c r="T161" s="278"/>
      <c r="U161" s="279"/>
      <c r="V161" s="279" t="s">
        <v>1733</v>
      </c>
      <c r="W161" s="280">
        <v>44244.0</v>
      </c>
      <c r="X161" s="281">
        <v>0.006944444444444444</v>
      </c>
      <c r="Y161" s="279" t="s">
        <v>1693</v>
      </c>
      <c r="Z161" s="282" t="s">
        <v>53</v>
      </c>
      <c r="AA161" s="282">
        <v>6320826.0</v>
      </c>
      <c r="AB161" s="283">
        <v>44225.0</v>
      </c>
      <c r="AC161" s="284"/>
      <c r="AD161" s="284"/>
    </row>
    <row r="162" ht="14.25" customHeight="1">
      <c r="A162" s="265">
        <v>44216.0</v>
      </c>
      <c r="B162" s="266" t="s">
        <v>1500</v>
      </c>
      <c r="C162" s="266" t="s">
        <v>1686</v>
      </c>
      <c r="D162" s="266" t="s">
        <v>1543</v>
      </c>
      <c r="E162" s="268"/>
      <c r="F162" s="368" t="s">
        <v>2976</v>
      </c>
      <c r="G162" s="268" t="s">
        <v>1463</v>
      </c>
      <c r="H162" s="288">
        <v>0.0017592592592592592</v>
      </c>
      <c r="I162" s="271">
        <v>44221.62986111111</v>
      </c>
      <c r="J162" s="268"/>
      <c r="K162" s="271">
        <v>44225.419340277775</v>
      </c>
      <c r="L162" s="271"/>
      <c r="M162" s="307" t="s">
        <v>2977</v>
      </c>
      <c r="N162" s="271">
        <v>44228.60555555556</v>
      </c>
      <c r="O162" s="276" t="s">
        <v>2978</v>
      </c>
      <c r="P162" s="301" t="s">
        <v>1463</v>
      </c>
      <c r="Q162" s="276" t="s">
        <v>1819</v>
      </c>
      <c r="R162" s="278"/>
      <c r="S162" s="278"/>
      <c r="T162" s="278" t="s">
        <v>2979</v>
      </c>
      <c r="U162" s="279"/>
      <c r="V162" s="279" t="s">
        <v>1733</v>
      </c>
      <c r="W162" s="280">
        <v>44242.0</v>
      </c>
      <c r="X162" s="281">
        <v>0.006944444444444444</v>
      </c>
      <c r="Y162" s="279" t="s">
        <v>1693</v>
      </c>
      <c r="Z162" s="282" t="s">
        <v>1570</v>
      </c>
      <c r="AA162" s="282">
        <v>6322172.0</v>
      </c>
      <c r="AB162" s="283">
        <v>44230.0</v>
      </c>
      <c r="AC162" s="284"/>
      <c r="AD162" s="284"/>
    </row>
    <row r="163" ht="14.25" customHeight="1">
      <c r="A163" s="265">
        <v>44216.0</v>
      </c>
      <c r="B163" s="266" t="s">
        <v>1500</v>
      </c>
      <c r="C163" s="266"/>
      <c r="D163" s="266" t="s">
        <v>1450</v>
      </c>
      <c r="E163" s="268"/>
      <c r="F163" s="367" t="s">
        <v>2980</v>
      </c>
      <c r="G163" s="268" t="s">
        <v>2085</v>
      </c>
      <c r="H163" s="288">
        <v>0.09983796296296295</v>
      </c>
      <c r="I163" s="271">
        <v>44217.54304398148</v>
      </c>
      <c r="J163" s="268"/>
      <c r="K163" s="271">
        <v>44217.698796296296</v>
      </c>
      <c r="L163" s="271"/>
      <c r="M163" s="359" t="s">
        <v>2524</v>
      </c>
      <c r="N163" s="290"/>
      <c r="O163" s="276"/>
      <c r="P163" s="276"/>
      <c r="Q163" s="276"/>
      <c r="R163" s="278"/>
      <c r="S163" s="278"/>
      <c r="T163" s="278"/>
      <c r="U163" s="279"/>
      <c r="V163" s="279" t="s">
        <v>1772</v>
      </c>
      <c r="W163" s="280">
        <v>44217.0</v>
      </c>
      <c r="X163" s="281">
        <v>0.3125</v>
      </c>
      <c r="Y163" s="279" t="s">
        <v>1693</v>
      </c>
      <c r="Z163" s="282" t="s">
        <v>53</v>
      </c>
      <c r="AA163" s="282" t="s">
        <v>2980</v>
      </c>
      <c r="AB163" s="283">
        <v>44217.0</v>
      </c>
      <c r="AC163" s="284"/>
      <c r="AD163" s="284"/>
    </row>
    <row r="164" ht="14.25" customHeight="1">
      <c r="A164" s="265">
        <v>44216.0</v>
      </c>
      <c r="B164" s="266" t="s">
        <v>1500</v>
      </c>
      <c r="C164" s="266"/>
      <c r="D164" s="266" t="s">
        <v>1452</v>
      </c>
      <c r="E164" s="268"/>
      <c r="F164" s="367" t="s">
        <v>2981</v>
      </c>
      <c r="G164" s="268" t="s">
        <v>2085</v>
      </c>
      <c r="H164" s="288">
        <v>0.006469907407407407</v>
      </c>
      <c r="I164" s="271">
        <v>44217.50350694444</v>
      </c>
      <c r="J164" s="268"/>
      <c r="K164" s="271">
        <v>44217.46184027778</v>
      </c>
      <c r="L164" s="271"/>
      <c r="M164" s="359" t="s">
        <v>2524</v>
      </c>
      <c r="N164" s="271">
        <v>44217.73333333333</v>
      </c>
      <c r="O164" s="278" t="s">
        <v>2982</v>
      </c>
      <c r="P164" s="276" t="s">
        <v>2085</v>
      </c>
      <c r="Q164" s="276" t="s">
        <v>1819</v>
      </c>
      <c r="R164" s="277">
        <v>44218.1175</v>
      </c>
      <c r="S164" s="278"/>
      <c r="T164" s="278" t="s">
        <v>2983</v>
      </c>
      <c r="U164" s="279"/>
      <c r="V164" s="279" t="s">
        <v>1772</v>
      </c>
      <c r="W164" s="279" t="s">
        <v>2984</v>
      </c>
      <c r="X164" s="281">
        <v>0.041666666666666664</v>
      </c>
      <c r="Y164" s="279" t="s">
        <v>1693</v>
      </c>
      <c r="Z164" s="282" t="s">
        <v>53</v>
      </c>
      <c r="AA164" s="282" t="s">
        <v>2981</v>
      </c>
      <c r="AB164" s="283">
        <v>44217.0</v>
      </c>
      <c r="AC164" s="284"/>
      <c r="AD164" s="284"/>
    </row>
    <row r="165" ht="14.25" customHeight="1">
      <c r="A165" s="265">
        <v>44216.0</v>
      </c>
      <c r="B165" s="266" t="s">
        <v>1500</v>
      </c>
      <c r="C165" s="266"/>
      <c r="D165" s="266" t="s">
        <v>1686</v>
      </c>
      <c r="E165" s="268"/>
      <c r="F165" s="367" t="s">
        <v>2985</v>
      </c>
      <c r="G165" s="268" t="s">
        <v>2085</v>
      </c>
      <c r="H165" s="288">
        <v>0.03981481481481482</v>
      </c>
      <c r="I165" s="271">
        <v>44217.555914351855</v>
      </c>
      <c r="J165" s="268"/>
      <c r="K165" s="271">
        <v>44217.51424768518</v>
      </c>
      <c r="L165" s="271"/>
      <c r="M165" s="359" t="s">
        <v>2524</v>
      </c>
      <c r="N165" s="290"/>
      <c r="O165" s="276"/>
      <c r="P165" s="276"/>
      <c r="Q165" s="276"/>
      <c r="R165" s="278"/>
      <c r="S165" s="278"/>
      <c r="T165" s="278"/>
      <c r="U165" s="279"/>
      <c r="V165" s="279" t="s">
        <v>1738</v>
      </c>
      <c r="W165" s="280">
        <v>44217.0</v>
      </c>
      <c r="X165" s="281">
        <v>0.16666666666666666</v>
      </c>
      <c r="Y165" s="279" t="s">
        <v>1693</v>
      </c>
      <c r="Z165" s="282" t="s">
        <v>53</v>
      </c>
      <c r="AA165" s="282" t="s">
        <v>2985</v>
      </c>
      <c r="AB165" s="283">
        <v>44217.0</v>
      </c>
      <c r="AC165" s="284"/>
      <c r="AD165" s="284"/>
    </row>
    <row r="166" ht="14.25" customHeight="1">
      <c r="A166" s="265">
        <v>44216.0</v>
      </c>
      <c r="B166" s="266" t="s">
        <v>1500</v>
      </c>
      <c r="C166" s="266"/>
      <c r="D166" s="266" t="s">
        <v>1455</v>
      </c>
      <c r="E166" s="268"/>
      <c r="F166" s="367" t="s">
        <v>2986</v>
      </c>
      <c r="G166" s="268" t="s">
        <v>2085</v>
      </c>
      <c r="H166" s="288">
        <v>0.01892361111111111</v>
      </c>
      <c r="I166" s="302">
        <v>44217.53958333333</v>
      </c>
      <c r="J166" s="268"/>
      <c r="K166" s="271">
        <v>44217.69736111111</v>
      </c>
      <c r="L166" s="271"/>
      <c r="M166" s="359" t="s">
        <v>2524</v>
      </c>
      <c r="N166" s="290"/>
      <c r="O166" s="276"/>
      <c r="P166" s="276"/>
      <c r="Q166" s="276"/>
      <c r="R166" s="278"/>
      <c r="S166" s="278"/>
      <c r="T166" s="278"/>
      <c r="U166" s="279"/>
      <c r="V166" s="279" t="s">
        <v>1783</v>
      </c>
      <c r="W166" s="280" t="s">
        <v>2987</v>
      </c>
      <c r="X166" s="281">
        <v>0.10416666666666667</v>
      </c>
      <c r="Y166" s="279" t="s">
        <v>1693</v>
      </c>
      <c r="Z166" s="282" t="s">
        <v>53</v>
      </c>
      <c r="AA166" s="282" t="s">
        <v>2986</v>
      </c>
      <c r="AB166" s="283">
        <v>44217.0</v>
      </c>
      <c r="AC166" s="284"/>
      <c r="AD166" s="284"/>
    </row>
    <row r="167" ht="14.25" customHeight="1">
      <c r="A167" s="265">
        <v>44217.0</v>
      </c>
      <c r="B167" s="266" t="s">
        <v>2030</v>
      </c>
      <c r="C167" s="266"/>
      <c r="D167" s="266" t="s">
        <v>1450</v>
      </c>
      <c r="E167" s="268"/>
      <c r="F167" s="358" t="s">
        <v>2988</v>
      </c>
      <c r="G167" s="268" t="s">
        <v>2085</v>
      </c>
      <c r="H167" s="270">
        <v>0.0983912037037037</v>
      </c>
      <c r="I167" s="271">
        <v>44217.73333333333</v>
      </c>
      <c r="J167" s="268"/>
      <c r="K167" s="271">
        <v>44218.22164351852</v>
      </c>
      <c r="L167" s="271"/>
      <c r="M167" s="359" t="s">
        <v>2524</v>
      </c>
      <c r="N167" s="290"/>
      <c r="O167" s="276"/>
      <c r="P167" s="276"/>
      <c r="Q167" s="276"/>
      <c r="R167" s="278"/>
      <c r="S167" s="278"/>
      <c r="T167" s="278"/>
      <c r="U167" s="279"/>
      <c r="V167" s="279" t="s">
        <v>1570</v>
      </c>
      <c r="W167" s="280">
        <v>44222.0</v>
      </c>
      <c r="X167" s="281">
        <v>0.3125</v>
      </c>
      <c r="Y167" s="281" t="s">
        <v>1693</v>
      </c>
      <c r="Z167" s="282" t="s">
        <v>53</v>
      </c>
      <c r="AA167" s="282" t="s">
        <v>2988</v>
      </c>
      <c r="AB167" s="283">
        <v>44218.0</v>
      </c>
      <c r="AC167" s="284"/>
      <c r="AD167" s="284"/>
    </row>
    <row r="168" ht="14.25" customHeight="1">
      <c r="A168" s="265">
        <v>44217.0</v>
      </c>
      <c r="B168" s="266" t="s">
        <v>1783</v>
      </c>
      <c r="C168" s="266"/>
      <c r="D168" s="266" t="s">
        <v>1452</v>
      </c>
      <c r="E168" s="268"/>
      <c r="F168" s="358" t="s">
        <v>2989</v>
      </c>
      <c r="G168" s="268" t="s">
        <v>2085</v>
      </c>
      <c r="H168" s="270">
        <v>0.007673611111111111</v>
      </c>
      <c r="I168" s="271">
        <v>44217.73333333333</v>
      </c>
      <c r="J168" s="268"/>
      <c r="K168" s="271">
        <v>44218.51583333333</v>
      </c>
      <c r="L168" s="271"/>
      <c r="M168" s="359" t="s">
        <v>2524</v>
      </c>
      <c r="N168" s="290"/>
      <c r="O168" s="276"/>
      <c r="P168" s="276"/>
      <c r="Q168" s="276"/>
      <c r="R168" s="278"/>
      <c r="S168" s="278"/>
      <c r="T168" s="278"/>
      <c r="U168" s="279"/>
      <c r="V168" s="279" t="s">
        <v>1783</v>
      </c>
      <c r="W168" s="280">
        <v>44218.0</v>
      </c>
      <c r="X168" s="281">
        <v>0.034722222222222224</v>
      </c>
      <c r="Y168" s="281" t="s">
        <v>1693</v>
      </c>
      <c r="Z168" s="282" t="s">
        <v>53</v>
      </c>
      <c r="AA168" s="282" t="s">
        <v>2989</v>
      </c>
      <c r="AB168" s="283">
        <v>44217.0</v>
      </c>
      <c r="AC168" s="284"/>
      <c r="AD168" s="284"/>
    </row>
    <row r="169" ht="14.25" customHeight="1">
      <c r="A169" s="265">
        <v>44217.0</v>
      </c>
      <c r="B169" s="266" t="s">
        <v>2030</v>
      </c>
      <c r="C169" s="266"/>
      <c r="D169" s="266" t="s">
        <v>1686</v>
      </c>
      <c r="E169" s="268"/>
      <c r="F169" s="358" t="s">
        <v>2990</v>
      </c>
      <c r="G169" s="268" t="s">
        <v>2085</v>
      </c>
      <c r="H169" s="270">
        <v>0.040046296296296295</v>
      </c>
      <c r="I169" s="271">
        <v>44217.73333333333</v>
      </c>
      <c r="J169" s="268"/>
      <c r="K169" s="271">
        <v>44218.48594907407</v>
      </c>
      <c r="L169" s="271"/>
      <c r="M169" s="359" t="s">
        <v>2524</v>
      </c>
      <c r="N169" s="290"/>
      <c r="O169" s="276"/>
      <c r="P169" s="276"/>
      <c r="Q169" s="276"/>
      <c r="R169" s="278"/>
      <c r="S169" s="278"/>
      <c r="T169" s="278"/>
      <c r="U169" s="279"/>
      <c r="V169" s="279" t="s">
        <v>1738</v>
      </c>
      <c r="W169" s="280">
        <v>44218.0</v>
      </c>
      <c r="X169" s="281">
        <v>0.20833333333333334</v>
      </c>
      <c r="Y169" s="281" t="s">
        <v>1693</v>
      </c>
      <c r="Z169" s="282" t="s">
        <v>53</v>
      </c>
      <c r="AA169" s="282" t="s">
        <v>2990</v>
      </c>
      <c r="AB169" s="283">
        <v>44217.0</v>
      </c>
      <c r="AC169" s="284"/>
      <c r="AD169" s="284"/>
    </row>
    <row r="170" ht="14.25" customHeight="1">
      <c r="A170" s="265">
        <v>44217.0</v>
      </c>
      <c r="B170" s="266" t="s">
        <v>1783</v>
      </c>
      <c r="C170" s="266"/>
      <c r="D170" s="266" t="s">
        <v>1455</v>
      </c>
      <c r="E170" s="268"/>
      <c r="F170" s="358" t="s">
        <v>2991</v>
      </c>
      <c r="G170" s="268" t="s">
        <v>2085</v>
      </c>
      <c r="H170" s="270">
        <v>0.02082175925925926</v>
      </c>
      <c r="I170" s="271">
        <v>44218.49236111111</v>
      </c>
      <c r="J170" s="268"/>
      <c r="K170" s="271">
        <v>44218.70060185185</v>
      </c>
      <c r="L170" s="271"/>
      <c r="M170" s="359" t="s">
        <v>2524</v>
      </c>
      <c r="N170" s="290"/>
      <c r="O170" s="276"/>
      <c r="P170" s="276"/>
      <c r="Q170" s="276"/>
      <c r="R170" s="278"/>
      <c r="S170" s="278"/>
      <c r="T170" s="278"/>
      <c r="U170" s="279"/>
      <c r="V170" s="279" t="s">
        <v>1783</v>
      </c>
      <c r="W170" s="280">
        <v>44218.0</v>
      </c>
      <c r="X170" s="281">
        <v>0.125</v>
      </c>
      <c r="Y170" s="281" t="s">
        <v>1693</v>
      </c>
      <c r="Z170" s="282" t="s">
        <v>53</v>
      </c>
      <c r="AA170" s="282" t="s">
        <v>2991</v>
      </c>
      <c r="AB170" s="283">
        <v>44221.0</v>
      </c>
      <c r="AC170" s="284"/>
      <c r="AD170" s="284"/>
    </row>
    <row r="171" ht="14.25" customHeight="1">
      <c r="A171" s="265">
        <v>44218.0</v>
      </c>
      <c r="B171" s="266" t="s">
        <v>1500</v>
      </c>
      <c r="C171" s="266" t="s">
        <v>1455</v>
      </c>
      <c r="D171" s="266" t="s">
        <v>1543</v>
      </c>
      <c r="E171" s="268"/>
      <c r="F171" s="269" t="s">
        <v>2992</v>
      </c>
      <c r="G171" s="268" t="s">
        <v>1463</v>
      </c>
      <c r="H171" s="288">
        <v>6.597222222222221E-4</v>
      </c>
      <c r="I171" s="271">
        <v>44219.66111111111</v>
      </c>
      <c r="J171" s="268"/>
      <c r="K171" s="271">
        <v>44220.0390625</v>
      </c>
      <c r="L171" s="271"/>
      <c r="M171" s="278" t="s">
        <v>2993</v>
      </c>
      <c r="N171" s="290"/>
      <c r="O171" s="276"/>
      <c r="P171" s="276"/>
      <c r="Q171" s="276"/>
      <c r="R171" s="278"/>
      <c r="S171" s="278"/>
      <c r="T171" s="278"/>
      <c r="U171" s="279"/>
      <c r="V171" s="279" t="s">
        <v>1733</v>
      </c>
      <c r="W171" s="280">
        <v>44244.0</v>
      </c>
      <c r="X171" s="281">
        <v>0.006944444444444444</v>
      </c>
      <c r="Y171" s="281" t="s">
        <v>1693</v>
      </c>
      <c r="Z171" s="282" t="s">
        <v>53</v>
      </c>
      <c r="AA171" s="282">
        <v>6319749.0</v>
      </c>
      <c r="AB171" s="283">
        <v>44222.0</v>
      </c>
      <c r="AC171" s="284"/>
      <c r="AD171" s="284"/>
    </row>
    <row r="172" ht="14.25" customHeight="1">
      <c r="A172" s="265">
        <v>44218.0</v>
      </c>
      <c r="B172" s="266" t="s">
        <v>1500</v>
      </c>
      <c r="C172" s="266" t="s">
        <v>1450</v>
      </c>
      <c r="D172" s="266" t="s">
        <v>1543</v>
      </c>
      <c r="E172" s="268"/>
      <c r="F172" s="269" t="s">
        <v>2994</v>
      </c>
      <c r="G172" s="268" t="s">
        <v>1463</v>
      </c>
      <c r="H172" s="288">
        <v>0.0013425925925925925</v>
      </c>
      <c r="I172" s="271">
        <v>44219.697916666664</v>
      </c>
      <c r="J172" s="268"/>
      <c r="K172" s="271">
        <v>44220.07094907408</v>
      </c>
      <c r="L172" s="271"/>
      <c r="M172" s="278" t="s">
        <v>2995</v>
      </c>
      <c r="N172" s="290"/>
      <c r="O172" s="276"/>
      <c r="P172" s="276"/>
      <c r="Q172" s="276"/>
      <c r="R172" s="278"/>
      <c r="S172" s="278"/>
      <c r="T172" s="278"/>
      <c r="U172" s="279"/>
      <c r="V172" s="279" t="s">
        <v>1733</v>
      </c>
      <c r="W172" s="280">
        <v>44244.0</v>
      </c>
      <c r="X172" s="281">
        <v>0.006944444444444444</v>
      </c>
      <c r="Y172" s="281" t="s">
        <v>1693</v>
      </c>
      <c r="Z172" s="282" t="s">
        <v>53</v>
      </c>
      <c r="AA172" s="282">
        <v>6319750.0</v>
      </c>
      <c r="AB172" s="283">
        <v>44222.0</v>
      </c>
      <c r="AC172" s="284"/>
      <c r="AD172" s="284"/>
    </row>
    <row r="173" ht="14.25" customHeight="1">
      <c r="A173" s="265">
        <v>44218.0</v>
      </c>
      <c r="B173" s="266" t="s">
        <v>2030</v>
      </c>
      <c r="C173" s="266"/>
      <c r="D173" s="266" t="s">
        <v>1450</v>
      </c>
      <c r="E173" s="268"/>
      <c r="F173" s="358" t="s">
        <v>2996</v>
      </c>
      <c r="G173" s="268" t="s">
        <v>2085</v>
      </c>
      <c r="H173" s="288">
        <v>0.09819444444444443</v>
      </c>
      <c r="I173" s="271">
        <v>44218.49930555555</v>
      </c>
      <c r="J173" s="268"/>
      <c r="K173" s="271">
        <v>44218.62863425926</v>
      </c>
      <c r="L173" s="271"/>
      <c r="M173" s="359" t="s">
        <v>2524</v>
      </c>
      <c r="N173" s="290"/>
      <c r="O173" s="276"/>
      <c r="P173" s="276"/>
      <c r="Q173" s="276"/>
      <c r="R173" s="278"/>
      <c r="S173" s="278"/>
      <c r="T173" s="278"/>
      <c r="U173" s="279"/>
      <c r="V173" s="279" t="s">
        <v>1738</v>
      </c>
      <c r="W173" s="280">
        <v>44239.0</v>
      </c>
      <c r="X173" s="281">
        <v>0.3333333333333333</v>
      </c>
      <c r="Y173" s="281" t="s">
        <v>1693</v>
      </c>
      <c r="Z173" s="282" t="s">
        <v>53</v>
      </c>
      <c r="AA173" s="282" t="s">
        <v>2996</v>
      </c>
      <c r="AB173" s="283">
        <v>44221.0</v>
      </c>
      <c r="AC173" s="284"/>
      <c r="AD173" s="284"/>
    </row>
    <row r="174" ht="14.25" customHeight="1">
      <c r="A174" s="265">
        <v>44218.0</v>
      </c>
      <c r="B174" s="266" t="s">
        <v>1783</v>
      </c>
      <c r="C174" s="266"/>
      <c r="D174" s="266" t="s">
        <v>1452</v>
      </c>
      <c r="E174" s="268"/>
      <c r="F174" s="358" t="s">
        <v>2997</v>
      </c>
      <c r="G174" s="268" t="s">
        <v>2085</v>
      </c>
      <c r="H174" s="288">
        <v>0.007511574074074074</v>
      </c>
      <c r="I174" s="271">
        <v>44218.49930555555</v>
      </c>
      <c r="J174" s="268"/>
      <c r="K174" s="271">
        <v>44218.61295138889</v>
      </c>
      <c r="L174" s="271"/>
      <c r="M174" s="359" t="s">
        <v>2524</v>
      </c>
      <c r="N174" s="290"/>
      <c r="O174" s="276"/>
      <c r="P174" s="276"/>
      <c r="Q174" s="276"/>
      <c r="R174" s="278"/>
      <c r="S174" s="278"/>
      <c r="T174" s="278"/>
      <c r="U174" s="279"/>
      <c r="V174" s="279" t="s">
        <v>1783</v>
      </c>
      <c r="W174" s="280">
        <v>44218.0</v>
      </c>
      <c r="X174" s="281">
        <v>0.027777777777777776</v>
      </c>
      <c r="Y174" s="281" t="s">
        <v>1693</v>
      </c>
      <c r="Z174" s="282" t="s">
        <v>53</v>
      </c>
      <c r="AA174" s="282" t="s">
        <v>2997</v>
      </c>
      <c r="AB174" s="283">
        <v>44221.0</v>
      </c>
      <c r="AC174" s="284"/>
      <c r="AD174" s="284"/>
    </row>
    <row r="175" ht="14.25" customHeight="1">
      <c r="A175" s="265">
        <v>44218.0</v>
      </c>
      <c r="B175" s="266" t="s">
        <v>2030</v>
      </c>
      <c r="C175" s="266"/>
      <c r="D175" s="266" t="s">
        <v>1686</v>
      </c>
      <c r="E175" s="268"/>
      <c r="F175" s="358" t="s">
        <v>2998</v>
      </c>
      <c r="G175" s="268" t="s">
        <v>2085</v>
      </c>
      <c r="H175" s="288">
        <v>0.038969907407407404</v>
      </c>
      <c r="I175" s="271">
        <v>44218.66875</v>
      </c>
      <c r="J175" s="268"/>
      <c r="K175" s="271">
        <v>44219.12552083333</v>
      </c>
      <c r="L175" s="271"/>
      <c r="M175" s="359" t="s">
        <v>2524</v>
      </c>
      <c r="N175" s="290"/>
      <c r="O175" s="276"/>
      <c r="P175" s="276"/>
      <c r="Q175" s="276"/>
      <c r="R175" s="278"/>
      <c r="S175" s="278"/>
      <c r="T175" s="278"/>
      <c r="U175" s="279"/>
      <c r="V175" s="279" t="s">
        <v>1746</v>
      </c>
      <c r="W175" s="280">
        <v>44222.0</v>
      </c>
      <c r="X175" s="281">
        <v>0.2916666666666667</v>
      </c>
      <c r="Y175" s="281" t="s">
        <v>1693</v>
      </c>
      <c r="Z175" s="282" t="s">
        <v>53</v>
      </c>
      <c r="AA175" s="282" t="s">
        <v>2998</v>
      </c>
      <c r="AB175" s="283">
        <v>44221.0</v>
      </c>
      <c r="AC175" s="284"/>
      <c r="AD175" s="284"/>
    </row>
    <row r="176" ht="14.25" customHeight="1">
      <c r="A176" s="265">
        <v>44218.0</v>
      </c>
      <c r="B176" s="266" t="s">
        <v>1500</v>
      </c>
      <c r="C176" s="266"/>
      <c r="D176" s="266" t="s">
        <v>1455</v>
      </c>
      <c r="E176" s="268"/>
      <c r="F176" s="358" t="s">
        <v>2999</v>
      </c>
      <c r="G176" s="268" t="s">
        <v>2085</v>
      </c>
      <c r="H176" s="288">
        <v>0.021064814814814814</v>
      </c>
      <c r="I176" s="271">
        <v>44219.56736111111</v>
      </c>
      <c r="J176" s="268"/>
      <c r="K176" s="271">
        <v>44219.96041666667</v>
      </c>
      <c r="L176" s="271"/>
      <c r="M176" s="359" t="s">
        <v>2524</v>
      </c>
      <c r="N176" s="290"/>
      <c r="O176" s="276"/>
      <c r="P176" s="276"/>
      <c r="Q176" s="276"/>
      <c r="R176" s="278"/>
      <c r="S176" s="278"/>
      <c r="T176" s="278"/>
      <c r="U176" s="279"/>
      <c r="V176" s="279" t="s">
        <v>1783</v>
      </c>
      <c r="W176" s="280">
        <v>44222.0</v>
      </c>
      <c r="X176" s="281">
        <v>0.10416666666666667</v>
      </c>
      <c r="Y176" s="281" t="s">
        <v>1693</v>
      </c>
      <c r="Z176" s="282" t="s">
        <v>53</v>
      </c>
      <c r="AA176" s="282" t="s">
        <v>2999</v>
      </c>
      <c r="AB176" s="283">
        <v>44221.0</v>
      </c>
      <c r="AC176" s="284"/>
      <c r="AD176" s="284"/>
    </row>
    <row r="177" ht="14.25" customHeight="1">
      <c r="A177" s="265">
        <v>44219.0</v>
      </c>
      <c r="B177" s="266" t="s">
        <v>1500</v>
      </c>
      <c r="C177" s="266" t="s">
        <v>1696</v>
      </c>
      <c r="D177" s="266" t="s">
        <v>1543</v>
      </c>
      <c r="E177" s="268"/>
      <c r="F177" s="269" t="s">
        <v>3000</v>
      </c>
      <c r="G177" s="268" t="s">
        <v>1463</v>
      </c>
      <c r="H177" s="288">
        <v>0.004884259259259259</v>
      </c>
      <c r="I177" s="271">
        <v>44223.49166666667</v>
      </c>
      <c r="J177" s="268"/>
      <c r="K177" s="271">
        <v>44223.93409722222</v>
      </c>
      <c r="L177" s="271"/>
      <c r="M177" s="272" t="s">
        <v>3001</v>
      </c>
      <c r="N177" s="290"/>
      <c r="O177" s="276"/>
      <c r="P177" s="276"/>
      <c r="Q177" s="276"/>
      <c r="R177" s="278"/>
      <c r="S177" s="278"/>
      <c r="T177" s="278"/>
      <c r="U177" s="279"/>
      <c r="V177" s="279" t="s">
        <v>2030</v>
      </c>
      <c r="W177" s="280">
        <v>44244.0</v>
      </c>
      <c r="X177" s="281">
        <v>0.010416666666666666</v>
      </c>
      <c r="Y177" s="281" t="s">
        <v>1693</v>
      </c>
      <c r="Z177" s="282" t="s">
        <v>53</v>
      </c>
      <c r="AA177" s="282">
        <v>6320949.0</v>
      </c>
      <c r="AB177" s="283">
        <v>44225.0</v>
      </c>
      <c r="AC177" s="284"/>
      <c r="AD177" s="284"/>
    </row>
    <row r="178" ht="14.25" customHeight="1">
      <c r="A178" s="265">
        <v>44219.0</v>
      </c>
      <c r="B178" s="266" t="s">
        <v>1500</v>
      </c>
      <c r="C178" s="266" t="s">
        <v>2641</v>
      </c>
      <c r="D178" s="266" t="s">
        <v>1543</v>
      </c>
      <c r="E178" s="268"/>
      <c r="F178" s="269" t="s">
        <v>3002</v>
      </c>
      <c r="G178" s="268" t="s">
        <v>1463</v>
      </c>
      <c r="H178" s="288">
        <v>0.0017939814814814815</v>
      </c>
      <c r="I178" s="271">
        <v>44223.49166666667</v>
      </c>
      <c r="J178" s="268"/>
      <c r="K178" s="271">
        <v>44223.74283564815</v>
      </c>
      <c r="L178" s="271"/>
      <c r="M178" s="272" t="s">
        <v>3003</v>
      </c>
      <c r="N178" s="290"/>
      <c r="O178" s="276"/>
      <c r="P178" s="276"/>
      <c r="Q178" s="276"/>
      <c r="R178" s="278"/>
      <c r="S178" s="278"/>
      <c r="T178" s="278"/>
      <c r="U178" s="279"/>
      <c r="V178" s="279" t="s">
        <v>2030</v>
      </c>
      <c r="W178" s="280">
        <v>44244.0</v>
      </c>
      <c r="X178" s="281">
        <v>0.006944444444444444</v>
      </c>
      <c r="Y178" s="281" t="s">
        <v>1693</v>
      </c>
      <c r="Z178" s="282" t="s">
        <v>53</v>
      </c>
      <c r="AA178" s="282">
        <v>6320950.0</v>
      </c>
      <c r="AB178" s="283">
        <v>44225.0</v>
      </c>
      <c r="AC178" s="284"/>
      <c r="AD178" s="284"/>
    </row>
    <row r="179" ht="14.25" customHeight="1">
      <c r="A179" s="265">
        <v>44219.0</v>
      </c>
      <c r="B179" s="266" t="s">
        <v>1500</v>
      </c>
      <c r="C179" s="266"/>
      <c r="D179" s="266" t="s">
        <v>1686</v>
      </c>
      <c r="E179" s="268"/>
      <c r="F179" s="358" t="s">
        <v>3004</v>
      </c>
      <c r="G179" s="268" t="s">
        <v>2085</v>
      </c>
      <c r="H179" s="288">
        <v>0.039837962962962964</v>
      </c>
      <c r="I179" s="271">
        <v>44219.57083333333</v>
      </c>
      <c r="J179" s="268"/>
      <c r="K179" s="271">
        <v>44219.98144675926</v>
      </c>
      <c r="L179" s="271"/>
      <c r="M179" s="359" t="s">
        <v>2524</v>
      </c>
      <c r="N179" s="290"/>
      <c r="O179" s="276"/>
      <c r="P179" s="276"/>
      <c r="Q179" s="276"/>
      <c r="R179" s="278"/>
      <c r="S179" s="278"/>
      <c r="T179" s="278"/>
      <c r="U179" s="279"/>
      <c r="V179" s="279" t="s">
        <v>1746</v>
      </c>
      <c r="W179" s="280">
        <v>44223.0</v>
      </c>
      <c r="X179" s="281">
        <v>0.25</v>
      </c>
      <c r="Y179" s="281" t="s">
        <v>1693</v>
      </c>
      <c r="Z179" s="282" t="s">
        <v>53</v>
      </c>
      <c r="AA179" s="282" t="s">
        <v>3004</v>
      </c>
      <c r="AB179" s="283">
        <v>44221.0</v>
      </c>
      <c r="AC179" s="284"/>
      <c r="AD179" s="284"/>
    </row>
    <row r="180" ht="14.25" customHeight="1">
      <c r="A180" s="265">
        <v>44219.0</v>
      </c>
      <c r="B180" s="266" t="s">
        <v>1733</v>
      </c>
      <c r="C180" s="266"/>
      <c r="D180" s="266" t="s">
        <v>1455</v>
      </c>
      <c r="E180" s="268"/>
      <c r="F180" s="358" t="s">
        <v>3005</v>
      </c>
      <c r="G180" s="268" t="s">
        <v>2085</v>
      </c>
      <c r="H180" s="288">
        <v>0.015787037037037037</v>
      </c>
      <c r="I180" s="271">
        <v>44220.87708333333</v>
      </c>
      <c r="J180" s="268"/>
      <c r="K180" s="271">
        <v>44221.26458333333</v>
      </c>
      <c r="L180" s="271"/>
      <c r="M180" s="359" t="s">
        <v>2524</v>
      </c>
      <c r="N180" s="290"/>
      <c r="O180" s="276"/>
      <c r="P180" s="276"/>
      <c r="Q180" s="276"/>
      <c r="R180" s="278"/>
      <c r="S180" s="278"/>
      <c r="T180" s="278"/>
      <c r="U180" s="279"/>
      <c r="V180" s="279" t="s">
        <v>1783</v>
      </c>
      <c r="W180" s="280">
        <v>44222.0</v>
      </c>
      <c r="X180" s="281">
        <v>0.10416666666666667</v>
      </c>
      <c r="Y180" s="281" t="s">
        <v>1693</v>
      </c>
      <c r="Z180" s="282" t="s">
        <v>53</v>
      </c>
      <c r="AA180" s="282" t="s">
        <v>3005</v>
      </c>
      <c r="AB180" s="283">
        <v>44221.0</v>
      </c>
      <c r="AC180" s="284"/>
      <c r="AD180" s="284"/>
    </row>
    <row r="181" ht="14.25" customHeight="1">
      <c r="A181" s="265">
        <v>44220.0</v>
      </c>
      <c r="B181" s="266" t="s">
        <v>1500</v>
      </c>
      <c r="C181" s="266" t="s">
        <v>1450</v>
      </c>
      <c r="D181" s="266" t="s">
        <v>1543</v>
      </c>
      <c r="E181" s="268"/>
      <c r="F181" s="269" t="s">
        <v>3006</v>
      </c>
      <c r="G181" s="268" t="s">
        <v>1463</v>
      </c>
      <c r="H181" s="270">
        <v>0.0018750000000000001</v>
      </c>
      <c r="I181" s="271">
        <v>44221.62986111111</v>
      </c>
      <c r="J181" s="268"/>
      <c r="K181" s="271">
        <v>44222.010416666664</v>
      </c>
      <c r="L181" s="271"/>
      <c r="M181" s="272" t="s">
        <v>3007</v>
      </c>
      <c r="N181" s="271"/>
      <c r="O181" s="301"/>
      <c r="P181" s="301"/>
      <c r="Q181" s="301"/>
      <c r="R181" s="301"/>
      <c r="S181" s="301"/>
      <c r="T181" s="301"/>
      <c r="U181" s="279"/>
      <c r="V181" s="279" t="s">
        <v>2030</v>
      </c>
      <c r="W181" s="280">
        <v>44244.0</v>
      </c>
      <c r="X181" s="281">
        <v>0.010416666666666666</v>
      </c>
      <c r="Y181" s="281" t="s">
        <v>1693</v>
      </c>
      <c r="Z181" s="282" t="s">
        <v>53</v>
      </c>
      <c r="AA181" s="282">
        <v>6320506.0</v>
      </c>
      <c r="AB181" s="283">
        <v>44224.0</v>
      </c>
      <c r="AC181" s="284"/>
      <c r="AD181" s="284"/>
    </row>
    <row r="182" ht="14.25" customHeight="1">
      <c r="A182" s="265">
        <v>44220.0</v>
      </c>
      <c r="B182" s="266" t="s">
        <v>1500</v>
      </c>
      <c r="C182" s="266" t="s">
        <v>2179</v>
      </c>
      <c r="D182" s="266" t="s">
        <v>1543</v>
      </c>
      <c r="E182" s="268"/>
      <c r="F182" s="269" t="s">
        <v>3008</v>
      </c>
      <c r="G182" s="268" t="s">
        <v>1463</v>
      </c>
      <c r="H182" s="270">
        <v>0.002893518518518519</v>
      </c>
      <c r="I182" s="271">
        <v>44223.49166666667</v>
      </c>
      <c r="J182" s="268"/>
      <c r="K182" s="271">
        <v>44223.743125</v>
      </c>
      <c r="L182" s="271"/>
      <c r="M182" s="272" t="s">
        <v>3009</v>
      </c>
      <c r="N182" s="271"/>
      <c r="O182" s="301"/>
      <c r="P182" s="301"/>
      <c r="Q182" s="301"/>
      <c r="R182" s="301"/>
      <c r="S182" s="301"/>
      <c r="T182" s="301"/>
      <c r="U182" s="279"/>
      <c r="V182" s="279" t="s">
        <v>1733</v>
      </c>
      <c r="W182" s="280">
        <v>44245.0</v>
      </c>
      <c r="X182" s="281">
        <v>0.011805555555555555</v>
      </c>
      <c r="Y182" s="281" t="s">
        <v>1693</v>
      </c>
      <c r="Z182" s="282" t="s">
        <v>53</v>
      </c>
      <c r="AA182" s="282">
        <v>6320951.0</v>
      </c>
      <c r="AB182" s="283">
        <v>44225.0</v>
      </c>
      <c r="AC182" s="284"/>
      <c r="AD182" s="284"/>
    </row>
    <row r="183" ht="14.25" customHeight="1">
      <c r="A183" s="265">
        <v>44220.0</v>
      </c>
      <c r="B183" s="266" t="s">
        <v>1500</v>
      </c>
      <c r="C183" s="266"/>
      <c r="D183" s="266" t="s">
        <v>1457</v>
      </c>
      <c r="E183" s="268"/>
      <c r="F183" s="358" t="s">
        <v>3010</v>
      </c>
      <c r="G183" s="268" t="s">
        <v>2085</v>
      </c>
      <c r="H183" s="270">
        <v>0.017638888888888888</v>
      </c>
      <c r="I183" s="271">
        <v>44221.45</v>
      </c>
      <c r="J183" s="268"/>
      <c r="K183" s="271">
        <v>44221.84097222222</v>
      </c>
      <c r="L183" s="271"/>
      <c r="M183" s="359" t="s">
        <v>2524</v>
      </c>
      <c r="N183" s="300"/>
      <c r="O183" s="301"/>
      <c r="P183" s="301"/>
      <c r="Q183" s="301"/>
      <c r="R183" s="272"/>
      <c r="S183" s="272"/>
      <c r="T183" s="272"/>
      <c r="U183" s="279"/>
      <c r="V183" s="279" t="s">
        <v>1783</v>
      </c>
      <c r="W183" s="280">
        <v>44223.0</v>
      </c>
      <c r="X183" s="281">
        <v>0.034722222222222224</v>
      </c>
      <c r="Y183" s="281" t="s">
        <v>1693</v>
      </c>
      <c r="Z183" s="282" t="s">
        <v>53</v>
      </c>
      <c r="AA183" s="282" t="s">
        <v>3010</v>
      </c>
      <c r="AB183" s="283">
        <v>44222.0</v>
      </c>
      <c r="AC183" s="284"/>
      <c r="AD183" s="284"/>
    </row>
    <row r="184" ht="14.25" customHeight="1">
      <c r="A184" s="265">
        <v>44220.0</v>
      </c>
      <c r="B184" s="266" t="s">
        <v>1500</v>
      </c>
      <c r="C184" s="266"/>
      <c r="D184" s="266" t="s">
        <v>2829</v>
      </c>
      <c r="E184" s="268"/>
      <c r="F184" s="358" t="s">
        <v>3011</v>
      </c>
      <c r="G184" s="268" t="s">
        <v>2085</v>
      </c>
      <c r="H184" s="270">
        <v>0.018391203703703705</v>
      </c>
      <c r="I184" s="271">
        <v>44221.42986111111</v>
      </c>
      <c r="J184" s="268"/>
      <c r="K184" s="271">
        <v>44221.84097222222</v>
      </c>
      <c r="L184" s="271"/>
      <c r="M184" s="307" t="s">
        <v>2808</v>
      </c>
      <c r="N184" s="271">
        <v>44222.62777777778</v>
      </c>
      <c r="O184" s="301" t="s">
        <v>3012</v>
      </c>
      <c r="P184" s="301" t="s">
        <v>1463</v>
      </c>
      <c r="Q184" s="301" t="s">
        <v>1819</v>
      </c>
      <c r="R184" s="361">
        <v>44223.436273148145</v>
      </c>
      <c r="S184" s="361"/>
      <c r="T184" s="272" t="s">
        <v>1499</v>
      </c>
      <c r="U184" s="279"/>
      <c r="V184" s="279"/>
      <c r="W184" s="280"/>
      <c r="X184" s="281"/>
      <c r="Y184" s="281" t="s">
        <v>1693</v>
      </c>
      <c r="Z184" s="282" t="s">
        <v>53</v>
      </c>
      <c r="AA184" s="282" t="s">
        <v>3011</v>
      </c>
      <c r="AB184" s="283">
        <v>44223.0</v>
      </c>
      <c r="AC184" s="284"/>
      <c r="AD184" s="284"/>
    </row>
    <row r="185" ht="14.25" customHeight="1">
      <c r="A185" s="265">
        <v>44221.0</v>
      </c>
      <c r="B185" s="266" t="s">
        <v>1500</v>
      </c>
      <c r="C185" s="266"/>
      <c r="D185" s="266" t="s">
        <v>1455</v>
      </c>
      <c r="E185" s="268"/>
      <c r="F185" s="269" t="s">
        <v>3013</v>
      </c>
      <c r="G185" s="268" t="s">
        <v>1463</v>
      </c>
      <c r="H185" s="270">
        <v>0.004293981481481481</v>
      </c>
      <c r="I185" s="271">
        <v>44225.94236111111</v>
      </c>
      <c r="J185" s="268"/>
      <c r="K185" s="271">
        <v>44226.280069444445</v>
      </c>
      <c r="L185" s="271"/>
      <c r="M185" s="272" t="s">
        <v>3014</v>
      </c>
      <c r="N185" s="271"/>
      <c r="O185" s="301"/>
      <c r="P185" s="301"/>
      <c r="Q185" s="301"/>
      <c r="R185" s="301"/>
      <c r="S185" s="301"/>
      <c r="T185" s="301"/>
      <c r="U185" s="279"/>
      <c r="V185" s="279" t="s">
        <v>1783</v>
      </c>
      <c r="W185" s="280">
        <v>44228.0</v>
      </c>
      <c r="X185" s="281">
        <v>0.010416666666666666</v>
      </c>
      <c r="Y185" s="281" t="s">
        <v>1693</v>
      </c>
      <c r="Z185" s="282" t="s">
        <v>1570</v>
      </c>
      <c r="AA185" s="282">
        <v>6321782.0</v>
      </c>
      <c r="AB185" s="283">
        <v>44229.0</v>
      </c>
      <c r="AC185" s="284"/>
      <c r="AD185" s="284"/>
    </row>
    <row r="186" ht="14.25" customHeight="1">
      <c r="A186" s="265">
        <v>44221.0</v>
      </c>
      <c r="B186" s="266" t="s">
        <v>1500</v>
      </c>
      <c r="C186" s="266" t="s">
        <v>1696</v>
      </c>
      <c r="D186" s="266" t="s">
        <v>1543</v>
      </c>
      <c r="E186" s="268"/>
      <c r="F186" s="269" t="s">
        <v>3015</v>
      </c>
      <c r="G186" s="268" t="s">
        <v>1463</v>
      </c>
      <c r="H186" s="270">
        <v>0.005439814814814815</v>
      </c>
      <c r="I186" s="271">
        <v>44229.75</v>
      </c>
      <c r="J186" s="268"/>
      <c r="K186" s="271">
        <v>44229.79185185185</v>
      </c>
      <c r="L186" s="271"/>
      <c r="M186" s="272" t="s">
        <v>3016</v>
      </c>
      <c r="N186" s="271"/>
      <c r="O186" s="274"/>
      <c r="P186" s="274"/>
      <c r="Q186" s="274"/>
      <c r="R186" s="274"/>
      <c r="S186" s="274"/>
      <c r="T186" s="274"/>
      <c r="U186" s="279"/>
      <c r="V186" s="279" t="s">
        <v>1733</v>
      </c>
      <c r="W186" s="280">
        <v>44245.0</v>
      </c>
      <c r="X186" s="281">
        <v>0.009027777777777779</v>
      </c>
      <c r="Y186" s="281" t="s">
        <v>1693</v>
      </c>
      <c r="Z186" s="282" t="s">
        <v>1570</v>
      </c>
      <c r="AA186" s="282">
        <v>6322812.0</v>
      </c>
      <c r="AB186" s="283">
        <v>44233.0</v>
      </c>
      <c r="AC186" s="284"/>
      <c r="AD186" s="284"/>
    </row>
    <row r="187" ht="14.25" customHeight="1">
      <c r="A187" s="265">
        <v>44221.0</v>
      </c>
      <c r="B187" s="266" t="s">
        <v>1500</v>
      </c>
      <c r="C187" s="266"/>
      <c r="D187" s="266" t="s">
        <v>1450</v>
      </c>
      <c r="E187" s="268"/>
      <c r="F187" s="358" t="s">
        <v>3017</v>
      </c>
      <c r="G187" s="268" t="s">
        <v>2085</v>
      </c>
      <c r="H187" s="270">
        <v>0.09940972222222222</v>
      </c>
      <c r="I187" s="271">
        <v>44221.43958333333</v>
      </c>
      <c r="J187" s="268"/>
      <c r="K187" s="271">
        <v>44221.96527777778</v>
      </c>
      <c r="L187" s="271"/>
      <c r="M187" s="359" t="s">
        <v>2524</v>
      </c>
      <c r="N187" s="271"/>
      <c r="O187" s="301"/>
      <c r="P187" s="301"/>
      <c r="Q187" s="301"/>
      <c r="R187" s="301"/>
      <c r="S187" s="301"/>
      <c r="T187" s="301"/>
      <c r="U187" s="279"/>
      <c r="V187" s="279" t="s">
        <v>1570</v>
      </c>
      <c r="W187" s="280">
        <v>44223.0</v>
      </c>
      <c r="X187" s="281">
        <v>0.3125</v>
      </c>
      <c r="Y187" s="281" t="s">
        <v>1693</v>
      </c>
      <c r="Z187" s="282" t="s">
        <v>53</v>
      </c>
      <c r="AA187" s="282" t="s">
        <v>3017</v>
      </c>
      <c r="AB187" s="283">
        <v>44222.0</v>
      </c>
      <c r="AC187" s="284"/>
      <c r="AD187" s="284"/>
    </row>
    <row r="188" ht="14.25" customHeight="1">
      <c r="A188" s="265">
        <v>44221.0</v>
      </c>
      <c r="B188" s="266" t="s">
        <v>1500</v>
      </c>
      <c r="C188" s="266"/>
      <c r="D188" s="266" t="s">
        <v>1452</v>
      </c>
      <c r="E188" s="268"/>
      <c r="F188" s="358" t="s">
        <v>3018</v>
      </c>
      <c r="G188" s="268" t="s">
        <v>2085</v>
      </c>
      <c r="H188" s="270">
        <v>0.007592592592592593</v>
      </c>
      <c r="I188" s="271">
        <v>44221.45</v>
      </c>
      <c r="J188" s="268"/>
      <c r="K188" s="271" t="s">
        <v>3019</v>
      </c>
      <c r="L188" s="271"/>
      <c r="M188" s="359" t="s">
        <v>2524</v>
      </c>
      <c r="N188" s="271"/>
      <c r="O188" s="301"/>
      <c r="P188" s="301"/>
      <c r="Q188" s="301"/>
      <c r="R188" s="301"/>
      <c r="S188" s="301"/>
      <c r="T188" s="301"/>
      <c r="U188" s="279"/>
      <c r="V188" s="279" t="s">
        <v>1783</v>
      </c>
      <c r="W188" s="280">
        <v>43858.0</v>
      </c>
      <c r="X188" s="281">
        <v>0.034722222222222224</v>
      </c>
      <c r="Y188" s="281" t="s">
        <v>1693</v>
      </c>
      <c r="Z188" s="282" t="s">
        <v>53</v>
      </c>
      <c r="AA188" s="282" t="s">
        <v>3018</v>
      </c>
      <c r="AB188" s="283">
        <v>44222.0</v>
      </c>
      <c r="AC188" s="284"/>
      <c r="AD188" s="284"/>
    </row>
    <row r="189" ht="14.25" customHeight="1">
      <c r="A189" s="265">
        <v>44221.0</v>
      </c>
      <c r="B189" s="266" t="s">
        <v>1500</v>
      </c>
      <c r="C189" s="266"/>
      <c r="D189" s="266" t="s">
        <v>1686</v>
      </c>
      <c r="E189" s="268"/>
      <c r="F189" s="358" t="s">
        <v>3020</v>
      </c>
      <c r="G189" s="268" t="s">
        <v>2085</v>
      </c>
      <c r="H189" s="270">
        <v>0.03934027777777777</v>
      </c>
      <c r="I189" s="271">
        <v>44221.69027777778</v>
      </c>
      <c r="J189" s="268"/>
      <c r="K189" s="271">
        <v>44221.76513888889</v>
      </c>
      <c r="L189" s="271"/>
      <c r="M189" s="359" t="s">
        <v>2524</v>
      </c>
      <c r="N189" s="271"/>
      <c r="O189" s="301"/>
      <c r="P189" s="301"/>
      <c r="Q189" s="301"/>
      <c r="R189" s="301"/>
      <c r="S189" s="301"/>
      <c r="T189" s="301"/>
      <c r="U189" s="279"/>
      <c r="V189" s="279" t="s">
        <v>1746</v>
      </c>
      <c r="W189" s="280">
        <v>44224.0</v>
      </c>
      <c r="X189" s="281">
        <v>0.2708333333333333</v>
      </c>
      <c r="Y189" s="281" t="s">
        <v>1693</v>
      </c>
      <c r="Z189" s="282" t="s">
        <v>53</v>
      </c>
      <c r="AA189" s="282" t="s">
        <v>3020</v>
      </c>
      <c r="AB189" s="283">
        <v>44222.0</v>
      </c>
      <c r="AC189" s="284"/>
      <c r="AD189" s="284"/>
    </row>
    <row r="190" ht="14.25" customHeight="1">
      <c r="A190" s="265">
        <v>44221.0</v>
      </c>
      <c r="B190" s="266" t="s">
        <v>1733</v>
      </c>
      <c r="C190" s="266"/>
      <c r="D190" s="266" t="s">
        <v>1455</v>
      </c>
      <c r="E190" s="268"/>
      <c r="F190" s="358" t="s">
        <v>3021</v>
      </c>
      <c r="G190" s="268" t="s">
        <v>2085</v>
      </c>
      <c r="H190" s="270">
        <v>0.02130787037037037</v>
      </c>
      <c r="I190" s="271">
        <v>44222.001388888886</v>
      </c>
      <c r="J190" s="268"/>
      <c r="K190" s="271">
        <v>44223.528402777774</v>
      </c>
      <c r="L190" s="271"/>
      <c r="M190" s="359" t="s">
        <v>2524</v>
      </c>
      <c r="N190" s="271"/>
      <c r="O190" s="301"/>
      <c r="P190" s="301"/>
      <c r="Q190" s="301"/>
      <c r="R190" s="301"/>
      <c r="S190" s="301"/>
      <c r="T190" s="301"/>
      <c r="U190" s="279"/>
      <c r="V190" s="279" t="s">
        <v>1783</v>
      </c>
      <c r="W190" s="280">
        <v>44223.0</v>
      </c>
      <c r="X190" s="281">
        <v>0.10416666666666667</v>
      </c>
      <c r="Y190" s="281" t="s">
        <v>1693</v>
      </c>
      <c r="Z190" s="282" t="s">
        <v>53</v>
      </c>
      <c r="AA190" s="282" t="s">
        <v>3021</v>
      </c>
      <c r="AB190" s="283">
        <v>44222.0</v>
      </c>
      <c r="AC190" s="284"/>
      <c r="AD190" s="284"/>
    </row>
    <row r="191" ht="14.25" customHeight="1">
      <c r="A191" s="265">
        <v>44222.0</v>
      </c>
      <c r="B191" s="266" t="s">
        <v>1500</v>
      </c>
      <c r="C191" s="266" t="s">
        <v>1696</v>
      </c>
      <c r="D191" s="266" t="s">
        <v>1543</v>
      </c>
      <c r="E191" s="268"/>
      <c r="F191" s="291" t="s">
        <v>3022</v>
      </c>
      <c r="G191" s="268" t="s">
        <v>1463</v>
      </c>
      <c r="H191" s="270">
        <v>0.0015046296296296294</v>
      </c>
      <c r="I191" s="271">
        <v>44223.49166666667</v>
      </c>
      <c r="J191" s="268"/>
      <c r="K191" s="271">
        <v>44223.597280092596</v>
      </c>
      <c r="L191" s="271"/>
      <c r="M191" s="272" t="s">
        <v>3023</v>
      </c>
      <c r="N191" s="300"/>
      <c r="O191" s="301"/>
      <c r="P191" s="301"/>
      <c r="Q191" s="301"/>
      <c r="R191" s="272"/>
      <c r="S191" s="272"/>
      <c r="T191" s="272"/>
      <c r="U191" s="279"/>
      <c r="V191" s="279" t="s">
        <v>1733</v>
      </c>
      <c r="W191" s="280">
        <v>44245.0</v>
      </c>
      <c r="X191" s="281">
        <v>0.006944444444444444</v>
      </c>
      <c r="Y191" s="281" t="s">
        <v>1693</v>
      </c>
      <c r="Z191" s="282" t="s">
        <v>53</v>
      </c>
      <c r="AA191" s="282">
        <v>6320827.0</v>
      </c>
      <c r="AB191" s="283">
        <v>44225.0</v>
      </c>
      <c r="AC191" s="284"/>
      <c r="AD191" s="284"/>
    </row>
    <row r="192" ht="14.25" customHeight="1">
      <c r="A192" s="265">
        <v>44222.0</v>
      </c>
      <c r="B192" s="266" t="s">
        <v>1500</v>
      </c>
      <c r="C192" s="266" t="s">
        <v>1455</v>
      </c>
      <c r="D192" s="266" t="s">
        <v>1543</v>
      </c>
      <c r="E192" s="268"/>
      <c r="F192" s="291" t="s">
        <v>3024</v>
      </c>
      <c r="G192" s="268" t="s">
        <v>1463</v>
      </c>
      <c r="H192" s="270">
        <v>0.0010185185185185186</v>
      </c>
      <c r="I192" s="271">
        <v>44223.49166666667</v>
      </c>
      <c r="J192" s="268"/>
      <c r="K192" s="271">
        <v>44223.48065972222</v>
      </c>
      <c r="L192" s="271"/>
      <c r="M192" s="272" t="s">
        <v>3025</v>
      </c>
      <c r="N192" s="300"/>
      <c r="O192" s="301"/>
      <c r="P192" s="301"/>
      <c r="Q192" s="301"/>
      <c r="R192" s="272"/>
      <c r="S192" s="272"/>
      <c r="T192" s="272"/>
      <c r="U192" s="279"/>
      <c r="V192" s="279" t="s">
        <v>1733</v>
      </c>
      <c r="W192" s="280">
        <v>44245.0</v>
      </c>
      <c r="X192" s="281">
        <v>0.010416666666666666</v>
      </c>
      <c r="Y192" s="281" t="s">
        <v>1693</v>
      </c>
      <c r="Z192" s="282" t="s">
        <v>53</v>
      </c>
      <c r="AA192" s="282">
        <v>6320828.0</v>
      </c>
      <c r="AB192" s="283">
        <v>44225.0</v>
      </c>
      <c r="AC192" s="284"/>
      <c r="AD192" s="284"/>
    </row>
    <row r="193" ht="14.25" customHeight="1">
      <c r="A193" s="265">
        <v>44222.0</v>
      </c>
      <c r="B193" s="266" t="s">
        <v>1500</v>
      </c>
      <c r="C193" s="266" t="s">
        <v>1450</v>
      </c>
      <c r="D193" s="266" t="s">
        <v>1543</v>
      </c>
      <c r="E193" s="268"/>
      <c r="F193" s="291" t="s">
        <v>3026</v>
      </c>
      <c r="G193" s="268" t="s">
        <v>1463</v>
      </c>
      <c r="H193" s="270">
        <v>0.0011805555555555556</v>
      </c>
      <c r="I193" s="271">
        <v>44223.49166666667</v>
      </c>
      <c r="J193" s="268"/>
      <c r="K193" s="271">
        <v>44223.46289351852</v>
      </c>
      <c r="L193" s="271"/>
      <c r="M193" s="272" t="s">
        <v>3027</v>
      </c>
      <c r="N193" s="300"/>
      <c r="O193" s="301"/>
      <c r="P193" s="301"/>
      <c r="Q193" s="301"/>
      <c r="R193" s="272"/>
      <c r="S193" s="272"/>
      <c r="T193" s="272"/>
      <c r="U193" s="279"/>
      <c r="V193" s="279" t="s">
        <v>3028</v>
      </c>
      <c r="W193" s="280">
        <v>44246.0</v>
      </c>
      <c r="X193" s="281">
        <v>0.013888888888888888</v>
      </c>
      <c r="Y193" s="281" t="s">
        <v>1693</v>
      </c>
      <c r="Z193" s="282" t="s">
        <v>53</v>
      </c>
      <c r="AA193" s="282">
        <v>6320829.0</v>
      </c>
      <c r="AB193" s="283">
        <v>44225.0</v>
      </c>
      <c r="AC193" s="284"/>
      <c r="AD193" s="284"/>
    </row>
    <row r="194" ht="14.25" customHeight="1">
      <c r="A194" s="265">
        <v>44222.0</v>
      </c>
      <c r="B194" s="266" t="s">
        <v>1500</v>
      </c>
      <c r="C194" s="266"/>
      <c r="D194" s="266" t="s">
        <v>1450</v>
      </c>
      <c r="E194" s="268"/>
      <c r="F194" s="358" t="s">
        <v>3029</v>
      </c>
      <c r="G194" s="268" t="s">
        <v>2085</v>
      </c>
      <c r="H194" s="270">
        <v>0.10065972222222223</v>
      </c>
      <c r="I194" s="271">
        <v>44222.65</v>
      </c>
      <c r="J194" s="268"/>
      <c r="K194" s="271">
        <v>44223.61109953704</v>
      </c>
      <c r="L194" s="271"/>
      <c r="M194" s="359" t="s">
        <v>2524</v>
      </c>
      <c r="N194" s="271"/>
      <c r="O194" s="301"/>
      <c r="P194" s="301"/>
      <c r="Q194" s="301"/>
      <c r="R194" s="272"/>
      <c r="S194" s="272"/>
      <c r="T194" s="274"/>
      <c r="U194" s="279"/>
      <c r="V194" s="279" t="s">
        <v>1570</v>
      </c>
      <c r="W194" s="280">
        <v>44224.0</v>
      </c>
      <c r="X194" s="281">
        <v>0.3125</v>
      </c>
      <c r="Y194" s="281" t="s">
        <v>1693</v>
      </c>
      <c r="Z194" s="282" t="s">
        <v>53</v>
      </c>
      <c r="AA194" s="282" t="s">
        <v>3029</v>
      </c>
      <c r="AB194" s="283">
        <v>44223.0</v>
      </c>
      <c r="AC194" s="284"/>
      <c r="AD194" s="284"/>
    </row>
    <row r="195" ht="14.25" customHeight="1">
      <c r="A195" s="265">
        <v>44222.0</v>
      </c>
      <c r="B195" s="266" t="s">
        <v>1500</v>
      </c>
      <c r="C195" s="266"/>
      <c r="D195" s="266" t="s">
        <v>1452</v>
      </c>
      <c r="E195" s="268"/>
      <c r="F195" s="358" t="s">
        <v>3030</v>
      </c>
      <c r="G195" s="268" t="s">
        <v>2085</v>
      </c>
      <c r="H195" s="270">
        <v>0.011331018518518518</v>
      </c>
      <c r="I195" s="271">
        <v>44222.65</v>
      </c>
      <c r="J195" s="268"/>
      <c r="K195" s="271">
        <v>44223.04482638889</v>
      </c>
      <c r="L195" s="271"/>
      <c r="M195" s="359" t="s">
        <v>2524</v>
      </c>
      <c r="N195" s="271"/>
      <c r="O195" s="301"/>
      <c r="P195" s="301"/>
      <c r="Q195" s="301"/>
      <c r="R195" s="272"/>
      <c r="S195" s="272"/>
      <c r="T195" s="272"/>
      <c r="U195" s="279"/>
      <c r="V195" s="279" t="s">
        <v>1783</v>
      </c>
      <c r="W195" s="280">
        <v>44224.0</v>
      </c>
      <c r="X195" s="281">
        <v>0.034722222222222224</v>
      </c>
      <c r="Y195" s="281" t="s">
        <v>1693</v>
      </c>
      <c r="Z195" s="282" t="s">
        <v>53</v>
      </c>
      <c r="AA195" s="282" t="s">
        <v>3030</v>
      </c>
      <c r="AB195" s="283">
        <v>44223.0</v>
      </c>
      <c r="AC195" s="284"/>
      <c r="AD195" s="284"/>
    </row>
    <row r="196" ht="14.25" customHeight="1">
      <c r="A196" s="265">
        <v>44222.0</v>
      </c>
      <c r="B196" s="266" t="s">
        <v>1500</v>
      </c>
      <c r="C196" s="266"/>
      <c r="D196" s="266" t="s">
        <v>1686</v>
      </c>
      <c r="E196" s="268"/>
      <c r="F196" s="358" t="s">
        <v>3031</v>
      </c>
      <c r="G196" s="268" t="s">
        <v>2085</v>
      </c>
      <c r="H196" s="270">
        <v>0.03799768518518518</v>
      </c>
      <c r="I196" s="271">
        <v>44222.65</v>
      </c>
      <c r="J196" s="268"/>
      <c r="K196" s="271">
        <v>44223.06144675926</v>
      </c>
      <c r="L196" s="271"/>
      <c r="M196" s="359" t="s">
        <v>2524</v>
      </c>
      <c r="N196" s="271"/>
      <c r="O196" s="301"/>
      <c r="P196" s="301"/>
      <c r="Q196" s="301"/>
      <c r="R196" s="272"/>
      <c r="S196" s="272"/>
      <c r="T196" s="272"/>
      <c r="U196" s="279"/>
      <c r="V196" s="279" t="s">
        <v>1746</v>
      </c>
      <c r="W196" s="280">
        <v>44225.0</v>
      </c>
      <c r="X196" s="281">
        <v>0.2708333333333333</v>
      </c>
      <c r="Y196" s="281" t="s">
        <v>1693</v>
      </c>
      <c r="Z196" s="282" t="s">
        <v>53</v>
      </c>
      <c r="AA196" s="282" t="s">
        <v>3031</v>
      </c>
      <c r="AB196" s="283">
        <v>44223.0</v>
      </c>
      <c r="AC196" s="284"/>
      <c r="AD196" s="284"/>
    </row>
    <row r="197" ht="14.25" customHeight="1">
      <c r="A197" s="265">
        <v>44222.0</v>
      </c>
      <c r="B197" s="266" t="s">
        <v>1500</v>
      </c>
      <c r="C197" s="266"/>
      <c r="D197" s="266" t="s">
        <v>1455</v>
      </c>
      <c r="E197" s="268"/>
      <c r="F197" s="358" t="s">
        <v>3032</v>
      </c>
      <c r="G197" s="268" t="s">
        <v>2085</v>
      </c>
      <c r="H197" s="270">
        <v>0.022037037037037036</v>
      </c>
      <c r="I197" s="271">
        <v>44223.56597222222</v>
      </c>
      <c r="J197" s="268"/>
      <c r="K197" s="271">
        <v>44223.633425925924</v>
      </c>
      <c r="L197" s="271"/>
      <c r="M197" s="359" t="s">
        <v>2524</v>
      </c>
      <c r="N197" s="300"/>
      <c r="O197" s="301"/>
      <c r="P197" s="301"/>
      <c r="Q197" s="301"/>
      <c r="R197" s="272"/>
      <c r="S197" s="272"/>
      <c r="T197" s="272"/>
      <c r="U197" s="279"/>
      <c r="V197" s="279" t="s">
        <v>1783</v>
      </c>
      <c r="W197" s="280" t="s">
        <v>3033</v>
      </c>
      <c r="X197" s="281">
        <v>0.10416666666666667</v>
      </c>
      <c r="Y197" s="281" t="s">
        <v>1693</v>
      </c>
      <c r="Z197" s="282" t="s">
        <v>53</v>
      </c>
      <c r="AA197" s="282" t="s">
        <v>3032</v>
      </c>
      <c r="AB197" s="283">
        <v>44224.0</v>
      </c>
      <c r="AC197" s="284"/>
      <c r="AD197" s="284"/>
    </row>
    <row r="198" ht="14.25" customHeight="1">
      <c r="A198" s="265">
        <v>44223.0</v>
      </c>
      <c r="B198" s="266" t="s">
        <v>1500</v>
      </c>
      <c r="C198" s="266" t="s">
        <v>1450</v>
      </c>
      <c r="D198" s="266" t="s">
        <v>1543</v>
      </c>
      <c r="E198" s="268"/>
      <c r="F198" s="269" t="s">
        <v>3034</v>
      </c>
      <c r="G198" s="268" t="s">
        <v>1463</v>
      </c>
      <c r="H198" s="270">
        <v>0.001412037037037037</v>
      </c>
      <c r="I198" s="271">
        <v>44229.75</v>
      </c>
      <c r="J198" s="268"/>
      <c r="K198" s="271">
        <v>44229.891805555555</v>
      </c>
      <c r="L198" s="271"/>
      <c r="M198" s="307" t="s">
        <v>3035</v>
      </c>
      <c r="N198" s="319">
        <v>44230.722916666666</v>
      </c>
      <c r="O198" s="301" t="s">
        <v>3034</v>
      </c>
      <c r="P198" s="301" t="s">
        <v>1463</v>
      </c>
      <c r="Q198" s="301" t="s">
        <v>1819</v>
      </c>
      <c r="R198" s="361">
        <v>44230.773194444446</v>
      </c>
      <c r="S198" s="307"/>
      <c r="T198" s="272" t="s">
        <v>3036</v>
      </c>
      <c r="U198" s="279"/>
      <c r="V198" s="279" t="s">
        <v>1733</v>
      </c>
      <c r="W198" s="280">
        <v>44246.0</v>
      </c>
      <c r="X198" s="281">
        <v>0.010416666666666666</v>
      </c>
      <c r="Y198" s="279" t="s">
        <v>1693</v>
      </c>
      <c r="Z198" s="282" t="s">
        <v>1570</v>
      </c>
      <c r="AA198" s="282">
        <v>6322813.0</v>
      </c>
      <c r="AB198" s="283">
        <v>44233.0</v>
      </c>
      <c r="AC198" s="284"/>
      <c r="AD198" s="284"/>
    </row>
    <row r="199" ht="14.25" customHeight="1">
      <c r="A199" s="265">
        <v>44223.0</v>
      </c>
      <c r="B199" s="266" t="s">
        <v>1500</v>
      </c>
      <c r="C199" s="266"/>
      <c r="D199" s="266" t="s">
        <v>1450</v>
      </c>
      <c r="E199" s="268"/>
      <c r="F199" s="358" t="s">
        <v>3037</v>
      </c>
      <c r="G199" s="268" t="s">
        <v>2085</v>
      </c>
      <c r="H199" s="270">
        <v>0.09864583333333334</v>
      </c>
      <c r="I199" s="271">
        <v>44223.56597222222</v>
      </c>
      <c r="J199" s="268"/>
      <c r="K199" s="271">
        <v>44224.739652777775</v>
      </c>
      <c r="L199" s="271"/>
      <c r="M199" s="359" t="s">
        <v>2524</v>
      </c>
      <c r="N199" s="306"/>
      <c r="O199" s="274"/>
      <c r="P199" s="274"/>
      <c r="Q199" s="274"/>
      <c r="R199" s="307"/>
      <c r="S199" s="307"/>
      <c r="T199" s="307"/>
      <c r="U199" s="279"/>
      <c r="V199" s="279" t="s">
        <v>1570</v>
      </c>
      <c r="W199" s="280">
        <v>44225.0</v>
      </c>
      <c r="X199" s="281">
        <v>0.3125</v>
      </c>
      <c r="Y199" s="279" t="s">
        <v>1693</v>
      </c>
      <c r="Z199" s="282" t="s">
        <v>53</v>
      </c>
      <c r="AA199" s="282" t="s">
        <v>3037</v>
      </c>
      <c r="AB199" s="283">
        <v>44224.0</v>
      </c>
      <c r="AC199" s="284"/>
      <c r="AD199" s="284"/>
    </row>
    <row r="200" ht="14.25" customHeight="1">
      <c r="A200" s="265">
        <v>44223.0</v>
      </c>
      <c r="B200" s="266" t="s">
        <v>1500</v>
      </c>
      <c r="C200" s="266"/>
      <c r="D200" s="266" t="s">
        <v>1452</v>
      </c>
      <c r="E200" s="268"/>
      <c r="F200" s="358" t="s">
        <v>3038</v>
      </c>
      <c r="G200" s="268" t="s">
        <v>2085</v>
      </c>
      <c r="H200" s="270">
        <v>0.01042824074074074</v>
      </c>
      <c r="I200" s="271">
        <v>44223.56597222222</v>
      </c>
      <c r="J200" s="268"/>
      <c r="K200" s="271">
        <v>44223.997708333336</v>
      </c>
      <c r="L200" s="271"/>
      <c r="M200" s="359" t="s">
        <v>2524</v>
      </c>
      <c r="N200" s="306"/>
      <c r="O200" s="274"/>
      <c r="P200" s="274"/>
      <c r="Q200" s="274"/>
      <c r="R200" s="307"/>
      <c r="S200" s="307"/>
      <c r="T200" s="307"/>
      <c r="U200" s="279"/>
      <c r="V200" s="279" t="s">
        <v>1783</v>
      </c>
      <c r="W200" s="280">
        <v>44225.0</v>
      </c>
      <c r="X200" s="281">
        <v>0.034722222222222224</v>
      </c>
      <c r="Y200" s="279" t="s">
        <v>1693</v>
      </c>
      <c r="Z200" s="282" t="s">
        <v>53</v>
      </c>
      <c r="AA200" s="282" t="s">
        <v>3038</v>
      </c>
      <c r="AB200" s="283">
        <v>44225.0</v>
      </c>
      <c r="AC200" s="284"/>
      <c r="AD200" s="284"/>
    </row>
    <row r="201" ht="14.25" customHeight="1">
      <c r="A201" s="265">
        <v>44223.0</v>
      </c>
      <c r="B201" s="266" t="s">
        <v>1500</v>
      </c>
      <c r="C201" s="266"/>
      <c r="D201" s="266" t="s">
        <v>1686</v>
      </c>
      <c r="E201" s="268"/>
      <c r="F201" s="358" t="s">
        <v>3039</v>
      </c>
      <c r="G201" s="268" t="s">
        <v>2085</v>
      </c>
      <c r="H201" s="270">
        <v>0.04041666666666667</v>
      </c>
      <c r="I201" s="271">
        <v>44223.56597222222</v>
      </c>
      <c r="J201" s="268"/>
      <c r="K201" s="271">
        <v>44223.9978587963</v>
      </c>
      <c r="L201" s="271"/>
      <c r="M201" s="359" t="s">
        <v>2524</v>
      </c>
      <c r="N201" s="306"/>
      <c r="O201" s="274"/>
      <c r="P201" s="274"/>
      <c r="Q201" s="274"/>
      <c r="R201" s="307"/>
      <c r="S201" s="307"/>
      <c r="T201" s="307"/>
      <c r="U201" s="279"/>
      <c r="V201" s="279" t="s">
        <v>1685</v>
      </c>
      <c r="W201" s="280">
        <v>44228.0</v>
      </c>
      <c r="X201" s="281">
        <v>0.1875</v>
      </c>
      <c r="Y201" s="279" t="s">
        <v>1693</v>
      </c>
      <c r="Z201" s="282" t="s">
        <v>53</v>
      </c>
      <c r="AA201" s="282" t="s">
        <v>3039</v>
      </c>
      <c r="AB201" s="283">
        <v>44224.0</v>
      </c>
      <c r="AC201" s="284"/>
      <c r="AD201" s="284"/>
    </row>
    <row r="202" ht="14.25" customHeight="1">
      <c r="A202" s="265">
        <v>44223.0</v>
      </c>
      <c r="B202" s="266" t="s">
        <v>1500</v>
      </c>
      <c r="C202" s="266"/>
      <c r="D202" s="266" t="s">
        <v>1455</v>
      </c>
      <c r="E202" s="268"/>
      <c r="F202" s="358" t="s">
        <v>3040</v>
      </c>
      <c r="G202" s="268" t="s">
        <v>2085</v>
      </c>
      <c r="H202" s="270">
        <v>0.02070601851851852</v>
      </c>
      <c r="I202" s="271">
        <v>44224.80902777778</v>
      </c>
      <c r="J202" s="268"/>
      <c r="K202" s="271">
        <v>44224.86650462963</v>
      </c>
      <c r="L202" s="271"/>
      <c r="M202" s="359" t="s">
        <v>2524</v>
      </c>
      <c r="N202" s="306"/>
      <c r="O202" s="274"/>
      <c r="P202" s="274"/>
      <c r="Q202" s="274"/>
      <c r="R202" s="307"/>
      <c r="S202" s="307"/>
      <c r="T202" s="307"/>
      <c r="U202" s="279"/>
      <c r="V202" s="279" t="s">
        <v>1783</v>
      </c>
      <c r="W202" s="280">
        <v>44225.0</v>
      </c>
      <c r="X202" s="281">
        <v>0.10416666666666667</v>
      </c>
      <c r="Y202" s="279" t="s">
        <v>1693</v>
      </c>
      <c r="Z202" s="282" t="s">
        <v>53</v>
      </c>
      <c r="AA202" s="282" t="s">
        <v>3040</v>
      </c>
      <c r="AB202" s="283">
        <v>44225.0</v>
      </c>
      <c r="AC202" s="284"/>
      <c r="AD202" s="284"/>
    </row>
    <row r="203" ht="14.25" customHeight="1">
      <c r="A203" s="265">
        <v>44224.0</v>
      </c>
      <c r="B203" s="266" t="s">
        <v>1500</v>
      </c>
      <c r="C203" s="266" t="s">
        <v>2471</v>
      </c>
      <c r="D203" s="266" t="s">
        <v>1543</v>
      </c>
      <c r="E203" s="268"/>
      <c r="F203" s="269" t="s">
        <v>3041</v>
      </c>
      <c r="G203" s="268" t="s">
        <v>1463</v>
      </c>
      <c r="H203" s="270">
        <v>0.0033333333333333335</v>
      </c>
      <c r="I203" s="271">
        <v>44229.75</v>
      </c>
      <c r="J203" s="268"/>
      <c r="K203" s="271">
        <v>44230.132893518516</v>
      </c>
      <c r="L203" s="271"/>
      <c r="M203" s="269">
        <v>6322173.0</v>
      </c>
      <c r="N203" s="300"/>
      <c r="O203" s="301"/>
      <c r="P203" s="301"/>
      <c r="Q203" s="301"/>
      <c r="R203" s="272"/>
      <c r="S203" s="272"/>
      <c r="T203" s="272"/>
      <c r="U203" s="279"/>
      <c r="V203" s="308" t="s">
        <v>1733</v>
      </c>
      <c r="W203" s="309">
        <v>44245.0</v>
      </c>
      <c r="X203" s="281">
        <v>0.010416666666666666</v>
      </c>
      <c r="Y203" s="281" t="s">
        <v>1693</v>
      </c>
      <c r="Z203" s="282" t="s">
        <v>1570</v>
      </c>
      <c r="AA203" s="282">
        <v>6322173.0</v>
      </c>
      <c r="AB203" s="283">
        <v>44230.0</v>
      </c>
      <c r="AC203" s="284"/>
      <c r="AD203" s="284"/>
    </row>
    <row r="204" ht="14.25" customHeight="1">
      <c r="A204" s="265">
        <v>44224.0</v>
      </c>
      <c r="B204" s="266" t="s">
        <v>1500</v>
      </c>
      <c r="C204" s="266" t="s">
        <v>1455</v>
      </c>
      <c r="D204" s="266" t="s">
        <v>1543</v>
      </c>
      <c r="E204" s="268"/>
      <c r="F204" s="269" t="s">
        <v>3042</v>
      </c>
      <c r="G204" s="268" t="s">
        <v>1463</v>
      </c>
      <c r="H204" s="270">
        <v>0.001412037037037037</v>
      </c>
      <c r="I204" s="271">
        <v>44230.72708333333</v>
      </c>
      <c r="J204" s="268"/>
      <c r="K204" s="271">
        <v>44230.77458333333</v>
      </c>
      <c r="L204" s="271"/>
      <c r="M204" s="272" t="s">
        <v>3043</v>
      </c>
      <c r="N204" s="300"/>
      <c r="O204" s="301"/>
      <c r="P204" s="301"/>
      <c r="Q204" s="301"/>
      <c r="R204" s="272"/>
      <c r="S204" s="272"/>
      <c r="T204" s="272"/>
      <c r="U204" s="279"/>
      <c r="V204" s="308" t="s">
        <v>1500</v>
      </c>
      <c r="W204" s="309">
        <v>44249.0</v>
      </c>
      <c r="X204" s="281">
        <v>0.020833333333333332</v>
      </c>
      <c r="Y204" s="281" t="s">
        <v>1693</v>
      </c>
      <c r="Z204" s="282" t="s">
        <v>1570</v>
      </c>
      <c r="AA204" s="282">
        <v>6322814.0</v>
      </c>
      <c r="AB204" s="283">
        <v>44233.0</v>
      </c>
      <c r="AC204" s="284"/>
      <c r="AD204" s="284"/>
    </row>
    <row r="205" ht="14.25" customHeight="1">
      <c r="A205" s="265">
        <v>44224.0</v>
      </c>
      <c r="B205" s="266" t="s">
        <v>1500</v>
      </c>
      <c r="C205" s="266"/>
      <c r="D205" s="266" t="s">
        <v>1450</v>
      </c>
      <c r="E205" s="268"/>
      <c r="F205" s="358" t="s">
        <v>3044</v>
      </c>
      <c r="G205" s="268" t="s">
        <v>2085</v>
      </c>
      <c r="H205" s="270">
        <v>0.09856481481481481</v>
      </c>
      <c r="I205" s="271">
        <v>44224.80902777778</v>
      </c>
      <c r="J205" s="268"/>
      <c r="K205" s="271">
        <v>44225.305659722224</v>
      </c>
      <c r="L205" s="271"/>
      <c r="M205" s="359" t="s">
        <v>2524</v>
      </c>
      <c r="N205" s="300"/>
      <c r="O205" s="301"/>
      <c r="P205" s="301"/>
      <c r="Q205" s="301"/>
      <c r="R205" s="272"/>
      <c r="S205" s="272"/>
      <c r="T205" s="272"/>
      <c r="U205" s="279"/>
      <c r="V205" s="308" t="s">
        <v>1772</v>
      </c>
      <c r="W205" s="309">
        <v>44236.0</v>
      </c>
      <c r="X205" s="310">
        <v>0.3125</v>
      </c>
      <c r="Y205" s="281" t="s">
        <v>1693</v>
      </c>
      <c r="Z205" s="282" t="s">
        <v>53</v>
      </c>
      <c r="AA205" s="282" t="s">
        <v>3044</v>
      </c>
      <c r="AB205" s="283">
        <v>44225.0</v>
      </c>
      <c r="AC205" s="284"/>
      <c r="AD205" s="284"/>
    </row>
    <row r="206" ht="14.25" customHeight="1">
      <c r="A206" s="265">
        <v>44224.0</v>
      </c>
      <c r="B206" s="266" t="s">
        <v>1500</v>
      </c>
      <c r="C206" s="266"/>
      <c r="D206" s="266" t="s">
        <v>1452</v>
      </c>
      <c r="E206" s="268"/>
      <c r="F206" s="358" t="s">
        <v>3045</v>
      </c>
      <c r="G206" s="268" t="s">
        <v>2085</v>
      </c>
      <c r="H206" s="270">
        <v>0.010416666666666666</v>
      </c>
      <c r="I206" s="271">
        <v>44224.81597222222</v>
      </c>
      <c r="J206" s="268"/>
      <c r="K206" s="271">
        <v>44225.74822916667</v>
      </c>
      <c r="L206" s="271"/>
      <c r="M206" s="359" t="s">
        <v>2524</v>
      </c>
      <c r="N206" s="300"/>
      <c r="O206" s="301"/>
      <c r="P206" s="301"/>
      <c r="Q206" s="301"/>
      <c r="R206" s="272"/>
      <c r="S206" s="272"/>
      <c r="T206" s="272"/>
      <c r="U206" s="279"/>
      <c r="V206" s="308" t="s">
        <v>1783</v>
      </c>
      <c r="W206" s="309">
        <v>44225.0</v>
      </c>
      <c r="X206" s="281">
        <v>0.034722222222222224</v>
      </c>
      <c r="Y206" s="281" t="s">
        <v>1693</v>
      </c>
      <c r="Z206" s="282" t="s">
        <v>53</v>
      </c>
      <c r="AA206" s="282" t="s">
        <v>3045</v>
      </c>
      <c r="AB206" s="283">
        <v>44225.0</v>
      </c>
      <c r="AC206" s="284"/>
      <c r="AD206" s="284"/>
    </row>
    <row r="207" ht="14.25" customHeight="1">
      <c r="A207" s="265">
        <v>44224.0</v>
      </c>
      <c r="B207" s="266" t="s">
        <v>1500</v>
      </c>
      <c r="C207" s="266"/>
      <c r="D207" s="266" t="s">
        <v>1686</v>
      </c>
      <c r="E207" s="268"/>
      <c r="F207" s="358" t="s">
        <v>3046</v>
      </c>
      <c r="G207" s="268" t="s">
        <v>2085</v>
      </c>
      <c r="H207" s="270">
        <v>0.03758101851851852</v>
      </c>
      <c r="I207" s="271">
        <v>44224.80902777778</v>
      </c>
      <c r="J207" s="268"/>
      <c r="K207" s="271">
        <v>44225.22761574074</v>
      </c>
      <c r="L207" s="271"/>
      <c r="M207" s="359" t="s">
        <v>2524</v>
      </c>
      <c r="N207" s="300"/>
      <c r="O207" s="301"/>
      <c r="P207" s="301"/>
      <c r="Q207" s="301"/>
      <c r="R207" s="272"/>
      <c r="S207" s="272"/>
      <c r="T207" s="272"/>
      <c r="U207" s="279"/>
      <c r="V207" s="279" t="s">
        <v>1685</v>
      </c>
      <c r="W207" s="280">
        <v>44228.0</v>
      </c>
      <c r="X207" s="310"/>
      <c r="Y207" s="281" t="s">
        <v>1693</v>
      </c>
      <c r="Z207" s="282" t="s">
        <v>53</v>
      </c>
      <c r="AA207" s="282" t="s">
        <v>3046</v>
      </c>
      <c r="AB207" s="283">
        <v>44225.0</v>
      </c>
      <c r="AC207" s="284"/>
      <c r="AD207" s="284"/>
    </row>
    <row r="208" ht="14.25" customHeight="1">
      <c r="A208" s="265">
        <v>44224.0</v>
      </c>
      <c r="B208" s="266" t="s">
        <v>1500</v>
      </c>
      <c r="C208" s="266"/>
      <c r="D208" s="266" t="s">
        <v>1455</v>
      </c>
      <c r="E208" s="268"/>
      <c r="F208" s="358" t="s">
        <v>3047</v>
      </c>
      <c r="G208" s="268" t="s">
        <v>2085</v>
      </c>
      <c r="H208" s="270">
        <v>0.02101851851851852</v>
      </c>
      <c r="I208" s="271">
        <v>44225.92013888889</v>
      </c>
      <c r="J208" s="268"/>
      <c r="K208" s="271">
        <v>44225.977627314816</v>
      </c>
      <c r="L208" s="271"/>
      <c r="M208" s="359" t="s">
        <v>2524</v>
      </c>
      <c r="N208" s="300"/>
      <c r="O208" s="301"/>
      <c r="P208" s="301"/>
      <c r="Q208" s="301"/>
      <c r="R208" s="272"/>
      <c r="S208" s="272"/>
      <c r="T208" s="272"/>
      <c r="U208" s="279"/>
      <c r="V208" s="308" t="s">
        <v>1783</v>
      </c>
      <c r="W208" s="309">
        <v>44228.0</v>
      </c>
      <c r="X208" s="281">
        <v>0.10416666666666667</v>
      </c>
      <c r="Y208" s="281" t="s">
        <v>1693</v>
      </c>
      <c r="Z208" s="282" t="s">
        <v>53</v>
      </c>
      <c r="AA208" s="282" t="s">
        <v>3047</v>
      </c>
      <c r="AB208" s="283">
        <v>44226.0</v>
      </c>
      <c r="AC208" s="284"/>
      <c r="AD208" s="284"/>
    </row>
    <row r="209" ht="14.25" customHeight="1">
      <c r="A209" s="265">
        <v>44225.0</v>
      </c>
      <c r="B209" s="266" t="s">
        <v>1500</v>
      </c>
      <c r="C209" s="266"/>
      <c r="D209" s="266" t="s">
        <v>1450</v>
      </c>
      <c r="E209" s="268"/>
      <c r="F209" s="358" t="s">
        <v>3048</v>
      </c>
      <c r="G209" s="268" t="s">
        <v>2085</v>
      </c>
      <c r="H209" s="270">
        <v>0.09829861111111111</v>
      </c>
      <c r="I209" s="271">
        <v>44225.92013888889</v>
      </c>
      <c r="J209" s="268"/>
      <c r="K209" s="271">
        <v>44228.606400462966</v>
      </c>
      <c r="L209" s="271"/>
      <c r="M209" s="359" t="s">
        <v>2524</v>
      </c>
      <c r="N209" s="300"/>
      <c r="O209" s="301"/>
      <c r="P209" s="301"/>
      <c r="Q209" s="301"/>
      <c r="R209" s="272"/>
      <c r="S209" s="272"/>
      <c r="T209" s="272"/>
      <c r="U209" s="279"/>
      <c r="V209" s="279" t="s">
        <v>1733</v>
      </c>
      <c r="W209" s="280">
        <v>44228.0</v>
      </c>
      <c r="X209" s="281">
        <v>0.3263888888888889</v>
      </c>
      <c r="Y209" s="281" t="s">
        <v>1693</v>
      </c>
      <c r="Z209" s="282" t="s">
        <v>53</v>
      </c>
      <c r="AA209" s="282" t="s">
        <v>3048</v>
      </c>
      <c r="AB209" s="283">
        <v>44226.0</v>
      </c>
      <c r="AC209" s="284"/>
      <c r="AD209" s="284"/>
    </row>
    <row r="210" ht="14.25" customHeight="1">
      <c r="A210" s="265">
        <v>44225.0</v>
      </c>
      <c r="B210" s="266" t="s">
        <v>1500</v>
      </c>
      <c r="C210" s="266"/>
      <c r="D210" s="266" t="s">
        <v>1452</v>
      </c>
      <c r="E210" s="268"/>
      <c r="F210" s="358" t="s">
        <v>3049</v>
      </c>
      <c r="G210" s="268" t="s">
        <v>2085</v>
      </c>
      <c r="H210" s="270">
        <v>0.008935185185185187</v>
      </c>
      <c r="I210" s="271">
        <v>44225.92916666667</v>
      </c>
      <c r="J210" s="268"/>
      <c r="K210" s="271">
        <v>44226.27584490741</v>
      </c>
      <c r="L210" s="271"/>
      <c r="M210" s="359" t="s">
        <v>2524</v>
      </c>
      <c r="N210" s="300"/>
      <c r="O210" s="301"/>
      <c r="P210" s="301"/>
      <c r="Q210" s="301"/>
      <c r="R210" s="272"/>
      <c r="S210" s="272"/>
      <c r="T210" s="272"/>
      <c r="U210" s="279"/>
      <c r="V210" s="279" t="s">
        <v>1783</v>
      </c>
      <c r="W210" s="280">
        <v>44229.0</v>
      </c>
      <c r="X210" s="281">
        <v>0.034722222222222224</v>
      </c>
      <c r="Y210" s="281" t="s">
        <v>1693</v>
      </c>
      <c r="Z210" s="282" t="s">
        <v>53</v>
      </c>
      <c r="AA210" s="282" t="s">
        <v>3049</v>
      </c>
      <c r="AB210" s="283">
        <v>44226.0</v>
      </c>
      <c r="AC210" s="284"/>
      <c r="AD210" s="284"/>
    </row>
    <row r="211" ht="14.25" customHeight="1">
      <c r="A211" s="265">
        <v>44225.0</v>
      </c>
      <c r="B211" s="266" t="s">
        <v>1500</v>
      </c>
      <c r="C211" s="266"/>
      <c r="D211" s="266" t="s">
        <v>1686</v>
      </c>
      <c r="E211" s="268"/>
      <c r="F211" s="358" t="s">
        <v>3050</v>
      </c>
      <c r="G211" s="268" t="s">
        <v>2085</v>
      </c>
      <c r="H211" s="270">
        <v>0.04002314814814815</v>
      </c>
      <c r="I211" s="271">
        <v>44225.92916666667</v>
      </c>
      <c r="J211" s="268"/>
      <c r="K211" s="271">
        <v>44226.302152777775</v>
      </c>
      <c r="L211" s="271"/>
      <c r="M211" s="359" t="s">
        <v>2524</v>
      </c>
      <c r="N211" s="300"/>
      <c r="O211" s="301"/>
      <c r="P211" s="301"/>
      <c r="Q211" s="301"/>
      <c r="R211" s="272"/>
      <c r="S211" s="272"/>
      <c r="T211" s="272"/>
      <c r="U211" s="279"/>
      <c r="V211" s="279" t="s">
        <v>1685</v>
      </c>
      <c r="W211" s="280">
        <v>44230.0</v>
      </c>
      <c r="X211" s="281">
        <v>0.16666666666666666</v>
      </c>
      <c r="Y211" s="281" t="s">
        <v>1693</v>
      </c>
      <c r="Z211" s="282" t="s">
        <v>53</v>
      </c>
      <c r="AA211" s="282" t="s">
        <v>3050</v>
      </c>
      <c r="AB211" s="283">
        <v>44226.0</v>
      </c>
      <c r="AC211" s="284"/>
      <c r="AD211" s="284"/>
    </row>
    <row r="212" ht="14.25" customHeight="1">
      <c r="A212" s="265">
        <v>44225.0</v>
      </c>
      <c r="B212" s="266" t="s">
        <v>1500</v>
      </c>
      <c r="C212" s="266"/>
      <c r="D212" s="266" t="s">
        <v>1455</v>
      </c>
      <c r="E212" s="268"/>
      <c r="F212" s="358" t="s">
        <v>3051</v>
      </c>
      <c r="G212" s="268" t="s">
        <v>2085</v>
      </c>
      <c r="H212" s="270">
        <v>0.021435185185185186</v>
      </c>
      <c r="I212" s="271">
        <v>44225.92013888889</v>
      </c>
      <c r="J212" s="268"/>
      <c r="K212" s="271">
        <v>44228.55391203704</v>
      </c>
      <c r="L212" s="271"/>
      <c r="M212" s="359" t="s">
        <v>2524</v>
      </c>
      <c r="N212" s="300"/>
      <c r="O212" s="301"/>
      <c r="P212" s="301"/>
      <c r="Q212" s="301"/>
      <c r="R212" s="272"/>
      <c r="S212" s="272"/>
      <c r="T212" s="272"/>
      <c r="U212" s="279"/>
      <c r="V212" s="279" t="s">
        <v>1783</v>
      </c>
      <c r="W212" s="280">
        <v>44228.0</v>
      </c>
      <c r="X212" s="281">
        <v>0.10416666666666667</v>
      </c>
      <c r="Y212" s="281" t="s">
        <v>1693</v>
      </c>
      <c r="Z212" s="282" t="s">
        <v>53</v>
      </c>
      <c r="AA212" s="282" t="s">
        <v>3051</v>
      </c>
      <c r="AB212" s="283">
        <v>44226.0</v>
      </c>
      <c r="AC212" s="284"/>
      <c r="AD212" s="284"/>
    </row>
    <row r="213" ht="14.25" customHeight="1">
      <c r="A213" s="265">
        <v>44226.0</v>
      </c>
      <c r="B213" s="266" t="s">
        <v>2030</v>
      </c>
      <c r="C213" s="266"/>
      <c r="D213" s="266" t="s">
        <v>1686</v>
      </c>
      <c r="E213" s="268"/>
      <c r="F213" s="358" t="s">
        <v>3052</v>
      </c>
      <c r="G213" s="268" t="s">
        <v>2085</v>
      </c>
      <c r="H213" s="270">
        <v>0.03701388888888889</v>
      </c>
      <c r="I213" s="271">
        <v>44228.4375</v>
      </c>
      <c r="J213" s="268"/>
      <c r="K213" s="271">
        <v>44228.47793981482</v>
      </c>
      <c r="L213" s="271"/>
      <c r="M213" s="359" t="s">
        <v>2524</v>
      </c>
      <c r="N213" s="312"/>
      <c r="O213" s="313"/>
      <c r="P213" s="313"/>
      <c r="Q213" s="313"/>
      <c r="R213" s="311"/>
      <c r="S213" s="311"/>
      <c r="T213" s="311"/>
      <c r="U213" s="279"/>
      <c r="V213" s="279" t="s">
        <v>1685</v>
      </c>
      <c r="W213" s="280">
        <v>44229.0</v>
      </c>
      <c r="X213" s="281">
        <v>0.16666666666666666</v>
      </c>
      <c r="Y213" s="281" t="s">
        <v>1693</v>
      </c>
      <c r="Z213" s="282" t="s">
        <v>1570</v>
      </c>
      <c r="AA213" s="282" t="s">
        <v>3052</v>
      </c>
      <c r="AB213" s="283">
        <v>44228.0</v>
      </c>
      <c r="AC213" s="284"/>
      <c r="AD213" s="284"/>
    </row>
    <row r="214" ht="14.25" customHeight="1">
      <c r="A214" s="265">
        <v>44226.0</v>
      </c>
      <c r="B214" s="266" t="s">
        <v>1570</v>
      </c>
      <c r="C214" s="266"/>
      <c r="D214" s="266" t="s">
        <v>1455</v>
      </c>
      <c r="E214" s="268"/>
      <c r="F214" s="358" t="s">
        <v>3053</v>
      </c>
      <c r="G214" s="268" t="s">
        <v>2085</v>
      </c>
      <c r="H214" s="270">
        <v>0.015787037037037037</v>
      </c>
      <c r="I214" s="271">
        <v>44228.44375</v>
      </c>
      <c r="J214" s="268"/>
      <c r="K214" s="271">
        <v>44228.44405092593</v>
      </c>
      <c r="L214" s="271"/>
      <c r="M214" s="307" t="s">
        <v>2808</v>
      </c>
      <c r="N214" s="384">
        <v>44228.64861111111</v>
      </c>
      <c r="O214" s="313" t="s">
        <v>3054</v>
      </c>
      <c r="P214" s="276" t="s">
        <v>2085</v>
      </c>
      <c r="Q214" s="385" t="s">
        <v>1819</v>
      </c>
      <c r="R214" s="386">
        <v>44229.030798611115</v>
      </c>
      <c r="S214" s="387"/>
      <c r="T214" s="387" t="s">
        <v>3055</v>
      </c>
      <c r="U214" s="279"/>
      <c r="V214" s="279" t="s">
        <v>1783</v>
      </c>
      <c r="W214" s="280">
        <v>44229.0</v>
      </c>
      <c r="X214" s="281">
        <v>0.10416666666666667</v>
      </c>
      <c r="Y214" s="281" t="s">
        <v>1693</v>
      </c>
      <c r="Z214" s="282" t="s">
        <v>1570</v>
      </c>
      <c r="AA214" s="282" t="s">
        <v>3053</v>
      </c>
      <c r="AB214" s="283">
        <v>44229.0</v>
      </c>
      <c r="AC214" s="284"/>
      <c r="AD214" s="284"/>
    </row>
    <row r="215" ht="14.25" customHeight="1">
      <c r="A215" s="265">
        <v>44227.0</v>
      </c>
      <c r="B215" s="266" t="s">
        <v>1500</v>
      </c>
      <c r="C215" s="266"/>
      <c r="D215" s="266" t="s">
        <v>1457</v>
      </c>
      <c r="E215" s="268"/>
      <c r="F215" s="358" t="s">
        <v>3056</v>
      </c>
      <c r="G215" s="268" t="s">
        <v>2085</v>
      </c>
      <c r="H215" s="270">
        <v>0.017222222222222222</v>
      </c>
      <c r="I215" s="271">
        <v>44228.4375</v>
      </c>
      <c r="J215" s="268"/>
      <c r="K215" s="271">
        <v>44228.45512731482</v>
      </c>
      <c r="L215" s="271"/>
      <c r="M215" s="359" t="s">
        <v>2524</v>
      </c>
      <c r="N215" s="290"/>
      <c r="O215" s="276"/>
      <c r="P215" s="276"/>
      <c r="Q215" s="276"/>
      <c r="R215" s="278"/>
      <c r="S215" s="278"/>
      <c r="T215" s="278"/>
      <c r="U215" s="279"/>
      <c r="V215" s="279" t="s">
        <v>1783</v>
      </c>
      <c r="W215" s="280" t="s">
        <v>3057</v>
      </c>
      <c r="X215" s="281">
        <v>0.041666666666666664</v>
      </c>
      <c r="Y215" s="281" t="s">
        <v>1693</v>
      </c>
      <c r="Z215" s="282" t="s">
        <v>1570</v>
      </c>
      <c r="AA215" s="282" t="s">
        <v>3056</v>
      </c>
      <c r="AB215" s="283">
        <v>44228.0</v>
      </c>
      <c r="AC215" s="284"/>
      <c r="AD215" s="284"/>
    </row>
    <row r="216" ht="14.25" customHeight="1">
      <c r="A216" s="265">
        <v>44227.0</v>
      </c>
      <c r="B216" s="266" t="s">
        <v>1500</v>
      </c>
      <c r="C216" s="266"/>
      <c r="D216" s="266" t="s">
        <v>2829</v>
      </c>
      <c r="E216" s="268"/>
      <c r="F216" s="358" t="s">
        <v>3058</v>
      </c>
      <c r="G216" s="268" t="s">
        <v>2085</v>
      </c>
      <c r="H216" s="270">
        <v>0.018171296296296297</v>
      </c>
      <c r="I216" s="271">
        <v>44228.4375</v>
      </c>
      <c r="J216" s="268"/>
      <c r="K216" s="271">
        <v>44229.649039351854</v>
      </c>
      <c r="L216" s="271"/>
      <c r="M216" s="307" t="s">
        <v>2808</v>
      </c>
      <c r="N216" s="388">
        <v>44229.0</v>
      </c>
      <c r="O216" s="276" t="s">
        <v>3059</v>
      </c>
      <c r="P216" s="301" t="s">
        <v>1463</v>
      </c>
      <c r="Q216" s="276" t="s">
        <v>1819</v>
      </c>
      <c r="R216" s="277">
        <v>44230.06869212963</v>
      </c>
      <c r="S216" s="278"/>
      <c r="T216" s="278" t="s">
        <v>3060</v>
      </c>
      <c r="U216" s="279"/>
      <c r="V216" s="279"/>
      <c r="W216" s="280"/>
      <c r="X216" s="281"/>
      <c r="Y216" s="281" t="s">
        <v>1693</v>
      </c>
      <c r="Z216" s="282" t="s">
        <v>1570</v>
      </c>
      <c r="AA216" s="282" t="s">
        <v>3058</v>
      </c>
      <c r="AB216" s="283">
        <v>44233.0</v>
      </c>
      <c r="AC216" s="284"/>
      <c r="AD216" s="284"/>
    </row>
    <row r="217" ht="14.25" customHeight="1">
      <c r="A217" s="265">
        <v>44228.0</v>
      </c>
      <c r="B217" s="266" t="s">
        <v>1500</v>
      </c>
      <c r="C217" s="266" t="s">
        <v>2083</v>
      </c>
      <c r="D217" s="266" t="s">
        <v>1543</v>
      </c>
      <c r="E217" s="268"/>
      <c r="F217" s="269" t="s">
        <v>3061</v>
      </c>
      <c r="G217" s="268" t="s">
        <v>1463</v>
      </c>
      <c r="H217" s="270">
        <v>0.0017824074074074072</v>
      </c>
      <c r="I217" s="271">
        <v>44232.62222222222</v>
      </c>
      <c r="J217" s="268"/>
      <c r="K217" s="271">
        <v>44232.6334375</v>
      </c>
      <c r="L217" s="271"/>
      <c r="M217" s="272" t="s">
        <v>3062</v>
      </c>
      <c r="N217" s="290"/>
      <c r="O217" s="276"/>
      <c r="P217" s="276"/>
      <c r="Q217" s="276"/>
      <c r="R217" s="278"/>
      <c r="S217" s="278"/>
      <c r="T217" s="278"/>
      <c r="U217" s="279"/>
      <c r="V217" s="279" t="s">
        <v>1500</v>
      </c>
      <c r="W217" s="280">
        <v>44249.0</v>
      </c>
      <c r="X217" s="281">
        <v>0.020833333333333332</v>
      </c>
      <c r="Y217" s="281" t="s">
        <v>1691</v>
      </c>
      <c r="Z217" s="282" t="s">
        <v>1570</v>
      </c>
      <c r="AA217" s="282">
        <v>6323972.0</v>
      </c>
      <c r="AB217" s="283">
        <v>44235.0</v>
      </c>
      <c r="AC217" s="284"/>
      <c r="AD217" s="284"/>
    </row>
    <row r="218" ht="14.25" customHeight="1">
      <c r="A218" s="265">
        <v>44228.0</v>
      </c>
      <c r="B218" s="266" t="s">
        <v>1500</v>
      </c>
      <c r="C218" s="266" t="s">
        <v>2083</v>
      </c>
      <c r="D218" s="266" t="s">
        <v>1543</v>
      </c>
      <c r="E218" s="268"/>
      <c r="F218" s="269" t="s">
        <v>3063</v>
      </c>
      <c r="G218" s="268" t="s">
        <v>1463</v>
      </c>
      <c r="H218" s="270">
        <v>0.0018750000000000001</v>
      </c>
      <c r="I218" s="271">
        <v>44232.694444444445</v>
      </c>
      <c r="J218" s="268"/>
      <c r="K218" s="271">
        <v>44234.86732638889</v>
      </c>
      <c r="L218" s="271"/>
      <c r="M218" s="269">
        <v>6323973.0</v>
      </c>
      <c r="N218" s="290"/>
      <c r="O218" s="276"/>
      <c r="P218" s="301"/>
      <c r="Q218" s="276"/>
      <c r="R218" s="278"/>
      <c r="S218" s="278"/>
      <c r="T218" s="278"/>
      <c r="U218" s="279"/>
      <c r="V218" s="279" t="s">
        <v>1824</v>
      </c>
      <c r="W218" s="280">
        <v>44249.0</v>
      </c>
      <c r="X218" s="281">
        <v>0.011747685185185186</v>
      </c>
      <c r="Y218" s="281" t="s">
        <v>1693</v>
      </c>
      <c r="Z218" s="282" t="s">
        <v>1570</v>
      </c>
      <c r="AA218" s="282">
        <v>6323973.0</v>
      </c>
      <c r="AB218" s="283">
        <v>44235.0</v>
      </c>
      <c r="AC218" s="284"/>
      <c r="AD218" s="284"/>
    </row>
    <row r="219" ht="14.25" customHeight="1">
      <c r="A219" s="265">
        <v>44228.0</v>
      </c>
      <c r="B219" s="266" t="s">
        <v>1500</v>
      </c>
      <c r="C219" s="266"/>
      <c r="D219" s="266" t="s">
        <v>1450</v>
      </c>
      <c r="E219" s="268"/>
      <c r="F219" s="358" t="s">
        <v>3064</v>
      </c>
      <c r="G219" s="268" t="s">
        <v>2085</v>
      </c>
      <c r="H219" s="270">
        <v>0.09953703703703703</v>
      </c>
      <c r="I219" s="271">
        <v>44228.61319444444</v>
      </c>
      <c r="J219" s="268"/>
      <c r="K219" s="271">
        <v>44229.561747685184</v>
      </c>
      <c r="L219" s="271"/>
      <c r="M219" s="359" t="s">
        <v>2524</v>
      </c>
      <c r="N219" s="273"/>
      <c r="O219" s="275"/>
      <c r="P219" s="275"/>
      <c r="Q219" s="276"/>
      <c r="R219" s="278"/>
      <c r="S219" s="278"/>
      <c r="T219" s="315"/>
      <c r="U219" s="279"/>
      <c r="V219" s="279" t="s">
        <v>1733</v>
      </c>
      <c r="W219" s="280">
        <v>44229.0</v>
      </c>
      <c r="X219" s="281">
        <v>0.3333333333333333</v>
      </c>
      <c r="Y219" s="281" t="s">
        <v>1693</v>
      </c>
      <c r="Z219" s="282" t="s">
        <v>1570</v>
      </c>
      <c r="AA219" s="293" t="s">
        <v>3064</v>
      </c>
      <c r="AB219" s="283">
        <v>44229.0</v>
      </c>
      <c r="AC219" s="284"/>
      <c r="AD219" s="284"/>
    </row>
    <row r="220" ht="14.25" customHeight="1">
      <c r="A220" s="265">
        <v>44228.0</v>
      </c>
      <c r="B220" s="266" t="s">
        <v>1500</v>
      </c>
      <c r="C220" s="266"/>
      <c r="D220" s="266" t="s">
        <v>1452</v>
      </c>
      <c r="E220" s="268"/>
      <c r="F220" s="358" t="s">
        <v>3065</v>
      </c>
      <c r="G220" s="268" t="s">
        <v>2085</v>
      </c>
      <c r="H220" s="270">
        <v>0.009479166666666667</v>
      </c>
      <c r="I220" s="271">
        <v>44228.63680555556</v>
      </c>
      <c r="J220" s="268"/>
      <c r="K220" s="271">
        <v>44229.02722222222</v>
      </c>
      <c r="L220" s="271"/>
      <c r="M220" s="359" t="s">
        <v>2524</v>
      </c>
      <c r="N220" s="290"/>
      <c r="O220" s="276"/>
      <c r="P220" s="276"/>
      <c r="Q220" s="276"/>
      <c r="R220" s="278"/>
      <c r="S220" s="278"/>
      <c r="T220" s="278"/>
      <c r="U220" s="279"/>
      <c r="V220" s="279" t="s">
        <v>1783</v>
      </c>
      <c r="W220" s="280">
        <v>44230.0</v>
      </c>
      <c r="X220" s="281">
        <v>0.034722222222222224</v>
      </c>
      <c r="Y220" s="281" t="s">
        <v>1693</v>
      </c>
      <c r="Z220" s="282" t="s">
        <v>1570</v>
      </c>
      <c r="AA220" s="293" t="s">
        <v>3065</v>
      </c>
      <c r="AB220" s="283">
        <v>44229.0</v>
      </c>
      <c r="AC220" s="284"/>
      <c r="AD220" s="284"/>
    </row>
    <row r="221" ht="14.25" customHeight="1">
      <c r="A221" s="265">
        <v>44228.0</v>
      </c>
      <c r="B221" s="266" t="s">
        <v>1500</v>
      </c>
      <c r="C221" s="266"/>
      <c r="D221" s="266" t="s">
        <v>1686</v>
      </c>
      <c r="E221" s="268"/>
      <c r="F221" s="358" t="s">
        <v>3066</v>
      </c>
      <c r="G221" s="268" t="s">
        <v>2085</v>
      </c>
      <c r="H221" s="270">
        <v>0.03788194444444444</v>
      </c>
      <c r="I221" s="271">
        <v>44228.64513888889</v>
      </c>
      <c r="J221" s="268"/>
      <c r="K221" s="271">
        <v>44229.539675925924</v>
      </c>
      <c r="L221" s="271"/>
      <c r="M221" s="359" t="s">
        <v>2524</v>
      </c>
      <c r="N221" s="300"/>
      <c r="O221" s="301"/>
      <c r="P221" s="301"/>
      <c r="Q221" s="301"/>
      <c r="R221" s="272"/>
      <c r="S221" s="272"/>
      <c r="T221" s="272"/>
      <c r="U221" s="279"/>
      <c r="V221" s="279" t="s">
        <v>1685</v>
      </c>
      <c r="W221" s="280">
        <v>44229.0</v>
      </c>
      <c r="X221" s="281">
        <v>0.20833333333333334</v>
      </c>
      <c r="Y221" s="281" t="s">
        <v>1693</v>
      </c>
      <c r="Z221" s="282" t="s">
        <v>1570</v>
      </c>
      <c r="AA221" s="282" t="s">
        <v>3066</v>
      </c>
      <c r="AB221" s="283">
        <v>44229.0</v>
      </c>
      <c r="AC221" s="284"/>
      <c r="AD221" s="284"/>
    </row>
    <row r="222" ht="14.25" customHeight="1">
      <c r="A222" s="265">
        <v>44228.0</v>
      </c>
      <c r="B222" s="266" t="s">
        <v>1500</v>
      </c>
      <c r="C222" s="266"/>
      <c r="D222" s="266" t="s">
        <v>1455</v>
      </c>
      <c r="E222" s="268"/>
      <c r="F222" s="358" t="s">
        <v>3067</v>
      </c>
      <c r="G222" s="268" t="s">
        <v>2085</v>
      </c>
      <c r="H222" s="270">
        <v>0.021354166666666664</v>
      </c>
      <c r="I222" s="271">
        <v>44229.68194444444</v>
      </c>
      <c r="J222" s="268"/>
      <c r="K222" s="271">
        <v>44230.56637731481</v>
      </c>
      <c r="L222" s="271"/>
      <c r="M222" s="359" t="s">
        <v>2524</v>
      </c>
      <c r="N222" s="290"/>
      <c r="O222" s="276"/>
      <c r="P222" s="275"/>
      <c r="Q222" s="276"/>
      <c r="R222" s="278"/>
      <c r="S222" s="278"/>
      <c r="T222" s="278"/>
      <c r="U222" s="279"/>
      <c r="V222" s="279" t="s">
        <v>1783</v>
      </c>
      <c r="W222" s="280">
        <v>44230.0</v>
      </c>
      <c r="X222" s="281">
        <v>0.10416666666666667</v>
      </c>
      <c r="Y222" s="281" t="s">
        <v>1693</v>
      </c>
      <c r="Z222" s="282" t="s">
        <v>1570</v>
      </c>
      <c r="AA222" s="282" t="s">
        <v>3067</v>
      </c>
      <c r="AB222" s="283">
        <v>44229.0</v>
      </c>
      <c r="AC222" s="284"/>
      <c r="AD222" s="284"/>
    </row>
    <row r="223" ht="14.25" customHeight="1">
      <c r="A223" s="265">
        <v>44229.0</v>
      </c>
      <c r="B223" s="266" t="s">
        <v>1500</v>
      </c>
      <c r="C223" s="266" t="s">
        <v>2083</v>
      </c>
      <c r="D223" s="266" t="s">
        <v>1543</v>
      </c>
      <c r="E223" s="268"/>
      <c r="F223" s="269" t="s">
        <v>3068</v>
      </c>
      <c r="G223" s="268" t="s">
        <v>1463</v>
      </c>
      <c r="H223" s="270">
        <v>0.0015162037037037036</v>
      </c>
      <c r="I223" s="271">
        <v>44232.70763888889</v>
      </c>
      <c r="J223" s="268"/>
      <c r="K223" s="271">
        <v>44233.12001157407</v>
      </c>
      <c r="L223" s="271"/>
      <c r="M223" s="272" t="s">
        <v>3069</v>
      </c>
      <c r="N223" s="319"/>
      <c r="O223" s="317"/>
      <c r="P223" s="317"/>
      <c r="Q223" s="301"/>
      <c r="R223" s="361"/>
      <c r="S223" s="321"/>
      <c r="T223" s="316"/>
      <c r="U223" s="279"/>
      <c r="V223" s="279" t="s">
        <v>1500</v>
      </c>
      <c r="W223" s="280">
        <v>44250.0</v>
      </c>
      <c r="X223" s="281">
        <v>0.020833333333333332</v>
      </c>
      <c r="Y223" s="279" t="s">
        <v>1693</v>
      </c>
      <c r="Z223" s="282" t="s">
        <v>1570</v>
      </c>
      <c r="AA223" s="282">
        <v>6323974.0</v>
      </c>
      <c r="AB223" s="283">
        <v>44235.0</v>
      </c>
      <c r="AC223" s="284"/>
      <c r="AD223" s="284"/>
    </row>
    <row r="224" ht="14.25" customHeight="1">
      <c r="A224" s="265">
        <v>44229.0</v>
      </c>
      <c r="B224" s="266" t="s">
        <v>1500</v>
      </c>
      <c r="C224" s="266"/>
      <c r="D224" s="266" t="s">
        <v>1450</v>
      </c>
      <c r="E224" s="268"/>
      <c r="F224" s="358" t="s">
        <v>3070</v>
      </c>
      <c r="G224" s="268" t="s">
        <v>2085</v>
      </c>
      <c r="H224" s="270">
        <v>0.09859953703703704</v>
      </c>
      <c r="I224" s="271">
        <v>44229.68680555555</v>
      </c>
      <c r="J224" s="268"/>
      <c r="K224" s="271"/>
      <c r="L224" s="271"/>
      <c r="M224" s="307" t="s">
        <v>2808</v>
      </c>
      <c r="N224" s="273">
        <v>44230.57916666667</v>
      </c>
      <c r="O224" s="276" t="s">
        <v>3071</v>
      </c>
      <c r="P224" s="275"/>
      <c r="Q224" s="276" t="s">
        <v>1819</v>
      </c>
      <c r="R224" s="271">
        <v>44230.72840277778</v>
      </c>
      <c r="S224" s="271"/>
      <c r="T224" s="278" t="s">
        <v>3072</v>
      </c>
      <c r="U224" s="279"/>
      <c r="V224" s="279" t="s">
        <v>1733</v>
      </c>
      <c r="W224" s="280">
        <v>44235.0</v>
      </c>
      <c r="X224" s="281">
        <v>0.3541666666666667</v>
      </c>
      <c r="Y224" s="281" t="s">
        <v>1693</v>
      </c>
      <c r="Z224" s="282" t="s">
        <v>1570</v>
      </c>
      <c r="AA224" s="293" t="s">
        <v>3070</v>
      </c>
      <c r="AB224" s="283">
        <v>44233.0</v>
      </c>
      <c r="AC224" s="284"/>
      <c r="AD224" s="284"/>
    </row>
    <row r="225" ht="14.25" customHeight="1">
      <c r="A225" s="265">
        <v>44229.0</v>
      </c>
      <c r="B225" s="266" t="s">
        <v>1500</v>
      </c>
      <c r="C225" s="266"/>
      <c r="D225" s="266" t="s">
        <v>1452</v>
      </c>
      <c r="E225" s="268"/>
      <c r="F225" s="358" t="s">
        <v>3073</v>
      </c>
      <c r="G225" s="268" t="s">
        <v>2085</v>
      </c>
      <c r="H225" s="270">
        <v>0.005821759259259259</v>
      </c>
      <c r="I225" s="271">
        <v>44229.70763888889</v>
      </c>
      <c r="J225" s="268"/>
      <c r="K225" s="271"/>
      <c r="L225" s="271"/>
      <c r="M225" s="307" t="s">
        <v>3074</v>
      </c>
      <c r="N225" s="319">
        <v>44230.717361111114</v>
      </c>
      <c r="O225" s="389" t="s">
        <v>3075</v>
      </c>
      <c r="P225" s="276"/>
      <c r="Q225" s="276" t="s">
        <v>1819</v>
      </c>
      <c r="R225" s="320">
        <v>44230.7683912037</v>
      </c>
      <c r="S225" s="272"/>
      <c r="T225" s="272" t="s">
        <v>3076</v>
      </c>
      <c r="U225" s="279"/>
      <c r="V225" s="279" t="s">
        <v>1783</v>
      </c>
      <c r="W225" s="280">
        <v>44232.0</v>
      </c>
      <c r="X225" s="310">
        <v>0.034722222222222224</v>
      </c>
      <c r="Y225" s="279" t="s">
        <v>1693</v>
      </c>
      <c r="Z225" s="282" t="s">
        <v>1570</v>
      </c>
      <c r="AA225" s="282" t="s">
        <v>3073</v>
      </c>
      <c r="AB225" s="283">
        <v>44229.0</v>
      </c>
      <c r="AC225" s="284"/>
      <c r="AD225" s="284"/>
    </row>
    <row r="226" ht="14.25" customHeight="1">
      <c r="A226" s="265">
        <v>44229.0</v>
      </c>
      <c r="B226" s="266" t="s">
        <v>1500</v>
      </c>
      <c r="C226" s="266"/>
      <c r="D226" s="266" t="s">
        <v>1686</v>
      </c>
      <c r="E226" s="268"/>
      <c r="F226" s="358" t="s">
        <v>3077</v>
      </c>
      <c r="G226" s="268" t="s">
        <v>2085</v>
      </c>
      <c r="H226" s="270">
        <v>0.04127314814814815</v>
      </c>
      <c r="I226" s="271">
        <v>44229.725694444445</v>
      </c>
      <c r="J226" s="268"/>
      <c r="K226" s="271">
        <v>44230.708958333336</v>
      </c>
      <c r="L226" s="271"/>
      <c r="M226" s="359" t="s">
        <v>2524</v>
      </c>
      <c r="N226" s="290"/>
      <c r="O226" s="275"/>
      <c r="P226" s="301"/>
      <c r="Q226" s="276"/>
      <c r="R226" s="278"/>
      <c r="S226" s="278"/>
      <c r="T226" s="278"/>
      <c r="U226" s="279"/>
      <c r="V226" s="279" t="s">
        <v>1685</v>
      </c>
      <c r="W226" s="280" t="s">
        <v>3078</v>
      </c>
      <c r="X226" s="281">
        <v>0.20833333333333334</v>
      </c>
      <c r="Y226" s="281" t="s">
        <v>1693</v>
      </c>
      <c r="Z226" s="282" t="s">
        <v>1570</v>
      </c>
      <c r="AA226" s="282" t="s">
        <v>3077</v>
      </c>
      <c r="AB226" s="283">
        <v>44229.0</v>
      </c>
      <c r="AC226" s="284"/>
      <c r="AD226" s="284"/>
    </row>
    <row r="227" ht="14.25" customHeight="1">
      <c r="A227" s="265">
        <v>44229.0</v>
      </c>
      <c r="B227" s="266" t="s">
        <v>1500</v>
      </c>
      <c r="C227" s="266"/>
      <c r="D227" s="266" t="s">
        <v>1455</v>
      </c>
      <c r="E227" s="268"/>
      <c r="F227" s="358" t="s">
        <v>3079</v>
      </c>
      <c r="G227" s="268" t="s">
        <v>2085</v>
      </c>
      <c r="H227" s="270">
        <v>0.020243055555555552</v>
      </c>
      <c r="I227" s="271">
        <v>44230.68958333333</v>
      </c>
      <c r="J227" s="268"/>
      <c r="K227" s="271">
        <v>44230.76018518519</v>
      </c>
      <c r="L227" s="271"/>
      <c r="M227" s="359" t="s">
        <v>2524</v>
      </c>
      <c r="N227" s="319"/>
      <c r="O227" s="317"/>
      <c r="P227" s="317"/>
      <c r="Q227" s="301"/>
      <c r="R227" s="320"/>
      <c r="S227" s="321"/>
      <c r="T227" s="316"/>
      <c r="U227" s="279"/>
      <c r="V227" s="279" t="s">
        <v>1783</v>
      </c>
      <c r="W227" s="280" t="s">
        <v>3078</v>
      </c>
      <c r="X227" s="281">
        <v>0.10416666666666667</v>
      </c>
      <c r="Y227" s="279" t="s">
        <v>1693</v>
      </c>
      <c r="Z227" s="282" t="s">
        <v>1570</v>
      </c>
      <c r="AA227" s="282" t="s">
        <v>3079</v>
      </c>
      <c r="AB227" s="283">
        <v>44233.0</v>
      </c>
      <c r="AC227" s="284"/>
      <c r="AD227" s="284"/>
    </row>
    <row r="228" ht="14.25" customHeight="1">
      <c r="A228" s="265">
        <v>44230.0</v>
      </c>
      <c r="B228" s="266" t="s">
        <v>1500</v>
      </c>
      <c r="C228" s="266" t="s">
        <v>2888</v>
      </c>
      <c r="D228" s="266" t="s">
        <v>1543</v>
      </c>
      <c r="E228" s="268"/>
      <c r="F228" s="269" t="s">
        <v>3080</v>
      </c>
      <c r="G228" s="268" t="s">
        <v>1463</v>
      </c>
      <c r="H228" s="270">
        <v>0.0010416666666666667</v>
      </c>
      <c r="I228" s="271">
        <v>44232.46666666667</v>
      </c>
      <c r="J228" s="268"/>
      <c r="K228" s="271">
        <v>44232.90451388889</v>
      </c>
      <c r="L228" s="271"/>
      <c r="M228" s="272" t="s">
        <v>3081</v>
      </c>
      <c r="N228" s="290"/>
      <c r="O228" s="276"/>
      <c r="P228" s="276"/>
      <c r="Q228" s="276"/>
      <c r="R228" s="278"/>
      <c r="S228" s="278"/>
      <c r="T228" s="278"/>
      <c r="U228" s="279"/>
      <c r="V228" s="279" t="s">
        <v>2030</v>
      </c>
      <c r="W228" s="280">
        <v>44250.0</v>
      </c>
      <c r="X228" s="281">
        <v>0.006944444444444444</v>
      </c>
      <c r="Y228" s="281" t="s">
        <v>1693</v>
      </c>
      <c r="Z228" s="282" t="s">
        <v>1570</v>
      </c>
      <c r="AA228" s="282">
        <v>6324299.0</v>
      </c>
      <c r="AB228" s="283">
        <v>44236.0</v>
      </c>
      <c r="AC228" s="284"/>
      <c r="AD228" s="284"/>
    </row>
    <row r="229" ht="14.25" customHeight="1">
      <c r="A229" s="265">
        <v>44230.0</v>
      </c>
      <c r="B229" s="266" t="s">
        <v>1500</v>
      </c>
      <c r="C229" s="266" t="s">
        <v>1450</v>
      </c>
      <c r="D229" s="266" t="s">
        <v>1543</v>
      </c>
      <c r="E229" s="268"/>
      <c r="F229" s="269" t="s">
        <v>3082</v>
      </c>
      <c r="G229" s="268" t="s">
        <v>1463</v>
      </c>
      <c r="H229" s="270">
        <v>0.0014930555555555556</v>
      </c>
      <c r="I229" s="271">
        <v>44232.47638888889</v>
      </c>
      <c r="J229" s="268"/>
      <c r="K229" s="271">
        <v>44232.906331018516</v>
      </c>
      <c r="L229" s="271"/>
      <c r="M229" s="272" t="s">
        <v>3083</v>
      </c>
      <c r="N229" s="290"/>
      <c r="O229" s="276"/>
      <c r="P229" s="276"/>
      <c r="Q229" s="276"/>
      <c r="R229" s="278"/>
      <c r="S229" s="278"/>
      <c r="T229" s="278"/>
      <c r="U229" s="279"/>
      <c r="V229" s="279" t="s">
        <v>1824</v>
      </c>
      <c r="W229" s="280">
        <v>44250.0</v>
      </c>
      <c r="X229" s="281">
        <v>0.008611111111111111</v>
      </c>
      <c r="Y229" s="281" t="s">
        <v>1693</v>
      </c>
      <c r="Z229" s="282" t="s">
        <v>1570</v>
      </c>
      <c r="AA229" s="282">
        <v>6324300.0</v>
      </c>
      <c r="AB229" s="283">
        <v>44236.0</v>
      </c>
      <c r="AC229" s="284"/>
      <c r="AD229" s="284"/>
    </row>
    <row r="230" ht="14.25" customHeight="1">
      <c r="A230" s="265">
        <v>44230.0</v>
      </c>
      <c r="B230" s="266" t="s">
        <v>1500</v>
      </c>
      <c r="C230" s="266"/>
      <c r="D230" s="266" t="s">
        <v>1450</v>
      </c>
      <c r="E230" s="268"/>
      <c r="F230" s="358" t="s">
        <v>3084</v>
      </c>
      <c r="G230" s="268" t="s">
        <v>2085</v>
      </c>
      <c r="H230" s="270">
        <v>0.09943287037037037</v>
      </c>
      <c r="I230" s="271">
        <v>44230.71597222222</v>
      </c>
      <c r="J230" s="268"/>
      <c r="K230" s="271">
        <v>44231.547939814816</v>
      </c>
      <c r="L230" s="271"/>
      <c r="M230" s="359" t="s">
        <v>2524</v>
      </c>
      <c r="N230" s="306"/>
      <c r="O230" s="322"/>
      <c r="P230" s="322"/>
      <c r="Q230" s="274"/>
      <c r="R230" s="307"/>
      <c r="S230" s="307"/>
      <c r="T230" s="307"/>
      <c r="U230" s="279"/>
      <c r="V230" s="279" t="s">
        <v>1733</v>
      </c>
      <c r="W230" s="280">
        <v>44231.0</v>
      </c>
      <c r="X230" s="281">
        <v>0.3125</v>
      </c>
      <c r="Y230" s="279" t="s">
        <v>1693</v>
      </c>
      <c r="Z230" s="282" t="s">
        <v>1570</v>
      </c>
      <c r="AA230" s="282" t="s">
        <v>3084</v>
      </c>
      <c r="AB230" s="283">
        <v>44233.0</v>
      </c>
      <c r="AC230" s="284"/>
      <c r="AD230" s="284"/>
    </row>
    <row r="231" ht="14.25" customHeight="1">
      <c r="A231" s="265">
        <v>44230.0</v>
      </c>
      <c r="B231" s="266" t="s">
        <v>1500</v>
      </c>
      <c r="C231" s="266"/>
      <c r="D231" s="266" t="s">
        <v>1452</v>
      </c>
      <c r="E231" s="268"/>
      <c r="F231" s="358" t="s">
        <v>3085</v>
      </c>
      <c r="G231" s="268" t="s">
        <v>2085</v>
      </c>
      <c r="H231" s="270">
        <v>0.00568287037037037</v>
      </c>
      <c r="I231" s="271">
        <v>44230.73819444444</v>
      </c>
      <c r="J231" s="268"/>
      <c r="K231" s="271">
        <v>44231.08163194444</v>
      </c>
      <c r="L231" s="271"/>
      <c r="M231" s="359" t="s">
        <v>2524</v>
      </c>
      <c r="N231" s="290"/>
      <c r="O231" s="275"/>
      <c r="P231" s="275"/>
      <c r="Q231" s="276"/>
      <c r="R231" s="278"/>
      <c r="S231" s="278"/>
      <c r="T231" s="278"/>
      <c r="U231" s="279"/>
      <c r="V231" s="279" t="s">
        <v>1783</v>
      </c>
      <c r="W231" s="280">
        <v>44231.0</v>
      </c>
      <c r="X231" s="281">
        <v>0.027777777777777776</v>
      </c>
      <c r="Y231" s="281" t="s">
        <v>1693</v>
      </c>
      <c r="Z231" s="282" t="s">
        <v>1570</v>
      </c>
      <c r="AA231" s="282" t="s">
        <v>3085</v>
      </c>
      <c r="AB231" s="283">
        <v>44233.0</v>
      </c>
      <c r="AC231" s="284"/>
      <c r="AD231" s="284"/>
    </row>
    <row r="232" ht="14.25" customHeight="1">
      <c r="A232" s="265">
        <v>44230.0</v>
      </c>
      <c r="B232" s="266" t="s">
        <v>1500</v>
      </c>
      <c r="C232" s="266"/>
      <c r="D232" s="266" t="s">
        <v>1686</v>
      </c>
      <c r="E232" s="268"/>
      <c r="F232" s="358" t="s">
        <v>3086</v>
      </c>
      <c r="G232" s="268" t="s">
        <v>2085</v>
      </c>
      <c r="H232" s="270">
        <v>0.04028935185185185</v>
      </c>
      <c r="I232" s="271">
        <v>44230.74236111111</v>
      </c>
      <c r="J232" s="268"/>
      <c r="K232" s="271">
        <v>44231.10364583333</v>
      </c>
      <c r="L232" s="271"/>
      <c r="M232" s="359" t="s">
        <v>2524</v>
      </c>
      <c r="N232" s="306"/>
      <c r="O232" s="274"/>
      <c r="P232" s="274"/>
      <c r="Q232" s="274"/>
      <c r="R232" s="307"/>
      <c r="S232" s="307"/>
      <c r="T232" s="307"/>
      <c r="U232" s="279"/>
      <c r="V232" s="279" t="s">
        <v>1685</v>
      </c>
      <c r="W232" s="280">
        <v>44231.0</v>
      </c>
      <c r="X232" s="281"/>
      <c r="Y232" s="281" t="s">
        <v>1693</v>
      </c>
      <c r="Z232" s="282" t="s">
        <v>1570</v>
      </c>
      <c r="AA232" s="293" t="s">
        <v>3086</v>
      </c>
      <c r="AB232" s="283">
        <v>44233.0</v>
      </c>
      <c r="AC232" s="284"/>
      <c r="AD232" s="284"/>
    </row>
    <row r="233" ht="14.25" customHeight="1">
      <c r="A233" s="265">
        <v>44230.0</v>
      </c>
      <c r="B233" s="266" t="s">
        <v>1500</v>
      </c>
      <c r="C233" s="266"/>
      <c r="D233" s="266" t="s">
        <v>1455</v>
      </c>
      <c r="E233" s="268"/>
      <c r="F233" s="358" t="s">
        <v>3087</v>
      </c>
      <c r="G233" s="268" t="s">
        <v>2085</v>
      </c>
      <c r="H233" s="270">
        <v>0.02241898148148148</v>
      </c>
      <c r="I233" s="271">
        <v>44230.89791666667</v>
      </c>
      <c r="J233" s="268"/>
      <c r="K233" s="271">
        <v>44231.49553240741</v>
      </c>
      <c r="L233" s="271"/>
      <c r="M233" s="359" t="s">
        <v>2524</v>
      </c>
      <c r="N233" s="290"/>
      <c r="O233" s="276"/>
      <c r="P233" s="276"/>
      <c r="Q233" s="276"/>
      <c r="R233" s="278"/>
      <c r="S233" s="278"/>
      <c r="T233" s="278"/>
      <c r="U233" s="279"/>
      <c r="V233" s="279" t="s">
        <v>1783</v>
      </c>
      <c r="W233" s="280">
        <v>44231.0</v>
      </c>
      <c r="X233" s="281">
        <v>0.10416666666666667</v>
      </c>
      <c r="Y233" s="281" t="s">
        <v>1693</v>
      </c>
      <c r="Z233" s="282" t="s">
        <v>1570</v>
      </c>
      <c r="AA233" s="282" t="s">
        <v>3087</v>
      </c>
      <c r="AB233" s="283">
        <v>44233.0</v>
      </c>
      <c r="AC233" s="284"/>
      <c r="AD233" s="284"/>
    </row>
    <row r="234" ht="14.25" customHeight="1">
      <c r="A234" s="265">
        <v>44231.0</v>
      </c>
      <c r="B234" s="266" t="s">
        <v>1500</v>
      </c>
      <c r="C234" s="266" t="s">
        <v>1696</v>
      </c>
      <c r="D234" s="266" t="s">
        <v>1543</v>
      </c>
      <c r="E234" s="268"/>
      <c r="F234" s="269" t="s">
        <v>3088</v>
      </c>
      <c r="G234" s="268" t="s">
        <v>1463</v>
      </c>
      <c r="H234" s="270">
        <v>7.75462962962963E-4</v>
      </c>
      <c r="I234" s="271">
        <v>44232.53055555555</v>
      </c>
      <c r="J234" s="268"/>
      <c r="K234" s="271">
        <v>44232.97835648148</v>
      </c>
      <c r="L234" s="271"/>
      <c r="M234" s="272" t="s">
        <v>3089</v>
      </c>
      <c r="N234" s="290"/>
      <c r="O234" s="276"/>
      <c r="P234" s="276"/>
      <c r="Q234" s="276"/>
      <c r="R234" s="278"/>
      <c r="S234" s="278"/>
      <c r="T234" s="278"/>
      <c r="U234" s="279"/>
      <c r="V234" s="279" t="s">
        <v>1500</v>
      </c>
      <c r="W234" s="280">
        <v>44250.0</v>
      </c>
      <c r="X234" s="281">
        <v>0.020833333333333332</v>
      </c>
      <c r="Y234" s="281" t="s">
        <v>1693</v>
      </c>
      <c r="Z234" s="282" t="s">
        <v>1570</v>
      </c>
      <c r="AA234" s="360">
        <v>6324301.0</v>
      </c>
      <c r="AB234" s="283">
        <v>44236.0</v>
      </c>
      <c r="AC234" s="284"/>
      <c r="AD234" s="284"/>
    </row>
    <row r="235" ht="14.25" customHeight="1">
      <c r="A235" s="265">
        <v>44231.0</v>
      </c>
      <c r="B235" s="266" t="s">
        <v>1500</v>
      </c>
      <c r="C235" s="266" t="s">
        <v>1455</v>
      </c>
      <c r="D235" s="266" t="s">
        <v>1543</v>
      </c>
      <c r="E235" s="268"/>
      <c r="F235" s="269" t="s">
        <v>3090</v>
      </c>
      <c r="G235" s="268" t="s">
        <v>1463</v>
      </c>
      <c r="H235" s="270">
        <v>0.0022916666666666667</v>
      </c>
      <c r="I235" s="271">
        <v>44239.75069444445</v>
      </c>
      <c r="J235" s="268"/>
      <c r="K235" s="271"/>
      <c r="L235" s="271"/>
      <c r="M235" s="307" t="s">
        <v>2808</v>
      </c>
      <c r="N235" s="388">
        <v>44245.0</v>
      </c>
      <c r="O235" s="276" t="s">
        <v>3091</v>
      </c>
      <c r="P235" s="276" t="s">
        <v>1463</v>
      </c>
      <c r="Q235" s="276" t="s">
        <v>1819</v>
      </c>
      <c r="R235" s="277">
        <v>44247.09480324074</v>
      </c>
      <c r="S235" s="278"/>
      <c r="T235" s="278" t="s">
        <v>3092</v>
      </c>
      <c r="U235" s="279"/>
      <c r="V235" s="279" t="s">
        <v>1500</v>
      </c>
      <c r="W235" s="280">
        <v>44251.0</v>
      </c>
      <c r="X235" s="281">
        <v>0.020833333333333332</v>
      </c>
      <c r="Y235" s="281" t="s">
        <v>1693</v>
      </c>
      <c r="Z235" s="282" t="s">
        <v>1570</v>
      </c>
      <c r="AA235" s="360">
        <v>6327619.0</v>
      </c>
      <c r="AB235" s="283">
        <v>44246.0</v>
      </c>
      <c r="AC235" s="284"/>
      <c r="AD235" s="284"/>
    </row>
    <row r="236" ht="14.25" customHeight="1">
      <c r="A236" s="265">
        <v>44231.0</v>
      </c>
      <c r="B236" s="266" t="s">
        <v>1500</v>
      </c>
      <c r="C236" s="266"/>
      <c r="D236" s="266" t="s">
        <v>1450</v>
      </c>
      <c r="E236" s="268"/>
      <c r="F236" s="358" t="s">
        <v>3093</v>
      </c>
      <c r="G236" s="268" t="s">
        <v>2085</v>
      </c>
      <c r="H236" s="270">
        <v>0.09927083333333332</v>
      </c>
      <c r="I236" s="271">
        <v>44231.56875</v>
      </c>
      <c r="J236" s="268"/>
      <c r="K236" s="271">
        <v>44232.44710648148</v>
      </c>
      <c r="L236" s="271"/>
      <c r="M236" s="359" t="s">
        <v>2524</v>
      </c>
      <c r="N236" s="290"/>
      <c r="O236" s="276"/>
      <c r="P236" s="276"/>
      <c r="Q236" s="276"/>
      <c r="R236" s="278"/>
      <c r="S236" s="278"/>
      <c r="T236" s="278"/>
      <c r="U236" s="279"/>
      <c r="V236" s="279" t="s">
        <v>1733</v>
      </c>
      <c r="W236" s="280" t="s">
        <v>3094</v>
      </c>
      <c r="X236" s="281">
        <v>0.3125</v>
      </c>
      <c r="Y236" s="281" t="s">
        <v>1693</v>
      </c>
      <c r="Z236" s="282" t="s">
        <v>1570</v>
      </c>
      <c r="AA236" s="282" t="s">
        <v>3093</v>
      </c>
      <c r="AB236" s="283">
        <v>44233.0</v>
      </c>
      <c r="AC236" s="284"/>
      <c r="AD236" s="284"/>
    </row>
    <row r="237" ht="14.25" customHeight="1">
      <c r="A237" s="265">
        <v>44231.0</v>
      </c>
      <c r="B237" s="266" t="s">
        <v>1500</v>
      </c>
      <c r="C237" s="267"/>
      <c r="D237" s="266" t="s">
        <v>1452</v>
      </c>
      <c r="E237" s="324"/>
      <c r="F237" s="358" t="s">
        <v>3095</v>
      </c>
      <c r="G237" s="268" t="s">
        <v>2085</v>
      </c>
      <c r="H237" s="321">
        <v>0.007905092592592592</v>
      </c>
      <c r="I237" s="271">
        <v>44231.56875</v>
      </c>
      <c r="J237" s="316"/>
      <c r="K237" s="320">
        <v>44232.3747337963</v>
      </c>
      <c r="L237" s="320"/>
      <c r="M237" s="359" t="s">
        <v>2524</v>
      </c>
      <c r="N237" s="300"/>
      <c r="O237" s="301"/>
      <c r="P237" s="301"/>
      <c r="Q237" s="301"/>
      <c r="R237" s="272"/>
      <c r="S237" s="272"/>
      <c r="T237" s="272"/>
      <c r="U237" s="308"/>
      <c r="V237" s="308" t="s">
        <v>1783</v>
      </c>
      <c r="W237" s="309">
        <v>44232.0</v>
      </c>
      <c r="X237" s="310">
        <v>0.034722222222222224</v>
      </c>
      <c r="Y237" s="310" t="s">
        <v>1693</v>
      </c>
      <c r="Z237" s="293" t="s">
        <v>1570</v>
      </c>
      <c r="AA237" s="293" t="s">
        <v>3095</v>
      </c>
      <c r="AB237" s="283">
        <v>44233.0</v>
      </c>
      <c r="AC237" s="327"/>
      <c r="AD237" s="327"/>
    </row>
    <row r="238" ht="14.25" customHeight="1">
      <c r="A238" s="265">
        <v>44231.0</v>
      </c>
      <c r="B238" s="266" t="s">
        <v>1500</v>
      </c>
      <c r="C238" s="266"/>
      <c r="D238" s="266" t="s">
        <v>1686</v>
      </c>
      <c r="E238" s="268"/>
      <c r="F238" s="358" t="s">
        <v>3096</v>
      </c>
      <c r="G238" s="268" t="s">
        <v>2085</v>
      </c>
      <c r="H238" s="270">
        <v>0.04002314814814815</v>
      </c>
      <c r="I238" s="271">
        <v>44231.57430555556</v>
      </c>
      <c r="J238" s="268"/>
      <c r="K238" s="271">
        <v>44231.9678125</v>
      </c>
      <c r="L238" s="271"/>
      <c r="M238" s="359" t="s">
        <v>2524</v>
      </c>
      <c r="N238" s="290"/>
      <c r="O238" s="276"/>
      <c r="P238" s="276"/>
      <c r="Q238" s="276"/>
      <c r="R238" s="278"/>
      <c r="S238" s="278"/>
      <c r="T238" s="278"/>
      <c r="U238" s="279"/>
      <c r="V238" s="279" t="s">
        <v>1685</v>
      </c>
      <c r="W238" s="280">
        <v>44232.0</v>
      </c>
      <c r="X238" s="281"/>
      <c r="Y238" s="281" t="s">
        <v>1693</v>
      </c>
      <c r="Z238" s="282" t="s">
        <v>1570</v>
      </c>
      <c r="AA238" s="282" t="s">
        <v>3096</v>
      </c>
      <c r="AB238" s="283">
        <v>44233.0</v>
      </c>
      <c r="AC238" s="284"/>
      <c r="AD238" s="284"/>
    </row>
    <row r="239" ht="14.25" customHeight="1">
      <c r="A239" s="265">
        <v>44231.0</v>
      </c>
      <c r="B239" s="266" t="s">
        <v>1500</v>
      </c>
      <c r="C239" s="266"/>
      <c r="D239" s="266" t="s">
        <v>1455</v>
      </c>
      <c r="E239" s="268"/>
      <c r="F239" s="358" t="s">
        <v>3097</v>
      </c>
      <c r="G239" s="268" t="s">
        <v>2085</v>
      </c>
      <c r="H239" s="270">
        <v>0.019560185185185184</v>
      </c>
      <c r="I239" s="271">
        <v>44232.441666666666</v>
      </c>
      <c r="J239" s="268"/>
      <c r="K239" s="271">
        <v>44232.46679398148</v>
      </c>
      <c r="L239" s="271"/>
      <c r="M239" s="359" t="s">
        <v>2524</v>
      </c>
      <c r="N239" s="290"/>
      <c r="O239" s="276"/>
      <c r="P239" s="276"/>
      <c r="Q239" s="276"/>
      <c r="R239" s="278"/>
      <c r="S239" s="278"/>
      <c r="T239" s="278"/>
      <c r="U239" s="279"/>
      <c r="V239" s="279" t="s">
        <v>1783</v>
      </c>
      <c r="W239" s="280">
        <v>44232.0</v>
      </c>
      <c r="X239" s="281">
        <v>0.10416666666666667</v>
      </c>
      <c r="Y239" s="281" t="s">
        <v>1693</v>
      </c>
      <c r="Z239" s="282" t="s">
        <v>1570</v>
      </c>
      <c r="AA239" s="282" t="s">
        <v>3097</v>
      </c>
      <c r="AB239" s="283">
        <v>44233.0</v>
      </c>
      <c r="AC239" s="284"/>
      <c r="AD239" s="284"/>
    </row>
    <row r="240" ht="14.25" customHeight="1">
      <c r="A240" s="265">
        <v>44232.0</v>
      </c>
      <c r="B240" s="266" t="s">
        <v>1500</v>
      </c>
      <c r="C240" s="266"/>
      <c r="D240" s="266" t="s">
        <v>1450</v>
      </c>
      <c r="E240" s="268"/>
      <c r="F240" s="358" t="s">
        <v>3098</v>
      </c>
      <c r="G240" s="268" t="s">
        <v>2085</v>
      </c>
      <c r="H240" s="270">
        <v>0.09671296296296296</v>
      </c>
      <c r="I240" s="271">
        <v>44232.447222222225</v>
      </c>
      <c r="J240" s="268"/>
      <c r="K240" s="271">
        <v>44235.77706018519</v>
      </c>
      <c r="L240" s="271"/>
      <c r="M240" s="359" t="s">
        <v>2524</v>
      </c>
      <c r="N240" s="290"/>
      <c r="O240" s="276"/>
      <c r="P240" s="276"/>
      <c r="Q240" s="276"/>
      <c r="R240" s="278"/>
      <c r="S240" s="278"/>
      <c r="T240" s="278"/>
      <c r="U240" s="279"/>
      <c r="V240" s="279" t="s">
        <v>1772</v>
      </c>
      <c r="W240" s="280">
        <v>44235.0</v>
      </c>
      <c r="X240" s="281">
        <v>0.3125</v>
      </c>
      <c r="Y240" s="281" t="s">
        <v>1693</v>
      </c>
      <c r="Z240" s="282" t="s">
        <v>1570</v>
      </c>
      <c r="AA240" s="282" t="s">
        <v>3098</v>
      </c>
      <c r="AB240" s="283">
        <v>44233.0</v>
      </c>
      <c r="AC240" s="284"/>
      <c r="AD240" s="284"/>
    </row>
    <row r="241" ht="14.25" customHeight="1">
      <c r="A241" s="265">
        <v>44232.0</v>
      </c>
      <c r="B241" s="266" t="s">
        <v>1783</v>
      </c>
      <c r="C241" s="266"/>
      <c r="D241" s="266" t="s">
        <v>1452</v>
      </c>
      <c r="E241" s="268"/>
      <c r="F241" s="358" t="s">
        <v>3099</v>
      </c>
      <c r="G241" s="268" t="s">
        <v>2085</v>
      </c>
      <c r="H241" s="288">
        <v>0.012141203703703704</v>
      </c>
      <c r="I241" s="271">
        <v>44232.447222222225</v>
      </c>
      <c r="J241" s="268"/>
      <c r="K241" s="271">
        <v>44232.46770833333</v>
      </c>
      <c r="L241" s="271"/>
      <c r="M241" s="359" t="s">
        <v>2524</v>
      </c>
      <c r="N241" s="290"/>
      <c r="O241" s="276"/>
      <c r="P241" s="276"/>
      <c r="Q241" s="276"/>
      <c r="R241" s="278"/>
      <c r="S241" s="278"/>
      <c r="T241" s="278"/>
      <c r="U241" s="279"/>
      <c r="V241" s="279" t="s">
        <v>1783</v>
      </c>
      <c r="W241" s="280">
        <v>44235.0</v>
      </c>
      <c r="X241" s="310">
        <v>0.034722222222222224</v>
      </c>
      <c r="Y241" s="281" t="s">
        <v>1693</v>
      </c>
      <c r="Z241" s="282" t="s">
        <v>1570</v>
      </c>
      <c r="AA241" s="282" t="s">
        <v>3099</v>
      </c>
      <c r="AB241" s="283">
        <v>44233.0</v>
      </c>
      <c r="AC241" s="284"/>
      <c r="AD241" s="284"/>
    </row>
    <row r="242" ht="14.25" customHeight="1">
      <c r="A242" s="265">
        <v>44232.0</v>
      </c>
      <c r="B242" s="266" t="s">
        <v>1500</v>
      </c>
      <c r="C242" s="266"/>
      <c r="D242" s="266" t="s">
        <v>1686</v>
      </c>
      <c r="E242" s="268"/>
      <c r="F242" s="358" t="s">
        <v>3100</v>
      </c>
      <c r="G242" s="268" t="s">
        <v>2085</v>
      </c>
      <c r="H242" s="270">
        <v>0.03981481481481482</v>
      </c>
      <c r="I242" s="271">
        <v>44233.67569444444</v>
      </c>
      <c r="J242" s="268"/>
      <c r="K242" s="271">
        <v>44235.54178240741</v>
      </c>
      <c r="L242" s="271"/>
      <c r="M242" s="359" t="s">
        <v>2524</v>
      </c>
      <c r="N242" s="290"/>
      <c r="O242" s="276"/>
      <c r="P242" s="276"/>
      <c r="Q242" s="276"/>
      <c r="R242" s="278"/>
      <c r="S242" s="278"/>
      <c r="T242" s="278"/>
      <c r="U242" s="279"/>
      <c r="V242" s="279" t="s">
        <v>2030</v>
      </c>
      <c r="W242" s="279"/>
      <c r="X242" s="281">
        <v>0.0024305555555555556</v>
      </c>
      <c r="Y242" s="281" t="s">
        <v>1693</v>
      </c>
      <c r="Z242" s="282" t="s">
        <v>1570</v>
      </c>
      <c r="AA242" s="282" t="s">
        <v>3100</v>
      </c>
      <c r="AB242" s="283">
        <v>44233.0</v>
      </c>
      <c r="AC242" s="284"/>
      <c r="AD242" s="284"/>
    </row>
    <row r="243" ht="14.25" customHeight="1">
      <c r="A243" s="265">
        <v>44232.0</v>
      </c>
      <c r="B243" s="266" t="s">
        <v>1500</v>
      </c>
      <c r="C243" s="266"/>
      <c r="D243" s="266" t="s">
        <v>1455</v>
      </c>
      <c r="E243" s="268"/>
      <c r="F243" s="358" t="s">
        <v>3101</v>
      </c>
      <c r="G243" s="268" t="s">
        <v>2085</v>
      </c>
      <c r="H243" s="270">
        <v>0.02136574074074074</v>
      </c>
      <c r="I243" s="271">
        <v>44233.67569444444</v>
      </c>
      <c r="J243" s="268"/>
      <c r="K243" s="271">
        <v>44235.49481481482</v>
      </c>
      <c r="L243" s="271"/>
      <c r="M243" s="359" t="s">
        <v>2524</v>
      </c>
      <c r="N243" s="290"/>
      <c r="O243" s="276"/>
      <c r="P243" s="382"/>
      <c r="Q243" s="276"/>
      <c r="R243" s="278"/>
      <c r="S243" s="278"/>
      <c r="T243" s="278"/>
      <c r="U243" s="279"/>
      <c r="V243" s="279" t="s">
        <v>1783</v>
      </c>
      <c r="W243" s="280">
        <v>44235.0</v>
      </c>
      <c r="X243" s="281">
        <v>0.10416666666666667</v>
      </c>
      <c r="Y243" s="281" t="s">
        <v>1693</v>
      </c>
      <c r="Z243" s="282" t="s">
        <v>1570</v>
      </c>
      <c r="AA243" s="282" t="s">
        <v>3101</v>
      </c>
      <c r="AB243" s="283">
        <v>44233.0</v>
      </c>
      <c r="AC243" s="284"/>
      <c r="AD243" s="284"/>
    </row>
    <row r="244" ht="14.25" customHeight="1">
      <c r="A244" s="265">
        <v>44233.0</v>
      </c>
      <c r="B244" s="266" t="s">
        <v>1500</v>
      </c>
      <c r="C244" s="266"/>
      <c r="D244" s="266" t="s">
        <v>1686</v>
      </c>
      <c r="E244" s="268"/>
      <c r="F244" s="358" t="s">
        <v>3102</v>
      </c>
      <c r="G244" s="268" t="s">
        <v>2085</v>
      </c>
      <c r="H244" s="270">
        <v>0.04086805555555555</v>
      </c>
      <c r="I244" s="271">
        <v>44233.68263888889</v>
      </c>
      <c r="J244" s="268"/>
      <c r="K244" s="271">
        <v>44236.57115740741</v>
      </c>
      <c r="L244" s="271"/>
      <c r="M244" s="359" t="s">
        <v>2524</v>
      </c>
      <c r="N244" s="290"/>
      <c r="O244" s="276"/>
      <c r="P244" s="276"/>
      <c r="Q244" s="276"/>
      <c r="R244" s="278"/>
      <c r="S244" s="278"/>
      <c r="T244" s="278"/>
      <c r="U244" s="279"/>
      <c r="V244" s="279" t="s">
        <v>2030</v>
      </c>
      <c r="W244" s="280" t="s">
        <v>3103</v>
      </c>
      <c r="X244" s="281">
        <v>0.14583333333333334</v>
      </c>
      <c r="Y244" s="281" t="s">
        <v>1693</v>
      </c>
      <c r="Z244" s="282" t="s">
        <v>1570</v>
      </c>
      <c r="AA244" s="282" t="s">
        <v>3102</v>
      </c>
      <c r="AB244" s="283">
        <v>44233.0</v>
      </c>
      <c r="AC244" s="284"/>
      <c r="AD244" s="284"/>
    </row>
    <row r="245" ht="14.25" customHeight="1">
      <c r="A245" s="265">
        <v>44233.0</v>
      </c>
      <c r="B245" s="266" t="s">
        <v>1500</v>
      </c>
      <c r="C245" s="266"/>
      <c r="D245" s="266" t="s">
        <v>1455</v>
      </c>
      <c r="E245" s="268"/>
      <c r="F245" s="358" t="s">
        <v>3104</v>
      </c>
      <c r="G245" s="268" t="s">
        <v>2085</v>
      </c>
      <c r="H245" s="270">
        <v>0.017372685185185185</v>
      </c>
      <c r="I245" s="299">
        <v>44234.96111111111</v>
      </c>
      <c r="J245" s="268"/>
      <c r="K245" s="271">
        <v>44235.61342592593</v>
      </c>
      <c r="L245" s="271"/>
      <c r="M245" s="359" t="s">
        <v>2524</v>
      </c>
      <c r="N245" s="290"/>
      <c r="O245" s="276"/>
      <c r="P245" s="276"/>
      <c r="Q245" s="276"/>
      <c r="R245" s="278"/>
      <c r="S245" s="278"/>
      <c r="T245" s="278"/>
      <c r="U245" s="279"/>
      <c r="V245" s="279" t="s">
        <v>1783</v>
      </c>
      <c r="W245" s="280" t="s">
        <v>3103</v>
      </c>
      <c r="X245" s="281">
        <v>0.10416666666666667</v>
      </c>
      <c r="Y245" s="281" t="s">
        <v>1693</v>
      </c>
      <c r="Z245" s="282" t="s">
        <v>1570</v>
      </c>
      <c r="AA245" s="282" t="s">
        <v>3104</v>
      </c>
      <c r="AB245" s="283">
        <v>44235.0</v>
      </c>
      <c r="AC245" s="284"/>
      <c r="AD245" s="284"/>
    </row>
    <row r="246" ht="14.25" customHeight="1">
      <c r="A246" s="265">
        <v>44234.0</v>
      </c>
      <c r="B246" s="266" t="s">
        <v>1500</v>
      </c>
      <c r="C246" s="266"/>
      <c r="D246" s="266" t="s">
        <v>1457</v>
      </c>
      <c r="E246" s="268"/>
      <c r="F246" s="358" t="s">
        <v>3105</v>
      </c>
      <c r="G246" s="268" t="s">
        <v>2085</v>
      </c>
      <c r="H246" s="270">
        <v>0.017766203703703704</v>
      </c>
      <c r="I246" s="271">
        <v>44245.60972222222</v>
      </c>
      <c r="J246" s="268"/>
      <c r="K246" s="271">
        <v>44245.95747685185</v>
      </c>
      <c r="L246" s="271"/>
      <c r="M246" s="359" t="s">
        <v>2524</v>
      </c>
      <c r="N246" s="290"/>
      <c r="O246" s="276"/>
      <c r="P246" s="276"/>
      <c r="Q246" s="276"/>
      <c r="R246" s="278"/>
      <c r="S246" s="278"/>
      <c r="T246" s="278"/>
      <c r="U246" s="279"/>
      <c r="V246" s="279" t="s">
        <v>1783</v>
      </c>
      <c r="W246" s="280">
        <v>44256.0</v>
      </c>
      <c r="X246" s="281">
        <v>0.034722222222222224</v>
      </c>
      <c r="Y246" s="281" t="s">
        <v>1693</v>
      </c>
      <c r="Z246" s="282" t="s">
        <v>1570</v>
      </c>
      <c r="AA246" s="282" t="s">
        <v>3105</v>
      </c>
      <c r="AB246" s="283">
        <v>44245.0</v>
      </c>
      <c r="AC246" s="284"/>
      <c r="AD246" s="284"/>
    </row>
    <row r="247" ht="14.25" customHeight="1">
      <c r="A247" s="265">
        <v>44234.0</v>
      </c>
      <c r="B247" s="266" t="s">
        <v>1500</v>
      </c>
      <c r="C247" s="266"/>
      <c r="D247" s="266" t="s">
        <v>2829</v>
      </c>
      <c r="E247" s="268"/>
      <c r="F247" s="358" t="s">
        <v>3106</v>
      </c>
      <c r="G247" s="268" t="s">
        <v>2085</v>
      </c>
      <c r="H247" s="270">
        <v>0.01851851851851852</v>
      </c>
      <c r="I247" s="271">
        <v>44237.72222222222</v>
      </c>
      <c r="J247" s="268"/>
      <c r="K247" s="271">
        <v>44237.75540509259</v>
      </c>
      <c r="L247" s="271"/>
      <c r="M247" s="390" t="s">
        <v>3107</v>
      </c>
      <c r="N247" s="273">
        <v>44257.0</v>
      </c>
      <c r="O247" s="276" t="s">
        <v>3108</v>
      </c>
      <c r="P247" s="276" t="s">
        <v>2085</v>
      </c>
      <c r="Q247" s="276" t="s">
        <v>1819</v>
      </c>
      <c r="R247" s="278"/>
      <c r="S247" s="278"/>
      <c r="T247" s="278" t="s">
        <v>3109</v>
      </c>
      <c r="U247" s="279"/>
      <c r="V247" s="279"/>
      <c r="W247" s="280"/>
      <c r="X247" s="281"/>
      <c r="Y247" s="281" t="s">
        <v>1693</v>
      </c>
      <c r="Z247" s="282" t="s">
        <v>1570</v>
      </c>
      <c r="AA247" s="282" t="s">
        <v>3106</v>
      </c>
      <c r="AB247" s="283">
        <v>44259.0</v>
      </c>
      <c r="AC247" s="284"/>
      <c r="AD247" s="284"/>
    </row>
    <row r="248" ht="14.25" customHeight="1">
      <c r="A248" s="265">
        <v>44235.0</v>
      </c>
      <c r="B248" s="266" t="s">
        <v>1500</v>
      </c>
      <c r="C248" s="266" t="s">
        <v>1686</v>
      </c>
      <c r="D248" s="266" t="s">
        <v>1543</v>
      </c>
      <c r="E248" s="268"/>
      <c r="F248" s="269" t="s">
        <v>3110</v>
      </c>
      <c r="G248" s="268" t="s">
        <v>1463</v>
      </c>
      <c r="H248" s="270">
        <v>0.0016550925925925926</v>
      </c>
      <c r="I248" s="271">
        <v>44244.73263888889</v>
      </c>
      <c r="J248" s="268"/>
      <c r="K248" s="271">
        <v>44245.069814814815</v>
      </c>
      <c r="L248" s="271"/>
      <c r="M248" s="272" t="s">
        <v>3111</v>
      </c>
      <c r="N248" s="319"/>
      <c r="O248" s="328"/>
      <c r="P248" s="328"/>
      <c r="Q248" s="301"/>
      <c r="R248" s="361"/>
      <c r="S248" s="329"/>
      <c r="T248" s="330"/>
      <c r="U248" s="279"/>
      <c r="V248" s="279" t="s">
        <v>1824</v>
      </c>
      <c r="W248" s="280">
        <v>44250.0</v>
      </c>
      <c r="X248" s="281">
        <v>0.013599537037037037</v>
      </c>
      <c r="Y248" s="279" t="s">
        <v>1693</v>
      </c>
      <c r="Z248" s="282" t="s">
        <v>1570</v>
      </c>
      <c r="AA248" s="282">
        <v>6327620.0</v>
      </c>
      <c r="AB248" s="283">
        <v>44246.0</v>
      </c>
      <c r="AC248" s="284"/>
      <c r="AD248" s="284"/>
    </row>
    <row r="249" ht="14.25" customHeight="1">
      <c r="A249" s="265">
        <v>44235.0</v>
      </c>
      <c r="B249" s="266" t="s">
        <v>1500</v>
      </c>
      <c r="C249" s="266" t="s">
        <v>1686</v>
      </c>
      <c r="D249" s="266" t="s">
        <v>1543</v>
      </c>
      <c r="E249" s="268"/>
      <c r="F249" s="269" t="s">
        <v>3112</v>
      </c>
      <c r="G249" s="268" t="s">
        <v>1463</v>
      </c>
      <c r="H249" s="270">
        <v>0.0019444444444444442</v>
      </c>
      <c r="I249" s="271">
        <v>44244.75277777778</v>
      </c>
      <c r="J249" s="268"/>
      <c r="K249" s="271">
        <v>44245.788136574076</v>
      </c>
      <c r="L249" s="271"/>
      <c r="M249" s="307" t="s">
        <v>3113</v>
      </c>
      <c r="N249" s="319">
        <v>44246.489583333336</v>
      </c>
      <c r="O249" s="328" t="s">
        <v>3114</v>
      </c>
      <c r="P249" s="276" t="s">
        <v>1463</v>
      </c>
      <c r="Q249" s="301" t="s">
        <v>1819</v>
      </c>
      <c r="R249" s="361">
        <v>44250.415810185186</v>
      </c>
      <c r="S249" s="329"/>
      <c r="T249" s="330" t="s">
        <v>3115</v>
      </c>
      <c r="U249" s="279"/>
      <c r="V249" s="279" t="s">
        <v>1824</v>
      </c>
      <c r="W249" s="280">
        <v>44250.0</v>
      </c>
      <c r="X249" s="281">
        <v>0.01289351851851852</v>
      </c>
      <c r="Y249" s="279" t="s">
        <v>1693</v>
      </c>
      <c r="Z249" s="282" t="s">
        <v>1570</v>
      </c>
      <c r="AA249" s="282">
        <v>6334607.0</v>
      </c>
      <c r="AB249" s="283">
        <v>44254.0</v>
      </c>
      <c r="AC249" s="284"/>
      <c r="AD249" s="284"/>
    </row>
    <row r="250" ht="14.25" customHeight="1">
      <c r="A250" s="265">
        <v>44235.0</v>
      </c>
      <c r="B250" s="266" t="s">
        <v>1500</v>
      </c>
      <c r="C250" s="266"/>
      <c r="D250" s="266" t="s">
        <v>1450</v>
      </c>
      <c r="E250" s="268"/>
      <c r="F250" s="358" t="s">
        <v>3116</v>
      </c>
      <c r="G250" s="268" t="s">
        <v>2085</v>
      </c>
      <c r="H250" s="270">
        <v>0.09902777777777778</v>
      </c>
      <c r="I250" s="271">
        <v>44235.91180555556</v>
      </c>
      <c r="J250" s="268"/>
      <c r="K250" s="271">
        <v>44236.40273148148</v>
      </c>
      <c r="L250" s="271"/>
      <c r="M250" s="272" t="s">
        <v>3117</v>
      </c>
      <c r="N250" s="306"/>
      <c r="O250" s="322"/>
      <c r="P250" s="322"/>
      <c r="Q250" s="274"/>
      <c r="R250" s="307"/>
      <c r="S250" s="307"/>
      <c r="T250" s="307"/>
      <c r="U250" s="279"/>
      <c r="V250" s="279" t="s">
        <v>1824</v>
      </c>
      <c r="W250" s="280">
        <v>44244.0</v>
      </c>
      <c r="X250" s="281">
        <v>0.3333333333333333</v>
      </c>
      <c r="Y250" s="279" t="s">
        <v>1693</v>
      </c>
      <c r="Z250" s="282" t="s">
        <v>1570</v>
      </c>
      <c r="AA250" s="282" t="s">
        <v>3118</v>
      </c>
      <c r="AB250" s="326">
        <v>44240.0</v>
      </c>
      <c r="AC250" s="284"/>
      <c r="AD250" s="284"/>
    </row>
    <row r="251" ht="14.25" customHeight="1">
      <c r="A251" s="265">
        <v>44235.0</v>
      </c>
      <c r="B251" s="266" t="s">
        <v>1783</v>
      </c>
      <c r="C251" s="266"/>
      <c r="D251" s="266" t="s">
        <v>1452</v>
      </c>
      <c r="E251" s="268"/>
      <c r="F251" s="358" t="s">
        <v>3119</v>
      </c>
      <c r="G251" s="268" t="s">
        <v>2085</v>
      </c>
      <c r="H251" s="270">
        <v>0.011504629629629629</v>
      </c>
      <c r="I251" s="271">
        <v>44235.91180555556</v>
      </c>
      <c r="J251" s="268"/>
      <c r="K251" s="271">
        <v>44236.443923611114</v>
      </c>
      <c r="L251" s="271"/>
      <c r="M251" s="272" t="s">
        <v>3120</v>
      </c>
      <c r="N251" s="300"/>
      <c r="O251" s="317"/>
      <c r="P251" s="317"/>
      <c r="Q251" s="301"/>
      <c r="R251" s="272"/>
      <c r="S251" s="272"/>
      <c r="T251" s="272"/>
      <c r="U251" s="279"/>
      <c r="V251" s="279" t="s">
        <v>1783</v>
      </c>
      <c r="W251" s="280">
        <v>44236.0</v>
      </c>
      <c r="X251" s="310">
        <v>0.034722222222222224</v>
      </c>
      <c r="Y251" s="279" t="s">
        <v>1693</v>
      </c>
      <c r="Z251" s="282" t="s">
        <v>1570</v>
      </c>
      <c r="AA251" s="282" t="s">
        <v>3121</v>
      </c>
      <c r="AB251" s="283">
        <v>44240.0</v>
      </c>
      <c r="AC251" s="284"/>
      <c r="AD251" s="284"/>
    </row>
    <row r="252" ht="14.25" customHeight="1">
      <c r="A252" s="265">
        <v>44235.0</v>
      </c>
      <c r="B252" s="266" t="s">
        <v>1500</v>
      </c>
      <c r="C252" s="266"/>
      <c r="D252" s="266" t="s">
        <v>1686</v>
      </c>
      <c r="E252" s="268"/>
      <c r="F252" s="358" t="s">
        <v>3122</v>
      </c>
      <c r="G252" s="268" t="s">
        <v>2085</v>
      </c>
      <c r="H252" s="270">
        <v>0.04009259259259259</v>
      </c>
      <c r="I252" s="271">
        <v>44235.91180555556</v>
      </c>
      <c r="J252" s="268"/>
      <c r="K252" s="271">
        <v>44236.348344907405</v>
      </c>
      <c r="L252" s="271"/>
      <c r="M252" s="278" t="s">
        <v>3123</v>
      </c>
      <c r="N252" s="290"/>
      <c r="O252" s="275"/>
      <c r="P252" s="275"/>
      <c r="Q252" s="276"/>
      <c r="R252" s="278"/>
      <c r="S252" s="278"/>
      <c r="T252" s="278"/>
      <c r="U252" s="279"/>
      <c r="V252" s="279" t="s">
        <v>2030</v>
      </c>
      <c r="W252" s="280">
        <v>44236.0</v>
      </c>
      <c r="X252" s="281">
        <v>0.14583333333333334</v>
      </c>
      <c r="Y252" s="281" t="s">
        <v>1693</v>
      </c>
      <c r="Z252" s="282" t="s">
        <v>1570</v>
      </c>
      <c r="AA252" s="282" t="s">
        <v>3124</v>
      </c>
      <c r="AB252" s="283">
        <v>44238.0</v>
      </c>
      <c r="AC252" s="284"/>
      <c r="AD252" s="284"/>
    </row>
    <row r="253" ht="14.25" customHeight="1">
      <c r="A253" s="265">
        <v>44235.0</v>
      </c>
      <c r="B253" s="266" t="s">
        <v>1500</v>
      </c>
      <c r="C253" s="266"/>
      <c r="D253" s="266" t="s">
        <v>1455</v>
      </c>
      <c r="E253" s="268"/>
      <c r="F253" s="358" t="s">
        <v>3125</v>
      </c>
      <c r="G253" s="268" t="s">
        <v>2085</v>
      </c>
      <c r="H253" s="270">
        <v>0.020601851851851854</v>
      </c>
      <c r="I253" s="271">
        <v>44235.930555555555</v>
      </c>
      <c r="J253" s="268"/>
      <c r="K253" s="271">
        <v>44236.35025462963</v>
      </c>
      <c r="L253" s="271"/>
      <c r="M253" s="272" t="s">
        <v>3126</v>
      </c>
      <c r="N253" s="319"/>
      <c r="O253" s="328"/>
      <c r="P253" s="328"/>
      <c r="Q253" s="301"/>
      <c r="R253" s="320"/>
      <c r="S253" s="329"/>
      <c r="T253" s="330"/>
      <c r="U253" s="279"/>
      <c r="V253" s="279" t="s">
        <v>1783</v>
      </c>
      <c r="W253" s="280">
        <v>44236.0</v>
      </c>
      <c r="X253" s="281">
        <v>0.10416666666666667</v>
      </c>
      <c r="Y253" s="279" t="s">
        <v>1693</v>
      </c>
      <c r="Z253" s="282" t="s">
        <v>1570</v>
      </c>
      <c r="AA253" s="282" t="s">
        <v>3127</v>
      </c>
      <c r="AB253" s="283">
        <v>44238.0</v>
      </c>
      <c r="AC253" s="284"/>
      <c r="AD253" s="284"/>
    </row>
    <row r="254" ht="14.25" customHeight="1">
      <c r="A254" s="265">
        <v>44236.0</v>
      </c>
      <c r="B254" s="266" t="s">
        <v>1500</v>
      </c>
      <c r="C254" s="266"/>
      <c r="D254" s="266" t="s">
        <v>1450</v>
      </c>
      <c r="E254" s="268"/>
      <c r="F254" s="358" t="s">
        <v>3128</v>
      </c>
      <c r="G254" s="268" t="s">
        <v>2085</v>
      </c>
      <c r="H254" s="270">
        <v>0.09936342592592591</v>
      </c>
      <c r="I254" s="271">
        <v>44236.64791666667</v>
      </c>
      <c r="J254" s="268"/>
      <c r="K254" s="271">
        <v>44237.66144675926</v>
      </c>
      <c r="L254" s="271"/>
      <c r="M254" s="359" t="s">
        <v>2524</v>
      </c>
      <c r="N254" s="290"/>
      <c r="O254" s="275"/>
      <c r="P254" s="275"/>
      <c r="Q254" s="276"/>
      <c r="R254" s="278"/>
      <c r="S254" s="278"/>
      <c r="T254" s="278"/>
      <c r="U254" s="279"/>
      <c r="V254" s="279" t="s">
        <v>1772</v>
      </c>
      <c r="W254" s="280">
        <v>44237.0</v>
      </c>
      <c r="X254" s="281">
        <v>0.3125</v>
      </c>
      <c r="Y254" s="279" t="s">
        <v>1693</v>
      </c>
      <c r="Z254" s="282" t="s">
        <v>1570</v>
      </c>
      <c r="AA254" s="282" t="s">
        <v>3128</v>
      </c>
      <c r="AB254" s="283">
        <v>44236.0</v>
      </c>
      <c r="AC254" s="284"/>
      <c r="AD254" s="284"/>
    </row>
    <row r="255" ht="14.25" customHeight="1">
      <c r="A255" s="265">
        <v>44236.0</v>
      </c>
      <c r="B255" s="266" t="s">
        <v>1783</v>
      </c>
      <c r="C255" s="266"/>
      <c r="D255" s="266" t="s">
        <v>1452</v>
      </c>
      <c r="E255" s="268"/>
      <c r="F255" s="358" t="s">
        <v>3129</v>
      </c>
      <c r="G255" s="268" t="s">
        <v>2085</v>
      </c>
      <c r="H255" s="270">
        <v>0.009641203703703704</v>
      </c>
      <c r="I255" s="271">
        <v>44236.73125</v>
      </c>
      <c r="J255" s="268"/>
      <c r="K255" s="271">
        <v>44237.43392361111</v>
      </c>
      <c r="L255" s="271"/>
      <c r="M255" s="359" t="s">
        <v>2524</v>
      </c>
      <c r="N255" s="290"/>
      <c r="O255" s="275"/>
      <c r="P255" s="275"/>
      <c r="Q255" s="276"/>
      <c r="R255" s="278"/>
      <c r="S255" s="278"/>
      <c r="T255" s="278"/>
      <c r="U255" s="279"/>
      <c r="V255" s="279" t="s">
        <v>1783</v>
      </c>
      <c r="W255" s="280">
        <v>44237.0</v>
      </c>
      <c r="X255" s="281">
        <v>0.034722222222222224</v>
      </c>
      <c r="Y255" s="279" t="s">
        <v>1693</v>
      </c>
      <c r="Z255" s="282" t="s">
        <v>1570</v>
      </c>
      <c r="AA255" s="282" t="s">
        <v>3129</v>
      </c>
      <c r="AB255" s="283">
        <v>44236.0</v>
      </c>
      <c r="AC255" s="284"/>
      <c r="AD255" s="284"/>
    </row>
    <row r="256" ht="14.25" customHeight="1">
      <c r="A256" s="265">
        <v>44236.0</v>
      </c>
      <c r="B256" s="266" t="s">
        <v>1500</v>
      </c>
      <c r="C256" s="266"/>
      <c r="D256" s="266" t="s">
        <v>1686</v>
      </c>
      <c r="E256" s="268"/>
      <c r="F256" s="358" t="s">
        <v>3130</v>
      </c>
      <c r="G256" s="268" t="s">
        <v>2085</v>
      </c>
      <c r="H256" s="364">
        <v>0.03925925925925926</v>
      </c>
      <c r="I256" s="271">
        <v>44236.73125</v>
      </c>
      <c r="J256" s="268"/>
      <c r="K256" s="271">
        <v>44237.580972222226</v>
      </c>
      <c r="L256" s="271"/>
      <c r="M256" s="359" t="s">
        <v>2524</v>
      </c>
      <c r="N256" s="290"/>
      <c r="O256" s="276"/>
      <c r="P256" s="276"/>
      <c r="Q256" s="276"/>
      <c r="R256" s="278"/>
      <c r="S256" s="278"/>
      <c r="T256" s="278"/>
      <c r="U256" s="279"/>
      <c r="V256" s="279" t="s">
        <v>2030</v>
      </c>
      <c r="W256" s="280">
        <v>44237.0</v>
      </c>
      <c r="X256" s="281">
        <v>0.14583333333333334</v>
      </c>
      <c r="Y256" s="279" t="s">
        <v>1693</v>
      </c>
      <c r="Z256" s="282" t="s">
        <v>1570</v>
      </c>
      <c r="AA256" s="282" t="s">
        <v>3130</v>
      </c>
      <c r="AB256" s="283">
        <v>44236.0</v>
      </c>
      <c r="AC256" s="284"/>
      <c r="AD256" s="284"/>
    </row>
    <row r="257" ht="14.25" customHeight="1">
      <c r="A257" s="265">
        <v>44236.0</v>
      </c>
      <c r="B257" s="266" t="s">
        <v>1783</v>
      </c>
      <c r="C257" s="266"/>
      <c r="D257" s="266" t="s">
        <v>1455</v>
      </c>
      <c r="E257" s="268"/>
      <c r="F257" s="358" t="s">
        <v>3131</v>
      </c>
      <c r="G257" s="268" t="s">
        <v>2085</v>
      </c>
      <c r="H257" s="364">
        <v>0.021550925925925928</v>
      </c>
      <c r="I257" s="271">
        <v>44237.50902777778</v>
      </c>
      <c r="J257" s="268"/>
      <c r="K257" s="271">
        <v>44237.53655092593</v>
      </c>
      <c r="L257" s="271"/>
      <c r="M257" s="359" t="s">
        <v>2524</v>
      </c>
      <c r="N257" s="290"/>
      <c r="O257" s="276"/>
      <c r="P257" s="276"/>
      <c r="Q257" s="276"/>
      <c r="R257" s="278"/>
      <c r="S257" s="278"/>
      <c r="T257" s="278"/>
      <c r="U257" s="279"/>
      <c r="V257" s="279" t="s">
        <v>1783</v>
      </c>
      <c r="W257" s="280">
        <v>44237.0</v>
      </c>
      <c r="X257" s="281">
        <v>0.11458333333333333</v>
      </c>
      <c r="Y257" s="281" t="s">
        <v>1693</v>
      </c>
      <c r="Z257" s="282" t="s">
        <v>1570</v>
      </c>
      <c r="AA257" s="282" t="s">
        <v>3131</v>
      </c>
      <c r="AB257" s="283">
        <v>44238.0</v>
      </c>
      <c r="AC257" s="284"/>
      <c r="AD257" s="284"/>
    </row>
    <row r="258" ht="14.25" customHeight="1">
      <c r="A258" s="265">
        <v>44237.0</v>
      </c>
      <c r="B258" s="266" t="s">
        <v>1500</v>
      </c>
      <c r="C258" s="266"/>
      <c r="D258" s="266" t="s">
        <v>1450</v>
      </c>
      <c r="E258" s="268"/>
      <c r="F258" s="358" t="s">
        <v>3132</v>
      </c>
      <c r="G258" s="268" t="s">
        <v>2085</v>
      </c>
      <c r="H258" s="364">
        <v>0.09936342592592591</v>
      </c>
      <c r="I258" s="271">
        <v>44237.73611111111</v>
      </c>
      <c r="J258" s="268"/>
      <c r="K258" s="271">
        <v>44238.61854166666</v>
      </c>
      <c r="L258" s="271"/>
      <c r="M258" s="359" t="s">
        <v>2524</v>
      </c>
      <c r="N258" s="290"/>
      <c r="O258" s="276"/>
      <c r="P258" s="276"/>
      <c r="Q258" s="276"/>
      <c r="R258" s="278"/>
      <c r="S258" s="278"/>
      <c r="T258" s="278"/>
      <c r="U258" s="279"/>
      <c r="V258" s="279" t="s">
        <v>1772</v>
      </c>
      <c r="W258" s="280">
        <v>44238.0</v>
      </c>
      <c r="X258" s="281">
        <v>0.3125</v>
      </c>
      <c r="Y258" s="279" t="s">
        <v>1693</v>
      </c>
      <c r="Z258" s="282" t="s">
        <v>1570</v>
      </c>
      <c r="AA258" s="282" t="s">
        <v>3132</v>
      </c>
      <c r="AB258" s="283">
        <v>44238.0</v>
      </c>
      <c r="AC258" s="284"/>
      <c r="AD258" s="284"/>
    </row>
    <row r="259" ht="14.25" customHeight="1">
      <c r="A259" s="265">
        <v>44237.0</v>
      </c>
      <c r="B259" s="266" t="s">
        <v>1783</v>
      </c>
      <c r="C259" s="266"/>
      <c r="D259" s="266" t="s">
        <v>1452</v>
      </c>
      <c r="E259" s="268"/>
      <c r="F259" s="358" t="s">
        <v>3133</v>
      </c>
      <c r="G259" s="268" t="s">
        <v>2085</v>
      </c>
      <c r="H259" s="364">
        <v>0.012604166666666666</v>
      </c>
      <c r="I259" s="271">
        <v>44237.509722222225</v>
      </c>
      <c r="J259" s="268"/>
      <c r="K259" s="271" t="s">
        <v>3134</v>
      </c>
      <c r="L259" s="271"/>
      <c r="M259" s="359" t="s">
        <v>2524</v>
      </c>
      <c r="N259" s="290"/>
      <c r="O259" s="276"/>
      <c r="P259" s="276"/>
      <c r="Q259" s="276"/>
      <c r="R259" s="278"/>
      <c r="S259" s="278"/>
      <c r="T259" s="278"/>
      <c r="U259" s="279"/>
      <c r="V259" s="279" t="s">
        <v>1783</v>
      </c>
      <c r="W259" s="280" t="s">
        <v>3135</v>
      </c>
      <c r="X259" s="281">
        <v>0.041666666666666664</v>
      </c>
      <c r="Y259" s="281" t="s">
        <v>1693</v>
      </c>
      <c r="Z259" s="282" t="s">
        <v>1570</v>
      </c>
      <c r="AA259" s="293" t="s">
        <v>3133</v>
      </c>
      <c r="AB259" s="283">
        <v>44238.0</v>
      </c>
      <c r="AC259" s="284"/>
      <c r="AD259" s="284"/>
    </row>
    <row r="260" ht="14.25" customHeight="1">
      <c r="A260" s="265">
        <v>44237.0</v>
      </c>
      <c r="B260" s="266" t="s">
        <v>1500</v>
      </c>
      <c r="C260" s="266"/>
      <c r="D260" s="266" t="s">
        <v>1686</v>
      </c>
      <c r="E260" s="268"/>
      <c r="F260" s="358" t="s">
        <v>3136</v>
      </c>
      <c r="G260" s="268" t="s">
        <v>2085</v>
      </c>
      <c r="H260" s="364">
        <v>0.0397337962962963</v>
      </c>
      <c r="I260" s="271">
        <v>44237.74444444444</v>
      </c>
      <c r="J260" s="268"/>
      <c r="K260" s="271">
        <v>44238.55667824074</v>
      </c>
      <c r="L260" s="271"/>
      <c r="M260" s="359" t="s">
        <v>2524</v>
      </c>
      <c r="N260" s="290"/>
      <c r="O260" s="276"/>
      <c r="P260" s="276"/>
      <c r="Q260" s="276"/>
      <c r="R260" s="278"/>
      <c r="S260" s="278"/>
      <c r="T260" s="278"/>
      <c r="U260" s="279"/>
      <c r="V260" s="279" t="s">
        <v>2030</v>
      </c>
      <c r="W260" s="280">
        <v>44238.0</v>
      </c>
      <c r="X260" s="281">
        <v>0.14583333333333334</v>
      </c>
      <c r="Y260" s="281" t="s">
        <v>1693</v>
      </c>
      <c r="Z260" s="282" t="s">
        <v>1570</v>
      </c>
      <c r="AA260" s="282" t="s">
        <v>3136</v>
      </c>
      <c r="AB260" s="283">
        <v>44238.0</v>
      </c>
      <c r="AC260" s="284"/>
      <c r="AD260" s="284"/>
    </row>
    <row r="261" ht="14.25" customHeight="1">
      <c r="A261" s="265">
        <v>44237.0</v>
      </c>
      <c r="B261" s="266" t="s">
        <v>1783</v>
      </c>
      <c r="C261" s="266"/>
      <c r="D261" s="266" t="s">
        <v>1455</v>
      </c>
      <c r="E261" s="268"/>
      <c r="F261" s="358" t="s">
        <v>3137</v>
      </c>
      <c r="G261" s="268" t="s">
        <v>2085</v>
      </c>
      <c r="H261" s="364">
        <v>0.021585648148148145</v>
      </c>
      <c r="I261" s="271">
        <v>44238.347916666666</v>
      </c>
      <c r="J261" s="268"/>
      <c r="K261" s="271">
        <v>44238.373715277776</v>
      </c>
      <c r="L261" s="271"/>
      <c r="M261" s="359" t="s">
        <v>2524</v>
      </c>
      <c r="N261" s="331"/>
      <c r="O261" s="332"/>
      <c r="P261" s="332"/>
      <c r="Q261" s="332"/>
      <c r="R261" s="315"/>
      <c r="S261" s="315"/>
      <c r="T261" s="315"/>
      <c r="U261" s="279"/>
      <c r="V261" s="279" t="s">
        <v>1783</v>
      </c>
      <c r="W261" s="280">
        <v>44238.0</v>
      </c>
      <c r="X261" s="281">
        <v>0.11805555555555557</v>
      </c>
      <c r="Y261" s="281" t="s">
        <v>1693</v>
      </c>
      <c r="Z261" s="282" t="s">
        <v>1570</v>
      </c>
      <c r="AA261" s="282" t="s">
        <v>3137</v>
      </c>
      <c r="AB261" s="283">
        <v>44238.0</v>
      </c>
      <c r="AC261" s="284"/>
      <c r="AD261" s="284"/>
    </row>
    <row r="262" ht="14.25" customHeight="1">
      <c r="A262" s="265">
        <v>44238.0</v>
      </c>
      <c r="B262" s="266" t="s">
        <v>1500</v>
      </c>
      <c r="C262" s="266" t="s">
        <v>3138</v>
      </c>
      <c r="D262" s="266" t="s">
        <v>1543</v>
      </c>
      <c r="E262" s="268"/>
      <c r="F262" s="291" t="s">
        <v>3139</v>
      </c>
      <c r="G262" s="268" t="s">
        <v>1463</v>
      </c>
      <c r="H262" s="270">
        <v>0.004108796296296297</v>
      </c>
      <c r="I262" s="271">
        <v>44238.740277777775</v>
      </c>
      <c r="J262" s="268"/>
      <c r="K262" s="271">
        <v>44239.12457175926</v>
      </c>
      <c r="L262" s="271"/>
      <c r="M262" s="272" t="s">
        <v>3140</v>
      </c>
      <c r="N262" s="300"/>
      <c r="O262" s="301"/>
      <c r="P262" s="301"/>
      <c r="Q262" s="301"/>
      <c r="R262" s="272"/>
      <c r="S262" s="272"/>
      <c r="T262" s="272"/>
      <c r="U262" s="279"/>
      <c r="V262" s="279" t="s">
        <v>1824</v>
      </c>
      <c r="W262" s="280">
        <v>44250.0</v>
      </c>
      <c r="X262" s="281">
        <v>0.02074074074074074</v>
      </c>
      <c r="Y262" s="279" t="s">
        <v>1693</v>
      </c>
      <c r="Z262" s="282" t="s">
        <v>1570</v>
      </c>
      <c r="AA262" s="282">
        <v>6326204.0</v>
      </c>
      <c r="AB262" s="326">
        <v>44240.0</v>
      </c>
      <c r="AC262" s="284"/>
      <c r="AD262" s="284"/>
    </row>
    <row r="263" ht="14.25" customHeight="1">
      <c r="A263" s="265">
        <v>44238.0</v>
      </c>
      <c r="B263" s="266" t="s">
        <v>1500</v>
      </c>
      <c r="C263" s="266"/>
      <c r="D263" s="266" t="s">
        <v>1450</v>
      </c>
      <c r="E263" s="268"/>
      <c r="F263" s="358" t="s">
        <v>3141</v>
      </c>
      <c r="G263" s="268" t="s">
        <v>2085</v>
      </c>
      <c r="H263" s="270">
        <v>0.09818287037037036</v>
      </c>
      <c r="I263" s="271">
        <v>44238.58194444444</v>
      </c>
      <c r="J263" s="268"/>
      <c r="K263" s="271">
        <v>44238.623391203706</v>
      </c>
      <c r="L263" s="271"/>
      <c r="M263" s="359" t="s">
        <v>2524</v>
      </c>
      <c r="N263" s="290"/>
      <c r="O263" s="276"/>
      <c r="P263" s="276"/>
      <c r="Q263" s="276"/>
      <c r="R263" s="278"/>
      <c r="S263" s="278"/>
      <c r="T263" s="278"/>
      <c r="U263" s="279"/>
      <c r="V263" s="279" t="s">
        <v>1772</v>
      </c>
      <c r="W263" s="280">
        <v>44241.0</v>
      </c>
      <c r="X263" s="281">
        <v>0.3125</v>
      </c>
      <c r="Y263" s="279" t="s">
        <v>1693</v>
      </c>
      <c r="Z263" s="282" t="s">
        <v>1570</v>
      </c>
      <c r="AA263" s="282" t="s">
        <v>3141</v>
      </c>
      <c r="AB263" s="283">
        <v>44240.0</v>
      </c>
      <c r="AC263" s="284"/>
      <c r="AD263" s="284"/>
    </row>
    <row r="264" ht="14.25" customHeight="1">
      <c r="A264" s="265">
        <v>44238.0</v>
      </c>
      <c r="B264" s="266" t="s">
        <v>1500</v>
      </c>
      <c r="C264" s="266"/>
      <c r="D264" s="266" t="s">
        <v>1452</v>
      </c>
      <c r="E264" s="268"/>
      <c r="F264" s="358" t="s">
        <v>3142</v>
      </c>
      <c r="G264" s="268" t="s">
        <v>2085</v>
      </c>
      <c r="H264" s="270">
        <v>0.012824074074074073</v>
      </c>
      <c r="I264" s="271">
        <v>44238.625</v>
      </c>
      <c r="J264" s="268"/>
      <c r="K264" s="271">
        <v>44238.641331018516</v>
      </c>
      <c r="L264" s="271"/>
      <c r="M264" s="359" t="s">
        <v>2524</v>
      </c>
      <c r="N264" s="290"/>
      <c r="O264" s="276"/>
      <c r="P264" s="276"/>
      <c r="Q264" s="276"/>
      <c r="R264" s="278"/>
      <c r="S264" s="278"/>
      <c r="T264" s="278"/>
      <c r="U264" s="279"/>
      <c r="V264" s="279" t="s">
        <v>1783</v>
      </c>
      <c r="W264" s="280">
        <v>44238.0</v>
      </c>
      <c r="X264" s="281">
        <v>0.041666666666666664</v>
      </c>
      <c r="Y264" s="279" t="s">
        <v>1693</v>
      </c>
      <c r="Z264" s="282" t="s">
        <v>1570</v>
      </c>
      <c r="AA264" s="282" t="s">
        <v>3142</v>
      </c>
      <c r="AB264" s="283">
        <v>44238.0</v>
      </c>
      <c r="AC264" s="284"/>
      <c r="AD264" s="284"/>
    </row>
    <row r="265" ht="14.25" customHeight="1">
      <c r="A265" s="265">
        <v>44238.0</v>
      </c>
      <c r="B265" s="266" t="s">
        <v>1500</v>
      </c>
      <c r="C265" s="266"/>
      <c r="D265" s="266" t="s">
        <v>1686</v>
      </c>
      <c r="E265" s="268"/>
      <c r="F265" s="358" t="s">
        <v>3143</v>
      </c>
      <c r="G265" s="268" t="s">
        <v>2085</v>
      </c>
      <c r="H265" s="270">
        <v>0.04</v>
      </c>
      <c r="I265" s="271">
        <v>44238.59861111111</v>
      </c>
      <c r="J265" s="268"/>
      <c r="K265" s="271">
        <v>44238.641377314816</v>
      </c>
      <c r="L265" s="271"/>
      <c r="M265" s="359" t="s">
        <v>2524</v>
      </c>
      <c r="N265" s="290"/>
      <c r="O265" s="276"/>
      <c r="P265" s="276"/>
      <c r="Q265" s="276"/>
      <c r="R265" s="278"/>
      <c r="S265" s="278"/>
      <c r="T265" s="278"/>
      <c r="U265" s="279"/>
      <c r="V265" s="279" t="s">
        <v>2030</v>
      </c>
      <c r="W265" s="280">
        <v>44240.0</v>
      </c>
      <c r="X265" s="281">
        <v>0.14583333333333334</v>
      </c>
      <c r="Y265" s="281" t="s">
        <v>1693</v>
      </c>
      <c r="Z265" s="282" t="s">
        <v>1570</v>
      </c>
      <c r="AA265" s="282" t="s">
        <v>3143</v>
      </c>
      <c r="AB265" s="283">
        <v>44240.0</v>
      </c>
      <c r="AC265" s="284"/>
      <c r="AD265" s="284"/>
    </row>
    <row r="266" ht="14.25" customHeight="1">
      <c r="A266" s="265">
        <v>44238.0</v>
      </c>
      <c r="B266" s="266" t="s">
        <v>1783</v>
      </c>
      <c r="C266" s="266"/>
      <c r="D266" s="266" t="s">
        <v>1455</v>
      </c>
      <c r="E266" s="268"/>
      <c r="F266" s="358" t="s">
        <v>3144</v>
      </c>
      <c r="G266" s="268" t="s">
        <v>2085</v>
      </c>
      <c r="H266" s="270">
        <v>0.02162037037037037</v>
      </c>
      <c r="I266" s="271">
        <v>44239.36111111111</v>
      </c>
      <c r="J266" s="268"/>
      <c r="K266" s="271">
        <v>44239.38190972222</v>
      </c>
      <c r="L266" s="271"/>
      <c r="M266" s="359" t="s">
        <v>2524</v>
      </c>
      <c r="N266" s="300"/>
      <c r="O266" s="301"/>
      <c r="P266" s="301"/>
      <c r="Q266" s="301"/>
      <c r="R266" s="272"/>
      <c r="S266" s="272"/>
      <c r="T266" s="272"/>
      <c r="U266" s="279"/>
      <c r="V266" s="279" t="s">
        <v>1783</v>
      </c>
      <c r="W266" s="280">
        <v>44239.0</v>
      </c>
      <c r="X266" s="281">
        <v>0.11805555555555557</v>
      </c>
      <c r="Y266" s="279" t="s">
        <v>1693</v>
      </c>
      <c r="Z266" s="282" t="s">
        <v>1570</v>
      </c>
      <c r="AA266" s="282" t="s">
        <v>3144</v>
      </c>
      <c r="AB266" s="326">
        <v>44239.0</v>
      </c>
      <c r="AC266" s="284"/>
      <c r="AD266" s="284"/>
    </row>
    <row r="267" ht="14.25" customHeight="1">
      <c r="A267" s="265">
        <v>44239.0</v>
      </c>
      <c r="B267" s="266" t="s">
        <v>1733</v>
      </c>
      <c r="C267" s="266"/>
      <c r="D267" s="266" t="s">
        <v>1450</v>
      </c>
      <c r="E267" s="268"/>
      <c r="F267" s="358" t="s">
        <v>3145</v>
      </c>
      <c r="G267" s="268" t="s">
        <v>2085</v>
      </c>
      <c r="H267" s="270">
        <v>0.09829861111111111</v>
      </c>
      <c r="I267" s="271">
        <v>44239.90138888889</v>
      </c>
      <c r="J267" s="268"/>
      <c r="K267" s="271">
        <v>44240.017962962964</v>
      </c>
      <c r="L267" s="271"/>
      <c r="M267" s="359" t="s">
        <v>2524</v>
      </c>
      <c r="N267" s="290"/>
      <c r="O267" s="275"/>
      <c r="P267" s="275"/>
      <c r="Q267" s="276"/>
      <c r="R267" s="278"/>
      <c r="S267" s="278"/>
      <c r="T267" s="278"/>
      <c r="U267" s="279"/>
      <c r="V267" s="279" t="s">
        <v>1772</v>
      </c>
      <c r="W267" s="280" t="s">
        <v>3146</v>
      </c>
      <c r="X267" s="281">
        <v>0.3125</v>
      </c>
      <c r="Y267" s="281" t="s">
        <v>1693</v>
      </c>
      <c r="Z267" s="282" t="s">
        <v>1570</v>
      </c>
      <c r="AA267" s="282" t="s">
        <v>3145</v>
      </c>
      <c r="AB267" s="283">
        <v>44240.0</v>
      </c>
      <c r="AC267" s="284"/>
      <c r="AD267" s="284"/>
    </row>
    <row r="268" ht="14.25" customHeight="1">
      <c r="A268" s="265">
        <v>44239.0</v>
      </c>
      <c r="B268" s="266" t="s">
        <v>1783</v>
      </c>
      <c r="C268" s="266"/>
      <c r="D268" s="266" t="s">
        <v>1452</v>
      </c>
      <c r="E268" s="268"/>
      <c r="F268" s="359" t="s">
        <v>3147</v>
      </c>
      <c r="G268" s="268" t="s">
        <v>2085</v>
      </c>
      <c r="H268" s="270">
        <v>0.007199074074074074</v>
      </c>
      <c r="I268" s="271">
        <v>44239.59027777778</v>
      </c>
      <c r="J268" s="268"/>
      <c r="K268" s="271">
        <v>44239.60564814815</v>
      </c>
      <c r="L268" s="271"/>
      <c r="M268" s="359" t="s">
        <v>2524</v>
      </c>
      <c r="N268" s="300"/>
      <c r="O268" s="317"/>
      <c r="P268" s="317"/>
      <c r="Q268" s="301"/>
      <c r="R268" s="272"/>
      <c r="S268" s="272"/>
      <c r="T268" s="272"/>
      <c r="U268" s="279"/>
      <c r="V268" s="279" t="s">
        <v>1783</v>
      </c>
      <c r="W268" s="280">
        <v>44239.0</v>
      </c>
      <c r="X268" s="281">
        <v>0.034722222222222224</v>
      </c>
      <c r="Y268" s="279" t="s">
        <v>1693</v>
      </c>
      <c r="Z268" s="282" t="s">
        <v>1570</v>
      </c>
      <c r="AA268" s="282" t="s">
        <v>3147</v>
      </c>
      <c r="AB268" s="283">
        <v>44239.0</v>
      </c>
      <c r="AC268" s="284"/>
      <c r="AD268" s="284"/>
    </row>
    <row r="269" ht="14.25" customHeight="1">
      <c r="A269" s="265">
        <v>44239.0</v>
      </c>
      <c r="B269" s="266" t="s">
        <v>1733</v>
      </c>
      <c r="C269" s="266"/>
      <c r="D269" s="266" t="s">
        <v>1686</v>
      </c>
      <c r="E269" s="268"/>
      <c r="F269" s="358" t="s">
        <v>3148</v>
      </c>
      <c r="G269" s="268" t="s">
        <v>2085</v>
      </c>
      <c r="H269" s="270">
        <v>0.04164351851851852</v>
      </c>
      <c r="I269" s="271">
        <v>44239.916666666664</v>
      </c>
      <c r="J269" s="268"/>
      <c r="K269" s="271">
        <v>44239.995787037034</v>
      </c>
      <c r="L269" s="271"/>
      <c r="M269" s="359" t="s">
        <v>2524</v>
      </c>
      <c r="N269" s="290"/>
      <c r="O269" s="275"/>
      <c r="P269" s="275"/>
      <c r="Q269" s="276"/>
      <c r="R269" s="278"/>
      <c r="S269" s="278"/>
      <c r="T269" s="278"/>
      <c r="U269" s="279"/>
      <c r="V269" s="279" t="s">
        <v>1746</v>
      </c>
      <c r="W269" s="280">
        <v>44244.0</v>
      </c>
      <c r="X269" s="281">
        <v>0.34722222222222227</v>
      </c>
      <c r="Y269" s="279" t="s">
        <v>1693</v>
      </c>
      <c r="Z269" s="282" t="s">
        <v>1570</v>
      </c>
      <c r="AA269" s="282" t="s">
        <v>3148</v>
      </c>
      <c r="AB269" s="283">
        <v>44240.0</v>
      </c>
      <c r="AC269" s="284"/>
      <c r="AD269" s="284"/>
    </row>
    <row r="270" ht="14.25" customHeight="1">
      <c r="A270" s="265">
        <v>44239.0</v>
      </c>
      <c r="B270" s="266" t="s">
        <v>1733</v>
      </c>
      <c r="C270" s="266"/>
      <c r="D270" s="266" t="s">
        <v>1455</v>
      </c>
      <c r="E270" s="268"/>
      <c r="F270" s="358" t="s">
        <v>3149</v>
      </c>
      <c r="G270" s="268" t="s">
        <v>2085</v>
      </c>
      <c r="H270" s="270">
        <v>0.022523148148148143</v>
      </c>
      <c r="I270" s="271">
        <v>44239.92638888889</v>
      </c>
      <c r="J270" s="268"/>
      <c r="K270" s="271">
        <v>44239.992581018516</v>
      </c>
      <c r="L270" s="271"/>
      <c r="M270" s="359" t="s">
        <v>2524</v>
      </c>
      <c r="N270" s="290"/>
      <c r="O270" s="275"/>
      <c r="P270" s="275"/>
      <c r="Q270" s="276"/>
      <c r="R270" s="278"/>
      <c r="S270" s="278"/>
      <c r="T270" s="278"/>
      <c r="U270" s="279"/>
      <c r="V270" s="279" t="s">
        <v>1783</v>
      </c>
      <c r="W270" s="280">
        <v>44240.0</v>
      </c>
      <c r="X270" s="281">
        <v>0.125</v>
      </c>
      <c r="Y270" s="279" t="s">
        <v>1693</v>
      </c>
      <c r="Z270" s="282" t="s">
        <v>1570</v>
      </c>
      <c r="AA270" s="282" t="s">
        <v>3149</v>
      </c>
      <c r="AB270" s="283">
        <v>44240.0</v>
      </c>
      <c r="AC270" s="284"/>
      <c r="AD270" s="284"/>
    </row>
    <row r="271" ht="14.25" customHeight="1">
      <c r="A271" s="265">
        <v>44240.0</v>
      </c>
      <c r="B271" s="266" t="s">
        <v>2030</v>
      </c>
      <c r="C271" s="266"/>
      <c r="D271" s="266" t="s">
        <v>1686</v>
      </c>
      <c r="E271" s="268"/>
      <c r="F271" s="358" t="s">
        <v>3150</v>
      </c>
      <c r="G271" s="268" t="s">
        <v>2085</v>
      </c>
      <c r="H271" s="270">
        <v>0.04071759259259259</v>
      </c>
      <c r="I271" s="271">
        <v>44241.770833333336</v>
      </c>
      <c r="J271" s="268"/>
      <c r="K271" s="271">
        <v>44241.86384259259</v>
      </c>
      <c r="L271" s="271"/>
      <c r="M271" s="359" t="s">
        <v>2524</v>
      </c>
      <c r="N271" s="319"/>
      <c r="O271" s="328"/>
      <c r="P271" s="328"/>
      <c r="Q271" s="301"/>
      <c r="R271" s="320"/>
      <c r="S271" s="321"/>
      <c r="T271" s="316"/>
      <c r="U271" s="279"/>
      <c r="V271" s="279" t="s">
        <v>1746</v>
      </c>
      <c r="W271" s="280">
        <v>44245.0</v>
      </c>
      <c r="X271" s="281">
        <v>0.34722222222222227</v>
      </c>
      <c r="Y271" s="279" t="s">
        <v>1693</v>
      </c>
      <c r="Z271" s="282" t="s">
        <v>1570</v>
      </c>
      <c r="AA271" s="282" t="s">
        <v>3150</v>
      </c>
      <c r="AB271" s="283">
        <v>44242.0</v>
      </c>
      <c r="AC271" s="284"/>
      <c r="AD271" s="284"/>
    </row>
    <row r="272" ht="14.25" customHeight="1">
      <c r="A272" s="265">
        <v>44240.0</v>
      </c>
      <c r="B272" s="266" t="s">
        <v>1733</v>
      </c>
      <c r="C272" s="266"/>
      <c r="D272" s="266" t="s">
        <v>1455</v>
      </c>
      <c r="E272" s="268"/>
      <c r="F272" s="358" t="s">
        <v>3151</v>
      </c>
      <c r="G272" s="268" t="s">
        <v>2085</v>
      </c>
      <c r="H272" s="270">
        <v>0.018136574074074072</v>
      </c>
      <c r="I272" s="271">
        <v>44241.78055555555</v>
      </c>
      <c r="J272" s="268"/>
      <c r="K272" s="271">
        <v>44241.84546296296</v>
      </c>
      <c r="L272" s="271"/>
      <c r="M272" s="359" t="s">
        <v>2524</v>
      </c>
      <c r="N272" s="300"/>
      <c r="O272" s="317"/>
      <c r="P272" s="317"/>
      <c r="Q272" s="276"/>
      <c r="R272" s="278"/>
      <c r="S272" s="278"/>
      <c r="T272" s="278"/>
      <c r="U272" s="279"/>
      <c r="V272" s="279" t="s">
        <v>1783</v>
      </c>
      <c r="W272" s="280">
        <v>44242.0</v>
      </c>
      <c r="X272" s="281">
        <v>0.125</v>
      </c>
      <c r="Y272" s="279" t="s">
        <v>1693</v>
      </c>
      <c r="Z272" s="282" t="s">
        <v>1570</v>
      </c>
      <c r="AA272" s="282" t="s">
        <v>3151</v>
      </c>
      <c r="AB272" s="283">
        <v>44242.0</v>
      </c>
      <c r="AC272" s="284"/>
      <c r="AD272" s="284"/>
    </row>
    <row r="273" ht="14.25" customHeight="1">
      <c r="A273" s="265">
        <v>44241.0</v>
      </c>
      <c r="B273" s="266" t="s">
        <v>1500</v>
      </c>
      <c r="C273" s="266"/>
      <c r="D273" s="266" t="s">
        <v>1457</v>
      </c>
      <c r="E273" s="268"/>
      <c r="F273" s="358" t="s">
        <v>3152</v>
      </c>
      <c r="G273" s="268" t="s">
        <v>2085</v>
      </c>
      <c r="H273" s="270">
        <v>0.017638888888888888</v>
      </c>
      <c r="I273" s="271">
        <v>44244.680555555555</v>
      </c>
      <c r="J273" s="268"/>
      <c r="K273" s="271">
        <v>44245.03024305555</v>
      </c>
      <c r="L273" s="271"/>
      <c r="M273" s="359" t="s">
        <v>2524</v>
      </c>
      <c r="N273" s="290"/>
      <c r="O273" s="275"/>
      <c r="P273" s="275"/>
      <c r="Q273" s="276"/>
      <c r="R273" s="278"/>
      <c r="S273" s="278"/>
      <c r="T273" s="278"/>
      <c r="U273" s="279"/>
      <c r="V273" s="279" t="s">
        <v>1783</v>
      </c>
      <c r="W273" s="280">
        <v>44253.0</v>
      </c>
      <c r="X273" s="281">
        <v>0.041666666666666664</v>
      </c>
      <c r="Y273" s="281" t="s">
        <v>1693</v>
      </c>
      <c r="Z273" s="282" t="s">
        <v>1570</v>
      </c>
      <c r="AA273" s="282" t="s">
        <v>3152</v>
      </c>
      <c r="AB273" s="283">
        <v>44245.0</v>
      </c>
      <c r="AC273" s="284"/>
      <c r="AD273" s="284"/>
    </row>
    <row r="274" ht="14.25" customHeight="1">
      <c r="A274" s="265">
        <v>44241.0</v>
      </c>
      <c r="B274" s="266" t="s">
        <v>1733</v>
      </c>
      <c r="C274" s="266"/>
      <c r="D274" s="266" t="s">
        <v>2829</v>
      </c>
      <c r="E274" s="268"/>
      <c r="F274" s="358" t="s">
        <v>3153</v>
      </c>
      <c r="G274" s="268" t="s">
        <v>2085</v>
      </c>
      <c r="H274" s="270">
        <v>0.018472222222222223</v>
      </c>
      <c r="I274" s="271">
        <v>44242.75</v>
      </c>
      <c r="J274" s="268"/>
      <c r="K274" s="271">
        <v>44242.875</v>
      </c>
      <c r="L274" s="271"/>
      <c r="M274" s="307" t="s">
        <v>2808</v>
      </c>
      <c r="N274" s="273">
        <v>44242.975694444445</v>
      </c>
      <c r="O274" s="391" t="s">
        <v>3154</v>
      </c>
      <c r="P274" s="391" t="s">
        <v>1463</v>
      </c>
      <c r="Q274" s="276" t="s">
        <v>1819</v>
      </c>
      <c r="R274" s="277">
        <v>44243.03525462963</v>
      </c>
      <c r="S274" s="278"/>
      <c r="T274" s="278" t="s">
        <v>1499</v>
      </c>
      <c r="U274" s="279"/>
      <c r="V274" s="279"/>
      <c r="W274" s="280"/>
      <c r="X274" s="281"/>
      <c r="Y274" s="279" t="s">
        <v>1693</v>
      </c>
      <c r="Z274" s="282" t="s">
        <v>1570</v>
      </c>
      <c r="AA274" s="282" t="s">
        <v>3153</v>
      </c>
      <c r="AB274" s="283">
        <v>44244.0</v>
      </c>
      <c r="AC274" s="284"/>
      <c r="AD274" s="284"/>
      <c r="AE274" s="345"/>
      <c r="AF274" s="345"/>
      <c r="AG274" s="345"/>
      <c r="AH274" s="345"/>
      <c r="AI274" s="345"/>
      <c r="AJ274" s="345"/>
      <c r="AK274" s="345"/>
      <c r="AL274" s="345"/>
      <c r="AM274" s="345"/>
      <c r="AN274" s="345"/>
      <c r="AO274" s="345"/>
      <c r="AP274" s="345"/>
      <c r="AQ274" s="345"/>
      <c r="AR274" s="345"/>
      <c r="AS274" s="345"/>
      <c r="AT274" s="345"/>
      <c r="AU274" s="345"/>
      <c r="AV274" s="345"/>
      <c r="AW274" s="345"/>
      <c r="AX274" s="345"/>
      <c r="AY274" s="345"/>
      <c r="AZ274" s="345"/>
      <c r="BA274" s="345"/>
      <c r="BB274" s="345"/>
      <c r="BC274" s="345"/>
      <c r="BD274" s="345"/>
      <c r="BE274" s="345"/>
      <c r="BF274" s="345"/>
      <c r="BG274" s="345"/>
      <c r="BH274" s="345"/>
      <c r="BI274" s="345"/>
      <c r="BJ274" s="345"/>
      <c r="BK274" s="345"/>
      <c r="BL274" s="345"/>
      <c r="BM274" s="345"/>
      <c r="BN274" s="345"/>
      <c r="BO274" s="345"/>
      <c r="BP274" s="345"/>
      <c r="BQ274" s="345"/>
      <c r="BR274" s="345"/>
      <c r="BS274" s="345"/>
      <c r="BT274" s="345"/>
      <c r="BU274" s="345"/>
      <c r="BV274" s="345"/>
      <c r="BW274" s="345"/>
      <c r="BX274" s="345"/>
      <c r="BY274" s="345"/>
      <c r="BZ274" s="345"/>
      <c r="CA274" s="345"/>
      <c r="CB274" s="345"/>
      <c r="CC274" s="345"/>
      <c r="CD274" s="345"/>
      <c r="CE274" s="345"/>
      <c r="CF274" s="345"/>
      <c r="CG274" s="345"/>
      <c r="CH274" s="345"/>
      <c r="CI274" s="345"/>
      <c r="CJ274" s="345"/>
      <c r="CK274" s="345"/>
      <c r="CL274" s="345"/>
      <c r="CM274" s="345"/>
      <c r="CN274" s="345"/>
    </row>
    <row r="275" ht="14.25" customHeight="1">
      <c r="A275" s="265">
        <v>44242.0</v>
      </c>
      <c r="B275" s="266" t="s">
        <v>1500</v>
      </c>
      <c r="C275" s="266" t="s">
        <v>2471</v>
      </c>
      <c r="D275" s="266" t="s">
        <v>1543</v>
      </c>
      <c r="E275" s="268"/>
      <c r="F275" s="269" t="s">
        <v>3155</v>
      </c>
      <c r="G275" s="268" t="s">
        <v>1463</v>
      </c>
      <c r="H275" s="270">
        <v>0.0024074074074074076</v>
      </c>
      <c r="I275" s="271">
        <v>44244.71805555555</v>
      </c>
      <c r="J275" s="268"/>
      <c r="K275" s="271">
        <v>44249.77773148148</v>
      </c>
      <c r="L275" s="271"/>
      <c r="M275" s="272" t="s">
        <v>3156</v>
      </c>
      <c r="N275" s="306"/>
      <c r="O275" s="274"/>
      <c r="P275" s="274"/>
      <c r="Q275" s="274"/>
      <c r="R275" s="307"/>
      <c r="S275" s="307"/>
      <c r="T275" s="307"/>
      <c r="U275" s="279"/>
      <c r="V275" s="279" t="s">
        <v>1500</v>
      </c>
      <c r="W275" s="280">
        <v>44251.0</v>
      </c>
      <c r="X275" s="281">
        <v>0.020833333333333332</v>
      </c>
      <c r="Y275" s="279" t="s">
        <v>1693</v>
      </c>
      <c r="Z275" s="282" t="s">
        <v>1570</v>
      </c>
      <c r="AA275" s="282">
        <v>6334608.0</v>
      </c>
      <c r="AB275" s="283">
        <v>44252.0</v>
      </c>
      <c r="AC275" s="284"/>
      <c r="AD275" s="284"/>
    </row>
    <row r="276" ht="14.25" customHeight="1">
      <c r="A276" s="265">
        <v>44242.0</v>
      </c>
      <c r="B276" s="266" t="s">
        <v>1500</v>
      </c>
      <c r="C276" s="266" t="s">
        <v>1455</v>
      </c>
      <c r="D276" s="266" t="s">
        <v>1543</v>
      </c>
      <c r="E276" s="268"/>
      <c r="F276" s="269" t="s">
        <v>3157</v>
      </c>
      <c r="G276" s="268" t="s">
        <v>1463</v>
      </c>
      <c r="H276" s="270">
        <v>0.0012268518518518518</v>
      </c>
      <c r="I276" s="271">
        <v>44246.73263888889</v>
      </c>
      <c r="J276" s="268"/>
      <c r="K276" s="271">
        <v>44250.37175925926</v>
      </c>
      <c r="L276" s="271"/>
      <c r="M276" s="307" t="s">
        <v>3158</v>
      </c>
      <c r="N276" s="273">
        <v>44250.40972222222</v>
      </c>
      <c r="O276" s="301" t="s">
        <v>3159</v>
      </c>
      <c r="P276" s="391" t="s">
        <v>1463</v>
      </c>
      <c r="Q276" s="301" t="s">
        <v>1819</v>
      </c>
      <c r="R276" s="307"/>
      <c r="S276" s="307"/>
      <c r="T276" s="272" t="s">
        <v>3160</v>
      </c>
      <c r="U276" s="279"/>
      <c r="V276" s="279" t="s">
        <v>1500</v>
      </c>
      <c r="W276" s="280">
        <v>44251.0</v>
      </c>
      <c r="X276" s="281">
        <v>0.020833333333333332</v>
      </c>
      <c r="Y276" s="279" t="s">
        <v>1693</v>
      </c>
      <c r="Z276" s="282" t="s">
        <v>1570</v>
      </c>
      <c r="AA276" s="282">
        <v>6334609.0</v>
      </c>
      <c r="AB276" s="283">
        <v>44252.0</v>
      </c>
      <c r="AC276" s="284"/>
      <c r="AD276" s="284"/>
    </row>
    <row r="277" ht="14.25" customHeight="1">
      <c r="A277" s="265">
        <v>44242.0</v>
      </c>
      <c r="B277" s="266" t="s">
        <v>1733</v>
      </c>
      <c r="C277" s="266"/>
      <c r="D277" s="266" t="s">
        <v>1450</v>
      </c>
      <c r="E277" s="268"/>
      <c r="F277" s="358" t="s">
        <v>3161</v>
      </c>
      <c r="G277" s="268" t="s">
        <v>2085</v>
      </c>
      <c r="H277" s="270">
        <v>0.09930555555555555</v>
      </c>
      <c r="I277" s="271">
        <v>44242.725694444445</v>
      </c>
      <c r="J277" s="268"/>
      <c r="K277" s="271">
        <v>44242.87899305556</v>
      </c>
      <c r="L277" s="271"/>
      <c r="M277" s="359" t="s">
        <v>2524</v>
      </c>
      <c r="N277" s="290"/>
      <c r="O277" s="276"/>
      <c r="P277" s="276"/>
      <c r="Q277" s="276"/>
      <c r="R277" s="278"/>
      <c r="S277" s="278"/>
      <c r="T277" s="278"/>
      <c r="U277" s="279"/>
      <c r="V277" s="279" t="s">
        <v>1824</v>
      </c>
      <c r="W277" s="280">
        <v>44246.0</v>
      </c>
      <c r="X277" s="281">
        <v>0.3333333333333333</v>
      </c>
      <c r="Y277" s="279" t="s">
        <v>1693</v>
      </c>
      <c r="Z277" s="282" t="s">
        <v>1570</v>
      </c>
      <c r="AA277" s="282" t="s">
        <v>3161</v>
      </c>
      <c r="AB277" s="283">
        <v>44244.0</v>
      </c>
      <c r="AC277" s="284"/>
      <c r="AD277" s="284"/>
    </row>
    <row r="278" ht="14.25" customHeight="1">
      <c r="A278" s="265">
        <v>44242.0</v>
      </c>
      <c r="B278" s="266" t="s">
        <v>1783</v>
      </c>
      <c r="C278" s="266"/>
      <c r="D278" s="266" t="s">
        <v>1452</v>
      </c>
      <c r="E278" s="268"/>
      <c r="F278" s="358" t="s">
        <v>3162</v>
      </c>
      <c r="G278" s="268" t="s">
        <v>2085</v>
      </c>
      <c r="H278" s="270">
        <v>0.015763888888888886</v>
      </c>
      <c r="I278" s="271">
        <v>44242.48611111111</v>
      </c>
      <c r="J278" s="268"/>
      <c r="K278" s="271" t="s">
        <v>3163</v>
      </c>
      <c r="L278" s="271"/>
      <c r="M278" s="359" t="s">
        <v>2524</v>
      </c>
      <c r="N278" s="273">
        <v>44242.65277777778</v>
      </c>
      <c r="O278" s="276" t="s">
        <v>3164</v>
      </c>
      <c r="P278" s="276" t="s">
        <v>2085</v>
      </c>
      <c r="Q278" s="276" t="s">
        <v>1819</v>
      </c>
      <c r="R278" s="277">
        <v>44242.65277777778</v>
      </c>
      <c r="S278" s="278"/>
      <c r="T278" s="278" t="s">
        <v>3165</v>
      </c>
      <c r="U278" s="279"/>
      <c r="V278" s="279" t="s">
        <v>1783</v>
      </c>
      <c r="W278" s="280">
        <v>44242.0</v>
      </c>
      <c r="X278" s="281">
        <v>0.05555555555555555</v>
      </c>
      <c r="Y278" s="279" t="s">
        <v>1693</v>
      </c>
      <c r="Z278" s="282" t="s">
        <v>1570</v>
      </c>
      <c r="AA278" s="282" t="s">
        <v>3162</v>
      </c>
      <c r="AB278" s="283">
        <v>44244.0</v>
      </c>
      <c r="AC278" s="284"/>
      <c r="AD278" s="284"/>
    </row>
    <row r="279" ht="14.25" customHeight="1">
      <c r="A279" s="265">
        <v>44242.0</v>
      </c>
      <c r="B279" s="266" t="s">
        <v>1733</v>
      </c>
      <c r="C279" s="266"/>
      <c r="D279" s="266" t="s">
        <v>1686</v>
      </c>
      <c r="E279" s="268"/>
      <c r="F279" s="358" t="s">
        <v>3166</v>
      </c>
      <c r="G279" s="268" t="s">
        <v>2085</v>
      </c>
      <c r="H279" s="270">
        <v>0.03943287037037037</v>
      </c>
      <c r="I279" s="271">
        <v>44242.72777777778</v>
      </c>
      <c r="J279" s="268"/>
      <c r="K279" s="271">
        <v>44242.85018518518</v>
      </c>
      <c r="L279" s="271"/>
      <c r="M279" s="359" t="s">
        <v>2524</v>
      </c>
      <c r="N279" s="290"/>
      <c r="O279" s="276"/>
      <c r="P279" s="276"/>
      <c r="Q279" s="276"/>
      <c r="R279" s="278"/>
      <c r="S279" s="278"/>
      <c r="T279" s="278"/>
      <c r="U279" s="279"/>
      <c r="V279" s="279" t="s">
        <v>1746</v>
      </c>
      <c r="W279" s="280">
        <v>44246.0</v>
      </c>
      <c r="X279" s="281">
        <v>0.375</v>
      </c>
      <c r="Y279" s="281" t="s">
        <v>1693</v>
      </c>
      <c r="Z279" s="282" t="s">
        <v>1570</v>
      </c>
      <c r="AA279" s="282" t="s">
        <v>3166</v>
      </c>
      <c r="AB279" s="283">
        <v>44244.0</v>
      </c>
      <c r="AC279" s="284"/>
      <c r="AD279" s="284"/>
    </row>
    <row r="280" ht="14.25" customHeight="1">
      <c r="A280" s="265">
        <v>44242.0</v>
      </c>
      <c r="B280" s="266" t="s">
        <v>1733</v>
      </c>
      <c r="C280" s="266"/>
      <c r="D280" s="266" t="s">
        <v>1455</v>
      </c>
      <c r="E280" s="268"/>
      <c r="F280" s="358" t="s">
        <v>3167</v>
      </c>
      <c r="G280" s="268" t="s">
        <v>2085</v>
      </c>
      <c r="H280" s="270">
        <v>0.02079861111111111</v>
      </c>
      <c r="I280" s="271">
        <v>44242.930555555555</v>
      </c>
      <c r="J280" s="268"/>
      <c r="K280" s="271">
        <v>44243.00803240741</v>
      </c>
      <c r="L280" s="271"/>
      <c r="M280" s="359" t="s">
        <v>2524</v>
      </c>
      <c r="N280" s="306"/>
      <c r="O280" s="274"/>
      <c r="P280" s="274"/>
      <c r="Q280" s="274"/>
      <c r="R280" s="307"/>
      <c r="S280" s="307"/>
      <c r="T280" s="307"/>
      <c r="U280" s="279"/>
      <c r="V280" s="279" t="s">
        <v>1783</v>
      </c>
      <c r="W280" s="280">
        <v>44243.0</v>
      </c>
      <c r="X280" s="281">
        <v>0.11805555555555557</v>
      </c>
      <c r="Y280" s="279" t="s">
        <v>1693</v>
      </c>
      <c r="Z280" s="282" t="s">
        <v>1570</v>
      </c>
      <c r="AA280" s="282" t="s">
        <v>3167</v>
      </c>
      <c r="AB280" s="283">
        <v>44244.0</v>
      </c>
      <c r="AC280" s="284"/>
      <c r="AD280" s="284"/>
    </row>
    <row r="281" ht="14.25" customHeight="1">
      <c r="A281" s="265">
        <v>44243.0</v>
      </c>
      <c r="B281" s="266" t="s">
        <v>1570</v>
      </c>
      <c r="C281" s="266" t="s">
        <v>2158</v>
      </c>
      <c r="D281" s="266" t="s">
        <v>1450</v>
      </c>
      <c r="E281" s="268"/>
      <c r="F281" s="269" t="s">
        <v>3168</v>
      </c>
      <c r="G281" s="268" t="s">
        <v>1463</v>
      </c>
      <c r="H281" s="270">
        <v>0.004097222222222223</v>
      </c>
      <c r="I281" s="271">
        <v>44245.0</v>
      </c>
      <c r="J281" s="268"/>
      <c r="K281" s="271">
        <v>44245.62152777778</v>
      </c>
      <c r="L281" s="271"/>
      <c r="M281" s="269" t="s">
        <v>3169</v>
      </c>
      <c r="N281" s="290"/>
      <c r="O281" s="276"/>
      <c r="P281" s="276"/>
      <c r="Q281" s="276"/>
      <c r="R281" s="278"/>
      <c r="S281" s="278"/>
      <c r="T281" s="278"/>
      <c r="U281" s="279"/>
      <c r="V281" s="279" t="s">
        <v>1570</v>
      </c>
      <c r="W281" s="280">
        <v>44253.0</v>
      </c>
      <c r="X281" s="281">
        <v>0.013888888888888888</v>
      </c>
      <c r="Y281" s="279" t="s">
        <v>1693</v>
      </c>
      <c r="Z281" s="282" t="s">
        <v>1570</v>
      </c>
      <c r="AA281" s="282">
        <v>6327621.0</v>
      </c>
      <c r="AB281" s="283">
        <v>44246.0</v>
      </c>
      <c r="AC281" s="284"/>
      <c r="AD281" s="284"/>
    </row>
    <row r="282" ht="14.25" customHeight="1">
      <c r="A282" s="265">
        <v>44243.0</v>
      </c>
      <c r="B282" s="266" t="s">
        <v>1733</v>
      </c>
      <c r="C282" s="266"/>
      <c r="D282" s="266" t="s">
        <v>1450</v>
      </c>
      <c r="E282" s="268"/>
      <c r="F282" s="358" t="s">
        <v>3170</v>
      </c>
      <c r="G282" s="268" t="s">
        <v>2085</v>
      </c>
      <c r="H282" s="270">
        <v>0.10277777777777779</v>
      </c>
      <c r="I282" s="271">
        <v>44243.77777777778</v>
      </c>
      <c r="J282" s="268"/>
      <c r="K282" s="271">
        <v>44243.94412037037</v>
      </c>
      <c r="L282" s="271"/>
      <c r="M282" s="359" t="s">
        <v>2524</v>
      </c>
      <c r="N282" s="290"/>
      <c r="O282" s="276"/>
      <c r="P282" s="276"/>
      <c r="Q282" s="276"/>
      <c r="R282" s="278"/>
      <c r="S282" s="278"/>
      <c r="T282" s="278"/>
      <c r="U282" s="279"/>
      <c r="V282" s="279" t="s">
        <v>1570</v>
      </c>
      <c r="W282" s="280">
        <v>44244.0</v>
      </c>
      <c r="X282" s="281">
        <v>0.3055555555555555</v>
      </c>
      <c r="Y282" s="279" t="s">
        <v>1693</v>
      </c>
      <c r="Z282" s="282" t="s">
        <v>1570</v>
      </c>
      <c r="AA282" s="282" t="s">
        <v>3170</v>
      </c>
      <c r="AB282" s="283">
        <v>44244.0</v>
      </c>
      <c r="AC282" s="284"/>
      <c r="AD282" s="284"/>
    </row>
    <row r="283" ht="14.25" customHeight="1">
      <c r="A283" s="265">
        <v>44243.0</v>
      </c>
      <c r="B283" s="266" t="s">
        <v>1783</v>
      </c>
      <c r="C283" s="266"/>
      <c r="D283" s="266" t="s">
        <v>1452</v>
      </c>
      <c r="E283" s="268"/>
      <c r="F283" s="358" t="s">
        <v>3171</v>
      </c>
      <c r="G283" s="268" t="s">
        <v>2085</v>
      </c>
      <c r="H283" s="270">
        <v>0.01136574074074074</v>
      </c>
      <c r="I283" s="271">
        <v>44243.506944444445</v>
      </c>
      <c r="J283" s="268"/>
      <c r="K283" s="271">
        <v>44243.51936342593</v>
      </c>
      <c r="L283" s="271"/>
      <c r="M283" s="359" t="s">
        <v>2524</v>
      </c>
      <c r="N283" s="290"/>
      <c r="O283" s="276"/>
      <c r="P283" s="276"/>
      <c r="Q283" s="276"/>
      <c r="R283" s="278"/>
      <c r="S283" s="278"/>
      <c r="T283" s="278"/>
      <c r="U283" s="279"/>
      <c r="V283" s="279" t="s">
        <v>1783</v>
      </c>
      <c r="W283" s="280">
        <v>44243.0</v>
      </c>
      <c r="X283" s="281">
        <v>0.041666666666666664</v>
      </c>
      <c r="Y283" s="279" t="s">
        <v>1693</v>
      </c>
      <c r="Z283" s="282" t="s">
        <v>1570</v>
      </c>
      <c r="AA283" s="282" t="s">
        <v>3171</v>
      </c>
      <c r="AB283" s="283">
        <v>44244.0</v>
      </c>
      <c r="AC283" s="284"/>
      <c r="AD283" s="284"/>
    </row>
    <row r="284" ht="14.25" customHeight="1">
      <c r="A284" s="265">
        <v>44243.0</v>
      </c>
      <c r="B284" s="266" t="s">
        <v>1733</v>
      </c>
      <c r="C284" s="266"/>
      <c r="D284" s="266" t="s">
        <v>1686</v>
      </c>
      <c r="E284" s="268"/>
      <c r="F284" s="358" t="s">
        <v>3172</v>
      </c>
      <c r="G284" s="268" t="s">
        <v>2085</v>
      </c>
      <c r="H284" s="270">
        <v>0.04024305555555556</v>
      </c>
      <c r="I284" s="271">
        <v>44243.7875</v>
      </c>
      <c r="J284" s="268"/>
      <c r="K284" s="271">
        <v>44243.859618055554</v>
      </c>
      <c r="L284" s="271"/>
      <c r="M284" s="359" t="s">
        <v>2524</v>
      </c>
      <c r="N284" s="290"/>
      <c r="O284" s="276"/>
      <c r="P284" s="276"/>
      <c r="Q284" s="276"/>
      <c r="R284" s="278"/>
      <c r="S284" s="278"/>
      <c r="T284" s="278"/>
      <c r="U284" s="279"/>
      <c r="V284" s="279" t="s">
        <v>1685</v>
      </c>
      <c r="W284" s="280">
        <v>44249.0</v>
      </c>
      <c r="X284" s="281">
        <v>0.16666666666666666</v>
      </c>
      <c r="Y284" s="279" t="s">
        <v>1693</v>
      </c>
      <c r="Z284" s="282" t="s">
        <v>1570</v>
      </c>
      <c r="AA284" s="282" t="s">
        <v>3172</v>
      </c>
      <c r="AB284" s="283">
        <v>44244.0</v>
      </c>
      <c r="AC284" s="284"/>
      <c r="AD284" s="284"/>
    </row>
    <row r="285" ht="14.25" customHeight="1">
      <c r="A285" s="265">
        <v>44243.0</v>
      </c>
      <c r="B285" s="266" t="s">
        <v>1733</v>
      </c>
      <c r="C285" s="266"/>
      <c r="D285" s="266" t="s">
        <v>1455</v>
      </c>
      <c r="E285" s="268"/>
      <c r="F285" s="358" t="s">
        <v>3173</v>
      </c>
      <c r="G285" s="268" t="s">
        <v>2085</v>
      </c>
      <c r="H285" s="270">
        <v>0.02224537037037037</v>
      </c>
      <c r="I285" s="271">
        <v>44243.950694444444</v>
      </c>
      <c r="J285" s="268"/>
      <c r="K285" s="271">
        <v>44244.00541666667</v>
      </c>
      <c r="L285" s="271"/>
      <c r="M285" s="359" t="s">
        <v>2524</v>
      </c>
      <c r="N285" s="290"/>
      <c r="O285" s="276"/>
      <c r="P285" s="276"/>
      <c r="Q285" s="276"/>
      <c r="R285" s="278"/>
      <c r="S285" s="278"/>
      <c r="T285" s="278"/>
      <c r="U285" s="279"/>
      <c r="V285" s="279" t="s">
        <v>1783</v>
      </c>
      <c r="W285" s="280">
        <v>44244.0</v>
      </c>
      <c r="X285" s="281">
        <v>0.125</v>
      </c>
      <c r="Y285" s="279" t="s">
        <v>1693</v>
      </c>
      <c r="Z285" s="282" t="s">
        <v>1570</v>
      </c>
      <c r="AA285" s="293" t="s">
        <v>3174</v>
      </c>
      <c r="AB285" s="283">
        <v>44244.0</v>
      </c>
      <c r="AC285" s="284"/>
      <c r="AD285" s="284"/>
    </row>
    <row r="286" ht="14.25" customHeight="1">
      <c r="A286" s="265">
        <v>44244.0</v>
      </c>
      <c r="B286" s="266" t="s">
        <v>1570</v>
      </c>
      <c r="C286" s="266" t="s">
        <v>2158</v>
      </c>
      <c r="D286" s="266" t="s">
        <v>1450</v>
      </c>
      <c r="E286" s="268"/>
      <c r="F286" s="269" t="s">
        <v>3175</v>
      </c>
      <c r="G286" s="268" t="s">
        <v>1463</v>
      </c>
      <c r="H286" s="270">
        <v>0.004456018518518519</v>
      </c>
      <c r="I286" s="271">
        <v>44245.623611111114</v>
      </c>
      <c r="J286" s="268"/>
      <c r="K286" s="271">
        <v>44245.8375</v>
      </c>
      <c r="L286" s="271"/>
      <c r="M286" s="269" t="s">
        <v>3175</v>
      </c>
      <c r="N286" s="290"/>
      <c r="O286" s="276"/>
      <c r="P286" s="276"/>
      <c r="Q286" s="276"/>
      <c r="R286" s="278"/>
      <c r="S286" s="278"/>
      <c r="T286" s="278"/>
      <c r="U286" s="279"/>
      <c r="V286" s="279" t="s">
        <v>1570</v>
      </c>
      <c r="W286" s="280">
        <v>44256.0</v>
      </c>
      <c r="X286" s="281">
        <v>0.013888888888888888</v>
      </c>
      <c r="Y286" s="279" t="s">
        <v>1693</v>
      </c>
      <c r="Z286" s="282" t="s">
        <v>1570</v>
      </c>
      <c r="AA286" s="293">
        <v>6327622.0</v>
      </c>
      <c r="AB286" s="283">
        <v>44246.0</v>
      </c>
      <c r="AC286" s="284"/>
      <c r="AD286" s="284"/>
    </row>
    <row r="287" ht="14.25" customHeight="1">
      <c r="A287" s="265">
        <v>44244.0</v>
      </c>
      <c r="B287" s="266" t="s">
        <v>1500</v>
      </c>
      <c r="C287" s="266" t="s">
        <v>2641</v>
      </c>
      <c r="D287" s="266" t="s">
        <v>1543</v>
      </c>
      <c r="E287" s="268"/>
      <c r="F287" s="269" t="s">
        <v>3176</v>
      </c>
      <c r="G287" s="268" t="s">
        <v>1463</v>
      </c>
      <c r="H287" s="270">
        <v>0.0015856481481481479</v>
      </c>
      <c r="I287" s="271">
        <v>44245.39722222222</v>
      </c>
      <c r="J287" s="268"/>
      <c r="K287" s="271">
        <v>44245.40100694444</v>
      </c>
      <c r="L287" s="271"/>
      <c r="M287" s="272" t="s">
        <v>3177</v>
      </c>
      <c r="N287" s="290"/>
      <c r="O287" s="276"/>
      <c r="P287" s="276"/>
      <c r="Q287" s="276"/>
      <c r="R287" s="278"/>
      <c r="S287" s="278"/>
      <c r="T287" s="278"/>
      <c r="U287" s="279"/>
      <c r="V287" s="279" t="s">
        <v>1500</v>
      </c>
      <c r="W287" s="280">
        <v>44251.0</v>
      </c>
      <c r="X287" s="281">
        <v>0.020833333333333332</v>
      </c>
      <c r="Y287" s="279" t="s">
        <v>1693</v>
      </c>
      <c r="Z287" s="282" t="s">
        <v>1570</v>
      </c>
      <c r="AA287" s="293">
        <v>6327623.0</v>
      </c>
      <c r="AB287" s="283">
        <v>44246.0</v>
      </c>
      <c r="AC287" s="284"/>
      <c r="AD287" s="284"/>
    </row>
    <row r="288" ht="14.25" customHeight="1">
      <c r="A288" s="265">
        <v>44244.0</v>
      </c>
      <c r="B288" s="266" t="s">
        <v>1500</v>
      </c>
      <c r="C288" s="266" t="s">
        <v>2083</v>
      </c>
      <c r="D288" s="266" t="s">
        <v>1543</v>
      </c>
      <c r="E288" s="268"/>
      <c r="F288" s="269" t="s">
        <v>3178</v>
      </c>
      <c r="G288" s="268" t="s">
        <v>1463</v>
      </c>
      <c r="H288" s="270">
        <v>0.002534722222222222</v>
      </c>
      <c r="I288" s="271">
        <v>44245.666666666664</v>
      </c>
      <c r="J288" s="268"/>
      <c r="K288" s="271">
        <v>44245.68011574074</v>
      </c>
      <c r="L288" s="271"/>
      <c r="M288" s="272" t="s">
        <v>3179</v>
      </c>
      <c r="N288" s="290"/>
      <c r="O288" s="276"/>
      <c r="P288" s="276"/>
      <c r="Q288" s="276"/>
      <c r="R288" s="278"/>
      <c r="S288" s="278"/>
      <c r="T288" s="278"/>
      <c r="U288" s="279"/>
      <c r="V288" s="279" t="s">
        <v>1824</v>
      </c>
      <c r="W288" s="280">
        <v>44250.0</v>
      </c>
      <c r="X288" s="281">
        <v>0.02096064814814815</v>
      </c>
      <c r="Y288" s="279" t="s">
        <v>1693</v>
      </c>
      <c r="Z288" s="282" t="s">
        <v>1570</v>
      </c>
      <c r="AA288" s="392">
        <v>6327624.0</v>
      </c>
      <c r="AB288" s="283">
        <v>44246.0</v>
      </c>
      <c r="AC288" s="284"/>
      <c r="AD288" s="284"/>
    </row>
    <row r="289" ht="14.25" customHeight="1">
      <c r="A289" s="265">
        <v>44244.0</v>
      </c>
      <c r="B289" s="266" t="s">
        <v>1500</v>
      </c>
      <c r="C289" s="266" t="s">
        <v>1450</v>
      </c>
      <c r="D289" s="266" t="s">
        <v>1543</v>
      </c>
      <c r="E289" s="268"/>
      <c r="F289" s="269" t="s">
        <v>3180</v>
      </c>
      <c r="G289" s="268" t="s">
        <v>1463</v>
      </c>
      <c r="H289" s="270">
        <v>0.0024074074074074076</v>
      </c>
      <c r="I289" s="271">
        <v>44245.708333333336</v>
      </c>
      <c r="J289" s="268"/>
      <c r="K289" s="271">
        <v>44245.717939814815</v>
      </c>
      <c r="L289" s="271"/>
      <c r="M289" s="303" t="s">
        <v>3181</v>
      </c>
      <c r="N289" s="290"/>
      <c r="O289" s="276"/>
      <c r="P289" s="276"/>
      <c r="Q289" s="276"/>
      <c r="R289" s="278"/>
      <c r="S289" s="278"/>
      <c r="T289" s="278"/>
      <c r="U289" s="279"/>
      <c r="V289" s="279" t="s">
        <v>1824</v>
      </c>
      <c r="W289" s="280">
        <v>44251.0</v>
      </c>
      <c r="X289" s="281">
        <v>0.023020833333333334</v>
      </c>
      <c r="Y289" s="279" t="s">
        <v>1693</v>
      </c>
      <c r="Z289" s="282" t="s">
        <v>1570</v>
      </c>
      <c r="AA289" s="293">
        <v>6327625.0</v>
      </c>
      <c r="AB289" s="283">
        <v>44246.0</v>
      </c>
      <c r="AC289" s="284"/>
      <c r="AD289" s="284"/>
    </row>
    <row r="290" ht="14.25" customHeight="1">
      <c r="A290" s="265">
        <v>44244.0</v>
      </c>
      <c r="B290" s="266" t="s">
        <v>2030</v>
      </c>
      <c r="C290" s="266" t="s">
        <v>1450</v>
      </c>
      <c r="D290" s="266" t="s">
        <v>1543</v>
      </c>
      <c r="E290" s="268"/>
      <c r="F290" s="269" t="s">
        <v>3182</v>
      </c>
      <c r="G290" s="268" t="s">
        <v>1463</v>
      </c>
      <c r="H290" s="270">
        <v>0.0026967592592592594</v>
      </c>
      <c r="I290" s="271">
        <v>44246.34375</v>
      </c>
      <c r="J290" s="268"/>
      <c r="K290" s="271">
        <v>44246.346863425926</v>
      </c>
      <c r="L290" s="271"/>
      <c r="M290" s="393" t="s">
        <v>3183</v>
      </c>
      <c r="N290" s="273">
        <v>44246.39444444444</v>
      </c>
      <c r="O290" s="276" t="s">
        <v>3184</v>
      </c>
      <c r="P290" s="391" t="s">
        <v>1463</v>
      </c>
      <c r="Q290" s="276" t="s">
        <v>3185</v>
      </c>
      <c r="R290" s="277">
        <v>44246.399826388886</v>
      </c>
      <c r="S290" s="278"/>
      <c r="T290" s="278" t="s">
        <v>3186</v>
      </c>
      <c r="U290" s="279"/>
      <c r="V290" s="279" t="s">
        <v>2030</v>
      </c>
      <c r="W290" s="280">
        <v>44246.0</v>
      </c>
      <c r="X290" s="281">
        <v>0.010416666666666666</v>
      </c>
      <c r="Y290" s="279" t="s">
        <v>1693</v>
      </c>
      <c r="Z290" s="282" t="s">
        <v>1570</v>
      </c>
      <c r="AA290" s="293">
        <v>6334610.0</v>
      </c>
      <c r="AB290" s="283">
        <v>44252.0</v>
      </c>
      <c r="AC290" s="284"/>
      <c r="AD290" s="284"/>
    </row>
    <row r="291" ht="14.25" customHeight="1">
      <c r="A291" s="265">
        <v>44244.0</v>
      </c>
      <c r="B291" s="266" t="s">
        <v>1500</v>
      </c>
      <c r="C291" s="266"/>
      <c r="D291" s="266" t="s">
        <v>1450</v>
      </c>
      <c r="E291" s="268"/>
      <c r="F291" s="358" t="s">
        <v>3187</v>
      </c>
      <c r="G291" s="268" t="s">
        <v>2085</v>
      </c>
      <c r="H291" s="270">
        <v>0.10031249999999999</v>
      </c>
      <c r="I291" s="271">
        <v>44244.70138888889</v>
      </c>
      <c r="J291" s="268"/>
      <c r="K291" s="271">
        <v>44244.83261574074</v>
      </c>
      <c r="L291" s="271"/>
      <c r="M291" s="394" t="s">
        <v>2524</v>
      </c>
      <c r="N291" s="290"/>
      <c r="O291" s="276"/>
      <c r="P291" s="276"/>
      <c r="Q291" s="276"/>
      <c r="R291" s="278"/>
      <c r="S291" s="278"/>
      <c r="T291" s="278"/>
      <c r="U291" s="279"/>
      <c r="V291" s="279" t="s">
        <v>1570</v>
      </c>
      <c r="W291" s="280">
        <v>44245.0</v>
      </c>
      <c r="X291" s="281">
        <v>0.3055555555555555</v>
      </c>
      <c r="Y291" s="279" t="s">
        <v>1693</v>
      </c>
      <c r="Z291" s="282" t="s">
        <v>1570</v>
      </c>
      <c r="AA291" s="293" t="s">
        <v>3187</v>
      </c>
      <c r="AB291" s="283">
        <v>44245.0</v>
      </c>
      <c r="AC291" s="284"/>
      <c r="AD291" s="284"/>
      <c r="AE291" s="345"/>
      <c r="AF291" s="345"/>
      <c r="AG291" s="345"/>
      <c r="AH291" s="345"/>
      <c r="AI291" s="345"/>
      <c r="AJ291" s="345"/>
      <c r="AK291" s="345"/>
      <c r="AL291" s="345"/>
      <c r="AM291" s="345"/>
      <c r="AN291" s="345"/>
      <c r="AO291" s="345"/>
      <c r="AP291" s="345"/>
      <c r="AQ291" s="345"/>
      <c r="AR291" s="345"/>
      <c r="AS291" s="345"/>
      <c r="AT291" s="345"/>
      <c r="AU291" s="345"/>
      <c r="AV291" s="345"/>
      <c r="AW291" s="345"/>
      <c r="AX291" s="345"/>
      <c r="AY291" s="345"/>
      <c r="AZ291" s="345"/>
      <c r="BA291" s="345"/>
      <c r="BB291" s="345"/>
      <c r="BC291" s="345"/>
      <c r="BD291" s="345"/>
      <c r="BE291" s="345"/>
      <c r="BF291" s="345"/>
      <c r="BG291" s="345"/>
      <c r="BH291" s="345"/>
      <c r="BI291" s="345"/>
      <c r="BJ291" s="345"/>
      <c r="BK291" s="345"/>
      <c r="BL291" s="345"/>
      <c r="BM291" s="345"/>
      <c r="BN291" s="345"/>
      <c r="BO291" s="345"/>
      <c r="BP291" s="345"/>
      <c r="BQ291" s="345"/>
      <c r="BR291" s="345"/>
      <c r="BS291" s="345"/>
      <c r="BT291" s="345"/>
      <c r="BU291" s="345"/>
      <c r="BV291" s="345"/>
      <c r="BW291" s="345"/>
      <c r="BX291" s="345"/>
      <c r="BY291" s="345"/>
      <c r="BZ291" s="345"/>
      <c r="CA291" s="345"/>
      <c r="CB291" s="345"/>
      <c r="CC291" s="345"/>
      <c r="CD291" s="345"/>
      <c r="CE291" s="345"/>
      <c r="CF291" s="345"/>
      <c r="CG291" s="345"/>
      <c r="CH291" s="345"/>
      <c r="CI291" s="345"/>
      <c r="CJ291" s="345"/>
      <c r="CK291" s="345"/>
      <c r="CL291" s="345"/>
      <c r="CM291" s="345"/>
      <c r="CN291" s="345"/>
    </row>
    <row r="292" ht="14.25" customHeight="1">
      <c r="A292" s="265">
        <v>44244.0</v>
      </c>
      <c r="B292" s="266" t="s">
        <v>1783</v>
      </c>
      <c r="C292" s="266"/>
      <c r="D292" s="266" t="s">
        <v>1452</v>
      </c>
      <c r="E292" s="268"/>
      <c r="F292" s="358" t="s">
        <v>3188</v>
      </c>
      <c r="G292" s="268" t="s">
        <v>2085</v>
      </c>
      <c r="H292" s="270">
        <v>0.005937500000000001</v>
      </c>
      <c r="I292" s="271">
        <v>44244.63125</v>
      </c>
      <c r="J292" s="268"/>
      <c r="K292" s="271">
        <v>44234.64329861111</v>
      </c>
      <c r="L292" s="271"/>
      <c r="M292" s="359" t="s">
        <v>2524</v>
      </c>
      <c r="N292" s="290"/>
      <c r="O292" s="276"/>
      <c r="P292" s="276"/>
      <c r="Q292" s="276"/>
      <c r="R292" s="278"/>
      <c r="S292" s="278"/>
      <c r="T292" s="278"/>
      <c r="U292" s="279"/>
      <c r="V292" s="279" t="s">
        <v>1783</v>
      </c>
      <c r="W292" s="280">
        <v>44244.0</v>
      </c>
      <c r="X292" s="281">
        <v>0.027777777777777776</v>
      </c>
      <c r="Y292" s="279" t="s">
        <v>1693</v>
      </c>
      <c r="Z292" s="282" t="s">
        <v>1570</v>
      </c>
      <c r="AA292" s="282" t="s">
        <v>3188</v>
      </c>
      <c r="AB292" s="283">
        <v>44244.0</v>
      </c>
      <c r="AC292" s="284"/>
      <c r="AD292" s="284"/>
    </row>
    <row r="293" ht="14.25" customHeight="1">
      <c r="A293" s="265">
        <v>44244.0</v>
      </c>
      <c r="B293" s="266" t="s">
        <v>1500</v>
      </c>
      <c r="C293" s="266"/>
      <c r="D293" s="266" t="s">
        <v>1686</v>
      </c>
      <c r="E293" s="268"/>
      <c r="F293" s="358" t="s">
        <v>3189</v>
      </c>
      <c r="G293" s="268" t="s">
        <v>2085</v>
      </c>
      <c r="H293" s="270">
        <v>0.039386574074074074</v>
      </c>
      <c r="I293" s="271">
        <v>44244.70138888889</v>
      </c>
      <c r="J293" s="268"/>
      <c r="K293" s="271">
        <v>44244.78258101852</v>
      </c>
      <c r="L293" s="271"/>
      <c r="M293" s="359" t="s">
        <v>2524</v>
      </c>
      <c r="N293" s="290"/>
      <c r="O293" s="276"/>
      <c r="P293" s="276"/>
      <c r="Q293" s="276"/>
      <c r="R293" s="278"/>
      <c r="S293" s="278"/>
      <c r="T293" s="278"/>
      <c r="U293" s="279"/>
      <c r="V293" s="279" t="s">
        <v>1685</v>
      </c>
      <c r="W293" s="280">
        <v>44249.0</v>
      </c>
      <c r="X293" s="281">
        <v>0.16666666666666666</v>
      </c>
      <c r="Y293" s="279" t="s">
        <v>1693</v>
      </c>
      <c r="Z293" s="282" t="s">
        <v>1570</v>
      </c>
      <c r="AA293" s="282" t="s">
        <v>3189</v>
      </c>
      <c r="AB293" s="283">
        <v>44245.0</v>
      </c>
      <c r="AC293" s="284"/>
      <c r="AD293" s="284"/>
    </row>
    <row r="294" ht="14.25" customHeight="1">
      <c r="A294" s="265">
        <v>44244.0</v>
      </c>
      <c r="B294" s="266" t="s">
        <v>1733</v>
      </c>
      <c r="C294" s="266"/>
      <c r="D294" s="266" t="s">
        <v>1455</v>
      </c>
      <c r="E294" s="268"/>
      <c r="F294" s="358" t="s">
        <v>3190</v>
      </c>
      <c r="G294" s="268" t="s">
        <v>2085</v>
      </c>
      <c r="H294" s="270">
        <v>0.022152777777777775</v>
      </c>
      <c r="I294" s="271">
        <v>44244.99097222222</v>
      </c>
      <c r="J294" s="268"/>
      <c r="K294" s="271">
        <v>44245.059386574074</v>
      </c>
      <c r="L294" s="271"/>
      <c r="M294" s="359" t="s">
        <v>2524</v>
      </c>
      <c r="N294" s="290"/>
      <c r="O294" s="276"/>
      <c r="P294" s="276"/>
      <c r="Q294" s="276"/>
      <c r="R294" s="278"/>
      <c r="S294" s="278"/>
      <c r="T294" s="278"/>
      <c r="U294" s="279"/>
      <c r="V294" s="279" t="s">
        <v>1783</v>
      </c>
      <c r="W294" s="280">
        <v>44245.0</v>
      </c>
      <c r="X294" s="281">
        <v>0.11805555555555557</v>
      </c>
      <c r="Y294" s="279" t="s">
        <v>1693</v>
      </c>
      <c r="Z294" s="282" t="s">
        <v>1570</v>
      </c>
      <c r="AA294" s="293" t="s">
        <v>3190</v>
      </c>
      <c r="AB294" s="283">
        <v>44245.0</v>
      </c>
      <c r="AC294" s="284"/>
      <c r="AD294" s="284"/>
    </row>
    <row r="295" ht="14.25" customHeight="1">
      <c r="A295" s="265">
        <v>44245.0</v>
      </c>
      <c r="B295" s="266" t="s">
        <v>2030</v>
      </c>
      <c r="C295" s="266" t="s">
        <v>1686</v>
      </c>
      <c r="D295" s="266" t="s">
        <v>1543</v>
      </c>
      <c r="E295" s="268"/>
      <c r="F295" s="269" t="s">
        <v>3191</v>
      </c>
      <c r="G295" s="268" t="s">
        <v>1463</v>
      </c>
      <c r="H295" s="270">
        <v>0.0030555555555555557</v>
      </c>
      <c r="I295" s="271">
        <v>44246.37986111111</v>
      </c>
      <c r="J295" s="268"/>
      <c r="K295" s="271">
        <v>44246.389652777776</v>
      </c>
      <c r="L295" s="271"/>
      <c r="M295" s="303" t="s">
        <v>3192</v>
      </c>
      <c r="N295" s="290"/>
      <c r="O295" s="276"/>
      <c r="P295" s="276"/>
      <c r="Q295" s="276"/>
      <c r="R295" s="278"/>
      <c r="S295" s="278"/>
      <c r="T295" s="278"/>
      <c r="U295" s="279"/>
      <c r="V295" s="279" t="s">
        <v>2030</v>
      </c>
      <c r="W295" s="280">
        <v>44246.0</v>
      </c>
      <c r="X295" s="281">
        <v>0.010416666666666666</v>
      </c>
      <c r="Y295" s="279" t="s">
        <v>1693</v>
      </c>
      <c r="Z295" s="282" t="s">
        <v>1570</v>
      </c>
      <c r="AA295" s="282">
        <v>6334611.0</v>
      </c>
      <c r="AB295" s="283">
        <v>44252.0</v>
      </c>
      <c r="AC295" s="284"/>
      <c r="AD295" s="284"/>
    </row>
    <row r="296" ht="14.25" customHeight="1">
      <c r="A296" s="265">
        <v>44245.0</v>
      </c>
      <c r="B296" s="266" t="s">
        <v>1500</v>
      </c>
      <c r="C296" s="266" t="s">
        <v>1686</v>
      </c>
      <c r="D296" s="266" t="s">
        <v>1543</v>
      </c>
      <c r="E296" s="268"/>
      <c r="F296" s="269" t="s">
        <v>3193</v>
      </c>
      <c r="G296" s="268" t="s">
        <v>1463</v>
      </c>
      <c r="H296" s="270">
        <v>0.0010185185185185186</v>
      </c>
      <c r="I296" s="271">
        <v>44246.48402777778</v>
      </c>
      <c r="J296" s="268"/>
      <c r="K296" s="271">
        <v>44246.48909722222</v>
      </c>
      <c r="L296" s="271"/>
      <c r="M296" s="303" t="s">
        <v>3194</v>
      </c>
      <c r="N296" s="290"/>
      <c r="O296" s="276"/>
      <c r="P296" s="276"/>
      <c r="Q296" s="276"/>
      <c r="R296" s="278"/>
      <c r="S296" s="278"/>
      <c r="T296" s="278"/>
      <c r="U296" s="279"/>
      <c r="V296" s="279" t="s">
        <v>1824</v>
      </c>
      <c r="W296" s="280">
        <v>44251.0</v>
      </c>
      <c r="X296" s="281">
        <v>0.010208333333333333</v>
      </c>
      <c r="Y296" s="279" t="s">
        <v>1693</v>
      </c>
      <c r="Z296" s="282" t="s">
        <v>1570</v>
      </c>
      <c r="AA296" s="282">
        <v>6334612.0</v>
      </c>
      <c r="AB296" s="283">
        <v>44253.0</v>
      </c>
      <c r="AC296" s="284"/>
      <c r="AD296" s="284"/>
    </row>
    <row r="297" ht="14.25" customHeight="1">
      <c r="A297" s="265">
        <v>44245.0</v>
      </c>
      <c r="B297" s="266" t="s">
        <v>1500</v>
      </c>
      <c r="C297" s="266" t="s">
        <v>1686</v>
      </c>
      <c r="D297" s="266" t="s">
        <v>1543</v>
      </c>
      <c r="E297" s="268"/>
      <c r="F297" s="269" t="s">
        <v>3195</v>
      </c>
      <c r="G297" s="268" t="s">
        <v>1463</v>
      </c>
      <c r="H297" s="270">
        <v>0.0010416666666666667</v>
      </c>
      <c r="I297" s="271">
        <v>44246.48402777778</v>
      </c>
      <c r="J297" s="268"/>
      <c r="K297" s="271">
        <v>44246.76353009259</v>
      </c>
      <c r="L297" s="271"/>
      <c r="M297" s="303" t="s">
        <v>3196</v>
      </c>
      <c r="N297" s="290"/>
      <c r="O297" s="276"/>
      <c r="P297" s="276"/>
      <c r="Q297" s="276"/>
      <c r="R297" s="278"/>
      <c r="S297" s="278"/>
      <c r="T297" s="278"/>
      <c r="U297" s="279"/>
      <c r="V297" s="279" t="s">
        <v>1824</v>
      </c>
      <c r="W297" s="280">
        <v>44251.0</v>
      </c>
      <c r="X297" s="281">
        <v>0.006145833333333333</v>
      </c>
      <c r="Y297" s="279" t="s">
        <v>1693</v>
      </c>
      <c r="Z297" s="282" t="s">
        <v>1570</v>
      </c>
      <c r="AA297" s="282">
        <v>6334613.0</v>
      </c>
      <c r="AB297" s="283">
        <v>44253.0</v>
      </c>
      <c r="AC297" s="284"/>
      <c r="AD297" s="284"/>
    </row>
    <row r="298" ht="14.25" customHeight="1">
      <c r="A298" s="265">
        <v>44245.0</v>
      </c>
      <c r="B298" s="266" t="s">
        <v>1500</v>
      </c>
      <c r="C298" s="266"/>
      <c r="D298" s="266" t="s">
        <v>1450</v>
      </c>
      <c r="E298" s="268"/>
      <c r="F298" s="358" t="s">
        <v>3197</v>
      </c>
      <c r="G298" s="268" t="s">
        <v>2085</v>
      </c>
      <c r="H298" s="270">
        <v>0.09900462962962964</v>
      </c>
      <c r="I298" s="271">
        <v>44245.618055555555</v>
      </c>
      <c r="J298" s="268"/>
      <c r="K298" s="271">
        <v>44245.74652777778</v>
      </c>
      <c r="L298" s="271"/>
      <c r="M298" s="359" t="s">
        <v>2524</v>
      </c>
      <c r="N298" s="290"/>
      <c r="O298" s="276"/>
      <c r="P298" s="276"/>
      <c r="Q298" s="276"/>
      <c r="R298" s="278"/>
      <c r="S298" s="278"/>
      <c r="T298" s="278"/>
      <c r="U298" s="279"/>
      <c r="V298" s="279" t="s">
        <v>1570</v>
      </c>
      <c r="W298" s="280">
        <v>44246.0</v>
      </c>
      <c r="X298" s="281">
        <v>0.3055555555555555</v>
      </c>
      <c r="Y298" s="279" t="s">
        <v>1693</v>
      </c>
      <c r="Z298" s="282" t="s">
        <v>1570</v>
      </c>
      <c r="AA298" s="282" t="s">
        <v>3197</v>
      </c>
      <c r="AB298" s="283">
        <v>44245.0</v>
      </c>
      <c r="AC298" s="284"/>
      <c r="AD298" s="284"/>
      <c r="AE298" s="345"/>
      <c r="AF298" s="345"/>
      <c r="AG298" s="345"/>
      <c r="AH298" s="345"/>
      <c r="AI298" s="345"/>
      <c r="AJ298" s="345"/>
      <c r="AK298" s="345"/>
      <c r="AL298" s="345"/>
      <c r="AM298" s="345"/>
      <c r="AN298" s="345"/>
      <c r="AO298" s="345"/>
      <c r="AP298" s="345"/>
      <c r="AQ298" s="345"/>
      <c r="AR298" s="345"/>
      <c r="AS298" s="345"/>
      <c r="AT298" s="345"/>
      <c r="AU298" s="345"/>
      <c r="AV298" s="345"/>
      <c r="AW298" s="345"/>
      <c r="AX298" s="345"/>
      <c r="AY298" s="345"/>
      <c r="AZ298" s="345"/>
      <c r="BA298" s="345"/>
      <c r="BB298" s="345"/>
      <c r="BC298" s="345"/>
      <c r="BD298" s="345"/>
      <c r="BE298" s="345"/>
      <c r="BF298" s="345"/>
      <c r="BG298" s="345"/>
      <c r="BH298" s="345"/>
      <c r="BI298" s="345"/>
      <c r="BJ298" s="345"/>
      <c r="BK298" s="345"/>
      <c r="BL298" s="345"/>
      <c r="BM298" s="345"/>
      <c r="BN298" s="345"/>
      <c r="BO298" s="345"/>
      <c r="BP298" s="345"/>
      <c r="BQ298" s="345"/>
      <c r="BR298" s="345"/>
      <c r="BS298" s="345"/>
      <c r="BT298" s="345"/>
      <c r="BU298" s="345"/>
      <c r="BV298" s="345"/>
      <c r="BW298" s="345"/>
      <c r="BX298" s="345"/>
      <c r="BY298" s="345"/>
      <c r="BZ298" s="345"/>
      <c r="CA298" s="345"/>
      <c r="CB298" s="345"/>
      <c r="CC298" s="345"/>
      <c r="CD298" s="345"/>
      <c r="CE298" s="345"/>
      <c r="CF298" s="345"/>
      <c r="CG298" s="345"/>
      <c r="CH298" s="345"/>
      <c r="CI298" s="345"/>
      <c r="CJ298" s="345"/>
      <c r="CK298" s="345"/>
      <c r="CL298" s="345"/>
      <c r="CM298" s="345"/>
      <c r="CN298" s="345"/>
    </row>
    <row r="299" ht="14.25" customHeight="1">
      <c r="A299" s="265">
        <v>44245.0</v>
      </c>
      <c r="B299" s="266" t="s">
        <v>1783</v>
      </c>
      <c r="C299" s="266"/>
      <c r="D299" s="266" t="s">
        <v>1452</v>
      </c>
      <c r="E299" s="268"/>
      <c r="F299" s="358" t="s">
        <v>3198</v>
      </c>
      <c r="G299" s="268" t="s">
        <v>2085</v>
      </c>
      <c r="H299" s="270">
        <v>0.007939814814814814</v>
      </c>
      <c r="I299" s="271">
        <v>44245.54236111111</v>
      </c>
      <c r="J299" s="268"/>
      <c r="K299" s="271">
        <v>44245.553449074076</v>
      </c>
      <c r="L299" s="271"/>
      <c r="M299" s="359" t="s">
        <v>2524</v>
      </c>
      <c r="N299" s="290"/>
      <c r="O299" s="276"/>
      <c r="P299" s="276"/>
      <c r="Q299" s="276"/>
      <c r="R299" s="278"/>
      <c r="S299" s="278"/>
      <c r="T299" s="278"/>
      <c r="U299" s="279"/>
      <c r="V299" s="279" t="s">
        <v>1783</v>
      </c>
      <c r="W299" s="280">
        <v>44245.0</v>
      </c>
      <c r="X299" s="281">
        <v>0.027777777777777776</v>
      </c>
      <c r="Y299" s="279" t="s">
        <v>1693</v>
      </c>
      <c r="Z299" s="282" t="s">
        <v>1570</v>
      </c>
      <c r="AA299" s="282" t="s">
        <v>3198</v>
      </c>
      <c r="AB299" s="283">
        <v>44245.0</v>
      </c>
      <c r="AC299" s="284"/>
      <c r="AD299" s="284"/>
    </row>
    <row r="300" ht="14.25" customHeight="1">
      <c r="A300" s="265">
        <v>44245.0</v>
      </c>
      <c r="B300" s="266" t="s">
        <v>1500</v>
      </c>
      <c r="C300" s="266"/>
      <c r="D300" s="266" t="s">
        <v>1686</v>
      </c>
      <c r="E300" s="268"/>
      <c r="F300" s="358" t="s">
        <v>3199</v>
      </c>
      <c r="G300" s="268" t="s">
        <v>2085</v>
      </c>
      <c r="H300" s="270">
        <v>0.03871527777777778</v>
      </c>
      <c r="I300" s="271">
        <v>44245.646527777775</v>
      </c>
      <c r="J300" s="268"/>
      <c r="K300" s="271">
        <v>44245.71365740741</v>
      </c>
      <c r="L300" s="271"/>
      <c r="M300" s="359" t="s">
        <v>2524</v>
      </c>
      <c r="N300" s="290"/>
      <c r="O300" s="276"/>
      <c r="P300" s="276"/>
      <c r="Q300" s="276"/>
      <c r="R300" s="278"/>
      <c r="S300" s="278"/>
      <c r="T300" s="278"/>
      <c r="U300" s="279"/>
      <c r="V300" s="279" t="s">
        <v>1685</v>
      </c>
      <c r="W300" s="280">
        <v>44250.0</v>
      </c>
      <c r="X300" s="281">
        <v>0.16666666666666666</v>
      </c>
      <c r="Y300" s="279" t="s">
        <v>1693</v>
      </c>
      <c r="Z300" s="282" t="s">
        <v>1570</v>
      </c>
      <c r="AA300" s="282" t="s">
        <v>3199</v>
      </c>
      <c r="AB300" s="283">
        <v>44245.0</v>
      </c>
      <c r="AC300" s="284"/>
      <c r="AD300" s="284"/>
    </row>
    <row r="301" ht="14.25" customHeight="1">
      <c r="A301" s="265">
        <v>44245.0</v>
      </c>
      <c r="B301" s="266" t="s">
        <v>1733</v>
      </c>
      <c r="C301" s="266"/>
      <c r="D301" s="266" t="s">
        <v>1455</v>
      </c>
      <c r="E301" s="268"/>
      <c r="F301" s="358" t="s">
        <v>3200</v>
      </c>
      <c r="G301" s="268" t="s">
        <v>2085</v>
      </c>
      <c r="H301" s="270">
        <v>0.021782407407407407</v>
      </c>
      <c r="I301" s="271">
        <v>44245.919444444444</v>
      </c>
      <c r="J301" s="268"/>
      <c r="K301" s="271">
        <v>44245.98001157407</v>
      </c>
      <c r="L301" s="271"/>
      <c r="M301" s="359" t="s">
        <v>2524</v>
      </c>
      <c r="N301" s="290"/>
      <c r="O301" s="276"/>
      <c r="P301" s="276"/>
      <c r="Q301" s="276"/>
      <c r="R301" s="278"/>
      <c r="S301" s="278"/>
      <c r="T301" s="278"/>
      <c r="U301" s="279"/>
      <c r="V301" s="279" t="s">
        <v>1783</v>
      </c>
      <c r="W301" s="280">
        <v>44246.0</v>
      </c>
      <c r="X301" s="281">
        <v>0.125</v>
      </c>
      <c r="Y301" s="279" t="s">
        <v>1693</v>
      </c>
      <c r="Z301" s="282" t="s">
        <v>1570</v>
      </c>
      <c r="AA301" s="282" t="s">
        <v>3200</v>
      </c>
      <c r="AB301" s="283">
        <v>44246.0</v>
      </c>
      <c r="AC301" s="284"/>
      <c r="AD301" s="284"/>
    </row>
    <row r="302" ht="14.25" customHeight="1">
      <c r="A302" s="265">
        <v>44246.0</v>
      </c>
      <c r="B302" s="266" t="s">
        <v>1500</v>
      </c>
      <c r="C302" s="266" t="s">
        <v>1686</v>
      </c>
      <c r="D302" s="266" t="s">
        <v>1543</v>
      </c>
      <c r="E302" s="268"/>
      <c r="F302" s="291" t="s">
        <v>3201</v>
      </c>
      <c r="G302" s="268" t="s">
        <v>1463</v>
      </c>
      <c r="H302" s="270">
        <v>0.0012962962962962963</v>
      </c>
      <c r="I302" s="271">
        <v>44246.65416666667</v>
      </c>
      <c r="J302" s="268"/>
      <c r="K302" s="271">
        <v>44246.692557870374</v>
      </c>
      <c r="L302" s="271"/>
      <c r="M302" s="278" t="s">
        <v>3202</v>
      </c>
      <c r="N302" s="290"/>
      <c r="O302" s="275"/>
      <c r="P302" s="275"/>
      <c r="Q302" s="276"/>
      <c r="R302" s="278"/>
      <c r="S302" s="278"/>
      <c r="T302" s="278"/>
      <c r="U302" s="279"/>
      <c r="V302" s="279" t="s">
        <v>1824</v>
      </c>
      <c r="W302" s="280">
        <v>44251.0</v>
      </c>
      <c r="X302" s="281">
        <v>0.008703703703703703</v>
      </c>
      <c r="Y302" s="279" t="s">
        <v>1693</v>
      </c>
      <c r="Z302" s="282" t="s">
        <v>1570</v>
      </c>
      <c r="AA302" s="282">
        <v>6334614.0</v>
      </c>
      <c r="AB302" s="283">
        <v>44253.0</v>
      </c>
      <c r="AC302" s="284"/>
      <c r="AD302" s="284"/>
    </row>
    <row r="303" ht="14.25" customHeight="1">
      <c r="A303" s="265">
        <v>44246.0</v>
      </c>
      <c r="B303" s="266" t="s">
        <v>2030</v>
      </c>
      <c r="C303" s="266" t="s">
        <v>1696</v>
      </c>
      <c r="D303" s="266" t="s">
        <v>1543</v>
      </c>
      <c r="E303" s="268"/>
      <c r="F303" s="291" t="s">
        <v>3203</v>
      </c>
      <c r="G303" s="268" t="s">
        <v>1463</v>
      </c>
      <c r="H303" s="270">
        <v>0.0018634259259259261</v>
      </c>
      <c r="I303" s="271">
        <v>44249.43402777778</v>
      </c>
      <c r="J303" s="268"/>
      <c r="K303" s="271">
        <v>44249.45453703704</v>
      </c>
      <c r="L303" s="271"/>
      <c r="M303" s="307" t="s">
        <v>3204</v>
      </c>
      <c r="N303" s="273">
        <v>44249.510416666664</v>
      </c>
      <c r="O303" s="395" t="s">
        <v>3205</v>
      </c>
      <c r="P303" s="301" t="s">
        <v>1463</v>
      </c>
      <c r="Q303" s="276" t="s">
        <v>3185</v>
      </c>
      <c r="R303" s="277">
        <v>44249.51814814815</v>
      </c>
      <c r="S303" s="278"/>
      <c r="T303" s="278" t="s">
        <v>3206</v>
      </c>
      <c r="U303" s="279"/>
      <c r="V303" s="279" t="s">
        <v>2030</v>
      </c>
      <c r="W303" s="280">
        <v>44250.0</v>
      </c>
      <c r="X303" s="281">
        <v>0.006944444444444444</v>
      </c>
      <c r="Y303" s="279" t="s">
        <v>1693</v>
      </c>
      <c r="Z303" s="282" t="s">
        <v>1570</v>
      </c>
      <c r="AA303" s="282">
        <v>6334615.0</v>
      </c>
      <c r="AB303" s="283">
        <v>44253.0</v>
      </c>
      <c r="AC303" s="284"/>
      <c r="AD303" s="284"/>
    </row>
    <row r="304" ht="14.25" customHeight="1">
      <c r="A304" s="265">
        <v>44246.0</v>
      </c>
      <c r="B304" s="266" t="s">
        <v>1500</v>
      </c>
      <c r="C304" s="266"/>
      <c r="D304" s="266" t="s">
        <v>1450</v>
      </c>
      <c r="E304" s="268"/>
      <c r="F304" s="358" t="s">
        <v>3207</v>
      </c>
      <c r="G304" s="268" t="s">
        <v>2085</v>
      </c>
      <c r="H304" s="270">
        <v>0.09809027777777778</v>
      </c>
      <c r="I304" s="271">
        <v>44246.66527777778</v>
      </c>
      <c r="J304" s="268"/>
      <c r="K304" s="271">
        <v>44246.82402777778</v>
      </c>
      <c r="L304" s="271"/>
      <c r="M304" s="359" t="s">
        <v>2524</v>
      </c>
      <c r="N304" s="290"/>
      <c r="O304" s="276"/>
      <c r="P304" s="276"/>
      <c r="Q304" s="276"/>
      <c r="R304" s="278"/>
      <c r="S304" s="278"/>
      <c r="T304" s="278"/>
      <c r="U304" s="279"/>
      <c r="V304" s="279" t="s">
        <v>1772</v>
      </c>
      <c r="W304" s="280" t="s">
        <v>3208</v>
      </c>
      <c r="X304" s="281">
        <v>0.3125</v>
      </c>
      <c r="Y304" s="279" t="s">
        <v>1693</v>
      </c>
      <c r="Z304" s="282" t="s">
        <v>1570</v>
      </c>
      <c r="AA304" s="282" t="s">
        <v>3207</v>
      </c>
      <c r="AB304" s="283">
        <v>44246.0</v>
      </c>
      <c r="AC304" s="284"/>
      <c r="AD304" s="284"/>
    </row>
    <row r="305" ht="14.25" customHeight="1">
      <c r="A305" s="265">
        <v>44246.0</v>
      </c>
      <c r="B305" s="266" t="s">
        <v>1783</v>
      </c>
      <c r="C305" s="266"/>
      <c r="D305" s="266" t="s">
        <v>1452</v>
      </c>
      <c r="E305" s="268"/>
      <c r="F305" s="358" t="s">
        <v>3209</v>
      </c>
      <c r="G305" s="268" t="s">
        <v>2085</v>
      </c>
      <c r="H305" s="270">
        <v>0.00837962962962963</v>
      </c>
      <c r="I305" s="271">
        <v>44246.4875</v>
      </c>
      <c r="J305" s="268"/>
      <c r="K305" s="271">
        <v>44246.49855324074</v>
      </c>
      <c r="L305" s="271"/>
      <c r="M305" s="359" t="s">
        <v>2524</v>
      </c>
      <c r="N305" s="290"/>
      <c r="O305" s="276"/>
      <c r="P305" s="276"/>
      <c r="Q305" s="276"/>
      <c r="R305" s="278"/>
      <c r="S305" s="278"/>
      <c r="T305" s="278"/>
      <c r="U305" s="279"/>
      <c r="V305" s="279" t="s">
        <v>1738</v>
      </c>
      <c r="W305" s="280">
        <v>44218.0</v>
      </c>
      <c r="X305" s="281">
        <v>0.027777777777777776</v>
      </c>
      <c r="Y305" s="279" t="s">
        <v>1693</v>
      </c>
      <c r="Z305" s="282" t="s">
        <v>1570</v>
      </c>
      <c r="AA305" s="282" t="s">
        <v>3209</v>
      </c>
      <c r="AB305" s="283">
        <v>44246.0</v>
      </c>
      <c r="AC305" s="284"/>
      <c r="AD305" s="284"/>
    </row>
    <row r="306" ht="14.25" customHeight="1">
      <c r="A306" s="265">
        <v>44246.0</v>
      </c>
      <c r="B306" s="266" t="s">
        <v>1500</v>
      </c>
      <c r="C306" s="266"/>
      <c r="D306" s="266" t="s">
        <v>1686</v>
      </c>
      <c r="E306" s="268"/>
      <c r="F306" s="358" t="s">
        <v>3210</v>
      </c>
      <c r="G306" s="268" t="s">
        <v>2085</v>
      </c>
      <c r="H306" s="270">
        <v>0.03833333333333334</v>
      </c>
      <c r="I306" s="271">
        <v>44246.70972222222</v>
      </c>
      <c r="J306" s="268"/>
      <c r="K306" s="271">
        <v>44246.78958333333</v>
      </c>
      <c r="L306" s="271"/>
      <c r="M306" s="359" t="s">
        <v>2524</v>
      </c>
      <c r="N306" s="290"/>
      <c r="O306" s="276"/>
      <c r="P306" s="276"/>
      <c r="Q306" s="276"/>
      <c r="R306" s="278"/>
      <c r="S306" s="278"/>
      <c r="T306" s="278"/>
      <c r="U306" s="279"/>
      <c r="V306" s="279" t="s">
        <v>1685</v>
      </c>
      <c r="W306" s="280">
        <v>44251.0</v>
      </c>
      <c r="X306" s="281">
        <v>0.16666666666666666</v>
      </c>
      <c r="Y306" s="279" t="s">
        <v>1693</v>
      </c>
      <c r="Z306" s="282" t="s">
        <v>1570</v>
      </c>
      <c r="AA306" s="282" t="s">
        <v>3210</v>
      </c>
      <c r="AB306" s="283">
        <v>44246.0</v>
      </c>
      <c r="AC306" s="284"/>
      <c r="AD306" s="284"/>
    </row>
    <row r="307" ht="14.25" customHeight="1">
      <c r="A307" s="265">
        <v>44246.0</v>
      </c>
      <c r="B307" s="266" t="s">
        <v>1733</v>
      </c>
      <c r="C307" s="266"/>
      <c r="D307" s="266" t="s">
        <v>1455</v>
      </c>
      <c r="E307" s="268"/>
      <c r="F307" s="358" t="s">
        <v>3211</v>
      </c>
      <c r="G307" s="268" t="s">
        <v>2085</v>
      </c>
      <c r="H307" s="270">
        <v>0.021319444444444443</v>
      </c>
      <c r="I307" s="271">
        <v>44246.90416666667</v>
      </c>
      <c r="J307" s="268"/>
      <c r="K307" s="271">
        <v>44246.96424768519</v>
      </c>
      <c r="L307" s="271"/>
      <c r="M307" s="359" t="s">
        <v>2524</v>
      </c>
      <c r="N307" s="290"/>
      <c r="O307" s="275"/>
      <c r="P307" s="275"/>
      <c r="Q307" s="276"/>
      <c r="R307" s="278"/>
      <c r="S307" s="278"/>
      <c r="T307" s="278"/>
      <c r="U307" s="279"/>
      <c r="V307" s="279" t="s">
        <v>1783</v>
      </c>
      <c r="W307" s="280">
        <v>44249.0</v>
      </c>
      <c r="X307" s="281">
        <v>0.125</v>
      </c>
      <c r="Y307" s="279" t="s">
        <v>1693</v>
      </c>
      <c r="Z307" s="282" t="s">
        <v>1570</v>
      </c>
      <c r="AA307" s="282" t="s">
        <v>3211</v>
      </c>
      <c r="AB307" s="283">
        <v>44246.0</v>
      </c>
      <c r="AC307" s="284"/>
      <c r="AD307" s="284"/>
    </row>
    <row r="308" ht="14.25" customHeight="1">
      <c r="A308" s="265">
        <v>44247.0</v>
      </c>
      <c r="B308" s="266" t="s">
        <v>2030</v>
      </c>
      <c r="C308" s="266" t="s">
        <v>1686</v>
      </c>
      <c r="D308" s="266" t="s">
        <v>1543</v>
      </c>
      <c r="E308" s="268"/>
      <c r="F308" s="269" t="s">
        <v>3212</v>
      </c>
      <c r="G308" s="268" t="s">
        <v>1463</v>
      </c>
      <c r="H308" s="270">
        <v>0.0015162037037037036</v>
      </c>
      <c r="I308" s="271">
        <v>44249.50347222222</v>
      </c>
      <c r="J308" s="268"/>
      <c r="K308" s="271">
        <v>44249.513773148145</v>
      </c>
      <c r="L308" s="271"/>
      <c r="M308" s="278" t="s">
        <v>3213</v>
      </c>
      <c r="N308" s="290"/>
      <c r="O308" s="275"/>
      <c r="P308" s="275"/>
      <c r="Q308" s="276"/>
      <c r="R308" s="278"/>
      <c r="S308" s="278"/>
      <c r="T308" s="278"/>
      <c r="U308" s="279"/>
      <c r="V308" s="279" t="s">
        <v>2030</v>
      </c>
      <c r="W308" s="280">
        <v>44250.0</v>
      </c>
      <c r="X308" s="281">
        <v>0.010416666666666666</v>
      </c>
      <c r="Y308" s="279" t="s">
        <v>1693</v>
      </c>
      <c r="Z308" s="282" t="s">
        <v>1570</v>
      </c>
      <c r="AA308" s="282">
        <v>6334616.0</v>
      </c>
      <c r="AB308" s="283">
        <v>44253.0</v>
      </c>
      <c r="AC308" s="284"/>
      <c r="AD308" s="284"/>
    </row>
    <row r="309" ht="14.25" customHeight="1">
      <c r="A309" s="265">
        <v>44247.0</v>
      </c>
      <c r="B309" s="266" t="s">
        <v>2030</v>
      </c>
      <c r="C309" s="266" t="s">
        <v>1686</v>
      </c>
      <c r="D309" s="266" t="s">
        <v>1543</v>
      </c>
      <c r="E309" s="268"/>
      <c r="F309" s="269" t="s">
        <v>3214</v>
      </c>
      <c r="G309" s="268" t="s">
        <v>1463</v>
      </c>
      <c r="H309" s="270">
        <v>0.0013194444444444443</v>
      </c>
      <c r="I309" s="271">
        <v>44249.51666666667</v>
      </c>
      <c r="J309" s="268"/>
      <c r="K309" s="271">
        <v>44249.52380787037</v>
      </c>
      <c r="L309" s="271"/>
      <c r="M309" s="278" t="s">
        <v>3215</v>
      </c>
      <c r="N309" s="290"/>
      <c r="O309" s="275"/>
      <c r="P309" s="275"/>
      <c r="Q309" s="276"/>
      <c r="R309" s="278"/>
      <c r="S309" s="278"/>
      <c r="T309" s="278"/>
      <c r="U309" s="279"/>
      <c r="V309" s="279" t="s">
        <v>2030</v>
      </c>
      <c r="W309" s="280">
        <v>44250.0</v>
      </c>
      <c r="X309" s="281">
        <v>0.006944444444444444</v>
      </c>
      <c r="Y309" s="279" t="s">
        <v>1693</v>
      </c>
      <c r="Z309" s="282" t="s">
        <v>1570</v>
      </c>
      <c r="AA309" s="282">
        <v>6334617.0</v>
      </c>
      <c r="AB309" s="283">
        <v>44253.0</v>
      </c>
      <c r="AC309" s="284"/>
      <c r="AD309" s="284"/>
    </row>
    <row r="310" ht="14.25" customHeight="1">
      <c r="A310" s="265">
        <v>44247.0</v>
      </c>
      <c r="B310" s="266" t="s">
        <v>1500</v>
      </c>
      <c r="C310" s="266"/>
      <c r="D310" s="266" t="s">
        <v>1686</v>
      </c>
      <c r="E310" s="268"/>
      <c r="F310" s="358" t="s">
        <v>3216</v>
      </c>
      <c r="G310" s="268" t="s">
        <v>2085</v>
      </c>
      <c r="H310" s="270">
        <v>0.04034722222222222</v>
      </c>
      <c r="I310" s="271">
        <v>44249.458333333336</v>
      </c>
      <c r="J310" s="268"/>
      <c r="K310" s="271">
        <v>44249.837002314816</v>
      </c>
      <c r="L310" s="271"/>
      <c r="M310" s="359" t="s">
        <v>2524</v>
      </c>
      <c r="N310" s="290"/>
      <c r="O310" s="275"/>
      <c r="P310" s="275"/>
      <c r="Q310" s="276"/>
      <c r="R310" s="278"/>
      <c r="S310" s="278"/>
      <c r="T310" s="278"/>
      <c r="U310" s="279"/>
      <c r="V310" s="279" t="s">
        <v>1685</v>
      </c>
      <c r="W310" s="280">
        <v>44252.0</v>
      </c>
      <c r="X310" s="281">
        <v>0.16666666666666666</v>
      </c>
      <c r="Y310" s="279" t="s">
        <v>1693</v>
      </c>
      <c r="Z310" s="282" t="s">
        <v>1570</v>
      </c>
      <c r="AA310" s="282" t="s">
        <v>3216</v>
      </c>
      <c r="AB310" s="283">
        <v>44249.0</v>
      </c>
      <c r="AC310" s="284"/>
      <c r="AD310" s="284"/>
    </row>
    <row r="311" ht="14.25" customHeight="1">
      <c r="A311" s="265">
        <v>44247.0</v>
      </c>
      <c r="B311" s="266" t="s">
        <v>1500</v>
      </c>
      <c r="C311" s="266"/>
      <c r="D311" s="266" t="s">
        <v>1455</v>
      </c>
      <c r="E311" s="268"/>
      <c r="F311" s="358" t="s">
        <v>3217</v>
      </c>
      <c r="G311" s="268" t="s">
        <v>2085</v>
      </c>
      <c r="H311" s="270">
        <v>0.016574074074074074</v>
      </c>
      <c r="I311" s="271">
        <v>44249.458333333336</v>
      </c>
      <c r="J311" s="268"/>
      <c r="K311" s="271">
        <v>44249.810219907406</v>
      </c>
      <c r="L311" s="271"/>
      <c r="M311" s="359" t="s">
        <v>2524</v>
      </c>
      <c r="N311" s="290"/>
      <c r="O311" s="275"/>
      <c r="P311" s="275"/>
      <c r="Q311" s="276"/>
      <c r="R311" s="278"/>
      <c r="S311" s="278"/>
      <c r="T311" s="278"/>
      <c r="U311" s="279"/>
      <c r="V311" s="279" t="s">
        <v>1783</v>
      </c>
      <c r="W311" s="280">
        <v>44249.0</v>
      </c>
      <c r="X311" s="281">
        <v>0.125</v>
      </c>
      <c r="Y311" s="279" t="s">
        <v>1693</v>
      </c>
      <c r="Z311" s="282" t="s">
        <v>1570</v>
      </c>
      <c r="AA311" s="282" t="s">
        <v>3217</v>
      </c>
      <c r="AB311" s="283">
        <v>44249.0</v>
      </c>
      <c r="AC311" s="284"/>
      <c r="AD311" s="284"/>
    </row>
    <row r="312" ht="14.25" customHeight="1">
      <c r="A312" s="265">
        <v>44248.0</v>
      </c>
      <c r="B312" s="266" t="s">
        <v>2030</v>
      </c>
      <c r="C312" s="266" t="s">
        <v>1450</v>
      </c>
      <c r="D312" s="266" t="s">
        <v>1543</v>
      </c>
      <c r="E312" s="268"/>
      <c r="F312" s="291" t="s">
        <v>3218</v>
      </c>
      <c r="G312" s="268" t="s">
        <v>1463</v>
      </c>
      <c r="H312" s="270">
        <v>0.0026967592592592594</v>
      </c>
      <c r="I312" s="271">
        <v>44249.4375</v>
      </c>
      <c r="J312" s="268"/>
      <c r="K312" s="271">
        <v>44249.44736111111</v>
      </c>
      <c r="L312" s="271"/>
      <c r="M312" s="272" t="s">
        <v>3219</v>
      </c>
      <c r="N312" s="319"/>
      <c r="O312" s="317"/>
      <c r="P312" s="389"/>
      <c r="Q312" s="276"/>
      <c r="R312" s="277"/>
      <c r="S312" s="270"/>
      <c r="T312" s="333"/>
      <c r="U312" s="279"/>
      <c r="V312" s="279" t="s">
        <v>2030</v>
      </c>
      <c r="W312" s="280">
        <v>44250.0</v>
      </c>
      <c r="X312" s="281"/>
      <c r="Y312" s="279" t="s">
        <v>1693</v>
      </c>
      <c r="Z312" s="282" t="s">
        <v>1570</v>
      </c>
      <c r="AA312" s="282">
        <v>6334618.0</v>
      </c>
      <c r="AB312" s="283">
        <v>44253.0</v>
      </c>
      <c r="AC312" s="284"/>
      <c r="AD312" s="284"/>
    </row>
    <row r="313" ht="14.25" customHeight="1">
      <c r="A313" s="265">
        <v>44248.0</v>
      </c>
      <c r="B313" s="266" t="s">
        <v>2030</v>
      </c>
      <c r="C313" s="266" t="s">
        <v>1457</v>
      </c>
      <c r="D313" s="266" t="s">
        <v>1543</v>
      </c>
      <c r="E313" s="268"/>
      <c r="F313" s="291" t="s">
        <v>3220</v>
      </c>
      <c r="G313" s="268" t="s">
        <v>1463</v>
      </c>
      <c r="H313" s="270">
        <v>0.001574074074074074</v>
      </c>
      <c r="I313" s="271">
        <v>44252.381944444445</v>
      </c>
      <c r="J313" s="268"/>
      <c r="K313" s="271">
        <v>44252.388078703705</v>
      </c>
      <c r="L313" s="271"/>
      <c r="M313" s="272" t="s">
        <v>3221</v>
      </c>
      <c r="N313" s="319"/>
      <c r="O313" s="317"/>
      <c r="P313" s="389"/>
      <c r="Q313" s="276"/>
      <c r="R313" s="277"/>
      <c r="S313" s="270"/>
      <c r="T313" s="333"/>
      <c r="U313" s="279"/>
      <c r="V313" s="279" t="s">
        <v>1824</v>
      </c>
      <c r="W313" s="280">
        <v>44252.0</v>
      </c>
      <c r="X313" s="281">
        <v>0.009664351851851851</v>
      </c>
      <c r="Y313" s="279" t="s">
        <v>1693</v>
      </c>
      <c r="Z313" s="282" t="s">
        <v>1570</v>
      </c>
      <c r="AA313" s="282">
        <v>6334619.0</v>
      </c>
      <c r="AB313" s="283">
        <v>44253.0</v>
      </c>
      <c r="AC313" s="284"/>
      <c r="AD313" s="284"/>
    </row>
    <row r="314" ht="14.25" customHeight="1">
      <c r="A314" s="265">
        <v>44248.0</v>
      </c>
      <c r="B314" s="266" t="s">
        <v>2030</v>
      </c>
      <c r="C314" s="266" t="s">
        <v>1457</v>
      </c>
      <c r="D314" s="266" t="s">
        <v>1543</v>
      </c>
      <c r="E314" s="268"/>
      <c r="F314" s="291" t="s">
        <v>3222</v>
      </c>
      <c r="G314" s="268" t="s">
        <v>1463</v>
      </c>
      <c r="H314" s="270">
        <v>0.0028819444444444444</v>
      </c>
      <c r="I314" s="271">
        <v>44252.416666666664</v>
      </c>
      <c r="J314" s="268"/>
      <c r="K314" s="271">
        <v>44252.423263888886</v>
      </c>
      <c r="L314" s="271"/>
      <c r="M314" s="272" t="s">
        <v>3223</v>
      </c>
      <c r="N314" s="319"/>
      <c r="O314" s="317"/>
      <c r="P314" s="389"/>
      <c r="Q314" s="276"/>
      <c r="R314" s="277"/>
      <c r="S314" s="270"/>
      <c r="T314" s="333"/>
      <c r="U314" s="279"/>
      <c r="V314" s="279" t="s">
        <v>1824</v>
      </c>
      <c r="W314" s="280">
        <v>44252.0</v>
      </c>
      <c r="X314" s="281">
        <v>0.008287037037037037</v>
      </c>
      <c r="Y314" s="279" t="s">
        <v>1693</v>
      </c>
      <c r="Z314" s="282" t="s">
        <v>1570</v>
      </c>
      <c r="AA314" s="282">
        <v>6334620.0</v>
      </c>
      <c r="AB314" s="283">
        <v>44253.0</v>
      </c>
      <c r="AC314" s="284"/>
      <c r="AD314" s="284"/>
    </row>
    <row r="315" ht="14.25" customHeight="1">
      <c r="A315" s="265">
        <v>44248.0</v>
      </c>
      <c r="B315" s="266" t="s">
        <v>1500</v>
      </c>
      <c r="C315" s="266"/>
      <c r="D315" s="266" t="s">
        <v>1457</v>
      </c>
      <c r="E315" s="268"/>
      <c r="F315" s="358" t="s">
        <v>3224</v>
      </c>
      <c r="G315" s="268" t="s">
        <v>2085</v>
      </c>
      <c r="H315" s="270">
        <v>0.017314814814814814</v>
      </c>
      <c r="I315" s="271">
        <v>44249.444444444445</v>
      </c>
      <c r="J315" s="268"/>
      <c r="K315" s="271">
        <v>44249.79210648148</v>
      </c>
      <c r="L315" s="271"/>
      <c r="M315" s="278" t="s">
        <v>2524</v>
      </c>
      <c r="N315" s="290"/>
      <c r="O315" s="275"/>
      <c r="P315" s="275"/>
      <c r="Q315" s="276"/>
      <c r="R315" s="278"/>
      <c r="S315" s="278"/>
      <c r="T315" s="278"/>
      <c r="U315" s="279"/>
      <c r="V315" s="279" t="s">
        <v>1783</v>
      </c>
      <c r="W315" s="280" t="s">
        <v>3225</v>
      </c>
      <c r="X315" s="281">
        <v>0.04861111111111111</v>
      </c>
      <c r="Y315" s="279" t="s">
        <v>1693</v>
      </c>
      <c r="Z315" s="282" t="s">
        <v>1570</v>
      </c>
      <c r="AA315" s="282" t="s">
        <v>3224</v>
      </c>
      <c r="AB315" s="283">
        <v>44249.0</v>
      </c>
      <c r="AC315" s="284"/>
      <c r="AD315" s="284"/>
    </row>
    <row r="316" ht="14.25" customHeight="1">
      <c r="A316" s="265">
        <v>44248.0</v>
      </c>
      <c r="B316" s="266" t="s">
        <v>1500</v>
      </c>
      <c r="C316" s="266"/>
      <c r="D316" s="266" t="s">
        <v>2829</v>
      </c>
      <c r="E316" s="268"/>
      <c r="F316" s="358" t="s">
        <v>3226</v>
      </c>
      <c r="G316" s="268" t="s">
        <v>2085</v>
      </c>
      <c r="H316" s="270">
        <v>0.01834490740740741</v>
      </c>
      <c r="I316" s="271">
        <v>44249.444444444445</v>
      </c>
      <c r="J316" s="268"/>
      <c r="K316" s="271">
        <v>44249.448275462964</v>
      </c>
      <c r="L316" s="271"/>
      <c r="M316" s="307" t="s">
        <v>2808</v>
      </c>
      <c r="N316" s="319">
        <v>44249.94930555556</v>
      </c>
      <c r="O316" s="389" t="s">
        <v>3227</v>
      </c>
      <c r="P316" s="389" t="s">
        <v>1463</v>
      </c>
      <c r="Q316" s="276" t="s">
        <v>3185</v>
      </c>
      <c r="R316" s="396">
        <v>44249.97284722222</v>
      </c>
      <c r="S316" s="270"/>
      <c r="T316" s="349" t="s">
        <v>3228</v>
      </c>
      <c r="U316" s="279"/>
      <c r="V316" s="279"/>
      <c r="W316" s="280"/>
      <c r="X316" s="281"/>
      <c r="Y316" s="279" t="s">
        <v>1693</v>
      </c>
      <c r="Z316" s="282" t="s">
        <v>1570</v>
      </c>
      <c r="AA316" s="282" t="s">
        <v>3226</v>
      </c>
      <c r="AB316" s="283">
        <v>44255.0</v>
      </c>
      <c r="AC316" s="284"/>
      <c r="AD316" s="284"/>
    </row>
    <row r="317" ht="14.25" customHeight="1">
      <c r="A317" s="265">
        <v>44249.0</v>
      </c>
      <c r="B317" s="266" t="s">
        <v>2030</v>
      </c>
      <c r="C317" s="266" t="s">
        <v>2083</v>
      </c>
      <c r="D317" s="266" t="s">
        <v>1543</v>
      </c>
      <c r="E317" s="268"/>
      <c r="F317" s="269" t="s">
        <v>3229</v>
      </c>
      <c r="G317" s="268" t="s">
        <v>1463</v>
      </c>
      <c r="H317" s="397">
        <v>0.0017592592592592592</v>
      </c>
      <c r="I317" s="271">
        <v>44251.26597222222</v>
      </c>
      <c r="J317" s="268"/>
      <c r="K317" s="271">
        <v>44251.625543981485</v>
      </c>
      <c r="L317" s="271"/>
      <c r="M317" s="272" t="s">
        <v>3230</v>
      </c>
      <c r="N317" s="290"/>
      <c r="O317" s="276"/>
      <c r="P317" s="276"/>
      <c r="Q317" s="276"/>
      <c r="R317" s="278"/>
      <c r="S317" s="278"/>
      <c r="T317" s="278"/>
      <c r="U317" s="279"/>
      <c r="V317" s="279" t="s">
        <v>1824</v>
      </c>
      <c r="W317" s="280">
        <v>44251.0</v>
      </c>
      <c r="X317" s="281">
        <v>0.006817129629629629</v>
      </c>
      <c r="Y317" s="279" t="s">
        <v>1693</v>
      </c>
      <c r="Z317" s="282" t="s">
        <v>1570</v>
      </c>
      <c r="AA317" s="282">
        <v>6334621.0</v>
      </c>
      <c r="AB317" s="283">
        <v>44253.0</v>
      </c>
      <c r="AC317" s="284"/>
      <c r="AD317" s="284"/>
    </row>
    <row r="318" ht="14.25" customHeight="1">
      <c r="A318" s="265">
        <v>44249.0</v>
      </c>
      <c r="B318" s="266" t="s">
        <v>2030</v>
      </c>
      <c r="C318" s="266" t="s">
        <v>1686</v>
      </c>
      <c r="D318" s="266" t="s">
        <v>1543</v>
      </c>
      <c r="E318" s="268"/>
      <c r="F318" s="269" t="s">
        <v>3231</v>
      </c>
      <c r="G318" s="268" t="s">
        <v>1463</v>
      </c>
      <c r="H318" s="397">
        <v>3.7037037037037035E-4</v>
      </c>
      <c r="I318" s="271">
        <v>44250.379166666666</v>
      </c>
      <c r="J318" s="268"/>
      <c r="K318" s="271">
        <v>44250.38700231481</v>
      </c>
      <c r="L318" s="271"/>
      <c r="M318" s="272" t="s">
        <v>3232</v>
      </c>
      <c r="N318" s="290"/>
      <c r="O318" s="276"/>
      <c r="P318" s="276"/>
      <c r="Q318" s="276"/>
      <c r="R318" s="278"/>
      <c r="S318" s="278"/>
      <c r="T318" s="278"/>
      <c r="U318" s="279"/>
      <c r="V318" s="279" t="s">
        <v>1824</v>
      </c>
      <c r="W318" s="280">
        <v>44251.0</v>
      </c>
      <c r="X318" s="281">
        <v>0.004803240740740741</v>
      </c>
      <c r="Y318" s="279" t="s">
        <v>1693</v>
      </c>
      <c r="Z318" s="282" t="s">
        <v>1570</v>
      </c>
      <c r="AA318" s="282">
        <v>6334622.0</v>
      </c>
      <c r="AB318" s="283">
        <v>44253.0</v>
      </c>
      <c r="AC318" s="284"/>
      <c r="AD318" s="284"/>
    </row>
    <row r="319" ht="14.25" customHeight="1">
      <c r="A319" s="265">
        <v>44249.0</v>
      </c>
      <c r="B319" s="266" t="s">
        <v>2030</v>
      </c>
      <c r="C319" s="266" t="s">
        <v>2471</v>
      </c>
      <c r="D319" s="266" t="s">
        <v>1543</v>
      </c>
      <c r="E319" s="268"/>
      <c r="F319" s="269" t="s">
        <v>3233</v>
      </c>
      <c r="G319" s="268" t="s">
        <v>1463</v>
      </c>
      <c r="H319" s="397">
        <v>0.0018750000000000001</v>
      </c>
      <c r="I319" s="271">
        <v>44250.42638888889</v>
      </c>
      <c r="J319" s="268"/>
      <c r="K319" s="271">
        <v>44250.846979166665</v>
      </c>
      <c r="L319" s="271"/>
      <c r="M319" s="272" t="s">
        <v>3234</v>
      </c>
      <c r="N319" s="273"/>
      <c r="O319" s="276"/>
      <c r="P319" s="389"/>
      <c r="Q319" s="276"/>
      <c r="R319" s="278"/>
      <c r="S319" s="278"/>
      <c r="T319" s="278"/>
      <c r="U319" s="279"/>
      <c r="V319" s="279" t="s">
        <v>1824</v>
      </c>
      <c r="W319" s="280">
        <v>44251.0</v>
      </c>
      <c r="X319" s="281">
        <v>0.009074074074074073</v>
      </c>
      <c r="Y319" s="279" t="s">
        <v>1693</v>
      </c>
      <c r="Z319" s="282" t="s">
        <v>1570</v>
      </c>
      <c r="AA319" s="282">
        <v>6334623.0</v>
      </c>
      <c r="AB319" s="283">
        <v>44254.0</v>
      </c>
      <c r="AC319" s="284"/>
      <c r="AD319" s="284"/>
    </row>
    <row r="320" ht="14.25" customHeight="1">
      <c r="A320" s="265">
        <v>44249.0</v>
      </c>
      <c r="B320" s="266" t="s">
        <v>2030</v>
      </c>
      <c r="C320" s="266" t="s">
        <v>1450</v>
      </c>
      <c r="D320" s="266" t="s">
        <v>1543</v>
      </c>
      <c r="E320" s="268"/>
      <c r="F320" s="269" t="s">
        <v>3235</v>
      </c>
      <c r="G320" s="268" t="s">
        <v>1463</v>
      </c>
      <c r="H320" s="397">
        <v>0.008819444444444444</v>
      </c>
      <c r="I320" s="271">
        <v>44251.354166666664</v>
      </c>
      <c r="J320" s="268"/>
      <c r="K320" s="271">
        <v>44251.37045138889</v>
      </c>
      <c r="L320" s="271"/>
      <c r="M320" s="272" t="s">
        <v>3236</v>
      </c>
      <c r="N320" s="273"/>
      <c r="O320" s="276"/>
      <c r="P320" s="389"/>
      <c r="Q320" s="276"/>
      <c r="R320" s="278"/>
      <c r="S320" s="278"/>
      <c r="T320" s="278"/>
      <c r="U320" s="279"/>
      <c r="V320" s="279" t="s">
        <v>1824</v>
      </c>
      <c r="W320" s="280">
        <v>44251.0</v>
      </c>
      <c r="X320" s="281">
        <v>0.022997685185185187</v>
      </c>
      <c r="Y320" s="279" t="s">
        <v>1693</v>
      </c>
      <c r="Z320" s="282" t="s">
        <v>1570</v>
      </c>
      <c r="AA320" s="282">
        <v>6334624.0</v>
      </c>
      <c r="AB320" s="283">
        <v>44254.0</v>
      </c>
      <c r="AC320" s="284"/>
      <c r="AD320" s="284"/>
    </row>
    <row r="321" ht="14.25" customHeight="1">
      <c r="A321" s="265">
        <v>44249.0</v>
      </c>
      <c r="B321" s="266" t="s">
        <v>2030</v>
      </c>
      <c r="C321" s="266" t="s">
        <v>1696</v>
      </c>
      <c r="D321" s="266" t="s">
        <v>1543</v>
      </c>
      <c r="E321" s="268"/>
      <c r="F321" s="269" t="s">
        <v>3237</v>
      </c>
      <c r="G321" s="268" t="s">
        <v>1463</v>
      </c>
      <c r="H321" s="397">
        <v>0.0018402777777777777</v>
      </c>
      <c r="I321" s="271">
        <v>44250.28472222222</v>
      </c>
      <c r="J321" s="268"/>
      <c r="K321" s="271">
        <v>44251.305625</v>
      </c>
      <c r="L321" s="271"/>
      <c r="M321" s="272" t="s">
        <v>3238</v>
      </c>
      <c r="N321" s="273"/>
      <c r="O321" s="276"/>
      <c r="P321" s="389"/>
      <c r="Q321" s="276"/>
      <c r="R321" s="278"/>
      <c r="S321" s="278"/>
      <c r="T321" s="278"/>
      <c r="U321" s="279"/>
      <c r="V321" s="279" t="s">
        <v>2030</v>
      </c>
      <c r="W321" s="280">
        <v>44252.0</v>
      </c>
      <c r="X321" s="281">
        <v>0.004861111111111111</v>
      </c>
      <c r="Y321" s="279" t="s">
        <v>1693</v>
      </c>
      <c r="Z321" s="282" t="s">
        <v>1570</v>
      </c>
      <c r="AA321" s="282">
        <v>6334625.0</v>
      </c>
      <c r="AB321" s="283">
        <v>44254.0</v>
      </c>
      <c r="AC321" s="284"/>
      <c r="AD321" s="284"/>
    </row>
    <row r="322" ht="14.25" customHeight="1">
      <c r="A322" s="265">
        <v>44249.0</v>
      </c>
      <c r="B322" s="266" t="s">
        <v>1733</v>
      </c>
      <c r="C322" s="266"/>
      <c r="D322" s="266" t="s">
        <v>1450</v>
      </c>
      <c r="E322" s="268"/>
      <c r="F322" s="358" t="s">
        <v>3239</v>
      </c>
      <c r="G322" s="268" t="s">
        <v>2085</v>
      </c>
      <c r="H322" s="270">
        <v>0.09929398148148148</v>
      </c>
      <c r="I322" s="271">
        <v>44249.84861111111</v>
      </c>
      <c r="J322" s="268"/>
      <c r="K322" s="271">
        <v>44249.9403125</v>
      </c>
      <c r="L322" s="271"/>
      <c r="M322" s="359" t="s">
        <v>2524</v>
      </c>
      <c r="N322" s="290"/>
      <c r="O322" s="276"/>
      <c r="P322" s="276"/>
      <c r="Q322" s="276"/>
      <c r="R322" s="278"/>
      <c r="S322" s="278"/>
      <c r="T322" s="278"/>
      <c r="U322" s="279"/>
      <c r="V322" s="279" t="s">
        <v>1772</v>
      </c>
      <c r="W322" s="280">
        <v>44250.0</v>
      </c>
      <c r="X322" s="281">
        <v>0.3125</v>
      </c>
      <c r="Y322" s="279" t="s">
        <v>1693</v>
      </c>
      <c r="Z322" s="282" t="s">
        <v>1570</v>
      </c>
      <c r="AA322" s="282" t="s">
        <v>3239</v>
      </c>
      <c r="AB322" s="283">
        <v>44252.0</v>
      </c>
      <c r="AC322" s="284"/>
      <c r="AD322" s="284"/>
    </row>
    <row r="323" ht="14.25" customHeight="1">
      <c r="A323" s="265">
        <v>44249.0</v>
      </c>
      <c r="B323" s="266" t="s">
        <v>1738</v>
      </c>
      <c r="C323" s="266"/>
      <c r="D323" s="266" t="s">
        <v>1452</v>
      </c>
      <c r="E323" s="268"/>
      <c r="F323" s="358" t="s">
        <v>3240</v>
      </c>
      <c r="G323" s="268" t="s">
        <v>2085</v>
      </c>
      <c r="H323" s="270">
        <v>0.0030555555555555557</v>
      </c>
      <c r="I323" s="271">
        <v>44249.50555555556</v>
      </c>
      <c r="J323" s="268"/>
      <c r="K323" s="271">
        <v>44249.509722222225</v>
      </c>
      <c r="L323" s="271"/>
      <c r="M323" s="359" t="s">
        <v>2524</v>
      </c>
      <c r="N323" s="290"/>
      <c r="O323" s="276"/>
      <c r="P323" s="276"/>
      <c r="Q323" s="276"/>
      <c r="R323" s="278"/>
      <c r="S323" s="278"/>
      <c r="T323" s="278"/>
      <c r="U323" s="279"/>
      <c r="V323" s="279" t="s">
        <v>1738</v>
      </c>
      <c r="W323" s="280">
        <v>44249.0</v>
      </c>
      <c r="X323" s="281">
        <v>0.027777777777777776</v>
      </c>
      <c r="Y323" s="279" t="s">
        <v>1693</v>
      </c>
      <c r="Z323" s="282" t="s">
        <v>1570</v>
      </c>
      <c r="AA323" s="282" t="s">
        <v>3240</v>
      </c>
      <c r="AB323" s="283">
        <v>44249.0</v>
      </c>
      <c r="AC323" s="284"/>
      <c r="AD323" s="284"/>
    </row>
    <row r="324" ht="14.25" customHeight="1">
      <c r="A324" s="265">
        <v>44249.0</v>
      </c>
      <c r="B324" s="266" t="s">
        <v>1733</v>
      </c>
      <c r="C324" s="266"/>
      <c r="D324" s="266" t="s">
        <v>1686</v>
      </c>
      <c r="E324" s="268"/>
      <c r="F324" s="358" t="s">
        <v>3241</v>
      </c>
      <c r="G324" s="268" t="s">
        <v>2085</v>
      </c>
      <c r="H324" s="270">
        <v>0.03738425925925926</v>
      </c>
      <c r="I324" s="271">
        <v>44249.864583333336</v>
      </c>
      <c r="J324" s="268"/>
      <c r="K324" s="271">
        <v>44249.89965277778</v>
      </c>
      <c r="L324" s="271"/>
      <c r="M324" s="359" t="s">
        <v>2524</v>
      </c>
      <c r="N324" s="290"/>
      <c r="O324" s="276"/>
      <c r="P324" s="276"/>
      <c r="Q324" s="276"/>
      <c r="R324" s="278"/>
      <c r="S324" s="278"/>
      <c r="T324" s="278"/>
      <c r="U324" s="279"/>
      <c r="V324" s="279" t="s">
        <v>1685</v>
      </c>
      <c r="W324" s="280" t="s">
        <v>3225</v>
      </c>
      <c r="X324" s="281">
        <v>0.16666666666666666</v>
      </c>
      <c r="Y324" s="279" t="s">
        <v>1693</v>
      </c>
      <c r="Z324" s="282" t="s">
        <v>1570</v>
      </c>
      <c r="AA324" s="282" t="s">
        <v>3241</v>
      </c>
      <c r="AB324" s="283">
        <v>44249.0</v>
      </c>
      <c r="AC324" s="284"/>
      <c r="AD324" s="284"/>
    </row>
    <row r="325" ht="14.25" customHeight="1">
      <c r="A325" s="265">
        <v>44249.0</v>
      </c>
      <c r="B325" s="266" t="s">
        <v>1733</v>
      </c>
      <c r="C325" s="266"/>
      <c r="D325" s="266" t="s">
        <v>1455</v>
      </c>
      <c r="E325" s="268"/>
      <c r="F325" s="358" t="s">
        <v>3242</v>
      </c>
      <c r="G325" s="268" t="s">
        <v>2085</v>
      </c>
      <c r="H325" s="397">
        <v>0.022546296296296297</v>
      </c>
      <c r="I325" s="271">
        <v>44249.87777777778</v>
      </c>
      <c r="J325" s="268"/>
      <c r="K325" s="271">
        <v>44249.90362268518</v>
      </c>
      <c r="L325" s="271"/>
      <c r="M325" s="359" t="s">
        <v>2524</v>
      </c>
      <c r="N325" s="290"/>
      <c r="O325" s="276"/>
      <c r="P325" s="276"/>
      <c r="Q325" s="276"/>
      <c r="R325" s="278"/>
      <c r="S325" s="278"/>
      <c r="T325" s="278"/>
      <c r="U325" s="279"/>
      <c r="V325" s="279" t="s">
        <v>1783</v>
      </c>
      <c r="W325" s="280">
        <v>44250.0</v>
      </c>
      <c r="X325" s="281">
        <v>0.125</v>
      </c>
      <c r="Y325" s="279" t="s">
        <v>1693</v>
      </c>
      <c r="Z325" s="282" t="s">
        <v>1570</v>
      </c>
      <c r="AA325" s="282" t="s">
        <v>3242</v>
      </c>
      <c r="AB325" s="283">
        <v>44249.0</v>
      </c>
      <c r="AC325" s="284"/>
      <c r="AD325" s="284"/>
    </row>
    <row r="326" ht="14.25" customHeight="1">
      <c r="A326" s="265">
        <v>44250.0</v>
      </c>
      <c r="B326" s="266" t="s">
        <v>2030</v>
      </c>
      <c r="C326" s="266" t="s">
        <v>1686</v>
      </c>
      <c r="D326" s="266" t="s">
        <v>1543</v>
      </c>
      <c r="E326" s="268"/>
      <c r="F326" s="269" t="s">
        <v>3243</v>
      </c>
      <c r="G326" s="268" t="s">
        <v>1463</v>
      </c>
      <c r="H326" s="270">
        <v>0.0022916666666666667</v>
      </c>
      <c r="I326" s="271">
        <v>44251.47430555556</v>
      </c>
      <c r="J326" s="268"/>
      <c r="K326" s="271"/>
      <c r="L326" s="271"/>
      <c r="M326" s="307" t="s">
        <v>2808</v>
      </c>
      <c r="N326" s="273">
        <v>44252.27777777778</v>
      </c>
      <c r="O326" s="391" t="s">
        <v>3244</v>
      </c>
      <c r="P326" s="275" t="s">
        <v>1463</v>
      </c>
      <c r="Q326" s="276" t="s">
        <v>3245</v>
      </c>
      <c r="R326" s="277">
        <v>44252.28737268518</v>
      </c>
      <c r="S326" s="278"/>
      <c r="T326" s="277" t="s">
        <v>3246</v>
      </c>
      <c r="U326" s="279"/>
      <c r="V326" s="279" t="s">
        <v>2030</v>
      </c>
      <c r="W326" s="280">
        <v>44252.0</v>
      </c>
      <c r="X326" s="281">
        <v>0.3333333333333333</v>
      </c>
      <c r="Y326" s="279" t="s">
        <v>1693</v>
      </c>
      <c r="Z326" s="282" t="s">
        <v>1570</v>
      </c>
      <c r="AA326" s="282">
        <v>6334626.0</v>
      </c>
      <c r="AB326" s="283">
        <v>44254.0</v>
      </c>
      <c r="AC326" s="284"/>
      <c r="AD326" s="284"/>
    </row>
    <row r="327" ht="14.25" customHeight="1">
      <c r="A327" s="265">
        <v>44250.0</v>
      </c>
      <c r="B327" s="266" t="s">
        <v>2030</v>
      </c>
      <c r="C327" s="266"/>
      <c r="D327" s="266" t="s">
        <v>1543</v>
      </c>
      <c r="E327" s="268"/>
      <c r="F327" s="269" t="s">
        <v>3247</v>
      </c>
      <c r="G327" s="268" t="s">
        <v>1463</v>
      </c>
      <c r="H327" s="270">
        <v>0.0015162037037037036</v>
      </c>
      <c r="I327" s="271">
        <v>44251.51736111111</v>
      </c>
      <c r="J327" s="268"/>
      <c r="K327" s="271">
        <v>44251.525034722225</v>
      </c>
      <c r="L327" s="271"/>
      <c r="M327" s="272" t="s">
        <v>3248</v>
      </c>
      <c r="N327" s="290"/>
      <c r="O327" s="275"/>
      <c r="P327" s="275"/>
      <c r="Q327" s="276"/>
      <c r="R327" s="278"/>
      <c r="S327" s="278"/>
      <c r="T327" s="278"/>
      <c r="U327" s="279"/>
      <c r="V327" s="279" t="s">
        <v>2030</v>
      </c>
      <c r="W327" s="280">
        <v>44252.0</v>
      </c>
      <c r="X327" s="281">
        <v>0.003472222222222222</v>
      </c>
      <c r="Y327" s="279" t="s">
        <v>1693</v>
      </c>
      <c r="Z327" s="282" t="s">
        <v>1570</v>
      </c>
      <c r="AA327" s="282">
        <v>6334627.0</v>
      </c>
      <c r="AB327" s="283">
        <v>44254.0</v>
      </c>
      <c r="AC327" s="284"/>
      <c r="AD327" s="284"/>
    </row>
    <row r="328" ht="14.25" customHeight="1">
      <c r="A328" s="265">
        <v>44250.0</v>
      </c>
      <c r="B328" s="266" t="s">
        <v>2030</v>
      </c>
      <c r="C328" s="266" t="s">
        <v>1686</v>
      </c>
      <c r="D328" s="266" t="s">
        <v>1543</v>
      </c>
      <c r="E328" s="268"/>
      <c r="F328" s="269" t="s">
        <v>3249</v>
      </c>
      <c r="G328" s="268" t="s">
        <v>1463</v>
      </c>
      <c r="H328" s="270">
        <v>6.944444444444445E-4</v>
      </c>
      <c r="I328" s="271">
        <v>44251.53611111111</v>
      </c>
      <c r="J328" s="268"/>
      <c r="K328" s="271">
        <v>44251.53841435185</v>
      </c>
      <c r="L328" s="271"/>
      <c r="M328" s="272" t="s">
        <v>3250</v>
      </c>
      <c r="N328" s="290"/>
      <c r="O328" s="275"/>
      <c r="P328" s="275"/>
      <c r="Q328" s="276"/>
      <c r="R328" s="278"/>
      <c r="S328" s="278"/>
      <c r="T328" s="278"/>
      <c r="U328" s="279"/>
      <c r="V328" s="279" t="s">
        <v>2030</v>
      </c>
      <c r="W328" s="280">
        <v>44252.0</v>
      </c>
      <c r="X328" s="281">
        <v>0.003472222222222222</v>
      </c>
      <c r="Y328" s="279" t="s">
        <v>1693</v>
      </c>
      <c r="Z328" s="282" t="s">
        <v>1570</v>
      </c>
      <c r="AA328" s="282">
        <v>6334628.0</v>
      </c>
      <c r="AB328" s="283">
        <v>44254.0</v>
      </c>
      <c r="AC328" s="284"/>
      <c r="AD328" s="284"/>
    </row>
    <row r="329" ht="14.25" customHeight="1">
      <c r="A329" s="265">
        <v>44250.0</v>
      </c>
      <c r="B329" s="266" t="s">
        <v>1500</v>
      </c>
      <c r="C329" s="266" t="s">
        <v>1455</v>
      </c>
      <c r="D329" s="266" t="s">
        <v>1543</v>
      </c>
      <c r="E329" s="268"/>
      <c r="F329" s="269" t="s">
        <v>3251</v>
      </c>
      <c r="G329" s="268" t="s">
        <v>1463</v>
      </c>
      <c r="H329" s="270">
        <v>5.671296296296296E-4</v>
      </c>
      <c r="I329" s="271">
        <v>44253.44097222222</v>
      </c>
      <c r="J329" s="268"/>
      <c r="K329" s="271">
        <v>44253.63259259259</v>
      </c>
      <c r="L329" s="271"/>
      <c r="M329" s="272" t="s">
        <v>3252</v>
      </c>
      <c r="N329" s="290"/>
      <c r="O329" s="275"/>
      <c r="P329" s="275"/>
      <c r="Q329" s="276"/>
      <c r="R329" s="278"/>
      <c r="S329" s="278"/>
      <c r="T329" s="278"/>
      <c r="U329" s="279"/>
      <c r="V329" s="279" t="s">
        <v>1824</v>
      </c>
      <c r="W329" s="280">
        <v>44253.0</v>
      </c>
      <c r="X329" s="281">
        <v>0.003958333333333334</v>
      </c>
      <c r="Y329" s="279" t="s">
        <v>1693</v>
      </c>
      <c r="Z329" s="282" t="s">
        <v>1570</v>
      </c>
      <c r="AA329" s="282">
        <v>6335018.0</v>
      </c>
      <c r="AB329" s="283">
        <v>44255.0</v>
      </c>
      <c r="AC329" s="284"/>
      <c r="AD329" s="284"/>
    </row>
    <row r="330" ht="14.25" customHeight="1">
      <c r="A330" s="265">
        <v>44250.0</v>
      </c>
      <c r="B330" s="266" t="s">
        <v>2030</v>
      </c>
      <c r="C330" s="266" t="s">
        <v>1457</v>
      </c>
      <c r="D330" s="266" t="s">
        <v>1543</v>
      </c>
      <c r="E330" s="268"/>
      <c r="F330" s="269" t="s">
        <v>3253</v>
      </c>
      <c r="G330" s="268" t="s">
        <v>1463</v>
      </c>
      <c r="H330" s="270">
        <v>0.004201388888888889</v>
      </c>
      <c r="I330" s="271">
        <v>44256.294444444444</v>
      </c>
      <c r="J330" s="268"/>
      <c r="K330" s="271"/>
      <c r="L330" s="271"/>
      <c r="M330" s="307" t="s">
        <v>2808</v>
      </c>
      <c r="N330" s="273">
        <v>44257.86111111111</v>
      </c>
      <c r="O330" s="275" t="s">
        <v>3254</v>
      </c>
      <c r="P330" s="275" t="s">
        <v>1463</v>
      </c>
      <c r="Q330" s="276"/>
      <c r="R330" s="277">
        <v>44257.86865740741</v>
      </c>
      <c r="S330" s="278"/>
      <c r="T330" s="278" t="s">
        <v>3255</v>
      </c>
      <c r="U330" s="279"/>
      <c r="V330" s="279" t="s">
        <v>2030</v>
      </c>
      <c r="W330" s="280">
        <v>44259.0</v>
      </c>
      <c r="X330" s="281">
        <v>0.010416666666666666</v>
      </c>
      <c r="Y330" s="279" t="s">
        <v>1693</v>
      </c>
      <c r="Z330" s="282" t="s">
        <v>53</v>
      </c>
      <c r="AA330" s="282">
        <v>6337563.0</v>
      </c>
      <c r="AB330" s="283">
        <v>44261.0</v>
      </c>
      <c r="AC330" s="284"/>
      <c r="AD330" s="284"/>
    </row>
    <row r="331" ht="14.25" customHeight="1">
      <c r="A331" s="265">
        <v>44250.0</v>
      </c>
      <c r="B331" s="266" t="s">
        <v>2030</v>
      </c>
      <c r="C331" s="266" t="s">
        <v>1450</v>
      </c>
      <c r="D331" s="266" t="s">
        <v>1543</v>
      </c>
      <c r="E331" s="268"/>
      <c r="F331" s="269" t="s">
        <v>3256</v>
      </c>
      <c r="G331" s="268" t="s">
        <v>1463</v>
      </c>
      <c r="H331" s="270">
        <v>0.0010879629629629629</v>
      </c>
      <c r="I331" s="271">
        <v>44257.385416666664</v>
      </c>
      <c r="J331" s="268"/>
      <c r="K331" s="271">
        <v>44257.388761574075</v>
      </c>
      <c r="L331" s="271"/>
      <c r="M331" s="272" t="s">
        <v>3257</v>
      </c>
      <c r="N331" s="273"/>
      <c r="O331" s="275"/>
      <c r="P331" s="275"/>
      <c r="Q331" s="276"/>
      <c r="R331" s="278"/>
      <c r="S331" s="278"/>
      <c r="T331" s="278"/>
      <c r="U331" s="279"/>
      <c r="V331" s="279" t="s">
        <v>2030</v>
      </c>
      <c r="W331" s="280">
        <v>44259.0</v>
      </c>
      <c r="X331" s="281">
        <v>0.005555555555555556</v>
      </c>
      <c r="Y331" s="279" t="s">
        <v>1693</v>
      </c>
      <c r="Z331" s="282" t="s">
        <v>53</v>
      </c>
      <c r="AA331" s="282">
        <v>6337564.0</v>
      </c>
      <c r="AB331" s="283">
        <v>44261.0</v>
      </c>
      <c r="AC331" s="284"/>
      <c r="AD331" s="284"/>
    </row>
    <row r="332" ht="14.25" customHeight="1">
      <c r="A332" s="265">
        <v>44250.0</v>
      </c>
      <c r="B332" s="266" t="s">
        <v>1500</v>
      </c>
      <c r="C332" s="266"/>
      <c r="D332" s="266" t="s">
        <v>1450</v>
      </c>
      <c r="E332" s="268"/>
      <c r="F332" s="358" t="s">
        <v>3258</v>
      </c>
      <c r="G332" s="268" t="s">
        <v>2085</v>
      </c>
      <c r="H332" s="270">
        <v>0.10012731481481481</v>
      </c>
      <c r="I332" s="271">
        <v>44250.5625</v>
      </c>
      <c r="J332" s="268"/>
      <c r="K332" s="271">
        <v>44250.6615625</v>
      </c>
      <c r="L332" s="271"/>
      <c r="M332" s="359" t="s">
        <v>2524</v>
      </c>
      <c r="N332" s="290"/>
      <c r="O332" s="276"/>
      <c r="P332" s="276"/>
      <c r="Q332" s="276"/>
      <c r="R332" s="278"/>
      <c r="S332" s="278"/>
      <c r="T332" s="278"/>
      <c r="U332" s="279"/>
      <c r="V332" s="279" t="s">
        <v>1772</v>
      </c>
      <c r="W332" s="280" t="s">
        <v>3259</v>
      </c>
      <c r="X332" s="281">
        <v>0.3125</v>
      </c>
      <c r="Y332" s="279" t="s">
        <v>1693</v>
      </c>
      <c r="Z332" s="282" t="s">
        <v>1570</v>
      </c>
      <c r="AA332" s="282" t="s">
        <v>3258</v>
      </c>
      <c r="AB332" s="283">
        <v>44252.0</v>
      </c>
      <c r="AC332" s="284"/>
      <c r="AD332" s="284"/>
    </row>
    <row r="333" ht="14.25" customHeight="1">
      <c r="A333" s="265">
        <v>44250.0</v>
      </c>
      <c r="B333" s="266" t="s">
        <v>1738</v>
      </c>
      <c r="C333" s="266"/>
      <c r="D333" s="266" t="s">
        <v>1452</v>
      </c>
      <c r="E333" s="268"/>
      <c r="F333" s="358" t="s">
        <v>3260</v>
      </c>
      <c r="G333" s="268" t="s">
        <v>2085</v>
      </c>
      <c r="H333" s="270">
        <v>0.010104166666666668</v>
      </c>
      <c r="I333" s="271">
        <v>44250.5625</v>
      </c>
      <c r="J333" s="268"/>
      <c r="K333" s="271">
        <v>44250.57430555556</v>
      </c>
      <c r="L333" s="271"/>
      <c r="M333" s="359" t="s">
        <v>2524</v>
      </c>
      <c r="N333" s="273"/>
      <c r="O333" s="275"/>
      <c r="P333" s="275"/>
      <c r="Q333" s="276"/>
      <c r="R333" s="271"/>
      <c r="S333" s="270"/>
      <c r="T333" s="278"/>
      <c r="U333" s="279"/>
      <c r="V333" s="279" t="s">
        <v>1738</v>
      </c>
      <c r="W333" s="280">
        <v>44250.0</v>
      </c>
      <c r="X333" s="281">
        <v>0.027777777777777776</v>
      </c>
      <c r="Y333" s="279" t="s">
        <v>1693</v>
      </c>
      <c r="Z333" s="282" t="s">
        <v>1570</v>
      </c>
      <c r="AA333" s="282" t="s">
        <v>3260</v>
      </c>
      <c r="AB333" s="283">
        <v>44252.0</v>
      </c>
      <c r="AC333" s="284"/>
      <c r="AD333" s="284"/>
    </row>
    <row r="334" ht="14.25" customHeight="1">
      <c r="A334" s="265">
        <v>44250.0</v>
      </c>
      <c r="B334" s="266" t="s">
        <v>1500</v>
      </c>
      <c r="C334" s="266"/>
      <c r="D334" s="266" t="s">
        <v>1686</v>
      </c>
      <c r="E334" s="268"/>
      <c r="F334" s="358" t="s">
        <v>3261</v>
      </c>
      <c r="G334" s="268" t="s">
        <v>2085</v>
      </c>
      <c r="H334" s="270">
        <v>0.04074074074074074</v>
      </c>
      <c r="I334" s="271">
        <v>44250.56805555556</v>
      </c>
      <c r="J334" s="268"/>
      <c r="K334" s="271">
        <v>44250.612291666665</v>
      </c>
      <c r="L334" s="271"/>
      <c r="M334" s="359" t="s">
        <v>2524</v>
      </c>
      <c r="N334" s="273"/>
      <c r="O334" s="275"/>
      <c r="P334" s="275"/>
      <c r="Q334" s="276"/>
      <c r="R334" s="271"/>
      <c r="S334" s="270"/>
      <c r="T334" s="278"/>
      <c r="U334" s="279"/>
      <c r="V334" s="279" t="s">
        <v>1685</v>
      </c>
      <c r="W334" s="280">
        <v>44252.0</v>
      </c>
      <c r="X334" s="281">
        <v>0.16666666666666666</v>
      </c>
      <c r="Y334" s="279" t="s">
        <v>1693</v>
      </c>
      <c r="Z334" s="282" t="s">
        <v>1570</v>
      </c>
      <c r="AA334" s="282" t="s">
        <v>3261</v>
      </c>
      <c r="AB334" s="283">
        <v>44252.0</v>
      </c>
      <c r="AC334" s="284"/>
      <c r="AD334" s="284"/>
    </row>
    <row r="335" ht="14.25" customHeight="1">
      <c r="A335" s="265">
        <v>44250.0</v>
      </c>
      <c r="B335" s="266" t="s">
        <v>1733</v>
      </c>
      <c r="C335" s="266"/>
      <c r="D335" s="266" t="s">
        <v>1455</v>
      </c>
      <c r="E335" s="268"/>
      <c r="F335" s="358" t="s">
        <v>3262</v>
      </c>
      <c r="G335" s="268" t="s">
        <v>2085</v>
      </c>
      <c r="H335" s="270">
        <v>0.022789351851851852</v>
      </c>
      <c r="I335" s="271">
        <v>44250.96319444444</v>
      </c>
      <c r="J335" s="268"/>
      <c r="K335" s="271">
        <v>44250.988703703704</v>
      </c>
      <c r="L335" s="271"/>
      <c r="M335" s="359" t="s">
        <v>2524</v>
      </c>
      <c r="N335" s="290"/>
      <c r="O335" s="275"/>
      <c r="P335" s="275"/>
      <c r="Q335" s="276"/>
      <c r="R335" s="278"/>
      <c r="S335" s="278"/>
      <c r="T335" s="278"/>
      <c r="U335" s="279"/>
      <c r="V335" s="279" t="s">
        <v>1783</v>
      </c>
      <c r="W335" s="280">
        <v>44251.0</v>
      </c>
      <c r="X335" s="281">
        <v>0.125</v>
      </c>
      <c r="Y335" s="279" t="s">
        <v>1693</v>
      </c>
      <c r="Z335" s="282" t="s">
        <v>1570</v>
      </c>
      <c r="AA335" s="282" t="s">
        <v>3262</v>
      </c>
      <c r="AB335" s="283">
        <v>44252.0</v>
      </c>
      <c r="AC335" s="284"/>
      <c r="AD335" s="284"/>
    </row>
    <row r="336" ht="14.25" customHeight="1">
      <c r="A336" s="265">
        <v>44251.0</v>
      </c>
      <c r="B336" s="266" t="s">
        <v>2030</v>
      </c>
      <c r="C336" s="266" t="s">
        <v>1450</v>
      </c>
      <c r="D336" s="266" t="s">
        <v>1543</v>
      </c>
      <c r="E336" s="268"/>
      <c r="F336" s="269" t="s">
        <v>3263</v>
      </c>
      <c r="G336" s="268" t="s">
        <v>1463</v>
      </c>
      <c r="H336" s="270">
        <v>0.0043749999999999995</v>
      </c>
      <c r="I336" s="271">
        <v>44252.4875</v>
      </c>
      <c r="J336" s="268"/>
      <c r="K336" s="271">
        <v>44252.49594907407</v>
      </c>
      <c r="L336" s="271"/>
      <c r="M336" s="272" t="s">
        <v>3264</v>
      </c>
      <c r="N336" s="290"/>
      <c r="O336" s="275"/>
      <c r="P336" s="275"/>
      <c r="Q336" s="276"/>
      <c r="R336" s="278"/>
      <c r="S336" s="278"/>
      <c r="T336" s="278"/>
      <c r="U336" s="279"/>
      <c r="V336" s="279" t="s">
        <v>1824</v>
      </c>
      <c r="W336" s="280">
        <v>44252.0</v>
      </c>
      <c r="X336" s="281">
        <v>0.010150462962962964</v>
      </c>
      <c r="Y336" s="279" t="s">
        <v>1693</v>
      </c>
      <c r="Z336" s="282" t="s">
        <v>1570</v>
      </c>
      <c r="AA336" s="282">
        <v>6334629.0</v>
      </c>
      <c r="AB336" s="283">
        <v>44254.0</v>
      </c>
      <c r="AC336" s="284"/>
      <c r="AD336" s="284"/>
    </row>
    <row r="337" ht="14.25" customHeight="1">
      <c r="A337" s="265">
        <v>44251.0</v>
      </c>
      <c r="B337" s="266" t="s">
        <v>2030</v>
      </c>
      <c r="C337" s="266" t="s">
        <v>1450</v>
      </c>
      <c r="D337" s="266" t="s">
        <v>1543</v>
      </c>
      <c r="E337" s="268"/>
      <c r="F337" s="269" t="s">
        <v>3265</v>
      </c>
      <c r="G337" s="268" t="s">
        <v>1463</v>
      </c>
      <c r="H337" s="270">
        <v>7.407407407407407E-4</v>
      </c>
      <c r="I337" s="271">
        <v>44252.495046296295</v>
      </c>
      <c r="J337" s="268"/>
      <c r="K337" s="271">
        <v>44252.503842592596</v>
      </c>
      <c r="L337" s="271"/>
      <c r="M337" s="272" t="s">
        <v>3266</v>
      </c>
      <c r="N337" s="290"/>
      <c r="O337" s="275"/>
      <c r="P337" s="275"/>
      <c r="Q337" s="276"/>
      <c r="R337" s="278"/>
      <c r="S337" s="278"/>
      <c r="T337" s="278"/>
      <c r="U337" s="279"/>
      <c r="V337" s="279" t="s">
        <v>1824</v>
      </c>
      <c r="W337" s="280">
        <v>44252.0</v>
      </c>
      <c r="X337" s="281">
        <v>0.005</v>
      </c>
      <c r="Y337" s="279" t="s">
        <v>1693</v>
      </c>
      <c r="Z337" s="282" t="s">
        <v>1570</v>
      </c>
      <c r="AA337" s="282">
        <v>6334630.0</v>
      </c>
      <c r="AB337" s="283">
        <v>44254.0</v>
      </c>
      <c r="AC337" s="284"/>
      <c r="AD337" s="284"/>
    </row>
    <row r="338" ht="14.25" customHeight="1">
      <c r="A338" s="265">
        <v>44251.0</v>
      </c>
      <c r="B338" s="266" t="s">
        <v>2030</v>
      </c>
      <c r="C338" s="266" t="s">
        <v>1686</v>
      </c>
      <c r="D338" s="266" t="s">
        <v>1543</v>
      </c>
      <c r="E338" s="268"/>
      <c r="F338" s="269" t="s">
        <v>3267</v>
      </c>
      <c r="G338" s="268" t="s">
        <v>1463</v>
      </c>
      <c r="H338" s="270">
        <v>0.0017592592592592592</v>
      </c>
      <c r="I338" s="271">
        <v>44252.52638888889</v>
      </c>
      <c r="J338" s="268"/>
      <c r="K338" s="271">
        <v>44252.55625</v>
      </c>
      <c r="L338" s="271"/>
      <c r="M338" s="307" t="s">
        <v>3268</v>
      </c>
      <c r="N338" s="273">
        <v>44252.540972222225</v>
      </c>
      <c r="O338" s="275" t="s">
        <v>3267</v>
      </c>
      <c r="P338" s="268" t="s">
        <v>1463</v>
      </c>
      <c r="Q338" s="276"/>
      <c r="R338" s="278"/>
      <c r="S338" s="278"/>
      <c r="T338" s="278" t="s">
        <v>3269</v>
      </c>
      <c r="U338" s="279"/>
      <c r="V338" s="279" t="s">
        <v>1824</v>
      </c>
      <c r="W338" s="280">
        <v>44253.0</v>
      </c>
      <c r="X338" s="281">
        <v>0.014525462962962964</v>
      </c>
      <c r="Y338" s="279" t="s">
        <v>1693</v>
      </c>
      <c r="Z338" s="282" t="s">
        <v>1570</v>
      </c>
      <c r="AA338" s="282">
        <v>6335019.0</v>
      </c>
      <c r="AB338" s="283">
        <v>44255.0</v>
      </c>
      <c r="AC338" s="284"/>
      <c r="AD338" s="284"/>
    </row>
    <row r="339" ht="14.25" customHeight="1">
      <c r="A339" s="265">
        <v>44251.0</v>
      </c>
      <c r="B339" s="266" t="s">
        <v>2030</v>
      </c>
      <c r="C339" s="266" t="s">
        <v>1686</v>
      </c>
      <c r="D339" s="266" t="s">
        <v>1543</v>
      </c>
      <c r="E339" s="268"/>
      <c r="F339" s="269" t="s">
        <v>3270</v>
      </c>
      <c r="G339" s="268" t="s">
        <v>1463</v>
      </c>
      <c r="H339" s="270">
        <v>0.00125</v>
      </c>
      <c r="I339" s="271">
        <v>44253.438888888886</v>
      </c>
      <c r="J339" s="268"/>
      <c r="K339" s="271">
        <v>44253.44199074074</v>
      </c>
      <c r="L339" s="271"/>
      <c r="M339" s="272" t="s">
        <v>3271</v>
      </c>
      <c r="N339" s="273"/>
      <c r="O339" s="275"/>
      <c r="P339" s="275"/>
      <c r="Q339" s="276"/>
      <c r="R339" s="278"/>
      <c r="S339" s="278"/>
      <c r="T339" s="278"/>
      <c r="U339" s="279"/>
      <c r="V339" s="279" t="s">
        <v>1824</v>
      </c>
      <c r="W339" s="280">
        <v>44253.0</v>
      </c>
      <c r="X339" s="281">
        <v>0.01266203703703704</v>
      </c>
      <c r="Y339" s="279" t="s">
        <v>1693</v>
      </c>
      <c r="Z339" s="282" t="s">
        <v>1570</v>
      </c>
      <c r="AA339" s="282">
        <v>6335020.0</v>
      </c>
      <c r="AB339" s="283">
        <v>44255.0</v>
      </c>
      <c r="AC339" s="284"/>
      <c r="AD339" s="284"/>
    </row>
    <row r="340" ht="14.25" customHeight="1">
      <c r="A340" s="265">
        <v>44251.0</v>
      </c>
      <c r="B340" s="266" t="s">
        <v>2030</v>
      </c>
      <c r="C340" s="266" t="s">
        <v>1686</v>
      </c>
      <c r="D340" s="266" t="s">
        <v>1543</v>
      </c>
      <c r="E340" s="268"/>
      <c r="F340" s="269" t="s">
        <v>3272</v>
      </c>
      <c r="G340" s="268" t="s">
        <v>1463</v>
      </c>
      <c r="H340" s="270">
        <v>8.101851851851852E-4</v>
      </c>
      <c r="I340" s="271">
        <v>44253.458333333336</v>
      </c>
      <c r="J340" s="268"/>
      <c r="K340" s="271">
        <v>44253.470509259256</v>
      </c>
      <c r="L340" s="271"/>
      <c r="M340" s="307" t="s">
        <v>3273</v>
      </c>
      <c r="N340" s="273">
        <v>44253.47777777778</v>
      </c>
      <c r="O340" s="275" t="s">
        <v>3272</v>
      </c>
      <c r="P340" s="268" t="s">
        <v>1463</v>
      </c>
      <c r="Q340" s="276"/>
      <c r="R340" s="277">
        <v>44253.47959490741</v>
      </c>
      <c r="S340" s="278"/>
      <c r="T340" s="278" t="s">
        <v>3274</v>
      </c>
      <c r="U340" s="279"/>
      <c r="V340" s="279" t="s">
        <v>1824</v>
      </c>
      <c r="W340" s="280">
        <v>44253.0</v>
      </c>
      <c r="X340" s="281">
        <v>0.008159722222222223</v>
      </c>
      <c r="Y340" s="279" t="s">
        <v>1693</v>
      </c>
      <c r="Z340" s="282" t="s">
        <v>1570</v>
      </c>
      <c r="AA340" s="282">
        <v>6335021.0</v>
      </c>
      <c r="AB340" s="283">
        <v>44255.0</v>
      </c>
      <c r="AC340" s="284"/>
      <c r="AD340" s="284"/>
    </row>
    <row r="341" ht="14.25" customHeight="1">
      <c r="A341" s="265">
        <v>44251.0</v>
      </c>
      <c r="B341" s="266" t="s">
        <v>2030</v>
      </c>
      <c r="C341" s="266" t="s">
        <v>1686</v>
      </c>
      <c r="D341" s="266" t="s">
        <v>1543</v>
      </c>
      <c r="E341" s="268"/>
      <c r="F341" s="269" t="s">
        <v>3275</v>
      </c>
      <c r="G341" s="268" t="s">
        <v>1463</v>
      </c>
      <c r="H341" s="270">
        <v>6.134259259259259E-4</v>
      </c>
      <c r="I341" s="271">
        <v>44253.46666666667</v>
      </c>
      <c r="J341" s="268"/>
      <c r="K341" s="271">
        <v>44253.47332175926</v>
      </c>
      <c r="L341" s="271"/>
      <c r="M341" s="272" t="s">
        <v>3276</v>
      </c>
      <c r="N341" s="273"/>
      <c r="O341" s="275"/>
      <c r="P341" s="275"/>
      <c r="Q341" s="276"/>
      <c r="R341" s="278"/>
      <c r="S341" s="278"/>
      <c r="T341" s="278"/>
      <c r="U341" s="279"/>
      <c r="V341" s="279" t="s">
        <v>1824</v>
      </c>
      <c r="W341" s="280">
        <v>44253.0</v>
      </c>
      <c r="X341" s="281">
        <v>0.006990740740740741</v>
      </c>
      <c r="Y341" s="279" t="s">
        <v>1693</v>
      </c>
      <c r="Z341" s="282" t="s">
        <v>1570</v>
      </c>
      <c r="AA341" s="282">
        <v>6335022.0</v>
      </c>
      <c r="AB341" s="283">
        <v>44255.0</v>
      </c>
      <c r="AC341" s="284"/>
      <c r="AD341" s="284"/>
    </row>
    <row r="342" ht="14.25" customHeight="1">
      <c r="A342" s="265">
        <v>44251.0</v>
      </c>
      <c r="B342" s="266" t="s">
        <v>2030</v>
      </c>
      <c r="C342" s="266" t="s">
        <v>1686</v>
      </c>
      <c r="D342" s="266" t="s">
        <v>1543</v>
      </c>
      <c r="E342" s="268"/>
      <c r="F342" s="269" t="s">
        <v>3277</v>
      </c>
      <c r="G342" s="268" t="s">
        <v>1463</v>
      </c>
      <c r="H342" s="270">
        <v>0.0018518518518518517</v>
      </c>
      <c r="I342" s="271">
        <v>44253.498611111114</v>
      </c>
      <c r="J342" s="268"/>
      <c r="K342" s="271">
        <v>44253.50744212963</v>
      </c>
      <c r="L342" s="271"/>
      <c r="M342" s="272" t="s">
        <v>3278</v>
      </c>
      <c r="N342" s="273"/>
      <c r="O342" s="275"/>
      <c r="P342" s="275"/>
      <c r="Q342" s="276"/>
      <c r="R342" s="278"/>
      <c r="S342" s="278"/>
      <c r="T342" s="278"/>
      <c r="U342" s="279"/>
      <c r="V342" s="279" t="s">
        <v>1824</v>
      </c>
      <c r="W342" s="280">
        <v>44253.0</v>
      </c>
      <c r="X342" s="281">
        <v>0.008113425925925925</v>
      </c>
      <c r="Y342" s="279" t="s">
        <v>1693</v>
      </c>
      <c r="Z342" s="282" t="s">
        <v>1570</v>
      </c>
      <c r="AA342" s="282">
        <v>6335023.0</v>
      </c>
      <c r="AB342" s="283">
        <v>44255.0</v>
      </c>
      <c r="AC342" s="284"/>
      <c r="AD342" s="284"/>
    </row>
    <row r="343" ht="14.25" customHeight="1">
      <c r="A343" s="265">
        <v>44251.0</v>
      </c>
      <c r="B343" s="266" t="s">
        <v>1500</v>
      </c>
      <c r="C343" s="266" t="s">
        <v>2888</v>
      </c>
      <c r="D343" s="266" t="s">
        <v>1543</v>
      </c>
      <c r="E343" s="268"/>
      <c r="F343" s="269" t="s">
        <v>3279</v>
      </c>
      <c r="G343" s="268" t="s">
        <v>1463</v>
      </c>
      <c r="H343" s="270">
        <v>0.001423611111111111</v>
      </c>
      <c r="I343" s="271">
        <v>44253.50347222222</v>
      </c>
      <c r="J343" s="268"/>
      <c r="K343" s="271">
        <v>44253.61119212963</v>
      </c>
      <c r="L343" s="271"/>
      <c r="M343" s="272" t="s">
        <v>3280</v>
      </c>
      <c r="N343" s="273"/>
      <c r="O343" s="275"/>
      <c r="P343" s="275"/>
      <c r="Q343" s="276"/>
      <c r="R343" s="278"/>
      <c r="S343" s="278"/>
      <c r="T343" s="278"/>
      <c r="U343" s="279"/>
      <c r="V343" s="279" t="s">
        <v>1824</v>
      </c>
      <c r="W343" s="280">
        <v>44253.0</v>
      </c>
      <c r="X343" s="281">
        <v>0.010127314814814815</v>
      </c>
      <c r="Y343" s="279" t="s">
        <v>1693</v>
      </c>
      <c r="Z343" s="282" t="s">
        <v>1570</v>
      </c>
      <c r="AA343" s="282">
        <v>6335024.0</v>
      </c>
      <c r="AB343" s="283">
        <v>44255.0</v>
      </c>
      <c r="AC343" s="284"/>
      <c r="AD343" s="284"/>
    </row>
    <row r="344" ht="14.25" customHeight="1">
      <c r="A344" s="265">
        <v>44251.0</v>
      </c>
      <c r="B344" s="266" t="s">
        <v>2030</v>
      </c>
      <c r="C344" s="266" t="s">
        <v>1686</v>
      </c>
      <c r="D344" s="266" t="s">
        <v>1543</v>
      </c>
      <c r="E344" s="268"/>
      <c r="F344" s="269" t="s">
        <v>3281</v>
      </c>
      <c r="G344" s="268" t="s">
        <v>1463</v>
      </c>
      <c r="H344" s="270">
        <v>6.944444444444445E-4</v>
      </c>
      <c r="I344" s="271">
        <v>44556.50763888889</v>
      </c>
      <c r="J344" s="268"/>
      <c r="K344" s="271">
        <v>44253.51385416667</v>
      </c>
      <c r="L344" s="271"/>
      <c r="M344" s="272" t="s">
        <v>3282</v>
      </c>
      <c r="N344" s="273"/>
      <c r="O344" s="275"/>
      <c r="P344" s="275"/>
      <c r="Q344" s="276"/>
      <c r="R344" s="278"/>
      <c r="S344" s="278"/>
      <c r="T344" s="278"/>
      <c r="U344" s="279"/>
      <c r="V344" s="279" t="s">
        <v>1824</v>
      </c>
      <c r="W344" s="280">
        <v>44253.0</v>
      </c>
      <c r="X344" s="281">
        <v>0.007997685185185186</v>
      </c>
      <c r="Y344" s="279" t="s">
        <v>1693</v>
      </c>
      <c r="Z344" s="282" t="s">
        <v>1570</v>
      </c>
      <c r="AA344" s="282">
        <v>6335025.0</v>
      </c>
      <c r="AB344" s="283">
        <v>44255.0</v>
      </c>
      <c r="AC344" s="284"/>
      <c r="AD344" s="284"/>
    </row>
    <row r="345" ht="14.25" customHeight="1">
      <c r="A345" s="265">
        <v>44251.0</v>
      </c>
      <c r="B345" s="266" t="s">
        <v>1500</v>
      </c>
      <c r="C345" s="266"/>
      <c r="D345" s="266" t="s">
        <v>1450</v>
      </c>
      <c r="E345" s="268"/>
      <c r="F345" s="358" t="s">
        <v>3283</v>
      </c>
      <c r="G345" s="268" t="s">
        <v>2085</v>
      </c>
      <c r="H345" s="270">
        <v>0.09900462962962964</v>
      </c>
      <c r="I345" s="271">
        <v>44251.73611111111</v>
      </c>
      <c r="J345" s="268"/>
      <c r="K345" s="271">
        <v>44251.81864583334</v>
      </c>
      <c r="L345" s="271"/>
      <c r="M345" s="359" t="s">
        <v>2524</v>
      </c>
      <c r="N345" s="290"/>
      <c r="O345" s="275"/>
      <c r="P345" s="275"/>
      <c r="Q345" s="276"/>
      <c r="R345" s="278"/>
      <c r="S345" s="278"/>
      <c r="T345" s="278"/>
      <c r="U345" s="279"/>
      <c r="V345" s="279" t="s">
        <v>1772</v>
      </c>
      <c r="W345" s="280" t="s">
        <v>3284</v>
      </c>
      <c r="X345" s="281">
        <v>0.3125</v>
      </c>
      <c r="Y345" s="279" t="s">
        <v>1693</v>
      </c>
      <c r="Z345" s="282" t="s">
        <v>1570</v>
      </c>
      <c r="AA345" s="282" t="s">
        <v>3283</v>
      </c>
      <c r="AB345" s="283">
        <v>44252.0</v>
      </c>
      <c r="AC345" s="284"/>
      <c r="AD345" s="284"/>
    </row>
    <row r="346" ht="14.25" customHeight="1">
      <c r="A346" s="265">
        <v>44251.0</v>
      </c>
      <c r="B346" s="266" t="s">
        <v>1738</v>
      </c>
      <c r="C346" s="266"/>
      <c r="D346" s="266" t="s">
        <v>1452</v>
      </c>
      <c r="E346" s="268"/>
      <c r="F346" s="358" t="s">
        <v>3285</v>
      </c>
      <c r="G346" s="268" t="s">
        <v>2085</v>
      </c>
      <c r="H346" s="270">
        <v>0.004675925925925926</v>
      </c>
      <c r="I346" s="271">
        <v>44251.47986111111</v>
      </c>
      <c r="J346" s="268"/>
      <c r="K346" s="271">
        <v>44251.48541666667</v>
      </c>
      <c r="L346" s="271"/>
      <c r="M346" s="359" t="s">
        <v>2524</v>
      </c>
      <c r="N346" s="290"/>
      <c r="O346" s="275"/>
      <c r="P346" s="275"/>
      <c r="Q346" s="276"/>
      <c r="R346" s="278"/>
      <c r="S346" s="278"/>
      <c r="T346" s="278"/>
      <c r="U346" s="279"/>
      <c r="V346" s="279" t="s">
        <v>1738</v>
      </c>
      <c r="W346" s="280">
        <v>44251.0</v>
      </c>
      <c r="X346" s="281">
        <v>0.027777777777777776</v>
      </c>
      <c r="Y346" s="279" t="s">
        <v>1693</v>
      </c>
      <c r="Z346" s="282" t="s">
        <v>1570</v>
      </c>
      <c r="AA346" s="282" t="s">
        <v>3285</v>
      </c>
      <c r="AB346" s="283">
        <v>44252.0</v>
      </c>
      <c r="AC346" s="284"/>
      <c r="AD346" s="284"/>
    </row>
    <row r="347" ht="14.25" customHeight="1">
      <c r="A347" s="265">
        <v>44251.0</v>
      </c>
      <c r="B347" s="336" t="s">
        <v>1500</v>
      </c>
      <c r="C347" s="336"/>
      <c r="D347" s="266" t="s">
        <v>1686</v>
      </c>
      <c r="E347" s="337"/>
      <c r="F347" s="367" t="s">
        <v>3286</v>
      </c>
      <c r="G347" s="268" t="s">
        <v>2085</v>
      </c>
      <c r="H347" s="339">
        <v>0.03857638888888889</v>
      </c>
      <c r="I347" s="271">
        <v>44251.73611111111</v>
      </c>
      <c r="J347" s="337"/>
      <c r="K347" s="340">
        <v>44251.77701388889</v>
      </c>
      <c r="L347" s="340"/>
      <c r="M347" s="359" t="s">
        <v>2524</v>
      </c>
      <c r="N347" s="342"/>
      <c r="O347" s="343"/>
      <c r="P347" s="343"/>
      <c r="Q347" s="398"/>
      <c r="R347" s="344"/>
      <c r="S347" s="344"/>
      <c r="T347" s="344"/>
      <c r="U347" s="279"/>
      <c r="V347" s="279" t="s">
        <v>1685</v>
      </c>
      <c r="W347" s="280">
        <v>44253.0</v>
      </c>
      <c r="X347" s="281">
        <v>0.16666666666666666</v>
      </c>
      <c r="Y347" s="279" t="s">
        <v>1693</v>
      </c>
      <c r="Z347" s="282" t="s">
        <v>1570</v>
      </c>
      <c r="AA347" s="282" t="s">
        <v>3286</v>
      </c>
      <c r="AB347" s="283">
        <v>44252.0</v>
      </c>
      <c r="AC347" s="337"/>
      <c r="AD347" s="284"/>
    </row>
    <row r="348" ht="14.25" customHeight="1">
      <c r="A348" s="265">
        <v>44251.0</v>
      </c>
      <c r="B348" s="266" t="s">
        <v>1733</v>
      </c>
      <c r="C348" s="266"/>
      <c r="D348" s="266" t="s">
        <v>1455</v>
      </c>
      <c r="E348" s="268"/>
      <c r="F348" s="358" t="s">
        <v>3287</v>
      </c>
      <c r="G348" s="268" t="s">
        <v>2085</v>
      </c>
      <c r="H348" s="270">
        <v>0.022754629629629628</v>
      </c>
      <c r="I348" s="271">
        <v>44251.9625</v>
      </c>
      <c r="J348" s="268"/>
      <c r="K348" s="271">
        <v>44251.98278935185</v>
      </c>
      <c r="L348" s="271"/>
      <c r="M348" s="359" t="s">
        <v>2524</v>
      </c>
      <c r="N348" s="290"/>
      <c r="O348" s="275"/>
      <c r="P348" s="275"/>
      <c r="Q348" s="276"/>
      <c r="R348" s="278"/>
      <c r="S348" s="278"/>
      <c r="T348" s="278"/>
      <c r="U348" s="279"/>
      <c r="V348" s="279" t="s">
        <v>1783</v>
      </c>
      <c r="W348" s="280">
        <v>44252.0</v>
      </c>
      <c r="X348" s="281">
        <v>0.125</v>
      </c>
      <c r="Y348" s="279" t="s">
        <v>1693</v>
      </c>
      <c r="Z348" s="282" t="s">
        <v>1570</v>
      </c>
      <c r="AA348" s="282" t="s">
        <v>3287</v>
      </c>
      <c r="AB348" s="283">
        <v>44252.0</v>
      </c>
      <c r="AC348" s="284"/>
      <c r="AD348" s="284"/>
    </row>
    <row r="349" ht="14.25" customHeight="1">
      <c r="A349" s="265">
        <v>44252.0</v>
      </c>
      <c r="B349" s="266" t="s">
        <v>1500</v>
      </c>
      <c r="C349" s="266" t="s">
        <v>2471</v>
      </c>
      <c r="D349" s="266" t="s">
        <v>1543</v>
      </c>
      <c r="E349" s="268"/>
      <c r="F349" s="269" t="s">
        <v>3288</v>
      </c>
      <c r="G349" s="268" t="s">
        <v>1463</v>
      </c>
      <c r="H349" s="270">
        <v>0.0011226851851851851</v>
      </c>
      <c r="I349" s="271">
        <v>44253.3875</v>
      </c>
      <c r="J349" s="268"/>
      <c r="K349" s="271">
        <v>44253.39581018518</v>
      </c>
      <c r="L349" s="271"/>
      <c r="M349" s="272" t="s">
        <v>3289</v>
      </c>
      <c r="N349" s="290"/>
      <c r="O349" s="275"/>
      <c r="P349" s="275"/>
      <c r="Q349" s="276"/>
      <c r="R349" s="278"/>
      <c r="S349" s="278"/>
      <c r="T349" s="278"/>
      <c r="U349" s="279"/>
      <c r="V349" s="279" t="s">
        <v>1824</v>
      </c>
      <c r="W349" s="280">
        <v>44253.0</v>
      </c>
      <c r="X349" s="281">
        <v>0.007488425925925926</v>
      </c>
      <c r="Y349" s="279" t="s">
        <v>1693</v>
      </c>
      <c r="Z349" s="282" t="s">
        <v>1570</v>
      </c>
      <c r="AA349" s="282">
        <v>6335026.0</v>
      </c>
      <c r="AB349" s="283">
        <v>44255.0</v>
      </c>
      <c r="AC349" s="284"/>
      <c r="AD349" s="284"/>
    </row>
    <row r="350" ht="14.25" customHeight="1">
      <c r="A350" s="265">
        <v>44252.0</v>
      </c>
      <c r="B350" s="266" t="s">
        <v>2030</v>
      </c>
      <c r="C350" s="266" t="s">
        <v>1455</v>
      </c>
      <c r="D350" s="266" t="s">
        <v>1543</v>
      </c>
      <c r="E350" s="268"/>
      <c r="F350" s="269" t="s">
        <v>3290</v>
      </c>
      <c r="G350" s="268" t="s">
        <v>1463</v>
      </c>
      <c r="H350" s="270">
        <v>7.523148148148147E-4</v>
      </c>
      <c r="I350" s="271">
        <v>44253.520833333336</v>
      </c>
      <c r="J350" s="268"/>
      <c r="K350" s="271">
        <v>44253.53251157407</v>
      </c>
      <c r="L350" s="271"/>
      <c r="M350" s="272" t="s">
        <v>3291</v>
      </c>
      <c r="N350" s="290"/>
      <c r="O350" s="275"/>
      <c r="P350" s="275"/>
      <c r="Q350" s="276"/>
      <c r="R350" s="278"/>
      <c r="S350" s="278"/>
      <c r="T350" s="278"/>
      <c r="U350" s="279"/>
      <c r="V350" s="279" t="s">
        <v>1824</v>
      </c>
      <c r="W350" s="280">
        <v>44253.0</v>
      </c>
      <c r="X350" s="281">
        <v>0.0044444444444444444</v>
      </c>
      <c r="Y350" s="279" t="s">
        <v>1693</v>
      </c>
      <c r="Z350" s="282" t="s">
        <v>1570</v>
      </c>
      <c r="AA350" s="282">
        <v>6335027.0</v>
      </c>
      <c r="AB350" s="283">
        <v>44255.0</v>
      </c>
      <c r="AC350" s="284"/>
      <c r="AD350" s="284"/>
    </row>
    <row r="351" ht="14.25" customHeight="1">
      <c r="A351" s="265">
        <v>44252.0</v>
      </c>
      <c r="B351" s="266" t="s">
        <v>1733</v>
      </c>
      <c r="C351" s="266"/>
      <c r="D351" s="266" t="s">
        <v>1450</v>
      </c>
      <c r="E351" s="268"/>
      <c r="F351" s="358" t="s">
        <v>3292</v>
      </c>
      <c r="G351" s="268" t="s">
        <v>2085</v>
      </c>
      <c r="H351" s="270">
        <v>0.09835648148148148</v>
      </c>
      <c r="I351" s="271">
        <v>44252.86597222222</v>
      </c>
      <c r="J351" s="268"/>
      <c r="K351" s="271">
        <v>44252.9615625</v>
      </c>
      <c r="L351" s="271"/>
      <c r="M351" s="359" t="s">
        <v>2524</v>
      </c>
      <c r="N351" s="290"/>
      <c r="O351" s="275"/>
      <c r="P351" s="275"/>
      <c r="Q351" s="276"/>
      <c r="R351" s="278"/>
      <c r="S351" s="278"/>
      <c r="T351" s="278"/>
      <c r="U351" s="279"/>
      <c r="V351" s="279" t="s">
        <v>1772</v>
      </c>
      <c r="W351" s="280" t="s">
        <v>3293</v>
      </c>
      <c r="X351" s="281">
        <v>0.3125</v>
      </c>
      <c r="Y351" s="279" t="s">
        <v>1693</v>
      </c>
      <c r="Z351" s="282" t="s">
        <v>1570</v>
      </c>
      <c r="AA351" s="282" t="s">
        <v>3292</v>
      </c>
      <c r="AB351" s="283">
        <v>44253.0</v>
      </c>
      <c r="AC351" s="284"/>
      <c r="AD351" s="284"/>
    </row>
    <row r="352" ht="14.25" customHeight="1">
      <c r="A352" s="265">
        <v>44252.0</v>
      </c>
      <c r="B352" s="266" t="s">
        <v>1738</v>
      </c>
      <c r="C352" s="266"/>
      <c r="D352" s="266" t="s">
        <v>1452</v>
      </c>
      <c r="E352" s="268"/>
      <c r="F352" s="358" t="s">
        <v>3294</v>
      </c>
      <c r="G352" s="268" t="s">
        <v>2085</v>
      </c>
      <c r="H352" s="270">
        <v>0.006412037037037036</v>
      </c>
      <c r="I352" s="271">
        <v>44252.46527777778</v>
      </c>
      <c r="J352" s="268"/>
      <c r="K352" s="271">
        <v>44252.47430555556</v>
      </c>
      <c r="L352" s="271"/>
      <c r="M352" s="359" t="s">
        <v>2524</v>
      </c>
      <c r="N352" s="290"/>
      <c r="O352" s="275"/>
      <c r="P352" s="275"/>
      <c r="Q352" s="276"/>
      <c r="R352" s="278"/>
      <c r="S352" s="278"/>
      <c r="T352" s="278"/>
      <c r="U352" s="279"/>
      <c r="V352" s="279" t="s">
        <v>1738</v>
      </c>
      <c r="W352" s="280">
        <v>44252.0</v>
      </c>
      <c r="X352" s="281">
        <v>0.027777777777777776</v>
      </c>
      <c r="Y352" s="279" t="s">
        <v>1693</v>
      </c>
      <c r="Z352" s="282" t="s">
        <v>1570</v>
      </c>
      <c r="AA352" s="282" t="s">
        <v>3294</v>
      </c>
      <c r="AB352" s="283">
        <v>44252.0</v>
      </c>
      <c r="AC352" s="284"/>
      <c r="AD352" s="284"/>
    </row>
    <row r="353" ht="14.25" customHeight="1">
      <c r="A353" s="265">
        <v>44252.0</v>
      </c>
      <c r="B353" s="266" t="s">
        <v>1733</v>
      </c>
      <c r="C353" s="266"/>
      <c r="D353" s="266" t="s">
        <v>1686</v>
      </c>
      <c r="E353" s="268"/>
      <c r="F353" s="358" t="s">
        <v>3295</v>
      </c>
      <c r="G353" s="268" t="s">
        <v>2085</v>
      </c>
      <c r="H353" s="270">
        <v>0.03736111111111111</v>
      </c>
      <c r="I353" s="271">
        <v>44252.89375</v>
      </c>
      <c r="J353" s="268"/>
      <c r="K353" s="271">
        <v>44252.923680555556</v>
      </c>
      <c r="L353" s="271"/>
      <c r="M353" s="359" t="s">
        <v>2524</v>
      </c>
      <c r="N353" s="290"/>
      <c r="O353" s="275"/>
      <c r="P353" s="275"/>
      <c r="Q353" s="276"/>
      <c r="R353" s="278"/>
      <c r="S353" s="278"/>
      <c r="T353" s="278"/>
      <c r="U353" s="279"/>
      <c r="V353" s="279" t="s">
        <v>1685</v>
      </c>
      <c r="W353" s="280" t="s">
        <v>3296</v>
      </c>
      <c r="X353" s="281">
        <v>0.16666666666666666</v>
      </c>
      <c r="Y353" s="279" t="s">
        <v>1693</v>
      </c>
      <c r="Z353" s="282" t="s">
        <v>1570</v>
      </c>
      <c r="AA353" s="282" t="s">
        <v>3295</v>
      </c>
      <c r="AB353" s="283">
        <v>44252.0</v>
      </c>
      <c r="AC353" s="284"/>
      <c r="AD353" s="284"/>
    </row>
    <row r="354" ht="14.25" customHeight="1">
      <c r="A354" s="265">
        <v>44252.0</v>
      </c>
      <c r="B354" s="266" t="s">
        <v>1733</v>
      </c>
      <c r="C354" s="266"/>
      <c r="D354" s="266" t="s">
        <v>1455</v>
      </c>
      <c r="E354" s="268"/>
      <c r="F354" s="358" t="s">
        <v>3297</v>
      </c>
      <c r="G354" s="268" t="s">
        <v>2085</v>
      </c>
      <c r="H354" s="270">
        <v>0.01996527777777778</v>
      </c>
      <c r="I354" s="271">
        <v>44252.94930555556</v>
      </c>
      <c r="J354" s="268"/>
      <c r="K354" s="271">
        <v>44252.96350694444</v>
      </c>
      <c r="L354" s="271"/>
      <c r="M354" s="359" t="s">
        <v>2524</v>
      </c>
      <c r="N354" s="290"/>
      <c r="O354" s="275"/>
      <c r="P354" s="275"/>
      <c r="Q354" s="276"/>
      <c r="R354" s="278"/>
      <c r="S354" s="278"/>
      <c r="T354" s="278"/>
      <c r="U354" s="279"/>
      <c r="V354" s="279" t="s">
        <v>1783</v>
      </c>
      <c r="W354" s="280">
        <v>44253.0</v>
      </c>
      <c r="X354" s="281">
        <v>0.125</v>
      </c>
      <c r="Y354" s="279" t="s">
        <v>1693</v>
      </c>
      <c r="Z354" s="282" t="s">
        <v>1570</v>
      </c>
      <c r="AA354" s="282" t="s">
        <v>3297</v>
      </c>
      <c r="AB354" s="283">
        <v>44253.0</v>
      </c>
      <c r="AC354" s="284"/>
      <c r="AD354" s="284"/>
    </row>
    <row r="355" ht="15.75" customHeight="1">
      <c r="A355" s="265">
        <v>44253.0</v>
      </c>
      <c r="B355" s="336" t="s">
        <v>2030</v>
      </c>
      <c r="C355" s="266" t="s">
        <v>2083</v>
      </c>
      <c r="D355" s="266" t="s">
        <v>1543</v>
      </c>
      <c r="E355" s="268"/>
      <c r="F355" s="269" t="s">
        <v>3298</v>
      </c>
      <c r="G355" s="268" t="s">
        <v>1463</v>
      </c>
      <c r="H355" s="346">
        <v>0.0012731481481481483</v>
      </c>
      <c r="I355" s="271">
        <v>44256.506944444445</v>
      </c>
      <c r="J355" s="268"/>
      <c r="K355" s="271">
        <v>44257.896631944444</v>
      </c>
      <c r="L355" s="271"/>
      <c r="M355" s="315" t="s">
        <v>3299</v>
      </c>
      <c r="N355" s="290"/>
      <c r="O355" s="275"/>
      <c r="P355" s="275"/>
      <c r="Q355" s="276"/>
      <c r="R355" s="278"/>
      <c r="S355" s="278"/>
      <c r="T355" s="278"/>
      <c r="U355" s="279"/>
      <c r="V355" s="279" t="s">
        <v>2030</v>
      </c>
      <c r="W355" s="280">
        <v>44259.0</v>
      </c>
      <c r="X355" s="281">
        <v>0.005555555555555556</v>
      </c>
      <c r="Y355" s="279" t="s">
        <v>1693</v>
      </c>
      <c r="Z355" s="282" t="s">
        <v>53</v>
      </c>
      <c r="AA355" s="282">
        <v>6337565.0</v>
      </c>
      <c r="AB355" s="283">
        <v>44261.0</v>
      </c>
      <c r="AC355" s="284"/>
      <c r="AD355" s="284"/>
    </row>
    <row r="356" ht="14.25" customHeight="1">
      <c r="A356" s="265">
        <v>44253.0</v>
      </c>
      <c r="B356" s="336" t="s">
        <v>2030</v>
      </c>
      <c r="C356" s="266" t="s">
        <v>1455</v>
      </c>
      <c r="D356" s="266" t="s">
        <v>1543</v>
      </c>
      <c r="E356" s="268"/>
      <c r="F356" s="269" t="s">
        <v>3300</v>
      </c>
      <c r="G356" s="268" t="s">
        <v>1463</v>
      </c>
      <c r="H356" s="346">
        <v>0.02152777777777778</v>
      </c>
      <c r="I356" s="271">
        <v>44230.444444444445</v>
      </c>
      <c r="J356" s="268"/>
      <c r="K356" s="271">
        <v>44258.446851851855</v>
      </c>
      <c r="L356" s="271"/>
      <c r="M356" s="315" t="s">
        <v>3301</v>
      </c>
      <c r="N356" s="290"/>
      <c r="O356" s="275"/>
      <c r="P356" s="275"/>
      <c r="Q356" s="276"/>
      <c r="R356" s="278"/>
      <c r="S356" s="278"/>
      <c r="T356" s="278"/>
      <c r="U356" s="279"/>
      <c r="V356" s="279" t="s">
        <v>2030</v>
      </c>
      <c r="W356" s="280">
        <v>44259.0</v>
      </c>
      <c r="X356" s="281">
        <v>0.003472222222222222</v>
      </c>
      <c r="Y356" s="279" t="s">
        <v>1693</v>
      </c>
      <c r="Z356" s="282" t="s">
        <v>53</v>
      </c>
      <c r="AA356" s="282">
        <v>6337566.0</v>
      </c>
      <c r="AB356" s="283">
        <v>44261.0</v>
      </c>
      <c r="AC356" s="284"/>
      <c r="AD356" s="284"/>
    </row>
    <row r="357" ht="14.25" customHeight="1">
      <c r="A357" s="265">
        <v>44253.0</v>
      </c>
      <c r="B357" s="336" t="s">
        <v>2030</v>
      </c>
      <c r="C357" s="266" t="s">
        <v>1455</v>
      </c>
      <c r="D357" s="266" t="s">
        <v>1543</v>
      </c>
      <c r="E357" s="268"/>
      <c r="F357" s="269" t="s">
        <v>3302</v>
      </c>
      <c r="G357" s="268" t="s">
        <v>1463</v>
      </c>
      <c r="H357" s="346">
        <v>0.0019212962962962962</v>
      </c>
      <c r="I357" s="271">
        <v>44230.46388888889</v>
      </c>
      <c r="J357" s="268"/>
      <c r="K357" s="271">
        <v>44258.47299768519</v>
      </c>
      <c r="L357" s="271"/>
      <c r="M357" s="315" t="s">
        <v>3303</v>
      </c>
      <c r="N357" s="290"/>
      <c r="O357" s="275"/>
      <c r="P357" s="275"/>
      <c r="Q357" s="276"/>
      <c r="R357" s="278"/>
      <c r="S357" s="278"/>
      <c r="T357" s="278"/>
      <c r="U357" s="279"/>
      <c r="V357" s="279" t="s">
        <v>2030</v>
      </c>
      <c r="W357" s="280">
        <v>44259.0</v>
      </c>
      <c r="X357" s="281">
        <v>0.003472222222222222</v>
      </c>
      <c r="Y357" s="279" t="s">
        <v>1693</v>
      </c>
      <c r="Z357" s="282" t="s">
        <v>53</v>
      </c>
      <c r="AA357" s="282">
        <v>6337567.0</v>
      </c>
      <c r="AB357" s="283">
        <v>44261.0</v>
      </c>
      <c r="AC357" s="284"/>
      <c r="AD357" s="284"/>
    </row>
    <row r="358" ht="14.25" customHeight="1">
      <c r="A358" s="265">
        <v>44253.0</v>
      </c>
      <c r="B358" s="336" t="s">
        <v>1500</v>
      </c>
      <c r="C358" s="336"/>
      <c r="D358" s="266" t="s">
        <v>1450</v>
      </c>
      <c r="E358" s="337"/>
      <c r="F358" s="367" t="s">
        <v>3304</v>
      </c>
      <c r="G358" s="268" t="s">
        <v>2085</v>
      </c>
      <c r="H358" s="339">
        <v>0.09848379629629629</v>
      </c>
      <c r="I358" s="340">
        <v>44253.625</v>
      </c>
      <c r="J358" s="337"/>
      <c r="K358" s="340">
        <v>44253.72834490741</v>
      </c>
      <c r="L358" s="340"/>
      <c r="M358" s="399" t="s">
        <v>2524</v>
      </c>
      <c r="N358" s="342"/>
      <c r="O358" s="343"/>
      <c r="P358" s="343"/>
      <c r="Q358" s="398"/>
      <c r="R358" s="344"/>
      <c r="S358" s="344"/>
      <c r="T358" s="344"/>
      <c r="U358" s="279"/>
      <c r="V358" s="279" t="s">
        <v>1772</v>
      </c>
      <c r="W358" s="280" t="s">
        <v>3305</v>
      </c>
      <c r="X358" s="281">
        <v>0.3125</v>
      </c>
      <c r="Y358" s="279" t="s">
        <v>1693</v>
      </c>
      <c r="Z358" s="282" t="s">
        <v>1570</v>
      </c>
      <c r="AA358" s="282" t="s">
        <v>3304</v>
      </c>
      <c r="AB358" s="283">
        <v>44253.0</v>
      </c>
      <c r="AC358" s="337"/>
      <c r="AD358" s="284"/>
    </row>
    <row r="359" ht="14.25" customHeight="1">
      <c r="A359" s="265">
        <v>44253.0</v>
      </c>
      <c r="B359" s="266" t="s">
        <v>1738</v>
      </c>
      <c r="C359" s="266"/>
      <c r="D359" s="266" t="s">
        <v>1452</v>
      </c>
      <c r="E359" s="268"/>
      <c r="F359" s="358" t="s">
        <v>3306</v>
      </c>
      <c r="G359" s="268" t="s">
        <v>2085</v>
      </c>
      <c r="H359" s="346">
        <v>0.006574074074074073</v>
      </c>
      <c r="I359" s="271">
        <v>44253.555555555555</v>
      </c>
      <c r="J359" s="268"/>
      <c r="K359" s="271">
        <v>44253.58320601852</v>
      </c>
      <c r="L359" s="271"/>
      <c r="M359" s="359" t="s">
        <v>2524</v>
      </c>
      <c r="N359" s="290"/>
      <c r="O359" s="275"/>
      <c r="P359" s="275"/>
      <c r="Q359" s="276"/>
      <c r="R359" s="278"/>
      <c r="S359" s="278"/>
      <c r="T359" s="278"/>
      <c r="U359" s="279"/>
      <c r="V359" s="279" t="s">
        <v>1738</v>
      </c>
      <c r="W359" s="280">
        <v>44253.0</v>
      </c>
      <c r="X359" s="281">
        <v>0.027777777777777776</v>
      </c>
      <c r="Y359" s="279" t="s">
        <v>1693</v>
      </c>
      <c r="Z359" s="282" t="s">
        <v>1570</v>
      </c>
      <c r="AA359" s="282" t="s">
        <v>3306</v>
      </c>
      <c r="AB359" s="283">
        <v>44253.0</v>
      </c>
      <c r="AC359" s="284"/>
      <c r="AD359" s="284"/>
    </row>
    <row r="360" ht="14.25" customHeight="1">
      <c r="A360" s="265">
        <v>44253.0</v>
      </c>
      <c r="B360" s="336" t="s">
        <v>1500</v>
      </c>
      <c r="C360" s="266"/>
      <c r="D360" s="266" t="s">
        <v>1686</v>
      </c>
      <c r="E360" s="268"/>
      <c r="F360" s="358" t="s">
        <v>3307</v>
      </c>
      <c r="G360" s="268" t="s">
        <v>2085</v>
      </c>
      <c r="H360" s="346">
        <v>0.03768518518518518</v>
      </c>
      <c r="I360" s="340">
        <v>44253.625</v>
      </c>
      <c r="J360" s="268"/>
      <c r="K360" s="271">
        <v>44253.66971064815</v>
      </c>
      <c r="L360" s="271"/>
      <c r="M360" s="359" t="s">
        <v>2524</v>
      </c>
      <c r="N360" s="273"/>
      <c r="O360" s="275"/>
      <c r="P360" s="275"/>
      <c r="Q360" s="276"/>
      <c r="R360" s="271"/>
      <c r="S360" s="270"/>
      <c r="T360" s="278"/>
      <c r="U360" s="279"/>
      <c r="V360" s="279" t="s">
        <v>3308</v>
      </c>
      <c r="W360" s="280">
        <v>44257.0</v>
      </c>
      <c r="X360" s="281">
        <v>0.027777777777777776</v>
      </c>
      <c r="Y360" s="279" t="s">
        <v>1693</v>
      </c>
      <c r="Z360" s="282" t="s">
        <v>1570</v>
      </c>
      <c r="AA360" s="282" t="s">
        <v>3307</v>
      </c>
      <c r="AB360" s="283">
        <v>44253.0</v>
      </c>
      <c r="AC360" s="284"/>
      <c r="AD360" s="284"/>
    </row>
    <row r="361" ht="14.25" customHeight="1">
      <c r="A361" s="265">
        <v>44253.0</v>
      </c>
      <c r="B361" s="336" t="s">
        <v>1500</v>
      </c>
      <c r="C361" s="266"/>
      <c r="D361" s="266" t="s">
        <v>1455</v>
      </c>
      <c r="E361" s="268"/>
      <c r="F361" s="358" t="s">
        <v>3309</v>
      </c>
      <c r="G361" s="268" t="s">
        <v>2085</v>
      </c>
      <c r="H361" s="346">
        <v>0.02241898148148148</v>
      </c>
      <c r="I361" s="271">
        <v>44254.32777777778</v>
      </c>
      <c r="J361" s="268"/>
      <c r="K361" s="271">
        <v>44256.705347222225</v>
      </c>
      <c r="L361" s="271"/>
      <c r="M361" s="359" t="s">
        <v>2524</v>
      </c>
      <c r="N361" s="290"/>
      <c r="O361" s="275"/>
      <c r="P361" s="275"/>
      <c r="Q361" s="276"/>
      <c r="R361" s="278"/>
      <c r="S361" s="278"/>
      <c r="T361" s="278"/>
      <c r="U361" s="279"/>
      <c r="V361" s="279" t="s">
        <v>1824</v>
      </c>
      <c r="W361" s="280">
        <v>44256.0</v>
      </c>
      <c r="X361" s="281">
        <v>0.13729166666666667</v>
      </c>
      <c r="Y361" s="279" t="s">
        <v>1693</v>
      </c>
      <c r="Z361" s="282" t="s">
        <v>1570</v>
      </c>
      <c r="AA361" s="282" t="s">
        <v>3309</v>
      </c>
      <c r="AB361" s="283">
        <v>44255.0</v>
      </c>
      <c r="AC361" s="284"/>
      <c r="AD361" s="284"/>
    </row>
    <row r="362" ht="14.25" customHeight="1">
      <c r="A362" s="265">
        <v>44254.0</v>
      </c>
      <c r="B362" s="266" t="s">
        <v>2030</v>
      </c>
      <c r="C362" s="266" t="s">
        <v>1686</v>
      </c>
      <c r="D362" s="266" t="s">
        <v>1543</v>
      </c>
      <c r="E362" s="268"/>
      <c r="F362" s="269" t="s">
        <v>3310</v>
      </c>
      <c r="G362" s="268" t="s">
        <v>1463</v>
      </c>
      <c r="H362" s="270">
        <v>0.0018865740740740742</v>
      </c>
      <c r="I362" s="340">
        <v>44258.489583333336</v>
      </c>
      <c r="J362" s="268"/>
      <c r="K362" s="271">
        <v>44258.493055555555</v>
      </c>
      <c r="L362" s="271"/>
      <c r="M362" s="278" t="s">
        <v>3311</v>
      </c>
      <c r="N362" s="290"/>
      <c r="O362" s="276"/>
      <c r="P362" s="276"/>
      <c r="Q362" s="276"/>
      <c r="R362" s="278"/>
      <c r="S362" s="278"/>
      <c r="T362" s="278"/>
      <c r="U362" s="279"/>
      <c r="V362" s="279" t="s">
        <v>2030</v>
      </c>
      <c r="W362" s="280">
        <v>44259.0</v>
      </c>
      <c r="X362" s="281">
        <v>0.008333333333333333</v>
      </c>
      <c r="Y362" s="279" t="s">
        <v>1693</v>
      </c>
      <c r="Z362" s="282" t="s">
        <v>53</v>
      </c>
      <c r="AA362" s="282">
        <v>6337568.0</v>
      </c>
      <c r="AB362" s="283">
        <v>44261.0</v>
      </c>
      <c r="AC362" s="284"/>
      <c r="AD362" s="284"/>
    </row>
    <row r="363" ht="14.25" customHeight="1">
      <c r="A363" s="265">
        <v>44254.0</v>
      </c>
      <c r="B363" s="266" t="s">
        <v>2030</v>
      </c>
      <c r="C363" s="266" t="s">
        <v>1455</v>
      </c>
      <c r="D363" s="266" t="s">
        <v>1543</v>
      </c>
      <c r="E363" s="268"/>
      <c r="F363" s="269" t="s">
        <v>3312</v>
      </c>
      <c r="G363" s="268" t="s">
        <v>1463</v>
      </c>
      <c r="H363" s="270">
        <v>0.0028587962962962963</v>
      </c>
      <c r="I363" s="340">
        <v>44257.63888888889</v>
      </c>
      <c r="J363" s="268"/>
      <c r="K363" s="271">
        <v>44257.64686342593</v>
      </c>
      <c r="L363" s="271"/>
      <c r="M363" s="307" t="s">
        <v>3313</v>
      </c>
      <c r="N363" s="273">
        <v>44257.84375</v>
      </c>
      <c r="O363" s="276" t="s">
        <v>3314</v>
      </c>
      <c r="P363" s="276" t="s">
        <v>1463</v>
      </c>
      <c r="Q363" s="276"/>
      <c r="R363" s="277">
        <v>44257.84925925926</v>
      </c>
      <c r="S363" s="278"/>
      <c r="T363" s="278" t="s">
        <v>3315</v>
      </c>
      <c r="U363" s="279"/>
      <c r="V363" s="279" t="s">
        <v>2030</v>
      </c>
      <c r="W363" s="280">
        <v>44259.0</v>
      </c>
      <c r="X363" s="281">
        <v>0.006944444444444444</v>
      </c>
      <c r="Y363" s="279" t="s">
        <v>1693</v>
      </c>
      <c r="Z363" s="282" t="s">
        <v>53</v>
      </c>
      <c r="AA363" s="282">
        <v>6337569.0</v>
      </c>
      <c r="AB363" s="283">
        <v>44261.0</v>
      </c>
      <c r="AC363" s="284"/>
      <c r="AD363" s="284"/>
    </row>
    <row r="364" ht="14.25" customHeight="1">
      <c r="A364" s="265">
        <v>44254.0</v>
      </c>
      <c r="B364" s="336" t="s">
        <v>1500</v>
      </c>
      <c r="C364" s="336"/>
      <c r="D364" s="266" t="s">
        <v>1686</v>
      </c>
      <c r="E364" s="337"/>
      <c r="F364" s="367" t="s">
        <v>3316</v>
      </c>
      <c r="G364" s="268" t="s">
        <v>2085</v>
      </c>
      <c r="H364" s="347">
        <v>0.03850694444444445</v>
      </c>
      <c r="I364" s="340">
        <v>44254.59305555555</v>
      </c>
      <c r="J364" s="337"/>
      <c r="K364" s="340">
        <v>44256.96428240741</v>
      </c>
      <c r="L364" s="340"/>
      <c r="M364" s="359" t="s">
        <v>2524</v>
      </c>
      <c r="N364" s="342"/>
      <c r="O364" s="343"/>
      <c r="P364" s="343"/>
      <c r="Q364" s="398"/>
      <c r="R364" s="344"/>
      <c r="S364" s="344"/>
      <c r="T364" s="344"/>
      <c r="U364" s="279"/>
      <c r="V364" s="279" t="s">
        <v>1685</v>
      </c>
      <c r="W364" s="280">
        <v>44256.0</v>
      </c>
      <c r="X364" s="281">
        <v>0.16666666666666666</v>
      </c>
      <c r="Y364" s="279" t="s">
        <v>1693</v>
      </c>
      <c r="Z364" s="282" t="s">
        <v>1570</v>
      </c>
      <c r="AA364" s="282" t="s">
        <v>3316</v>
      </c>
      <c r="AB364" s="283">
        <v>44256.0</v>
      </c>
      <c r="AC364" s="337"/>
      <c r="AD364" s="284"/>
    </row>
    <row r="365" ht="14.25" customHeight="1">
      <c r="A365" s="265">
        <v>44254.0</v>
      </c>
      <c r="B365" s="266" t="s">
        <v>1738</v>
      </c>
      <c r="C365" s="266"/>
      <c r="D365" s="266" t="s">
        <v>1455</v>
      </c>
      <c r="E365" s="268"/>
      <c r="F365" s="358" t="s">
        <v>3317</v>
      </c>
      <c r="G365" s="268" t="s">
        <v>2085</v>
      </c>
      <c r="H365" s="270">
        <v>0.016435185185185188</v>
      </c>
      <c r="I365" s="340">
        <v>44255.760416666664</v>
      </c>
      <c r="J365" s="268"/>
      <c r="K365" s="271">
        <v>44256.10513888889</v>
      </c>
      <c r="L365" s="271"/>
      <c r="M365" s="359" t="s">
        <v>2524</v>
      </c>
      <c r="N365" s="290"/>
      <c r="O365" s="276"/>
      <c r="P365" s="276"/>
      <c r="Q365" s="276"/>
      <c r="R365" s="278"/>
      <c r="S365" s="278"/>
      <c r="T365" s="278"/>
      <c r="U365" s="279"/>
      <c r="V365" s="279" t="s">
        <v>1500</v>
      </c>
      <c r="W365" s="280">
        <v>44258.0</v>
      </c>
      <c r="X365" s="281">
        <v>0.027777777777777776</v>
      </c>
      <c r="Y365" s="279" t="s">
        <v>1693</v>
      </c>
      <c r="Z365" s="282" t="s">
        <v>1570</v>
      </c>
      <c r="AA365" s="282" t="s">
        <v>3317</v>
      </c>
      <c r="AB365" s="283">
        <v>44256.0</v>
      </c>
      <c r="AC365" s="284"/>
      <c r="AD365" s="284"/>
    </row>
    <row r="366" ht="14.25" customHeight="1">
      <c r="A366" s="265">
        <v>44255.0</v>
      </c>
      <c r="B366" s="266" t="s">
        <v>2030</v>
      </c>
      <c r="C366" s="266" t="s">
        <v>1450</v>
      </c>
      <c r="D366" s="266" t="s">
        <v>1543</v>
      </c>
      <c r="E366" s="268"/>
      <c r="F366" s="291" t="s">
        <v>3318</v>
      </c>
      <c r="G366" s="268" t="s">
        <v>1463</v>
      </c>
      <c r="H366" s="270">
        <v>0.0012384259259259258</v>
      </c>
      <c r="I366" s="271">
        <v>44230.65625</v>
      </c>
      <c r="J366" s="268"/>
      <c r="K366" s="271">
        <v>44258.67637731481</v>
      </c>
      <c r="L366" s="271"/>
      <c r="M366" s="278" t="s">
        <v>3319</v>
      </c>
      <c r="N366" s="290"/>
      <c r="O366" s="276"/>
      <c r="P366" s="276"/>
      <c r="Q366" s="276"/>
      <c r="R366" s="278"/>
      <c r="S366" s="278"/>
      <c r="T366" s="278"/>
      <c r="U366" s="279"/>
      <c r="V366" s="279" t="s">
        <v>2030</v>
      </c>
      <c r="W366" s="280">
        <v>44261.0</v>
      </c>
      <c r="X366" s="281">
        <v>0.006944444444444444</v>
      </c>
      <c r="Y366" s="279" t="s">
        <v>1693</v>
      </c>
      <c r="Z366" s="282" t="s">
        <v>53</v>
      </c>
      <c r="AA366" s="282">
        <v>6337570.0</v>
      </c>
      <c r="AB366" s="283">
        <v>44261.0</v>
      </c>
      <c r="AC366" s="284"/>
      <c r="AD366" s="284"/>
    </row>
    <row r="367" ht="14.25" customHeight="1">
      <c r="A367" s="265">
        <v>44255.0</v>
      </c>
      <c r="B367" s="266" t="s">
        <v>2030</v>
      </c>
      <c r="C367" s="266" t="s">
        <v>2471</v>
      </c>
      <c r="D367" s="266" t="s">
        <v>1543</v>
      </c>
      <c r="E367" s="268"/>
      <c r="F367" s="291" t="s">
        <v>3320</v>
      </c>
      <c r="G367" s="268" t="s">
        <v>1463</v>
      </c>
      <c r="H367" s="270">
        <v>2.3148148148148146E-4</v>
      </c>
      <c r="I367" s="271">
        <v>44257.881944444445</v>
      </c>
      <c r="J367" s="268"/>
      <c r="K367" s="271">
        <v>44257.886400462965</v>
      </c>
      <c r="L367" s="271"/>
      <c r="M367" s="278" t="s">
        <v>3321</v>
      </c>
      <c r="N367" s="290"/>
      <c r="O367" s="276"/>
      <c r="P367" s="276"/>
      <c r="Q367" s="276"/>
      <c r="R367" s="278"/>
      <c r="S367" s="278"/>
      <c r="T367" s="278"/>
      <c r="U367" s="279"/>
      <c r="V367" s="279" t="s">
        <v>2030</v>
      </c>
      <c r="W367" s="280">
        <v>44259.0</v>
      </c>
      <c r="X367" s="281">
        <v>0.004166666666666667</v>
      </c>
      <c r="Y367" s="279" t="s">
        <v>1693</v>
      </c>
      <c r="Z367" s="282" t="s">
        <v>53</v>
      </c>
      <c r="AA367" s="282">
        <v>6337571.0</v>
      </c>
      <c r="AB367" s="283">
        <v>44261.0</v>
      </c>
      <c r="AC367" s="284"/>
      <c r="AD367" s="284"/>
    </row>
    <row r="368" ht="14.25" customHeight="1">
      <c r="A368" s="265">
        <v>44255.0</v>
      </c>
      <c r="B368" s="266" t="s">
        <v>2030</v>
      </c>
      <c r="C368" s="266" t="s">
        <v>1796</v>
      </c>
      <c r="D368" s="266" t="s">
        <v>1543</v>
      </c>
      <c r="E368" s="268"/>
      <c r="F368" s="291" t="s">
        <v>3322</v>
      </c>
      <c r="G368" s="268" t="s">
        <v>1463</v>
      </c>
      <c r="H368" s="270">
        <v>7.87037037037037E-4</v>
      </c>
      <c r="I368" s="271">
        <v>44258.40972222222</v>
      </c>
      <c r="J368" s="268"/>
      <c r="K368" s="271">
        <v>44258.41678240741</v>
      </c>
      <c r="L368" s="271"/>
      <c r="M368" s="278" t="s">
        <v>3323</v>
      </c>
      <c r="N368" s="290"/>
      <c r="O368" s="276"/>
      <c r="P368" s="276"/>
      <c r="Q368" s="276"/>
      <c r="R368" s="278"/>
      <c r="S368" s="278"/>
      <c r="T368" s="278"/>
      <c r="U368" s="279"/>
      <c r="V368" s="279" t="s">
        <v>2030</v>
      </c>
      <c r="W368" s="280">
        <v>44261.0</v>
      </c>
      <c r="X368" s="281">
        <v>0.005555555555555556</v>
      </c>
      <c r="Y368" s="279" t="s">
        <v>1693</v>
      </c>
      <c r="Z368" s="282" t="s">
        <v>53</v>
      </c>
      <c r="AA368" s="282">
        <v>6337572.0</v>
      </c>
      <c r="AB368" s="283">
        <v>44261.0</v>
      </c>
      <c r="AC368" s="284"/>
      <c r="AD368" s="284"/>
    </row>
    <row r="369" ht="14.25" customHeight="1">
      <c r="A369" s="265">
        <v>44255.0</v>
      </c>
      <c r="B369" s="266" t="s">
        <v>2030</v>
      </c>
      <c r="C369" s="266" t="s">
        <v>1796</v>
      </c>
      <c r="D369" s="266" t="s">
        <v>1543</v>
      </c>
      <c r="E369" s="268"/>
      <c r="F369" s="291" t="s">
        <v>3324</v>
      </c>
      <c r="G369" s="268" t="s">
        <v>1463</v>
      </c>
      <c r="H369" s="270">
        <v>0.001597222222222222</v>
      </c>
      <c r="I369" s="271">
        <v>44258.631944444445</v>
      </c>
      <c r="J369" s="268"/>
      <c r="K369" s="271">
        <v>44258.80030092593</v>
      </c>
      <c r="L369" s="271"/>
      <c r="M369" s="278" t="s">
        <v>3325</v>
      </c>
      <c r="N369" s="290"/>
      <c r="O369" s="276"/>
      <c r="P369" s="276"/>
      <c r="Q369" s="276"/>
      <c r="R369" s="278"/>
      <c r="S369" s="278"/>
      <c r="T369" s="278"/>
      <c r="U369" s="279"/>
      <c r="V369" s="279" t="s">
        <v>2030</v>
      </c>
      <c r="W369" s="280">
        <v>44263.0</v>
      </c>
      <c r="X369" s="281"/>
      <c r="Y369" s="279" t="s">
        <v>1693</v>
      </c>
      <c r="Z369" s="282" t="s">
        <v>53</v>
      </c>
      <c r="AA369" s="282">
        <v>6338397.0</v>
      </c>
      <c r="AB369" s="283">
        <v>44265.0</v>
      </c>
      <c r="AC369" s="284"/>
      <c r="AD369" s="284"/>
    </row>
    <row r="370" ht="14.25" customHeight="1">
      <c r="A370" s="265">
        <v>44255.0</v>
      </c>
      <c r="B370" s="266" t="s">
        <v>1783</v>
      </c>
      <c r="C370" s="266"/>
      <c r="D370" s="266" t="s">
        <v>1457</v>
      </c>
      <c r="E370" s="268"/>
      <c r="F370" s="358" t="s">
        <v>3326</v>
      </c>
      <c r="G370" s="268" t="s">
        <v>2085</v>
      </c>
      <c r="H370" s="270">
        <v>0.017106481481481483</v>
      </c>
      <c r="I370" s="271">
        <v>44256.37777777778</v>
      </c>
      <c r="J370" s="268"/>
      <c r="K370" s="271">
        <v>44256.39278935185</v>
      </c>
      <c r="L370" s="271"/>
      <c r="M370" s="359" t="s">
        <v>2524</v>
      </c>
      <c r="N370" s="290"/>
      <c r="O370" s="276"/>
      <c r="P370" s="276"/>
      <c r="Q370" s="276"/>
      <c r="R370" s="278"/>
      <c r="S370" s="278"/>
      <c r="T370" s="278"/>
      <c r="U370" s="279"/>
      <c r="V370" s="279" t="s">
        <v>1783</v>
      </c>
      <c r="W370" s="280">
        <v>44256.0</v>
      </c>
      <c r="X370" s="281">
        <v>0.041666666666666664</v>
      </c>
      <c r="Y370" s="279" t="s">
        <v>1693</v>
      </c>
      <c r="Z370" s="282" t="s">
        <v>1570</v>
      </c>
      <c r="AA370" s="282" t="s">
        <v>3326</v>
      </c>
      <c r="AB370" s="283">
        <v>44256.0</v>
      </c>
      <c r="AC370" s="284"/>
      <c r="AD370" s="284"/>
    </row>
    <row r="371" ht="14.25" customHeight="1">
      <c r="A371" s="265">
        <v>44255.0</v>
      </c>
      <c r="B371" s="266" t="s">
        <v>1500</v>
      </c>
      <c r="C371" s="266"/>
      <c r="D371" s="266" t="s">
        <v>2829</v>
      </c>
      <c r="E371" s="268"/>
      <c r="F371" s="358" t="s">
        <v>3327</v>
      </c>
      <c r="G371" s="268" t="s">
        <v>2085</v>
      </c>
      <c r="H371" s="270">
        <v>0.018483796296296297</v>
      </c>
      <c r="I371" s="271">
        <v>44257.49513888889</v>
      </c>
      <c r="J371" s="268"/>
      <c r="K371" s="271"/>
      <c r="L371" s="271"/>
      <c r="M371" s="307" t="s">
        <v>2808</v>
      </c>
      <c r="N371" s="290"/>
      <c r="O371" s="276" t="s">
        <v>3328</v>
      </c>
      <c r="P371" s="275" t="s">
        <v>2085</v>
      </c>
      <c r="Q371" s="276"/>
      <c r="R371" s="277">
        <v>44257.85868055555</v>
      </c>
      <c r="S371" s="278"/>
      <c r="T371" s="278" t="s">
        <v>3329</v>
      </c>
      <c r="U371" s="279"/>
      <c r="V371" s="279"/>
      <c r="W371" s="280"/>
      <c r="X371" s="281"/>
      <c r="Y371" s="279"/>
      <c r="Z371" s="282" t="s">
        <v>1570</v>
      </c>
      <c r="AA371" s="282" t="s">
        <v>3327</v>
      </c>
      <c r="AB371" s="283">
        <v>44259.0</v>
      </c>
      <c r="AC371" s="284"/>
      <c r="AD371" s="284"/>
    </row>
    <row r="372" ht="14.25" customHeight="1">
      <c r="A372" s="265">
        <v>44256.0</v>
      </c>
      <c r="B372" s="266" t="s">
        <v>2030</v>
      </c>
      <c r="C372" s="266" t="s">
        <v>2471</v>
      </c>
      <c r="D372" s="266" t="s">
        <v>1543</v>
      </c>
      <c r="E372" s="268"/>
      <c r="F372" s="291" t="s">
        <v>3330</v>
      </c>
      <c r="G372" s="268" t="s">
        <v>1463</v>
      </c>
      <c r="H372" s="270">
        <v>0.002013888888888889</v>
      </c>
      <c r="I372" s="271">
        <v>44256.413194444445</v>
      </c>
      <c r="J372" s="268"/>
      <c r="K372" s="271">
        <v>44257.42204861111</v>
      </c>
      <c r="L372" s="271"/>
      <c r="M372" s="315" t="s">
        <v>3331</v>
      </c>
      <c r="N372" s="290"/>
      <c r="O372" s="276"/>
      <c r="P372" s="276"/>
      <c r="Q372" s="276"/>
      <c r="R372" s="278"/>
      <c r="S372" s="278"/>
      <c r="T372" s="278"/>
      <c r="U372" s="279"/>
      <c r="V372" s="279" t="s">
        <v>2030</v>
      </c>
      <c r="W372" s="280">
        <v>44261.0</v>
      </c>
      <c r="X372" s="281">
        <v>0.004166666666666667</v>
      </c>
      <c r="Y372" s="279" t="s">
        <v>1693</v>
      </c>
      <c r="Z372" s="282" t="s">
        <v>1570</v>
      </c>
      <c r="AA372" s="282">
        <v>6339309.0</v>
      </c>
      <c r="AB372" s="283">
        <v>44265.0</v>
      </c>
      <c r="AC372" s="284"/>
      <c r="AD372" s="284"/>
    </row>
    <row r="373" ht="14.25" customHeight="1">
      <c r="A373" s="265">
        <v>44256.0</v>
      </c>
      <c r="B373" s="266" t="s">
        <v>2030</v>
      </c>
      <c r="C373" s="266" t="s">
        <v>2083</v>
      </c>
      <c r="D373" s="266" t="s">
        <v>1543</v>
      </c>
      <c r="E373" s="268"/>
      <c r="F373" s="269" t="s">
        <v>3332</v>
      </c>
      <c r="G373" s="268" t="s">
        <v>1463</v>
      </c>
      <c r="H373" s="270">
        <v>0.001099537037037037</v>
      </c>
      <c r="I373" s="271">
        <v>44256.43402777778</v>
      </c>
      <c r="J373" s="268"/>
      <c r="K373" s="320">
        <v>44257.44091435185</v>
      </c>
      <c r="L373" s="271"/>
      <c r="M373" s="400" t="s">
        <v>3333</v>
      </c>
      <c r="N373" s="273">
        <v>44257.46875</v>
      </c>
      <c r="O373" s="276" t="s">
        <v>3334</v>
      </c>
      <c r="P373" s="268" t="s">
        <v>1463</v>
      </c>
      <c r="Q373" s="276" t="s">
        <v>1693</v>
      </c>
      <c r="R373" s="277">
        <v>44257.47540509259</v>
      </c>
      <c r="S373" s="278"/>
      <c r="T373" s="278" t="s">
        <v>3335</v>
      </c>
      <c r="U373" s="279"/>
      <c r="V373" s="279" t="s">
        <v>2030</v>
      </c>
      <c r="W373" s="280">
        <v>44261.0</v>
      </c>
      <c r="X373" s="281">
        <v>0.006944444444444444</v>
      </c>
      <c r="Y373" s="279" t="s">
        <v>1693</v>
      </c>
      <c r="Z373" s="282" t="s">
        <v>1570</v>
      </c>
      <c r="AA373" s="282">
        <v>6339310.0</v>
      </c>
      <c r="AB373" s="283">
        <v>44265.0</v>
      </c>
      <c r="AC373" s="284"/>
      <c r="AD373" s="284"/>
    </row>
    <row r="374" ht="14.25" customHeight="1">
      <c r="A374" s="265">
        <v>44256.0</v>
      </c>
      <c r="B374" s="266" t="s">
        <v>2030</v>
      </c>
      <c r="C374" s="266" t="s">
        <v>1686</v>
      </c>
      <c r="D374" s="266" t="s">
        <v>1543</v>
      </c>
      <c r="E374" s="268"/>
      <c r="F374" s="269" t="s">
        <v>3336</v>
      </c>
      <c r="G374" s="268" t="s">
        <v>1463</v>
      </c>
      <c r="H374" s="270">
        <v>0.0026041666666666665</v>
      </c>
      <c r="I374" s="271">
        <v>44257.54513888889</v>
      </c>
      <c r="J374" s="268"/>
      <c r="K374" s="320">
        <v>44257.55482638889</v>
      </c>
      <c r="L374" s="271"/>
      <c r="M374" s="330" t="s">
        <v>3337</v>
      </c>
      <c r="N374" s="273"/>
      <c r="O374" s="276"/>
      <c r="P374" s="268"/>
      <c r="Q374" s="276"/>
      <c r="R374" s="277"/>
      <c r="S374" s="278"/>
      <c r="T374" s="278"/>
      <c r="U374" s="279"/>
      <c r="V374" s="279" t="s">
        <v>2030</v>
      </c>
      <c r="W374" s="280">
        <v>44261.0</v>
      </c>
      <c r="X374" s="281">
        <v>0.010416666666666666</v>
      </c>
      <c r="Y374" s="279" t="s">
        <v>1693</v>
      </c>
      <c r="Z374" s="282" t="s">
        <v>1570</v>
      </c>
      <c r="AA374" s="282">
        <v>6339311.0</v>
      </c>
      <c r="AB374" s="283">
        <v>44265.0</v>
      </c>
      <c r="AC374" s="284"/>
      <c r="AD374" s="284"/>
    </row>
    <row r="375" ht="14.25" customHeight="1">
      <c r="A375" s="265">
        <v>44256.0</v>
      </c>
      <c r="B375" s="266" t="s">
        <v>1772</v>
      </c>
      <c r="C375" s="266"/>
      <c r="D375" s="266" t="s">
        <v>1450</v>
      </c>
      <c r="E375" s="268"/>
      <c r="F375" s="358" t="s">
        <v>3338</v>
      </c>
      <c r="G375" s="268" t="s">
        <v>2085</v>
      </c>
      <c r="H375" s="270">
        <v>0.09937499999999999</v>
      </c>
      <c r="I375" s="271">
        <v>44257.49513888889</v>
      </c>
      <c r="J375" s="268"/>
      <c r="K375" s="271">
        <v>44258.464641203704</v>
      </c>
      <c r="L375" s="271"/>
      <c r="M375" s="359" t="s">
        <v>2524</v>
      </c>
      <c r="N375" s="290"/>
      <c r="O375" s="276"/>
      <c r="P375" s="276"/>
      <c r="Q375" s="276"/>
      <c r="R375" s="278"/>
      <c r="S375" s="278"/>
      <c r="T375" s="278"/>
      <c r="U375" s="279"/>
      <c r="V375" s="279" t="s">
        <v>1772</v>
      </c>
      <c r="W375" s="280" t="s">
        <v>3339</v>
      </c>
      <c r="X375" s="281">
        <v>0.3125</v>
      </c>
      <c r="Y375" s="279" t="s">
        <v>1693</v>
      </c>
      <c r="Z375" s="282" t="s">
        <v>1570</v>
      </c>
      <c r="AA375" s="282" t="s">
        <v>3338</v>
      </c>
      <c r="AB375" s="283">
        <v>44258.0</v>
      </c>
      <c r="AC375" s="284"/>
      <c r="AD375" s="284"/>
    </row>
    <row r="376" ht="14.25" customHeight="1">
      <c r="A376" s="265">
        <v>44256.0</v>
      </c>
      <c r="B376" s="266" t="s">
        <v>1783</v>
      </c>
      <c r="C376" s="266"/>
      <c r="D376" s="266" t="s">
        <v>1452</v>
      </c>
      <c r="E376" s="268"/>
      <c r="F376" s="367" t="s">
        <v>3340</v>
      </c>
      <c r="G376" s="268" t="s">
        <v>2085</v>
      </c>
      <c r="H376" s="270">
        <v>0.008900462962962962</v>
      </c>
      <c r="I376" s="271">
        <v>44256.43958333333</v>
      </c>
      <c r="J376" s="268"/>
      <c r="K376" s="271">
        <v>44256.45655092593</v>
      </c>
      <c r="L376" s="271"/>
      <c r="M376" s="359" t="s">
        <v>2524</v>
      </c>
      <c r="N376" s="290"/>
      <c r="O376" s="276"/>
      <c r="P376" s="276"/>
      <c r="Q376" s="276"/>
      <c r="R376" s="278"/>
      <c r="S376" s="278"/>
      <c r="T376" s="278"/>
      <c r="U376" s="279"/>
      <c r="V376" s="279" t="s">
        <v>1783</v>
      </c>
      <c r="W376" s="280">
        <v>44256.0</v>
      </c>
      <c r="X376" s="281">
        <v>0.08333333333333333</v>
      </c>
      <c r="Y376" s="279" t="s">
        <v>1693</v>
      </c>
      <c r="Z376" s="282" t="s">
        <v>1570</v>
      </c>
      <c r="AA376" s="282" t="s">
        <v>3340</v>
      </c>
      <c r="AB376" s="283">
        <v>44256.0</v>
      </c>
      <c r="AC376" s="284"/>
      <c r="AD376" s="284"/>
    </row>
    <row r="377" ht="14.25" customHeight="1">
      <c r="A377" s="265">
        <v>44256.0</v>
      </c>
      <c r="B377" s="266" t="s">
        <v>1738</v>
      </c>
      <c r="C377" s="266"/>
      <c r="D377" s="266" t="s">
        <v>1686</v>
      </c>
      <c r="E377" s="268"/>
      <c r="F377" s="367" t="s">
        <v>3341</v>
      </c>
      <c r="G377" s="268" t="s">
        <v>2085</v>
      </c>
      <c r="H377" s="270">
        <v>0.04028935185185185</v>
      </c>
      <c r="I377" s="271">
        <v>44256.825694444444</v>
      </c>
      <c r="J377" s="268"/>
      <c r="K377" s="271">
        <v>44257.454618055555</v>
      </c>
      <c r="L377" s="271"/>
      <c r="M377" s="359" t="s">
        <v>2524</v>
      </c>
      <c r="N377" s="290"/>
      <c r="O377" s="276"/>
      <c r="P377" s="276"/>
      <c r="Q377" s="276"/>
      <c r="R377" s="278"/>
      <c r="S377" s="278"/>
      <c r="T377" s="278"/>
      <c r="U377" s="279"/>
      <c r="V377" s="279" t="s">
        <v>1824</v>
      </c>
      <c r="W377" s="280">
        <v>44257.0</v>
      </c>
      <c r="X377" s="281">
        <v>0.1875</v>
      </c>
      <c r="Y377" s="279" t="s">
        <v>1693</v>
      </c>
      <c r="Z377" s="282" t="s">
        <v>1570</v>
      </c>
      <c r="AA377" s="282" t="s">
        <v>3341</v>
      </c>
      <c r="AB377" s="283">
        <v>44256.0</v>
      </c>
      <c r="AC377" s="284"/>
      <c r="AD377" s="284"/>
    </row>
    <row r="378" ht="14.25" customHeight="1">
      <c r="A378" s="265">
        <v>44256.0</v>
      </c>
      <c r="B378" s="266" t="s">
        <v>1500</v>
      </c>
      <c r="C378" s="266"/>
      <c r="D378" s="266" t="s">
        <v>1455</v>
      </c>
      <c r="E378" s="268"/>
      <c r="F378" s="358" t="s">
        <v>3342</v>
      </c>
      <c r="G378" s="268" t="s">
        <v>2085</v>
      </c>
      <c r="H378" s="270">
        <v>0.022094907407407407</v>
      </c>
      <c r="I378" s="271">
        <v>44257.506944444445</v>
      </c>
      <c r="J378" s="268"/>
      <c r="K378" s="271">
        <v>44257.874756944446</v>
      </c>
      <c r="L378" s="271"/>
      <c r="M378" s="359" t="s">
        <v>2524</v>
      </c>
      <c r="N378" s="290"/>
      <c r="O378" s="276"/>
      <c r="P378" s="276"/>
      <c r="Q378" s="276"/>
      <c r="R378" s="278"/>
      <c r="S378" s="278"/>
      <c r="T378" s="278"/>
      <c r="U378" s="279"/>
      <c r="V378" s="279" t="s">
        <v>1500</v>
      </c>
      <c r="W378" s="280">
        <v>44258.0</v>
      </c>
      <c r="X378" s="281">
        <v>0.125</v>
      </c>
      <c r="Y378" s="279" t="s">
        <v>1693</v>
      </c>
      <c r="Z378" s="282" t="s">
        <v>1570</v>
      </c>
      <c r="AA378" s="282" t="s">
        <v>3342</v>
      </c>
      <c r="AB378" s="283">
        <v>44258.0</v>
      </c>
      <c r="AC378" s="284"/>
      <c r="AD378" s="284"/>
    </row>
    <row r="379" ht="14.25" customHeight="1">
      <c r="A379" s="265">
        <v>44257.0</v>
      </c>
      <c r="B379" s="266" t="s">
        <v>2030</v>
      </c>
      <c r="C379" s="266" t="s">
        <v>1450</v>
      </c>
      <c r="D379" s="266" t="s">
        <v>1543</v>
      </c>
      <c r="E379" s="268"/>
      <c r="F379" s="269" t="s">
        <v>3343</v>
      </c>
      <c r="G379" s="268" t="s">
        <v>1463</v>
      </c>
      <c r="H379" s="270">
        <v>0.001388888888888889</v>
      </c>
      <c r="I379" s="271">
        <v>44230.504166666666</v>
      </c>
      <c r="J379" s="268"/>
      <c r="K379" s="271">
        <v>44258.50928240741</v>
      </c>
      <c r="L379" s="271"/>
      <c r="M379" s="278" t="s">
        <v>3344</v>
      </c>
      <c r="N379" s="290"/>
      <c r="O379" s="275"/>
      <c r="P379" s="275"/>
      <c r="Q379" s="276"/>
      <c r="R379" s="278"/>
      <c r="S379" s="278"/>
      <c r="T379" s="278"/>
      <c r="U379" s="279"/>
      <c r="V379" s="279" t="s">
        <v>2030</v>
      </c>
      <c r="W379" s="280">
        <v>44261.0</v>
      </c>
      <c r="X379" s="281">
        <v>0.003472222222222222</v>
      </c>
      <c r="Y379" s="279" t="s">
        <v>1693</v>
      </c>
      <c r="Z379" s="282" t="s">
        <v>1570</v>
      </c>
      <c r="AA379" s="282">
        <v>6339312.0</v>
      </c>
      <c r="AB379" s="283">
        <v>44265.0</v>
      </c>
      <c r="AC379" s="284"/>
      <c r="AD379" s="284"/>
    </row>
    <row r="380" ht="14.25" customHeight="1">
      <c r="A380" s="265">
        <v>44257.0</v>
      </c>
      <c r="B380" s="266" t="s">
        <v>2030</v>
      </c>
      <c r="C380" s="266" t="s">
        <v>1696</v>
      </c>
      <c r="D380" s="266" t="s">
        <v>1543</v>
      </c>
      <c r="E380" s="268"/>
      <c r="F380" s="269" t="s">
        <v>3345</v>
      </c>
      <c r="G380" s="268" t="s">
        <v>1463</v>
      </c>
      <c r="H380" s="270">
        <v>0.0013078703703703705</v>
      </c>
      <c r="I380" s="271">
        <v>44231.47222222222</v>
      </c>
      <c r="J380" s="268"/>
      <c r="K380" s="271">
        <v>44259.48122685185</v>
      </c>
      <c r="L380" s="271"/>
      <c r="M380" s="278" t="s">
        <v>3346</v>
      </c>
      <c r="N380" s="290"/>
      <c r="O380" s="275"/>
      <c r="P380" s="275"/>
      <c r="Q380" s="276"/>
      <c r="R380" s="278"/>
      <c r="S380" s="278"/>
      <c r="T380" s="278"/>
      <c r="U380" s="279"/>
      <c r="V380" s="279" t="s">
        <v>2030</v>
      </c>
      <c r="W380" s="280">
        <v>44261.0</v>
      </c>
      <c r="X380" s="281">
        <v>0.003472222222222222</v>
      </c>
      <c r="Y380" s="279" t="s">
        <v>1693</v>
      </c>
      <c r="Z380" s="282" t="s">
        <v>1570</v>
      </c>
      <c r="AA380" s="282">
        <v>6339313.0</v>
      </c>
      <c r="AB380" s="283">
        <v>44265.0</v>
      </c>
      <c r="AC380" s="284"/>
      <c r="AD380" s="284"/>
    </row>
    <row r="381" ht="14.25" customHeight="1">
      <c r="A381" s="265">
        <v>44257.0</v>
      </c>
      <c r="B381" s="266" t="s">
        <v>2030</v>
      </c>
      <c r="C381" s="266" t="s">
        <v>1696</v>
      </c>
      <c r="D381" s="266" t="s">
        <v>1543</v>
      </c>
      <c r="E381" s="268"/>
      <c r="F381" s="269" t="s">
        <v>3347</v>
      </c>
      <c r="G381" s="268" t="s">
        <v>1463</v>
      </c>
      <c r="H381" s="270">
        <v>0.0022800925925925927</v>
      </c>
      <c r="I381" s="271">
        <v>44259.47222222222</v>
      </c>
      <c r="J381" s="268"/>
      <c r="K381" s="271">
        <v>44259.481400462966</v>
      </c>
      <c r="L381" s="271"/>
      <c r="M381" s="278" t="s">
        <v>3348</v>
      </c>
      <c r="N381" s="290"/>
      <c r="O381" s="275"/>
      <c r="P381" s="275"/>
      <c r="Q381" s="276"/>
      <c r="R381" s="278"/>
      <c r="S381" s="278"/>
      <c r="T381" s="278"/>
      <c r="U381" s="279"/>
      <c r="V381" s="279" t="s">
        <v>2030</v>
      </c>
      <c r="W381" s="280">
        <v>44261.0</v>
      </c>
      <c r="X381" s="281">
        <v>0.010416666666666666</v>
      </c>
      <c r="Y381" s="279" t="s">
        <v>1693</v>
      </c>
      <c r="Z381" s="282" t="s">
        <v>1570</v>
      </c>
      <c r="AA381" s="282">
        <v>6339314.0</v>
      </c>
      <c r="AB381" s="283">
        <v>44265.0</v>
      </c>
      <c r="AC381" s="284"/>
      <c r="AD381" s="284"/>
    </row>
    <row r="382" ht="14.25" customHeight="1">
      <c r="A382" s="265">
        <v>44257.0</v>
      </c>
      <c r="B382" s="266" t="s">
        <v>2030</v>
      </c>
      <c r="C382" s="266" t="s">
        <v>1696</v>
      </c>
      <c r="D382" s="266" t="s">
        <v>1543</v>
      </c>
      <c r="E382" s="268"/>
      <c r="F382" s="269" t="s">
        <v>3349</v>
      </c>
      <c r="G382" s="268" t="s">
        <v>1463</v>
      </c>
      <c r="H382" s="270">
        <v>0.0018981481481481482</v>
      </c>
      <c r="I382" s="271">
        <v>44261.54513888889</v>
      </c>
      <c r="J382" s="268"/>
      <c r="K382" s="271">
        <v>44261.54712962963</v>
      </c>
      <c r="L382" s="271"/>
      <c r="M382" s="307" t="s">
        <v>3350</v>
      </c>
      <c r="N382" s="273">
        <v>44261.58819444444</v>
      </c>
      <c r="O382" s="275" t="s">
        <v>3351</v>
      </c>
      <c r="P382" s="268" t="s">
        <v>1463</v>
      </c>
      <c r="Q382" s="276" t="s">
        <v>1693</v>
      </c>
      <c r="R382" s="277">
        <v>44261.655856481484</v>
      </c>
      <c r="S382" s="278"/>
      <c r="T382" s="278" t="s">
        <v>3352</v>
      </c>
      <c r="U382" s="279"/>
      <c r="V382" s="279" t="s">
        <v>2030</v>
      </c>
      <c r="W382" s="280">
        <v>44268.0</v>
      </c>
      <c r="X382" s="281">
        <v>0.006944444444444444</v>
      </c>
      <c r="Y382" s="279" t="s">
        <v>1693</v>
      </c>
      <c r="Z382" s="282" t="s">
        <v>1570</v>
      </c>
      <c r="AA382" s="282">
        <v>6339319.0</v>
      </c>
      <c r="AB382" s="283">
        <v>44265.0</v>
      </c>
      <c r="AC382" s="284"/>
      <c r="AD382" s="284"/>
    </row>
    <row r="383" ht="14.25" customHeight="1">
      <c r="A383" s="265">
        <v>44257.0</v>
      </c>
      <c r="B383" s="266" t="s">
        <v>2030</v>
      </c>
      <c r="C383" s="266" t="s">
        <v>1686</v>
      </c>
      <c r="D383" s="266" t="s">
        <v>1543</v>
      </c>
      <c r="E383" s="268"/>
      <c r="F383" s="269" t="s">
        <v>3353</v>
      </c>
      <c r="G383" s="268" t="s">
        <v>1463</v>
      </c>
      <c r="H383" s="270">
        <v>0.00125</v>
      </c>
      <c r="I383" s="271">
        <v>44260.38055555556</v>
      </c>
      <c r="J383" s="268"/>
      <c r="K383" s="271">
        <v>44260.38878472222</v>
      </c>
      <c r="L383" s="271"/>
      <c r="M383" s="278" t="s">
        <v>3354</v>
      </c>
      <c r="N383" s="290"/>
      <c r="O383" s="275"/>
      <c r="P383" s="275"/>
      <c r="Q383" s="276"/>
      <c r="R383" s="278"/>
      <c r="S383" s="278"/>
      <c r="T383" s="278"/>
      <c r="U383" s="279"/>
      <c r="V383" s="279" t="s">
        <v>2030</v>
      </c>
      <c r="W383" s="280">
        <v>44261.0</v>
      </c>
      <c r="X383" s="281">
        <v>0.010416666666666666</v>
      </c>
      <c r="Y383" s="279" t="s">
        <v>1693</v>
      </c>
      <c r="Z383" s="282" t="s">
        <v>1570</v>
      </c>
      <c r="AA383" s="282">
        <v>6339320.0</v>
      </c>
      <c r="AB383" s="283">
        <v>44265.0</v>
      </c>
      <c r="AC383" s="284"/>
      <c r="AD383" s="284"/>
    </row>
    <row r="384" ht="14.25" customHeight="1">
      <c r="A384" s="265">
        <v>44257.0</v>
      </c>
      <c r="B384" s="266" t="s">
        <v>2030</v>
      </c>
      <c r="C384" s="266" t="s">
        <v>1686</v>
      </c>
      <c r="D384" s="266" t="s">
        <v>1543</v>
      </c>
      <c r="E384" s="268"/>
      <c r="F384" s="269" t="s">
        <v>3355</v>
      </c>
      <c r="G384" s="268" t="s">
        <v>1463</v>
      </c>
      <c r="H384" s="270">
        <v>7.75462962962963E-4</v>
      </c>
      <c r="I384" s="271">
        <v>44260.388194444444</v>
      </c>
      <c r="J384" s="268"/>
      <c r="K384" s="271">
        <v>44260.39071759259</v>
      </c>
      <c r="L384" s="271"/>
      <c r="M384" s="278" t="s">
        <v>3356</v>
      </c>
      <c r="N384" s="290"/>
      <c r="O384" s="275"/>
      <c r="P384" s="275"/>
      <c r="Q384" s="276"/>
      <c r="R384" s="278"/>
      <c r="S384" s="278"/>
      <c r="T384" s="278"/>
      <c r="U384" s="279"/>
      <c r="V384" s="279" t="s">
        <v>2030</v>
      </c>
      <c r="W384" s="280">
        <v>44261.0</v>
      </c>
      <c r="X384" s="281">
        <v>0.004166666666666667</v>
      </c>
      <c r="Y384" s="279" t="s">
        <v>1693</v>
      </c>
      <c r="Z384" s="282" t="s">
        <v>1570</v>
      </c>
      <c r="AA384" s="282">
        <v>6339321.0</v>
      </c>
      <c r="AB384" s="283">
        <v>44265.0</v>
      </c>
      <c r="AC384" s="284"/>
      <c r="AD384" s="284"/>
    </row>
    <row r="385" ht="14.25" customHeight="1">
      <c r="A385" s="265">
        <v>44257.0</v>
      </c>
      <c r="B385" s="266" t="s">
        <v>1772</v>
      </c>
      <c r="C385" s="266"/>
      <c r="D385" s="266" t="s">
        <v>1450</v>
      </c>
      <c r="E385" s="268"/>
      <c r="F385" s="358" t="s">
        <v>3357</v>
      </c>
      <c r="G385" s="268" t="s">
        <v>2085</v>
      </c>
      <c r="H385" s="270">
        <v>0.09951388888888889</v>
      </c>
      <c r="I385" s="271">
        <v>44258.595138888886</v>
      </c>
      <c r="J385" s="268"/>
      <c r="K385" s="271"/>
      <c r="L385" s="271"/>
      <c r="M385" s="307" t="s">
        <v>2808</v>
      </c>
      <c r="N385" s="273">
        <v>44258.71666666667</v>
      </c>
      <c r="O385" s="276" t="s">
        <v>3358</v>
      </c>
      <c r="P385" s="275" t="s">
        <v>2085</v>
      </c>
      <c r="Q385" s="276" t="s">
        <v>1693</v>
      </c>
      <c r="R385" s="277">
        <v>44260.49962962963</v>
      </c>
      <c r="S385" s="278"/>
      <c r="T385" s="278" t="s">
        <v>3359</v>
      </c>
      <c r="U385" s="279"/>
      <c r="V385" s="279" t="s">
        <v>1772</v>
      </c>
      <c r="W385" s="280" t="s">
        <v>3360</v>
      </c>
      <c r="X385" s="281">
        <v>0.3125</v>
      </c>
      <c r="Y385" s="279" t="s">
        <v>1693</v>
      </c>
      <c r="Z385" s="282" t="s">
        <v>1570</v>
      </c>
      <c r="AA385" s="282" t="s">
        <v>3357</v>
      </c>
      <c r="AB385" s="283">
        <v>44259.0</v>
      </c>
      <c r="AC385" s="284"/>
      <c r="AD385" s="284"/>
    </row>
    <row r="386" ht="14.25" customHeight="1">
      <c r="A386" s="265">
        <v>44257.0</v>
      </c>
      <c r="B386" s="266" t="s">
        <v>1783</v>
      </c>
      <c r="C386" s="266"/>
      <c r="D386" s="266" t="s">
        <v>1452</v>
      </c>
      <c r="E386" s="268"/>
      <c r="F386" s="358" t="s">
        <v>3361</v>
      </c>
      <c r="G386" s="268" t="s">
        <v>2085</v>
      </c>
      <c r="H386" s="270">
        <v>0.009039351851851852</v>
      </c>
      <c r="I386" s="271">
        <v>44257.58380787037</v>
      </c>
      <c r="J386" s="268"/>
      <c r="K386" s="271">
        <v>44257.60255787037</v>
      </c>
      <c r="L386" s="271"/>
      <c r="M386" s="359" t="s">
        <v>2524</v>
      </c>
      <c r="N386" s="290"/>
      <c r="O386" s="276"/>
      <c r="P386" s="276"/>
      <c r="Q386" s="276"/>
      <c r="R386" s="278"/>
      <c r="S386" s="278"/>
      <c r="T386" s="278"/>
      <c r="U386" s="279"/>
      <c r="V386" s="279" t="s">
        <v>1783</v>
      </c>
      <c r="W386" s="280" t="s">
        <v>3339</v>
      </c>
      <c r="X386" s="281">
        <v>0.04861111111111111</v>
      </c>
      <c r="Y386" s="279" t="s">
        <v>1693</v>
      </c>
      <c r="Z386" s="282" t="s">
        <v>1570</v>
      </c>
      <c r="AA386" s="282" t="s">
        <v>3361</v>
      </c>
      <c r="AB386" s="283">
        <v>44258.0</v>
      </c>
      <c r="AC386" s="284"/>
      <c r="AD386" s="284"/>
    </row>
    <row r="387" ht="14.25" customHeight="1">
      <c r="A387" s="265">
        <v>44257.0</v>
      </c>
      <c r="B387" s="266" t="s">
        <v>1824</v>
      </c>
      <c r="C387" s="266"/>
      <c r="D387" s="266" t="s">
        <v>1686</v>
      </c>
      <c r="E387" s="268"/>
      <c r="F387" s="358" t="s">
        <v>3362</v>
      </c>
      <c r="G387" s="268" t="s">
        <v>2085</v>
      </c>
      <c r="H387" s="270">
        <v>0.03775462962962963</v>
      </c>
      <c r="I387" s="271">
        <v>44257.899305555555</v>
      </c>
      <c r="J387" s="268"/>
      <c r="K387" s="271">
        <v>44258.269224537034</v>
      </c>
      <c r="L387" s="271"/>
      <c r="M387" s="359" t="s">
        <v>2524</v>
      </c>
      <c r="N387" s="290"/>
      <c r="O387" s="276"/>
      <c r="P387" s="276"/>
      <c r="Q387" s="276"/>
      <c r="R387" s="278"/>
      <c r="S387" s="278"/>
      <c r="T387" s="278"/>
      <c r="U387" s="279"/>
      <c r="V387" s="279" t="s">
        <v>1824</v>
      </c>
      <c r="W387" s="280">
        <v>44259.0</v>
      </c>
      <c r="X387" s="281">
        <v>0.14109953703703704</v>
      </c>
      <c r="Y387" s="279" t="s">
        <v>1693</v>
      </c>
      <c r="Z387" s="282" t="s">
        <v>1570</v>
      </c>
      <c r="AA387" s="282" t="s">
        <v>3362</v>
      </c>
      <c r="AB387" s="283">
        <v>44258.0</v>
      </c>
      <c r="AC387" s="284"/>
      <c r="AD387" s="284"/>
    </row>
    <row r="388" ht="14.25" customHeight="1">
      <c r="A388" s="265">
        <v>44257.0</v>
      </c>
      <c r="B388" s="266" t="s">
        <v>1500</v>
      </c>
      <c r="C388" s="266"/>
      <c r="D388" s="266" t="s">
        <v>1455</v>
      </c>
      <c r="E388" s="268"/>
      <c r="F388" s="358" t="s">
        <v>3363</v>
      </c>
      <c r="G388" s="268" t="s">
        <v>2085</v>
      </c>
      <c r="H388" s="270">
        <v>0.020682870370370372</v>
      </c>
      <c r="I388" s="271">
        <v>44257.899305555555</v>
      </c>
      <c r="J388" s="268"/>
      <c r="K388" s="271">
        <v>44258.25244212963</v>
      </c>
      <c r="L388" s="271"/>
      <c r="M388" s="359" t="s">
        <v>2524</v>
      </c>
      <c r="N388" s="290"/>
      <c r="O388" s="275"/>
      <c r="P388" s="275"/>
      <c r="Q388" s="276"/>
      <c r="R388" s="278"/>
      <c r="S388" s="278"/>
      <c r="T388" s="278"/>
      <c r="U388" s="279"/>
      <c r="V388" s="279" t="s">
        <v>1500</v>
      </c>
      <c r="W388" s="280">
        <v>44263.0</v>
      </c>
      <c r="X388" s="281">
        <v>0.125</v>
      </c>
      <c r="Y388" s="279" t="s">
        <v>1693</v>
      </c>
      <c r="Z388" s="282" t="s">
        <v>1570</v>
      </c>
      <c r="AA388" s="282" t="s">
        <v>3363</v>
      </c>
      <c r="AB388" s="283">
        <v>44258.0</v>
      </c>
      <c r="AC388" s="284"/>
      <c r="AD388" s="284"/>
    </row>
    <row r="389" ht="14.25" customHeight="1">
      <c r="A389" s="265">
        <v>44258.0</v>
      </c>
      <c r="B389" s="266" t="s">
        <v>2030</v>
      </c>
      <c r="C389" s="266" t="s">
        <v>1686</v>
      </c>
      <c r="D389" s="266" t="s">
        <v>1543</v>
      </c>
      <c r="E389" s="268"/>
      <c r="F389" s="291" t="s">
        <v>3364</v>
      </c>
      <c r="G389" s="268" t="s">
        <v>1463</v>
      </c>
      <c r="H389" s="270">
        <v>0.0013541666666666667</v>
      </c>
      <c r="I389" s="271">
        <v>44258.67638888889</v>
      </c>
      <c r="J389" s="268"/>
      <c r="K389" s="271">
        <v>44258.68517361111</v>
      </c>
      <c r="L389" s="271"/>
      <c r="M389" s="272" t="s">
        <v>3365</v>
      </c>
      <c r="N389" s="273"/>
      <c r="O389" s="275"/>
      <c r="P389" s="275"/>
      <c r="Q389" s="276"/>
      <c r="R389" s="277"/>
      <c r="S389" s="270"/>
      <c r="T389" s="268"/>
      <c r="U389" s="279"/>
      <c r="V389" s="279" t="s">
        <v>2030</v>
      </c>
      <c r="W389" s="280">
        <v>44261.0</v>
      </c>
      <c r="X389" s="281">
        <v>0.005555555555555556</v>
      </c>
      <c r="Y389" s="279" t="s">
        <v>1693</v>
      </c>
      <c r="Z389" s="282" t="s">
        <v>1570</v>
      </c>
      <c r="AA389" s="282">
        <v>6339315.0</v>
      </c>
      <c r="AB389" s="283">
        <v>44265.0</v>
      </c>
      <c r="AC389" s="284"/>
      <c r="AD389" s="284"/>
    </row>
    <row r="390" ht="14.25" customHeight="1">
      <c r="A390" s="265">
        <v>44258.0</v>
      </c>
      <c r="B390" s="266" t="s">
        <v>2030</v>
      </c>
      <c r="C390" s="266" t="s">
        <v>1686</v>
      </c>
      <c r="D390" s="266" t="s">
        <v>1543</v>
      </c>
      <c r="E390" s="268"/>
      <c r="F390" s="291" t="s">
        <v>3366</v>
      </c>
      <c r="G390" s="268" t="s">
        <v>1463</v>
      </c>
      <c r="H390" s="270">
        <v>5.787037037037038E-4</v>
      </c>
      <c r="I390" s="271">
        <v>44259.5</v>
      </c>
      <c r="J390" s="268"/>
      <c r="K390" s="271">
        <v>44259.50357638889</v>
      </c>
      <c r="L390" s="271"/>
      <c r="M390" s="272" t="s">
        <v>3367</v>
      </c>
      <c r="N390" s="273"/>
      <c r="O390" s="275"/>
      <c r="P390" s="275"/>
      <c r="Q390" s="276"/>
      <c r="R390" s="277"/>
      <c r="S390" s="270"/>
      <c r="T390" s="268"/>
      <c r="U390" s="279"/>
      <c r="V390" s="279" t="s">
        <v>2030</v>
      </c>
      <c r="W390" s="280">
        <v>44261.0</v>
      </c>
      <c r="X390" s="281">
        <v>0.004166666666666667</v>
      </c>
      <c r="Y390" s="279" t="s">
        <v>1693</v>
      </c>
      <c r="Z390" s="282" t="s">
        <v>1570</v>
      </c>
      <c r="AA390" s="282">
        <v>6339316.0</v>
      </c>
      <c r="AB390" s="283">
        <v>44265.0</v>
      </c>
      <c r="AC390" s="284"/>
      <c r="AD390" s="284"/>
    </row>
    <row r="391" ht="14.25" customHeight="1">
      <c r="A391" s="265">
        <v>44258.0</v>
      </c>
      <c r="B391" s="266" t="s">
        <v>2030</v>
      </c>
      <c r="C391" s="266" t="s">
        <v>1455</v>
      </c>
      <c r="D391" s="266" t="s">
        <v>1543</v>
      </c>
      <c r="E391" s="268"/>
      <c r="F391" s="291" t="s">
        <v>3368</v>
      </c>
      <c r="G391" s="268" t="s">
        <v>1463</v>
      </c>
      <c r="H391" s="270">
        <v>0.001099537037037037</v>
      </c>
      <c r="I391" s="271">
        <v>44259.524305555555</v>
      </c>
      <c r="J391" s="268"/>
      <c r="K391" s="271">
        <v>44259.531168981484</v>
      </c>
      <c r="L391" s="271"/>
      <c r="M391" s="272" t="s">
        <v>3369</v>
      </c>
      <c r="N391" s="273"/>
      <c r="O391" s="275"/>
      <c r="P391" s="275"/>
      <c r="Q391" s="276"/>
      <c r="R391" s="277"/>
      <c r="S391" s="270"/>
      <c r="T391" s="268"/>
      <c r="U391" s="279"/>
      <c r="V391" s="279" t="s">
        <v>2030</v>
      </c>
      <c r="W391" s="280">
        <v>44261.0</v>
      </c>
      <c r="X391" s="281">
        <v>0.006944444444444444</v>
      </c>
      <c r="Y391" s="279" t="s">
        <v>1693</v>
      </c>
      <c r="Z391" s="282" t="s">
        <v>1570</v>
      </c>
      <c r="AA391" s="282">
        <v>6339317.0</v>
      </c>
      <c r="AB391" s="283">
        <v>44265.0</v>
      </c>
      <c r="AC391" s="284"/>
      <c r="AD391" s="284"/>
    </row>
    <row r="392" ht="14.25" customHeight="1">
      <c r="A392" s="265">
        <v>44258.0</v>
      </c>
      <c r="B392" s="266" t="s">
        <v>2030</v>
      </c>
      <c r="C392" s="266" t="s">
        <v>1455</v>
      </c>
      <c r="D392" s="266" t="s">
        <v>1543</v>
      </c>
      <c r="E392" s="268"/>
      <c r="F392" s="291" t="s">
        <v>3370</v>
      </c>
      <c r="G392" s="268" t="s">
        <v>1463</v>
      </c>
      <c r="H392" s="270">
        <v>9.027777777777778E-4</v>
      </c>
      <c r="I392" s="271">
        <v>44259.54375</v>
      </c>
      <c r="J392" s="268"/>
      <c r="K392" s="271">
        <v>44259.541817129626</v>
      </c>
      <c r="L392" s="271"/>
      <c r="M392" s="272" t="s">
        <v>3371</v>
      </c>
      <c r="N392" s="273"/>
      <c r="O392" s="275"/>
      <c r="P392" s="275"/>
      <c r="Q392" s="276"/>
      <c r="R392" s="277"/>
      <c r="S392" s="270"/>
      <c r="T392" s="268"/>
      <c r="U392" s="279"/>
      <c r="V392" s="279" t="s">
        <v>2030</v>
      </c>
      <c r="W392" s="280">
        <v>44263.0</v>
      </c>
      <c r="X392" s="281">
        <v>0.005555555555555556</v>
      </c>
      <c r="Y392" s="279" t="s">
        <v>1693</v>
      </c>
      <c r="Z392" s="282" t="s">
        <v>1570</v>
      </c>
      <c r="AA392" s="282">
        <v>6339318.0</v>
      </c>
      <c r="AB392" s="283">
        <v>44265.0</v>
      </c>
      <c r="AC392" s="284"/>
      <c r="AD392" s="284"/>
    </row>
    <row r="393" ht="14.25" customHeight="1">
      <c r="A393" s="265">
        <v>44258.0</v>
      </c>
      <c r="B393" s="266" t="s">
        <v>2030</v>
      </c>
      <c r="C393" s="266" t="s">
        <v>2083</v>
      </c>
      <c r="D393" s="266" t="s">
        <v>1543</v>
      </c>
      <c r="E393" s="268"/>
      <c r="F393" s="291" t="s">
        <v>3372</v>
      </c>
      <c r="G393" s="268" t="s">
        <v>1463</v>
      </c>
      <c r="H393" s="270">
        <v>0.0016666666666666668</v>
      </c>
      <c r="I393" s="271">
        <v>44260.50486111111</v>
      </c>
      <c r="J393" s="268"/>
      <c r="K393" s="271">
        <v>44260.50900462963</v>
      </c>
      <c r="L393" s="271"/>
      <c r="M393" s="272" t="s">
        <v>3373</v>
      </c>
      <c r="N393" s="273"/>
      <c r="O393" s="275"/>
      <c r="P393" s="275"/>
      <c r="Q393" s="276"/>
      <c r="R393" s="277"/>
      <c r="S393" s="270"/>
      <c r="T393" s="268"/>
      <c r="U393" s="279"/>
      <c r="V393" s="279" t="s">
        <v>2030</v>
      </c>
      <c r="W393" s="280">
        <v>44263.0</v>
      </c>
      <c r="X393" s="281">
        <v>0.004166666666666667</v>
      </c>
      <c r="Y393" s="279" t="s">
        <v>1693</v>
      </c>
      <c r="Z393" s="282" t="s">
        <v>1570</v>
      </c>
      <c r="AA393" s="282">
        <v>6339322.0</v>
      </c>
      <c r="AB393" s="283">
        <v>44265.0</v>
      </c>
      <c r="AC393" s="284"/>
      <c r="AD393" s="284"/>
    </row>
    <row r="394" ht="14.25" customHeight="1">
      <c r="A394" s="265">
        <v>44258.0</v>
      </c>
      <c r="B394" s="266" t="s">
        <v>2030</v>
      </c>
      <c r="C394" s="266" t="s">
        <v>1686</v>
      </c>
      <c r="D394" s="266" t="s">
        <v>1543</v>
      </c>
      <c r="E394" s="268"/>
      <c r="F394" s="291" t="s">
        <v>3374</v>
      </c>
      <c r="G394" s="268" t="s">
        <v>1463</v>
      </c>
      <c r="H394" s="270">
        <v>6.018518518518519E-4</v>
      </c>
      <c r="I394" s="271">
        <v>44263.35138888889</v>
      </c>
      <c r="J394" s="268"/>
      <c r="K394" s="271">
        <v>44263.35481481482</v>
      </c>
      <c r="L394" s="271"/>
      <c r="M394" s="272" t="s">
        <v>3375</v>
      </c>
      <c r="N394" s="273"/>
      <c r="O394" s="275"/>
      <c r="P394" s="275"/>
      <c r="Q394" s="276"/>
      <c r="R394" s="277"/>
      <c r="S394" s="270"/>
      <c r="T394" s="268"/>
      <c r="U394" s="279"/>
      <c r="V394" s="279" t="s">
        <v>2030</v>
      </c>
      <c r="W394" s="280">
        <v>44263.0</v>
      </c>
      <c r="X394" s="281">
        <v>0.004166666666666667</v>
      </c>
      <c r="Y394" s="279" t="s">
        <v>1693</v>
      </c>
      <c r="Z394" s="282" t="s">
        <v>53</v>
      </c>
      <c r="AA394" s="282">
        <v>6339648.0</v>
      </c>
      <c r="AB394" s="283">
        <v>44266.0</v>
      </c>
      <c r="AC394" s="284"/>
      <c r="AD394" s="284"/>
    </row>
    <row r="395" ht="14.25" customHeight="1">
      <c r="A395" s="265">
        <v>44258.0</v>
      </c>
      <c r="B395" s="266" t="s">
        <v>1772</v>
      </c>
      <c r="C395" s="266"/>
      <c r="D395" s="266" t="s">
        <v>1450</v>
      </c>
      <c r="E395" s="268"/>
      <c r="F395" s="358" t="s">
        <v>3376</v>
      </c>
      <c r="G395" s="268" t="s">
        <v>2085</v>
      </c>
      <c r="H395" s="270">
        <v>0.09953703703703703</v>
      </c>
      <c r="I395" s="271">
        <v>44258.595138888886</v>
      </c>
      <c r="J395" s="268"/>
      <c r="K395" s="271">
        <v>44259.63912037037</v>
      </c>
      <c r="L395" s="271"/>
      <c r="M395" s="359" t="s">
        <v>2524</v>
      </c>
      <c r="N395" s="290"/>
      <c r="O395" s="275"/>
      <c r="P395" s="275"/>
      <c r="Q395" s="276"/>
      <c r="R395" s="278"/>
      <c r="S395" s="278"/>
      <c r="T395" s="278"/>
      <c r="U395" s="279"/>
      <c r="V395" s="279" t="s">
        <v>1772</v>
      </c>
      <c r="W395" s="280" t="s">
        <v>3377</v>
      </c>
      <c r="X395" s="281">
        <v>0.3125</v>
      </c>
      <c r="Y395" s="279" t="s">
        <v>1693</v>
      </c>
      <c r="Z395" s="282" t="s">
        <v>1570</v>
      </c>
      <c r="AA395" s="282" t="s">
        <v>3376</v>
      </c>
      <c r="AB395" s="283">
        <v>44258.0</v>
      </c>
      <c r="AC395" s="284"/>
      <c r="AD395" s="284"/>
    </row>
    <row r="396" ht="14.25" customHeight="1">
      <c r="A396" s="265">
        <v>44258.0</v>
      </c>
      <c r="B396" s="266" t="s">
        <v>1783</v>
      </c>
      <c r="C396" s="266"/>
      <c r="D396" s="266" t="s">
        <v>1452</v>
      </c>
      <c r="E396" s="268"/>
      <c r="F396" s="358" t="s">
        <v>3378</v>
      </c>
      <c r="G396" s="268" t="s">
        <v>2085</v>
      </c>
      <c r="H396" s="270">
        <v>0.006296296296296296</v>
      </c>
      <c r="I396" s="271">
        <v>44258.447916666664</v>
      </c>
      <c r="J396" s="268"/>
      <c r="K396" s="271">
        <v>44258.45715277778</v>
      </c>
      <c r="L396" s="271"/>
      <c r="M396" s="359" t="s">
        <v>2524</v>
      </c>
      <c r="N396" s="273"/>
      <c r="O396" s="275"/>
      <c r="P396" s="275"/>
      <c r="Q396" s="276"/>
      <c r="R396" s="271"/>
      <c r="S396" s="270"/>
      <c r="T396" s="268"/>
      <c r="U396" s="279"/>
      <c r="V396" s="279" t="s">
        <v>1783</v>
      </c>
      <c r="W396" s="280">
        <v>44258.0</v>
      </c>
      <c r="X396" s="281">
        <v>0.027777777777777776</v>
      </c>
      <c r="Y396" s="279" t="s">
        <v>1693</v>
      </c>
      <c r="Z396" s="282" t="s">
        <v>1570</v>
      </c>
      <c r="AA396" s="282" t="s">
        <v>3378</v>
      </c>
      <c r="AB396" s="283">
        <v>44258.0</v>
      </c>
      <c r="AC396" s="284"/>
      <c r="AD396" s="284"/>
    </row>
    <row r="397" ht="14.25" customHeight="1">
      <c r="A397" s="265">
        <v>44258.0</v>
      </c>
      <c r="B397" s="266" t="s">
        <v>1824</v>
      </c>
      <c r="C397" s="266"/>
      <c r="D397" s="266" t="s">
        <v>1686</v>
      </c>
      <c r="E397" s="268"/>
      <c r="F397" s="358" t="s">
        <v>3379</v>
      </c>
      <c r="G397" s="268" t="s">
        <v>2085</v>
      </c>
      <c r="H397" s="270">
        <v>0.038981481481481485</v>
      </c>
      <c r="I397" s="271">
        <v>44258.80416666667</v>
      </c>
      <c r="J397" s="268"/>
      <c r="K397" s="271">
        <v>44259.63916666667</v>
      </c>
      <c r="L397" s="271"/>
      <c r="M397" s="359" t="s">
        <v>2524</v>
      </c>
      <c r="N397" s="273"/>
      <c r="O397" s="275"/>
      <c r="P397" s="275"/>
      <c r="Q397" s="276"/>
      <c r="R397" s="271"/>
      <c r="S397" s="270"/>
      <c r="T397" s="268"/>
      <c r="U397" s="279"/>
      <c r="V397" s="279" t="s">
        <v>1824</v>
      </c>
      <c r="W397" s="280">
        <v>44260.0</v>
      </c>
      <c r="X397" s="281">
        <v>0.15413194444444445</v>
      </c>
      <c r="Y397" s="279" t="s">
        <v>1693</v>
      </c>
      <c r="Z397" s="282" t="s">
        <v>1570</v>
      </c>
      <c r="AA397" s="282" t="s">
        <v>3379</v>
      </c>
      <c r="AB397" s="283">
        <v>44258.0</v>
      </c>
      <c r="AC397" s="284"/>
      <c r="AD397" s="284"/>
    </row>
    <row r="398" ht="14.25" customHeight="1">
      <c r="A398" s="265">
        <v>44258.0</v>
      </c>
      <c r="B398" s="266" t="s">
        <v>1500</v>
      </c>
      <c r="C398" s="266"/>
      <c r="D398" s="266" t="s">
        <v>1455</v>
      </c>
      <c r="E398" s="268"/>
      <c r="F398" s="358" t="s">
        <v>3380</v>
      </c>
      <c r="G398" s="268" t="s">
        <v>2085</v>
      </c>
      <c r="H398" s="270">
        <v>0.02048611111111111</v>
      </c>
      <c r="I398" s="271">
        <v>44259.8</v>
      </c>
      <c r="J398" s="268"/>
      <c r="K398" s="271">
        <v>44259.828356481485</v>
      </c>
      <c r="L398" s="271"/>
      <c r="M398" s="359" t="s">
        <v>2524</v>
      </c>
      <c r="N398" s="273"/>
      <c r="O398" s="275"/>
      <c r="P398" s="275"/>
      <c r="Q398" s="276"/>
      <c r="R398" s="271"/>
      <c r="S398" s="270"/>
      <c r="T398" s="268"/>
      <c r="U398" s="279"/>
      <c r="V398" s="279" t="s">
        <v>1500</v>
      </c>
      <c r="W398" s="280">
        <v>44264.0</v>
      </c>
      <c r="X398" s="281">
        <v>0.125</v>
      </c>
      <c r="Y398" s="279" t="s">
        <v>1693</v>
      </c>
      <c r="Z398" s="282" t="s">
        <v>1570</v>
      </c>
      <c r="AA398" s="282" t="s">
        <v>3380</v>
      </c>
      <c r="AB398" s="283">
        <v>44259.0</v>
      </c>
      <c r="AC398" s="284"/>
      <c r="AD398" s="284"/>
    </row>
    <row r="399" ht="14.25" customHeight="1">
      <c r="A399" s="265">
        <v>44259.0</v>
      </c>
      <c r="B399" s="266" t="s">
        <v>2030</v>
      </c>
      <c r="C399" s="266" t="s">
        <v>1455</v>
      </c>
      <c r="D399" s="266" t="s">
        <v>1543</v>
      </c>
      <c r="E399" s="268"/>
      <c r="F399" s="269" t="s">
        <v>3381</v>
      </c>
      <c r="G399" s="268" t="s">
        <v>1463</v>
      </c>
      <c r="H399" s="270">
        <v>8.680555555555555E-4</v>
      </c>
      <c r="I399" s="271">
        <v>44260.40625</v>
      </c>
      <c r="J399" s="268"/>
      <c r="K399" s="271">
        <v>44260.41465277778</v>
      </c>
      <c r="L399" s="271"/>
      <c r="M399" s="278" t="s">
        <v>3382</v>
      </c>
      <c r="N399" s="290"/>
      <c r="O399" s="276"/>
      <c r="P399" s="276"/>
      <c r="Q399" s="276"/>
      <c r="R399" s="278"/>
      <c r="S399" s="278"/>
      <c r="T399" s="278"/>
      <c r="U399" s="279"/>
      <c r="V399" s="279" t="s">
        <v>2030</v>
      </c>
      <c r="W399" s="280">
        <v>44264.0</v>
      </c>
      <c r="X399" s="281">
        <v>0.003472222222222222</v>
      </c>
      <c r="Y399" s="279" t="s">
        <v>1693</v>
      </c>
      <c r="Z399" s="282" t="s">
        <v>1570</v>
      </c>
      <c r="AA399" s="282">
        <v>6339323.0</v>
      </c>
      <c r="AB399" s="283">
        <v>44265.0</v>
      </c>
      <c r="AC399" s="284"/>
      <c r="AD399" s="284"/>
    </row>
    <row r="400" ht="14.25" customHeight="1">
      <c r="A400" s="265">
        <v>44259.0</v>
      </c>
      <c r="B400" s="266" t="s">
        <v>2030</v>
      </c>
      <c r="C400" s="266" t="s">
        <v>1455</v>
      </c>
      <c r="D400" s="266" t="s">
        <v>1543</v>
      </c>
      <c r="E400" s="268"/>
      <c r="F400" s="269" t="s">
        <v>3383</v>
      </c>
      <c r="G400" s="268" t="s">
        <v>1463</v>
      </c>
      <c r="H400" s="270">
        <v>9.490740740740741E-4</v>
      </c>
      <c r="I400" s="271">
        <v>44260.416666666664</v>
      </c>
      <c r="J400" s="268"/>
      <c r="K400" s="271">
        <v>44260.423171296294</v>
      </c>
      <c r="L400" s="271"/>
      <c r="M400" s="278" t="s">
        <v>3384</v>
      </c>
      <c r="N400" s="290"/>
      <c r="O400" s="276"/>
      <c r="P400" s="276"/>
      <c r="Q400" s="276"/>
      <c r="R400" s="278"/>
      <c r="S400" s="278"/>
      <c r="T400" s="278"/>
      <c r="U400" s="279"/>
      <c r="V400" s="279" t="s">
        <v>2030</v>
      </c>
      <c r="W400" s="280">
        <v>44264.0</v>
      </c>
      <c r="X400" s="281">
        <v>0.003472222222222222</v>
      </c>
      <c r="Y400" s="279" t="s">
        <v>1693</v>
      </c>
      <c r="Z400" s="282" t="s">
        <v>1570</v>
      </c>
      <c r="AA400" s="282">
        <v>6339324.0</v>
      </c>
      <c r="AB400" s="283">
        <v>44265.0</v>
      </c>
      <c r="AC400" s="284"/>
      <c r="AD400" s="284"/>
    </row>
    <row r="401" ht="14.25" customHeight="1">
      <c r="A401" s="265">
        <v>44259.0</v>
      </c>
      <c r="B401" s="266" t="s">
        <v>2030</v>
      </c>
      <c r="C401" s="266" t="s">
        <v>1686</v>
      </c>
      <c r="D401" s="266" t="s">
        <v>1543</v>
      </c>
      <c r="E401" s="268"/>
      <c r="F401" s="269" t="s">
        <v>3385</v>
      </c>
      <c r="G401" s="268" t="s">
        <v>1463</v>
      </c>
      <c r="H401" s="270">
        <v>9.606481481481481E-4</v>
      </c>
      <c r="I401" s="271">
        <v>44264.28125</v>
      </c>
      <c r="J401" s="268"/>
      <c r="K401" s="271">
        <v>44264.28673611111</v>
      </c>
      <c r="L401" s="271"/>
      <c r="M401" s="277" t="s">
        <v>3386</v>
      </c>
      <c r="N401" s="290"/>
      <c r="O401" s="276"/>
      <c r="P401" s="276"/>
      <c r="Q401" s="276"/>
      <c r="R401" s="278"/>
      <c r="S401" s="278"/>
      <c r="T401" s="278"/>
      <c r="U401" s="279"/>
      <c r="V401" s="279" t="s">
        <v>2030</v>
      </c>
      <c r="W401" s="280">
        <v>44268.0</v>
      </c>
      <c r="X401" s="281">
        <v>0.006944444444444444</v>
      </c>
      <c r="Y401" s="279" t="s">
        <v>1693</v>
      </c>
      <c r="Z401" s="282" t="s">
        <v>53</v>
      </c>
      <c r="AA401" s="282">
        <v>6339649.0</v>
      </c>
      <c r="AB401" s="283">
        <v>44266.0</v>
      </c>
      <c r="AC401" s="284"/>
      <c r="AD401" s="284"/>
    </row>
    <row r="402" ht="14.25" customHeight="1">
      <c r="A402" s="265">
        <v>44259.0</v>
      </c>
      <c r="B402" s="266" t="s">
        <v>2030</v>
      </c>
      <c r="C402" s="266" t="s">
        <v>1686</v>
      </c>
      <c r="D402" s="266" t="s">
        <v>1543</v>
      </c>
      <c r="E402" s="268"/>
      <c r="F402" s="269" t="s">
        <v>3387</v>
      </c>
      <c r="G402" s="268" t="s">
        <v>1463</v>
      </c>
      <c r="H402" s="270">
        <v>0.0016435185185185183</v>
      </c>
      <c r="I402" s="271">
        <v>44264.34444444445</v>
      </c>
      <c r="J402" s="268"/>
      <c r="K402" s="271">
        <v>44264.350335648145</v>
      </c>
      <c r="L402" s="271"/>
      <c r="M402" s="277" t="s">
        <v>3388</v>
      </c>
      <c r="N402" s="290"/>
      <c r="O402" s="276"/>
      <c r="P402" s="276"/>
      <c r="Q402" s="276"/>
      <c r="R402" s="278"/>
      <c r="S402" s="278"/>
      <c r="T402" s="278"/>
      <c r="U402" s="279"/>
      <c r="V402" s="279" t="s">
        <v>2030</v>
      </c>
      <c r="W402" s="280">
        <v>44268.0</v>
      </c>
      <c r="X402" s="281">
        <v>0.010416666666666666</v>
      </c>
      <c r="Y402" s="279" t="s">
        <v>1693</v>
      </c>
      <c r="Z402" s="282" t="s">
        <v>53</v>
      </c>
      <c r="AA402" s="282">
        <v>6339650.0</v>
      </c>
      <c r="AB402" s="283">
        <v>44266.0</v>
      </c>
      <c r="AC402" s="284"/>
      <c r="AD402" s="284"/>
    </row>
    <row r="403" ht="14.25" customHeight="1">
      <c r="A403" s="265">
        <v>44259.0</v>
      </c>
      <c r="B403" s="266" t="s">
        <v>2030</v>
      </c>
      <c r="C403" s="266" t="s">
        <v>1686</v>
      </c>
      <c r="D403" s="266" t="s">
        <v>1543</v>
      </c>
      <c r="E403" s="268"/>
      <c r="F403" s="269" t="s">
        <v>3389</v>
      </c>
      <c r="G403" s="268" t="s">
        <v>1463</v>
      </c>
      <c r="H403" s="270">
        <v>1.9675925925925926E-4</v>
      </c>
      <c r="I403" s="271">
        <v>44264.35555555556</v>
      </c>
      <c r="J403" s="268"/>
      <c r="K403" s="271">
        <v>44264.35266203704</v>
      </c>
      <c r="L403" s="271"/>
      <c r="M403" s="401" t="s">
        <v>3390</v>
      </c>
      <c r="N403" s="273">
        <v>44265.32638888889</v>
      </c>
      <c r="O403" s="276" t="s">
        <v>3389</v>
      </c>
      <c r="P403" s="268" t="s">
        <v>1463</v>
      </c>
      <c r="Q403" s="276" t="s">
        <v>1693</v>
      </c>
      <c r="R403" s="277">
        <v>44265.33368055556</v>
      </c>
      <c r="S403" s="278"/>
      <c r="T403" s="278" t="s">
        <v>3391</v>
      </c>
      <c r="U403" s="279"/>
      <c r="V403" s="279" t="s">
        <v>2030</v>
      </c>
      <c r="W403" s="280">
        <v>44268.0</v>
      </c>
      <c r="X403" s="281">
        <v>0.008333333333333333</v>
      </c>
      <c r="Y403" s="279" t="s">
        <v>1693</v>
      </c>
      <c r="Z403" s="282" t="s">
        <v>53</v>
      </c>
      <c r="AA403" s="282">
        <v>6339651.0</v>
      </c>
      <c r="AB403" s="283">
        <v>44266.0</v>
      </c>
      <c r="AC403" s="284"/>
      <c r="AD403" s="284"/>
    </row>
    <row r="404" ht="14.25" customHeight="1">
      <c r="A404" s="265">
        <v>44259.0</v>
      </c>
      <c r="B404" s="266" t="s">
        <v>2030</v>
      </c>
      <c r="C404" s="266" t="s">
        <v>1686</v>
      </c>
      <c r="D404" s="266" t="s">
        <v>1543</v>
      </c>
      <c r="E404" s="268"/>
      <c r="F404" s="269" t="s">
        <v>3392</v>
      </c>
      <c r="G404" s="268" t="s">
        <v>1463</v>
      </c>
      <c r="H404" s="270">
        <v>6.36574074074074E-4</v>
      </c>
      <c r="I404" s="271">
        <v>44264.361805555556</v>
      </c>
      <c r="J404" s="268"/>
      <c r="K404" s="271">
        <v>44264.366527777776</v>
      </c>
      <c r="L404" s="271"/>
      <c r="M404" s="277" t="s">
        <v>3393</v>
      </c>
      <c r="N404" s="290"/>
      <c r="O404" s="276"/>
      <c r="P404" s="276"/>
      <c r="Q404" s="276"/>
      <c r="R404" s="278"/>
      <c r="S404" s="278"/>
      <c r="T404" s="278"/>
      <c r="U404" s="279"/>
      <c r="V404" s="279" t="s">
        <v>2030</v>
      </c>
      <c r="W404" s="280">
        <v>44268.0</v>
      </c>
      <c r="X404" s="281">
        <v>0.25</v>
      </c>
      <c r="Y404" s="279" t="s">
        <v>1693</v>
      </c>
      <c r="Z404" s="282" t="s">
        <v>53</v>
      </c>
      <c r="AA404" s="282">
        <v>6339652.0</v>
      </c>
      <c r="AB404" s="283">
        <v>44266.0</v>
      </c>
      <c r="AC404" s="284"/>
      <c r="AD404" s="284"/>
    </row>
    <row r="405" ht="14.25" customHeight="1">
      <c r="A405" s="265">
        <v>44259.0</v>
      </c>
      <c r="B405" s="266" t="s">
        <v>1772</v>
      </c>
      <c r="C405" s="266"/>
      <c r="D405" s="266" t="s">
        <v>1450</v>
      </c>
      <c r="E405" s="268"/>
      <c r="F405" s="358" t="s">
        <v>3394</v>
      </c>
      <c r="G405" s="268" t="s">
        <v>2085</v>
      </c>
      <c r="H405" s="270">
        <v>0.09959490740740741</v>
      </c>
      <c r="I405" s="271">
        <v>44259.79652777778</v>
      </c>
      <c r="J405" s="268"/>
      <c r="K405" s="271">
        <v>44259.86462962963</v>
      </c>
      <c r="L405" s="271"/>
      <c r="M405" s="359" t="s">
        <v>2524</v>
      </c>
      <c r="N405" s="290"/>
      <c r="O405" s="275"/>
      <c r="P405" s="275"/>
      <c r="Q405" s="276"/>
      <c r="R405" s="278"/>
      <c r="S405" s="268"/>
      <c r="T405" s="268"/>
      <c r="U405" s="279"/>
      <c r="V405" s="279" t="s">
        <v>1772</v>
      </c>
      <c r="W405" s="280" t="s">
        <v>3395</v>
      </c>
      <c r="X405" s="281">
        <v>0.3125</v>
      </c>
      <c r="Y405" s="279" t="s">
        <v>1693</v>
      </c>
      <c r="Z405" s="282" t="s">
        <v>1570</v>
      </c>
      <c r="AA405" s="282" t="s">
        <v>3394</v>
      </c>
      <c r="AB405" s="283">
        <v>44260.0</v>
      </c>
      <c r="AC405" s="284"/>
      <c r="AD405" s="284"/>
    </row>
    <row r="406" ht="14.25" customHeight="1">
      <c r="A406" s="265">
        <v>44259.0</v>
      </c>
      <c r="B406" s="266" t="s">
        <v>1783</v>
      </c>
      <c r="C406" s="266"/>
      <c r="D406" s="266" t="s">
        <v>1452</v>
      </c>
      <c r="E406" s="268"/>
      <c r="F406" s="358" t="s">
        <v>3396</v>
      </c>
      <c r="G406" s="268" t="s">
        <v>2085</v>
      </c>
      <c r="H406" s="270">
        <v>0.008831018518518518</v>
      </c>
      <c r="I406" s="271">
        <v>44259.4375</v>
      </c>
      <c r="J406" s="268"/>
      <c r="K406" s="271">
        <v>44259.45071759259</v>
      </c>
      <c r="L406" s="271"/>
      <c r="M406" s="359" t="s">
        <v>2524</v>
      </c>
      <c r="N406" s="273"/>
      <c r="O406" s="317"/>
      <c r="P406" s="317"/>
      <c r="Q406" s="276"/>
      <c r="R406" s="271"/>
      <c r="S406" s="270"/>
      <c r="T406" s="316"/>
      <c r="U406" s="279"/>
      <c r="V406" s="279" t="s">
        <v>1783</v>
      </c>
      <c r="W406" s="280">
        <v>44259.0</v>
      </c>
      <c r="X406" s="281">
        <v>0.027777777777777776</v>
      </c>
      <c r="Y406" s="279" t="s">
        <v>1693</v>
      </c>
      <c r="Z406" s="282" t="s">
        <v>1570</v>
      </c>
      <c r="AA406" s="282" t="s">
        <v>3396</v>
      </c>
      <c r="AB406" s="283">
        <v>44259.0</v>
      </c>
      <c r="AC406" s="284"/>
      <c r="AD406" s="284"/>
    </row>
    <row r="407" ht="14.25" customHeight="1">
      <c r="A407" s="265">
        <v>44259.0</v>
      </c>
      <c r="B407" s="266" t="s">
        <v>1824</v>
      </c>
      <c r="C407" s="266"/>
      <c r="D407" s="266" t="s">
        <v>1686</v>
      </c>
      <c r="E407" s="268"/>
      <c r="F407" s="358" t="s">
        <v>3397</v>
      </c>
      <c r="G407" s="268" t="s">
        <v>2085</v>
      </c>
      <c r="H407" s="270">
        <v>0.03820601851851852</v>
      </c>
      <c r="I407" s="271">
        <v>44259.79652777778</v>
      </c>
      <c r="J407" s="268"/>
      <c r="K407" s="271">
        <v>44259.82571759259</v>
      </c>
      <c r="L407" s="271"/>
      <c r="M407" s="359" t="s">
        <v>2524</v>
      </c>
      <c r="N407" s="290"/>
      <c r="O407" s="275"/>
      <c r="P407" s="275"/>
      <c r="Q407" s="276"/>
      <c r="R407" s="278"/>
      <c r="S407" s="278"/>
      <c r="T407" s="278"/>
      <c r="U407" s="279"/>
      <c r="V407" s="279" t="s">
        <v>1824</v>
      </c>
      <c r="W407" s="280">
        <v>44260.0</v>
      </c>
      <c r="X407" s="281">
        <v>0.1644675925925926</v>
      </c>
      <c r="Y407" s="279" t="s">
        <v>1693</v>
      </c>
      <c r="Z407" s="282" t="s">
        <v>1570</v>
      </c>
      <c r="AA407" s="282" t="s">
        <v>3397</v>
      </c>
      <c r="AB407" s="283">
        <v>44259.0</v>
      </c>
      <c r="AC407" s="284"/>
      <c r="AD407" s="284"/>
    </row>
    <row r="408" ht="14.25" customHeight="1">
      <c r="A408" s="265">
        <v>44259.0</v>
      </c>
      <c r="B408" s="266" t="s">
        <v>1500</v>
      </c>
      <c r="C408" s="266"/>
      <c r="D408" s="266" t="s">
        <v>1455</v>
      </c>
      <c r="E408" s="268"/>
      <c r="F408" s="358" t="s">
        <v>3398</v>
      </c>
      <c r="G408" s="268" t="s">
        <v>2085</v>
      </c>
      <c r="H408" s="270">
        <v>0.022361111111111113</v>
      </c>
      <c r="I408" s="271">
        <v>44259.86944444444</v>
      </c>
      <c r="J408" s="268"/>
      <c r="K408" s="271">
        <v>44260.22597222222</v>
      </c>
      <c r="L408" s="271"/>
      <c r="M408" s="359" t="s">
        <v>2524</v>
      </c>
      <c r="N408" s="290"/>
      <c r="O408" s="276"/>
      <c r="P408" s="276"/>
      <c r="Q408" s="276"/>
      <c r="R408" s="278"/>
      <c r="S408" s="278"/>
      <c r="T408" s="278"/>
      <c r="U408" s="279"/>
      <c r="V408" s="279" t="s">
        <v>1824</v>
      </c>
      <c r="W408" s="280">
        <v>44264.0</v>
      </c>
      <c r="X408" s="281">
        <v>0.10512731481481481</v>
      </c>
      <c r="Y408" s="279" t="s">
        <v>1693</v>
      </c>
      <c r="Z408" s="282" t="s">
        <v>1570</v>
      </c>
      <c r="AA408" s="282" t="s">
        <v>3398</v>
      </c>
      <c r="AB408" s="283">
        <v>44260.0</v>
      </c>
      <c r="AC408" s="284"/>
      <c r="AD408" s="284"/>
    </row>
    <row r="409" ht="14.25" customHeight="1">
      <c r="A409" s="265">
        <v>44260.0</v>
      </c>
      <c r="B409" s="266" t="s">
        <v>2030</v>
      </c>
      <c r="C409" s="266" t="s">
        <v>1455</v>
      </c>
      <c r="D409" s="266" t="s">
        <v>1543</v>
      </c>
      <c r="E409" s="268"/>
      <c r="F409" s="269" t="s">
        <v>3399</v>
      </c>
      <c r="G409" s="268" t="s">
        <v>1463</v>
      </c>
      <c r="H409" s="270">
        <v>0.0010763888888888889</v>
      </c>
      <c r="I409" s="271">
        <v>44263.41736111111</v>
      </c>
      <c r="J409" s="268"/>
      <c r="K409" s="271">
        <v>44263.4603125</v>
      </c>
      <c r="L409" s="271"/>
      <c r="M409" s="307" t="s">
        <v>3400</v>
      </c>
      <c r="N409" s="273">
        <v>44264.27638888889</v>
      </c>
      <c r="O409" s="275" t="s">
        <v>3401</v>
      </c>
      <c r="P409" s="275" t="s">
        <v>1463</v>
      </c>
      <c r="Q409" s="276" t="s">
        <v>1691</v>
      </c>
      <c r="R409" s="277">
        <v>44264.28309027778</v>
      </c>
      <c r="S409" s="278"/>
      <c r="T409" s="278" t="s">
        <v>3402</v>
      </c>
      <c r="U409" s="279"/>
      <c r="V409" s="279" t="s">
        <v>2030</v>
      </c>
      <c r="W409" s="280">
        <v>44268.0</v>
      </c>
      <c r="X409" s="281">
        <v>0.006944444444444444</v>
      </c>
      <c r="Y409" s="279" t="s">
        <v>1693</v>
      </c>
      <c r="Z409" s="282" t="s">
        <v>53</v>
      </c>
      <c r="AA409" s="282">
        <v>6339653.0</v>
      </c>
      <c r="AB409" s="283">
        <v>44266.0</v>
      </c>
      <c r="AC409" s="284"/>
      <c r="AD409" s="284"/>
    </row>
    <row r="410" ht="14.25" customHeight="1">
      <c r="A410" s="265">
        <v>44260.0</v>
      </c>
      <c r="B410" s="266" t="s">
        <v>2030</v>
      </c>
      <c r="C410" s="266" t="s">
        <v>1686</v>
      </c>
      <c r="D410" s="266" t="s">
        <v>1543</v>
      </c>
      <c r="E410" s="268"/>
      <c r="F410" s="269" t="s">
        <v>3403</v>
      </c>
      <c r="G410" s="268" t="s">
        <v>1463</v>
      </c>
      <c r="H410" s="270">
        <v>8.796296296296296E-4</v>
      </c>
      <c r="I410" s="271">
        <v>44263.45486111111</v>
      </c>
      <c r="J410" s="268"/>
      <c r="K410" s="271">
        <v>44263.46115740741</v>
      </c>
      <c r="L410" s="271"/>
      <c r="M410" s="278" t="s">
        <v>3404</v>
      </c>
      <c r="N410" s="290"/>
      <c r="O410" s="275"/>
      <c r="P410" s="275"/>
      <c r="Q410" s="276"/>
      <c r="R410" s="278"/>
      <c r="S410" s="278"/>
      <c r="T410" s="278"/>
      <c r="U410" s="279"/>
      <c r="V410" s="279" t="s">
        <v>2030</v>
      </c>
      <c r="W410" s="280">
        <v>44264.0</v>
      </c>
      <c r="X410" s="281">
        <v>0.003472222222222222</v>
      </c>
      <c r="Y410" s="279" t="s">
        <v>1693</v>
      </c>
      <c r="Z410" s="282" t="s">
        <v>53</v>
      </c>
      <c r="AA410" s="282">
        <v>6339654.0</v>
      </c>
      <c r="AB410" s="283">
        <v>44266.0</v>
      </c>
      <c r="AC410" s="284"/>
      <c r="AD410" s="284"/>
    </row>
    <row r="411" ht="14.25" customHeight="1">
      <c r="A411" s="265">
        <v>44260.0</v>
      </c>
      <c r="B411" s="266" t="s">
        <v>2030</v>
      </c>
      <c r="C411" s="266" t="s">
        <v>1686</v>
      </c>
      <c r="D411" s="266" t="s">
        <v>1543</v>
      </c>
      <c r="E411" s="268"/>
      <c r="F411" s="269" t="s">
        <v>3405</v>
      </c>
      <c r="G411" s="268" t="s">
        <v>1463</v>
      </c>
      <c r="H411" s="270">
        <v>2.199074074074074E-4</v>
      </c>
      <c r="I411" s="271">
        <v>44263.461805555555</v>
      </c>
      <c r="J411" s="268"/>
      <c r="K411" s="271">
        <v>44263.46556712963</v>
      </c>
      <c r="L411" s="271"/>
      <c r="M411" s="278" t="s">
        <v>3406</v>
      </c>
      <c r="N411" s="290"/>
      <c r="O411" s="275"/>
      <c r="P411" s="275"/>
      <c r="Q411" s="276"/>
      <c r="R411" s="278"/>
      <c r="S411" s="278"/>
      <c r="T411" s="278"/>
      <c r="U411" s="279"/>
      <c r="V411" s="279" t="s">
        <v>2030</v>
      </c>
      <c r="W411" s="280">
        <v>44264.0</v>
      </c>
      <c r="X411" s="281">
        <v>0.004166666666666667</v>
      </c>
      <c r="Y411" s="279" t="s">
        <v>1693</v>
      </c>
      <c r="Z411" s="282" t="s">
        <v>53</v>
      </c>
      <c r="AA411" s="282">
        <v>6339655.0</v>
      </c>
      <c r="AB411" s="283">
        <v>44266.0</v>
      </c>
      <c r="AC411" s="284"/>
      <c r="AD411" s="284"/>
    </row>
    <row r="412" ht="14.25" customHeight="1">
      <c r="A412" s="265">
        <v>44260.0</v>
      </c>
      <c r="B412" s="266" t="s">
        <v>2030</v>
      </c>
      <c r="C412" s="266" t="s">
        <v>1686</v>
      </c>
      <c r="D412" s="266" t="s">
        <v>1543</v>
      </c>
      <c r="E412" s="268"/>
      <c r="F412" s="269" t="s">
        <v>3407</v>
      </c>
      <c r="G412" s="268" t="s">
        <v>1463</v>
      </c>
      <c r="H412" s="270">
        <v>2.777777777777778E-4</v>
      </c>
      <c r="I412" s="271">
        <v>44263.50208333333</v>
      </c>
      <c r="J412" s="268"/>
      <c r="K412" s="271">
        <v>44263.503842592596</v>
      </c>
      <c r="L412" s="271"/>
      <c r="M412" s="278" t="s">
        <v>3408</v>
      </c>
      <c r="N412" s="290"/>
      <c r="O412" s="275"/>
      <c r="P412" s="275"/>
      <c r="Q412" s="276"/>
      <c r="R412" s="278"/>
      <c r="S412" s="278"/>
      <c r="T412" s="278"/>
      <c r="U412" s="279"/>
      <c r="V412" s="279" t="s">
        <v>2030</v>
      </c>
      <c r="W412" s="280">
        <v>44264.0</v>
      </c>
      <c r="X412" s="281">
        <v>0.003472222222222222</v>
      </c>
      <c r="Y412" s="279" t="s">
        <v>1693</v>
      </c>
      <c r="Z412" s="282" t="s">
        <v>53</v>
      </c>
      <c r="AA412" s="282">
        <v>6339656.0</v>
      </c>
      <c r="AB412" s="283">
        <v>44266.0</v>
      </c>
      <c r="AC412" s="284"/>
      <c r="AD412" s="284"/>
    </row>
    <row r="413" ht="14.25" customHeight="1">
      <c r="A413" s="265">
        <v>44260.0</v>
      </c>
      <c r="B413" s="266" t="s">
        <v>2030</v>
      </c>
      <c r="C413" s="266" t="s">
        <v>1450</v>
      </c>
      <c r="D413" s="266" t="s">
        <v>1543</v>
      </c>
      <c r="E413" s="268"/>
      <c r="F413" s="269" t="s">
        <v>3409</v>
      </c>
      <c r="G413" s="268" t="s">
        <v>1463</v>
      </c>
      <c r="H413" s="270">
        <v>0.0013078703703703705</v>
      </c>
      <c r="I413" s="271">
        <v>44264.40347222222</v>
      </c>
      <c r="J413" s="268"/>
      <c r="K413" s="271">
        <v>44264.411215277774</v>
      </c>
      <c r="L413" s="271"/>
      <c r="M413" s="278" t="s">
        <v>3410</v>
      </c>
      <c r="N413" s="290"/>
      <c r="O413" s="275"/>
      <c r="P413" s="275"/>
      <c r="Q413" s="276"/>
      <c r="R413" s="278"/>
      <c r="S413" s="278"/>
      <c r="T413" s="278"/>
      <c r="U413" s="279"/>
      <c r="V413" s="279" t="s">
        <v>2030</v>
      </c>
      <c r="W413" s="280">
        <v>44270.0</v>
      </c>
      <c r="X413" s="281">
        <v>0.003472222222222222</v>
      </c>
      <c r="Y413" s="279" t="s">
        <v>1693</v>
      </c>
      <c r="Z413" s="282" t="s">
        <v>53</v>
      </c>
      <c r="AA413" s="282">
        <v>6339657.0</v>
      </c>
      <c r="AB413" s="283">
        <v>44266.0</v>
      </c>
      <c r="AC413" s="284"/>
      <c r="AD413" s="284"/>
    </row>
    <row r="414" ht="14.25" customHeight="1">
      <c r="A414" s="265">
        <v>44260.0</v>
      </c>
      <c r="B414" s="266" t="s">
        <v>2030</v>
      </c>
      <c r="C414" s="266" t="s">
        <v>1450</v>
      </c>
      <c r="D414" s="266" t="s">
        <v>1543</v>
      </c>
      <c r="E414" s="268"/>
      <c r="F414" s="369" t="s">
        <v>3411</v>
      </c>
      <c r="G414" s="268" t="s">
        <v>1463</v>
      </c>
      <c r="H414" s="270">
        <v>0.002939814814814815</v>
      </c>
      <c r="I414" s="271">
        <v>44265.475</v>
      </c>
      <c r="J414" s="268"/>
      <c r="K414" s="271">
        <v>44265.47767361111</v>
      </c>
      <c r="L414" s="271"/>
      <c r="M414" s="278" t="s">
        <v>3412</v>
      </c>
      <c r="N414" s="290"/>
      <c r="O414" s="275"/>
      <c r="P414" s="275"/>
      <c r="Q414" s="276"/>
      <c r="R414" s="278"/>
      <c r="S414" s="278"/>
      <c r="T414" s="278"/>
      <c r="U414" s="279"/>
      <c r="V414" s="279" t="s">
        <v>2030</v>
      </c>
      <c r="W414" s="280">
        <v>44270.0</v>
      </c>
      <c r="X414" s="281">
        <v>0.010416666666666666</v>
      </c>
      <c r="Y414" s="279" t="s">
        <v>1693</v>
      </c>
      <c r="Z414" s="282" t="s">
        <v>53</v>
      </c>
      <c r="AA414" s="282">
        <v>6339658.0</v>
      </c>
      <c r="AB414" s="283">
        <v>44266.0</v>
      </c>
      <c r="AC414" s="284"/>
      <c r="AD414" s="284"/>
    </row>
    <row r="415" ht="14.25" customHeight="1">
      <c r="A415" s="265">
        <v>44260.0</v>
      </c>
      <c r="B415" s="266" t="s">
        <v>1772</v>
      </c>
      <c r="C415" s="266"/>
      <c r="D415" s="266" t="s">
        <v>1450</v>
      </c>
      <c r="E415" s="268"/>
      <c r="F415" s="358" t="s">
        <v>3413</v>
      </c>
      <c r="G415" s="268" t="s">
        <v>2085</v>
      </c>
      <c r="H415" s="270">
        <v>0.09819444444444443</v>
      </c>
      <c r="I415" s="271">
        <v>44260.666666666664</v>
      </c>
      <c r="J415" s="268"/>
      <c r="K415" s="271">
        <v>44260.83162037037</v>
      </c>
      <c r="L415" s="271"/>
      <c r="M415" s="359" t="s">
        <v>2524</v>
      </c>
      <c r="N415" s="290"/>
      <c r="O415" s="275"/>
      <c r="P415" s="275"/>
      <c r="Q415" s="276"/>
      <c r="R415" s="268"/>
      <c r="S415" s="278"/>
      <c r="T415" s="278"/>
      <c r="U415" s="279"/>
      <c r="V415" s="279" t="s">
        <v>1685</v>
      </c>
      <c r="W415" s="280">
        <v>44263.0</v>
      </c>
      <c r="X415" s="281">
        <v>0.2847222222222222</v>
      </c>
      <c r="Y415" s="279" t="s">
        <v>1693</v>
      </c>
      <c r="Z415" s="282" t="s">
        <v>1570</v>
      </c>
      <c r="AA415" s="282" t="s">
        <v>3413</v>
      </c>
      <c r="AB415" s="283">
        <v>44260.0</v>
      </c>
      <c r="AC415" s="284"/>
      <c r="AD415" s="284"/>
    </row>
    <row r="416" ht="14.25" customHeight="1">
      <c r="A416" s="265">
        <v>44260.0</v>
      </c>
      <c r="B416" s="266" t="s">
        <v>1783</v>
      </c>
      <c r="C416" s="266"/>
      <c r="D416" s="266" t="s">
        <v>1452</v>
      </c>
      <c r="E416" s="268"/>
      <c r="F416" s="358" t="s">
        <v>3414</v>
      </c>
      <c r="G416" s="268" t="s">
        <v>2085</v>
      </c>
      <c r="H416" s="270">
        <v>0.007337962962962963</v>
      </c>
      <c r="I416" s="271">
        <v>44260.58611111111</v>
      </c>
      <c r="J416" s="268"/>
      <c r="K416" s="271">
        <v>44260.596041666664</v>
      </c>
      <c r="L416" s="271"/>
      <c r="M416" s="359" t="s">
        <v>2524</v>
      </c>
      <c r="N416" s="290"/>
      <c r="O416" s="275"/>
      <c r="P416" s="275"/>
      <c r="Q416" s="276"/>
      <c r="R416" s="268"/>
      <c r="S416" s="278"/>
      <c r="T416" s="278"/>
      <c r="U416" s="279"/>
      <c r="V416" s="279" t="s">
        <v>1783</v>
      </c>
      <c r="W416" s="280">
        <v>44260.0</v>
      </c>
      <c r="X416" s="281">
        <v>0.027777777777777776</v>
      </c>
      <c r="Y416" s="279" t="s">
        <v>1693</v>
      </c>
      <c r="Z416" s="282" t="s">
        <v>1570</v>
      </c>
      <c r="AA416" s="282" t="s">
        <v>3414</v>
      </c>
      <c r="AB416" s="283">
        <v>44260.0</v>
      </c>
      <c r="AC416" s="284"/>
      <c r="AD416" s="284"/>
    </row>
    <row r="417" ht="14.25" customHeight="1">
      <c r="A417" s="265">
        <v>44260.0</v>
      </c>
      <c r="B417" s="266" t="s">
        <v>1824</v>
      </c>
      <c r="C417" s="266"/>
      <c r="D417" s="266" t="s">
        <v>1686</v>
      </c>
      <c r="E417" s="268"/>
      <c r="F417" s="358" t="s">
        <v>3415</v>
      </c>
      <c r="G417" s="268" t="s">
        <v>2085</v>
      </c>
      <c r="H417" s="270">
        <v>0.04023148148148148</v>
      </c>
      <c r="I417" s="271">
        <v>44260.666666666664</v>
      </c>
      <c r="J417" s="268"/>
      <c r="K417" s="348">
        <v>44260.74118055555</v>
      </c>
      <c r="L417" s="271"/>
      <c r="M417" s="359" t="s">
        <v>2524</v>
      </c>
      <c r="N417" s="290"/>
      <c r="O417" s="275"/>
      <c r="P417" s="275"/>
      <c r="Q417" s="276"/>
      <c r="R417" s="268"/>
      <c r="S417" s="278"/>
      <c r="T417" s="278"/>
      <c r="U417" s="279"/>
      <c r="V417" s="279" t="s">
        <v>1746</v>
      </c>
      <c r="W417" s="280">
        <v>44263.0</v>
      </c>
      <c r="X417" s="281">
        <v>0.22916666666666666</v>
      </c>
      <c r="Y417" s="279" t="s">
        <v>1693</v>
      </c>
      <c r="Z417" s="282" t="s">
        <v>1570</v>
      </c>
      <c r="AA417" s="282" t="s">
        <v>3415</v>
      </c>
      <c r="AB417" s="283">
        <v>44260.0</v>
      </c>
      <c r="AC417" s="284"/>
      <c r="AD417" s="284"/>
    </row>
    <row r="418" ht="14.25" customHeight="1">
      <c r="A418" s="265">
        <v>44260.0</v>
      </c>
      <c r="B418" s="266" t="s">
        <v>1500</v>
      </c>
      <c r="C418" s="266"/>
      <c r="D418" s="266" t="s">
        <v>1455</v>
      </c>
      <c r="E418" s="268"/>
      <c r="F418" s="358" t="s">
        <v>3416</v>
      </c>
      <c r="G418" s="268" t="s">
        <v>2085</v>
      </c>
      <c r="H418" s="270">
        <v>0.02153935185185185</v>
      </c>
      <c r="I418" s="271">
        <v>44260.87222222222</v>
      </c>
      <c r="J418" s="268"/>
      <c r="K418" s="271">
        <v>44262.03471064815</v>
      </c>
      <c r="L418" s="271"/>
      <c r="M418" s="359" t="s">
        <v>2524</v>
      </c>
      <c r="N418" s="290"/>
      <c r="O418" s="275"/>
      <c r="P418" s="275"/>
      <c r="Q418" s="276"/>
      <c r="R418" s="268"/>
      <c r="S418" s="278"/>
      <c r="T418" s="278"/>
      <c r="U418" s="279"/>
      <c r="V418" s="279" t="s">
        <v>1824</v>
      </c>
      <c r="W418" s="280">
        <v>44264.0</v>
      </c>
      <c r="X418" s="281">
        <v>0.11819444444444445</v>
      </c>
      <c r="Y418" s="279" t="s">
        <v>1693</v>
      </c>
      <c r="Z418" s="282" t="s">
        <v>1570</v>
      </c>
      <c r="AA418" s="282" t="s">
        <v>3416</v>
      </c>
      <c r="AB418" s="283">
        <v>44260.0</v>
      </c>
      <c r="AC418" s="284"/>
      <c r="AD418" s="284"/>
    </row>
    <row r="419" ht="14.25" customHeight="1">
      <c r="A419" s="265">
        <v>44261.0</v>
      </c>
      <c r="B419" s="266" t="s">
        <v>2030</v>
      </c>
      <c r="C419" s="266" t="s">
        <v>1686</v>
      </c>
      <c r="D419" s="266" t="s">
        <v>1543</v>
      </c>
      <c r="E419" s="268"/>
      <c r="F419" s="269" t="s">
        <v>3417</v>
      </c>
      <c r="G419" s="268" t="s">
        <v>1463</v>
      </c>
      <c r="H419" s="270">
        <v>4.976851851851852E-4</v>
      </c>
      <c r="I419" s="271">
        <v>44263.430555555555</v>
      </c>
      <c r="J419" s="268"/>
      <c r="K419" s="271">
        <v>44263.43444444444</v>
      </c>
      <c r="L419" s="271"/>
      <c r="M419" s="278" t="s">
        <v>3418</v>
      </c>
      <c r="N419" s="290"/>
      <c r="O419" s="275"/>
      <c r="P419" s="275"/>
      <c r="Q419" s="276"/>
      <c r="R419" s="278"/>
      <c r="S419" s="278"/>
      <c r="T419" s="278"/>
      <c r="U419" s="279"/>
      <c r="V419" s="279" t="s">
        <v>2030</v>
      </c>
      <c r="W419" s="280">
        <v>44264.0</v>
      </c>
      <c r="X419" s="281">
        <v>0.005555555555555556</v>
      </c>
      <c r="Y419" s="279" t="s">
        <v>1693</v>
      </c>
      <c r="Z419" s="282" t="s">
        <v>53</v>
      </c>
      <c r="AA419" s="282">
        <v>6339659.0</v>
      </c>
      <c r="AB419" s="283">
        <v>44266.0</v>
      </c>
      <c r="AC419" s="284"/>
      <c r="AD419" s="284"/>
    </row>
    <row r="420" ht="14.25" customHeight="1">
      <c r="A420" s="265">
        <v>44261.0</v>
      </c>
      <c r="B420" s="266" t="s">
        <v>2030</v>
      </c>
      <c r="C420" s="266" t="s">
        <v>1686</v>
      </c>
      <c r="D420" s="266" t="s">
        <v>1543</v>
      </c>
      <c r="E420" s="268"/>
      <c r="F420" s="269" t="s">
        <v>3419</v>
      </c>
      <c r="G420" s="268" t="s">
        <v>1463</v>
      </c>
      <c r="H420" s="270">
        <v>6.25E-4</v>
      </c>
      <c r="I420" s="271">
        <v>44265.368055555555</v>
      </c>
      <c r="J420" s="268"/>
      <c r="K420" s="271">
        <v>44265.37087962963</v>
      </c>
      <c r="L420" s="271"/>
      <c r="M420" s="278" t="s">
        <v>3420</v>
      </c>
      <c r="N420" s="290"/>
      <c r="O420" s="275"/>
      <c r="P420" s="275"/>
      <c r="Q420" s="276"/>
      <c r="R420" s="278"/>
      <c r="S420" s="278"/>
      <c r="T420" s="278"/>
      <c r="U420" s="279"/>
      <c r="V420" s="279" t="s">
        <v>2030</v>
      </c>
      <c r="W420" s="280">
        <v>44270.0</v>
      </c>
      <c r="X420" s="281">
        <v>0.003472222222222222</v>
      </c>
      <c r="Y420" s="279" t="s">
        <v>1693</v>
      </c>
      <c r="Z420" s="282" t="s">
        <v>53</v>
      </c>
      <c r="AA420" s="282">
        <v>6339660.0</v>
      </c>
      <c r="AB420" s="283">
        <v>44266.0</v>
      </c>
      <c r="AC420" s="284"/>
      <c r="AD420" s="284"/>
    </row>
    <row r="421" ht="14.25" customHeight="1">
      <c r="A421" s="265">
        <v>44261.0</v>
      </c>
      <c r="B421" s="266" t="s">
        <v>2030</v>
      </c>
      <c r="C421" s="266" t="s">
        <v>1696</v>
      </c>
      <c r="D421" s="266" t="s">
        <v>1543</v>
      </c>
      <c r="E421" s="268"/>
      <c r="F421" s="269" t="s">
        <v>3421</v>
      </c>
      <c r="G421" s="268" t="s">
        <v>1463</v>
      </c>
      <c r="H421" s="270">
        <v>0.001412037037037037</v>
      </c>
      <c r="I421" s="271">
        <v>44265.46319444444</v>
      </c>
      <c r="J421" s="268"/>
      <c r="K421" s="271">
        <v>44265.46810185185</v>
      </c>
      <c r="L421" s="271"/>
      <c r="M421" s="278" t="s">
        <v>3422</v>
      </c>
      <c r="N421" s="290"/>
      <c r="O421" s="275"/>
      <c r="P421" s="275"/>
      <c r="Q421" s="276"/>
      <c r="R421" s="278"/>
      <c r="S421" s="278"/>
      <c r="T421" s="278"/>
      <c r="U421" s="279"/>
      <c r="V421" s="279" t="s">
        <v>2030</v>
      </c>
      <c r="W421" s="280">
        <v>44270.0</v>
      </c>
      <c r="X421" s="281">
        <v>0.006944444444444444</v>
      </c>
      <c r="Y421" s="279" t="s">
        <v>1693</v>
      </c>
      <c r="Z421" s="282" t="s">
        <v>53</v>
      </c>
      <c r="AA421" s="282">
        <v>6339661.0</v>
      </c>
      <c r="AB421" s="283">
        <v>44266.0</v>
      </c>
      <c r="AC421" s="284"/>
      <c r="AD421" s="284"/>
    </row>
    <row r="422" ht="14.25" customHeight="1">
      <c r="A422" s="265">
        <v>44261.0</v>
      </c>
      <c r="B422" s="266" t="s">
        <v>2030</v>
      </c>
      <c r="C422" s="266" t="s">
        <v>2083</v>
      </c>
      <c r="D422" s="266" t="s">
        <v>1543</v>
      </c>
      <c r="E422" s="268"/>
      <c r="F422" s="269" t="s">
        <v>3423</v>
      </c>
      <c r="G422" s="268" t="s">
        <v>1463</v>
      </c>
      <c r="H422" s="270">
        <v>0.0018171296296296297</v>
      </c>
      <c r="I422" s="271">
        <v>44265.49375</v>
      </c>
      <c r="J422" s="268"/>
      <c r="K422" s="271">
        <v>44265.49797453704</v>
      </c>
      <c r="L422" s="271"/>
      <c r="M422" s="278" t="s">
        <v>3424</v>
      </c>
      <c r="N422" s="290"/>
      <c r="O422" s="275"/>
      <c r="P422" s="275"/>
      <c r="Q422" s="276"/>
      <c r="R422" s="278"/>
      <c r="S422" s="278"/>
      <c r="T422" s="278"/>
      <c r="U422" s="279"/>
      <c r="V422" s="279" t="s">
        <v>1570</v>
      </c>
      <c r="W422" s="280">
        <v>44286.0</v>
      </c>
      <c r="X422" s="281">
        <v>0.006944444444444444</v>
      </c>
      <c r="Y422" s="279" t="s">
        <v>1693</v>
      </c>
      <c r="Z422" s="282" t="s">
        <v>1570</v>
      </c>
      <c r="AA422" s="282">
        <v>6341381.0</v>
      </c>
      <c r="AB422" s="283">
        <v>44270.0</v>
      </c>
      <c r="AC422" s="284"/>
      <c r="AD422" s="284"/>
    </row>
    <row r="423" ht="14.25" customHeight="1">
      <c r="A423" s="265">
        <v>44261.0</v>
      </c>
      <c r="B423" s="266" t="s">
        <v>1500</v>
      </c>
      <c r="C423" s="266"/>
      <c r="D423" s="266" t="s">
        <v>1686</v>
      </c>
      <c r="E423" s="268"/>
      <c r="F423" s="358" t="s">
        <v>3425</v>
      </c>
      <c r="G423" s="268" t="s">
        <v>2085</v>
      </c>
      <c r="H423" s="270">
        <v>0.03945601851851852</v>
      </c>
      <c r="I423" s="271">
        <v>44262.82638888889</v>
      </c>
      <c r="J423" s="268"/>
      <c r="K423" s="271">
        <v>44263.1953125</v>
      </c>
      <c r="L423" s="271"/>
      <c r="M423" s="359" t="s">
        <v>2524</v>
      </c>
      <c r="N423" s="290"/>
      <c r="O423" s="275"/>
      <c r="P423" s="275"/>
      <c r="Q423" s="276"/>
      <c r="R423" s="268"/>
      <c r="S423" s="278"/>
      <c r="T423" s="278"/>
      <c r="U423" s="279"/>
      <c r="V423" s="279" t="s">
        <v>1746</v>
      </c>
      <c r="W423" s="280">
        <v>44264.0</v>
      </c>
      <c r="X423" s="281">
        <v>0.1875</v>
      </c>
      <c r="Y423" s="279" t="s">
        <v>1693</v>
      </c>
      <c r="Z423" s="282" t="s">
        <v>53</v>
      </c>
      <c r="AA423" s="282" t="s">
        <v>3425</v>
      </c>
      <c r="AB423" s="283">
        <v>44263.0</v>
      </c>
      <c r="AC423" s="284"/>
      <c r="AD423" s="284"/>
    </row>
    <row r="424" ht="14.25" customHeight="1">
      <c r="A424" s="265">
        <v>44261.0</v>
      </c>
      <c r="B424" s="266" t="s">
        <v>1500</v>
      </c>
      <c r="C424" s="266"/>
      <c r="D424" s="266" t="s">
        <v>1455</v>
      </c>
      <c r="E424" s="268"/>
      <c r="F424" s="358" t="s">
        <v>3426</v>
      </c>
      <c r="G424" s="268" t="s">
        <v>2085</v>
      </c>
      <c r="H424" s="270">
        <v>0.018298611111111113</v>
      </c>
      <c r="I424" s="271">
        <v>44262.82638888889</v>
      </c>
      <c r="J424" s="268"/>
      <c r="K424" s="271">
        <v>44263.581238425926</v>
      </c>
      <c r="L424" s="271"/>
      <c r="M424" s="359" t="s">
        <v>2524</v>
      </c>
      <c r="N424" s="290"/>
      <c r="O424" s="275"/>
      <c r="P424" s="275"/>
      <c r="Q424" s="276"/>
      <c r="R424" s="268"/>
      <c r="S424" s="278"/>
      <c r="T424" s="278"/>
      <c r="U424" s="279"/>
      <c r="V424" s="279" t="s">
        <v>1824</v>
      </c>
      <c r="W424" s="280">
        <v>44265.0</v>
      </c>
      <c r="X424" s="281">
        <v>0.1192824074074074</v>
      </c>
      <c r="Y424" s="279" t="s">
        <v>1693</v>
      </c>
      <c r="Z424" s="282" t="s">
        <v>1570</v>
      </c>
      <c r="AA424" s="282" t="s">
        <v>3426</v>
      </c>
      <c r="AB424" s="283">
        <v>44263.0</v>
      </c>
      <c r="AC424" s="284"/>
      <c r="AD424" s="284"/>
    </row>
    <row r="425" ht="14.25" customHeight="1">
      <c r="A425" s="265">
        <v>44262.0</v>
      </c>
      <c r="B425" s="266" t="s">
        <v>2030</v>
      </c>
      <c r="C425" s="266" t="s">
        <v>1686</v>
      </c>
      <c r="D425" s="266" t="s">
        <v>1543</v>
      </c>
      <c r="E425" s="268"/>
      <c r="F425" s="269" t="s">
        <v>3427</v>
      </c>
      <c r="G425" s="268" t="s">
        <v>1463</v>
      </c>
      <c r="H425" s="270">
        <v>0.0012152777777777778</v>
      </c>
      <c r="I425" s="271">
        <v>44265.39861111111</v>
      </c>
      <c r="J425" s="268"/>
      <c r="K425" s="348">
        <v>44265.40574074074</v>
      </c>
      <c r="L425" s="271"/>
      <c r="M425" s="272" t="s">
        <v>3428</v>
      </c>
      <c r="N425" s="273"/>
      <c r="O425" s="391"/>
      <c r="P425" s="275"/>
      <c r="Q425" s="276"/>
      <c r="R425" s="277"/>
      <c r="S425" s="278"/>
      <c r="T425" s="278"/>
      <c r="U425" s="279"/>
      <c r="V425" s="279" t="s">
        <v>2030</v>
      </c>
      <c r="W425" s="280">
        <v>44270.0</v>
      </c>
      <c r="X425" s="281">
        <v>0.006944444444444444</v>
      </c>
      <c r="Y425" s="279" t="s">
        <v>1693</v>
      </c>
      <c r="Z425" s="282" t="s">
        <v>53</v>
      </c>
      <c r="AA425" s="282">
        <v>6339662.0</v>
      </c>
      <c r="AB425" s="283">
        <v>44266.0</v>
      </c>
      <c r="AC425" s="284"/>
      <c r="AD425" s="284"/>
    </row>
    <row r="426" ht="14.25" customHeight="1">
      <c r="A426" s="265">
        <v>44262.0</v>
      </c>
      <c r="B426" s="266" t="s">
        <v>2030</v>
      </c>
      <c r="C426" s="266" t="s">
        <v>1686</v>
      </c>
      <c r="D426" s="266" t="s">
        <v>1543</v>
      </c>
      <c r="E426" s="268"/>
      <c r="F426" s="269" t="s">
        <v>3429</v>
      </c>
      <c r="G426" s="268" t="s">
        <v>1463</v>
      </c>
      <c r="H426" s="270">
        <v>0.0016550925925925926</v>
      </c>
      <c r="I426" s="271">
        <v>44265.413194444445</v>
      </c>
      <c r="J426" s="268"/>
      <c r="K426" s="348">
        <v>44265.44347222222</v>
      </c>
      <c r="L426" s="271"/>
      <c r="M426" s="272" t="s">
        <v>3430</v>
      </c>
      <c r="N426" s="273"/>
      <c r="O426" s="391"/>
      <c r="P426" s="275"/>
      <c r="Q426" s="276"/>
      <c r="R426" s="277"/>
      <c r="S426" s="278"/>
      <c r="T426" s="278"/>
      <c r="U426" s="279"/>
      <c r="V426" s="279" t="s">
        <v>2030</v>
      </c>
      <c r="W426" s="280">
        <v>44270.0</v>
      </c>
      <c r="X426" s="281" t="s">
        <v>3431</v>
      </c>
      <c r="Y426" s="279" t="s">
        <v>1693</v>
      </c>
      <c r="Z426" s="282" t="s">
        <v>53</v>
      </c>
      <c r="AA426" s="282">
        <v>6339663.0</v>
      </c>
      <c r="AB426" s="283">
        <v>44266.0</v>
      </c>
      <c r="AC426" s="284"/>
      <c r="AD426" s="284"/>
    </row>
    <row r="427" ht="14.25" customHeight="1">
      <c r="A427" s="265">
        <v>44262.0</v>
      </c>
      <c r="B427" s="266" t="s">
        <v>2030</v>
      </c>
      <c r="C427" s="266" t="s">
        <v>1686</v>
      </c>
      <c r="D427" s="266" t="s">
        <v>1543</v>
      </c>
      <c r="E427" s="268"/>
      <c r="F427" s="269" t="s">
        <v>3432</v>
      </c>
      <c r="G427" s="268" t="s">
        <v>1463</v>
      </c>
      <c r="H427" s="270">
        <v>7.291666666666667E-4</v>
      </c>
      <c r="I427" s="271">
        <v>44265.44305555556</v>
      </c>
      <c r="J427" s="268"/>
      <c r="K427" s="348">
        <v>44265.447604166664</v>
      </c>
      <c r="L427" s="271"/>
      <c r="M427" s="272" t="s">
        <v>3433</v>
      </c>
      <c r="N427" s="273"/>
      <c r="O427" s="391"/>
      <c r="P427" s="275"/>
      <c r="Q427" s="276"/>
      <c r="R427" s="277"/>
      <c r="S427" s="278"/>
      <c r="T427" s="278"/>
      <c r="U427" s="279"/>
      <c r="V427" s="279" t="s">
        <v>2030</v>
      </c>
      <c r="W427" s="280">
        <v>44270.0</v>
      </c>
      <c r="X427" s="281">
        <v>0.006944444444444444</v>
      </c>
      <c r="Y427" s="279" t="s">
        <v>1693</v>
      </c>
      <c r="Z427" s="282" t="s">
        <v>53</v>
      </c>
      <c r="AA427" s="282">
        <v>6339664.0</v>
      </c>
      <c r="AB427" s="283">
        <v>44266.0</v>
      </c>
      <c r="AC427" s="284"/>
      <c r="AD427" s="284"/>
    </row>
    <row r="428" ht="14.25" customHeight="1">
      <c r="A428" s="265">
        <v>44262.0</v>
      </c>
      <c r="B428" s="266" t="s">
        <v>2030</v>
      </c>
      <c r="C428" s="266" t="s">
        <v>2505</v>
      </c>
      <c r="D428" s="266" t="s">
        <v>1543</v>
      </c>
      <c r="E428" s="268"/>
      <c r="F428" s="269" t="s">
        <v>3434</v>
      </c>
      <c r="G428" s="268" t="s">
        <v>1463</v>
      </c>
      <c r="H428" s="270">
        <v>0.0010763888888888889</v>
      </c>
      <c r="I428" s="271">
        <v>44265.53402777778</v>
      </c>
      <c r="J428" s="268"/>
      <c r="K428" s="348">
        <v>44265.53674768518</v>
      </c>
      <c r="L428" s="271"/>
      <c r="M428" s="272" t="s">
        <v>3435</v>
      </c>
      <c r="N428" s="273"/>
      <c r="O428" s="391"/>
      <c r="P428" s="275"/>
      <c r="Q428" s="276"/>
      <c r="R428" s="277"/>
      <c r="S428" s="278"/>
      <c r="T428" s="278"/>
      <c r="U428" s="279"/>
      <c r="V428" s="279" t="s">
        <v>1570</v>
      </c>
      <c r="W428" s="280">
        <v>44286.0</v>
      </c>
      <c r="X428" s="281">
        <v>0.006944444444444444</v>
      </c>
      <c r="Y428" s="279" t="s">
        <v>1693</v>
      </c>
      <c r="Z428" s="282" t="s">
        <v>53</v>
      </c>
      <c r="AA428" s="282">
        <v>6339676.0</v>
      </c>
      <c r="AB428" s="283">
        <v>44266.0</v>
      </c>
      <c r="AC428" s="284"/>
      <c r="AD428" s="284"/>
    </row>
    <row r="429" ht="14.25" customHeight="1">
      <c r="A429" s="265">
        <v>44262.0</v>
      </c>
      <c r="B429" s="266" t="s">
        <v>2030</v>
      </c>
      <c r="C429" s="266" t="s">
        <v>2179</v>
      </c>
      <c r="D429" s="266" t="s">
        <v>1543</v>
      </c>
      <c r="E429" s="268"/>
      <c r="F429" s="269" t="s">
        <v>3436</v>
      </c>
      <c r="G429" s="268" t="s">
        <v>1463</v>
      </c>
      <c r="H429" s="270">
        <v>0.0018402777777777777</v>
      </c>
      <c r="I429" s="271">
        <v>44266.31527777778</v>
      </c>
      <c r="J429" s="268"/>
      <c r="K429" s="348">
        <v>44266.31979166667</v>
      </c>
      <c r="L429" s="271"/>
      <c r="M429" s="272" t="s">
        <v>3437</v>
      </c>
      <c r="N429" s="273"/>
      <c r="O429" s="391"/>
      <c r="P429" s="275"/>
      <c r="Q429" s="276"/>
      <c r="R429" s="277"/>
      <c r="S429" s="278"/>
      <c r="T429" s="278"/>
      <c r="U429" s="279"/>
      <c r="V429" s="279" t="s">
        <v>1570</v>
      </c>
      <c r="W429" s="280">
        <v>44286.0</v>
      </c>
      <c r="X429" s="281">
        <v>0.006944444444444444</v>
      </c>
      <c r="Y429" s="279" t="s">
        <v>1693</v>
      </c>
      <c r="Z429" s="282" t="s">
        <v>53</v>
      </c>
      <c r="AA429" s="282">
        <v>6339677.0</v>
      </c>
      <c r="AB429" s="283">
        <v>44266.0</v>
      </c>
      <c r="AC429" s="284"/>
      <c r="AD429" s="284"/>
    </row>
    <row r="430" ht="14.25" customHeight="1">
      <c r="A430" s="265">
        <v>44262.0</v>
      </c>
      <c r="B430" s="266" t="s">
        <v>1783</v>
      </c>
      <c r="C430" s="266"/>
      <c r="D430" s="266" t="s">
        <v>1457</v>
      </c>
      <c r="E430" s="268"/>
      <c r="F430" s="358" t="s">
        <v>3438</v>
      </c>
      <c r="G430" s="268" t="s">
        <v>2085</v>
      </c>
      <c r="H430" s="270">
        <v>0.017627314814814814</v>
      </c>
      <c r="I430" s="271">
        <v>44263.35</v>
      </c>
      <c r="J430" s="268"/>
      <c r="K430" s="271">
        <v>44263.36666666667</v>
      </c>
      <c r="L430" s="271"/>
      <c r="M430" s="359" t="s">
        <v>2524</v>
      </c>
      <c r="N430" s="290"/>
      <c r="O430" s="275"/>
      <c r="P430" s="275"/>
      <c r="Q430" s="276"/>
      <c r="R430" s="268"/>
      <c r="S430" s="278"/>
      <c r="T430" s="278"/>
      <c r="U430" s="279"/>
      <c r="V430" s="279" t="s">
        <v>1783</v>
      </c>
      <c r="W430" s="280">
        <v>44263.0</v>
      </c>
      <c r="X430" s="281">
        <v>0.027777777777777776</v>
      </c>
      <c r="Y430" s="279" t="s">
        <v>1693</v>
      </c>
      <c r="Z430" s="282" t="s">
        <v>53</v>
      </c>
      <c r="AA430" s="282" t="s">
        <v>3438</v>
      </c>
      <c r="AB430" s="283">
        <v>44263.0</v>
      </c>
      <c r="AC430" s="284"/>
      <c r="AD430" s="284"/>
    </row>
    <row r="431" ht="14.25" customHeight="1">
      <c r="A431" s="265">
        <v>44262.0</v>
      </c>
      <c r="B431" s="266" t="s">
        <v>1733</v>
      </c>
      <c r="C431" s="266"/>
      <c r="D431" s="266" t="s">
        <v>2829</v>
      </c>
      <c r="E431" s="268"/>
      <c r="F431" s="358" t="s">
        <v>3439</v>
      </c>
      <c r="G431" s="268" t="s">
        <v>2085</v>
      </c>
      <c r="H431" s="270">
        <v>0.018530092592592595</v>
      </c>
      <c r="I431" s="271">
        <v>44263.77916666667</v>
      </c>
      <c r="J431" s="268"/>
      <c r="K431" s="348"/>
      <c r="L431" s="271"/>
      <c r="M431" s="307" t="s">
        <v>2808</v>
      </c>
      <c r="N431" s="273">
        <v>44263.85555555556</v>
      </c>
      <c r="O431" s="391" t="s">
        <v>3440</v>
      </c>
      <c r="P431" s="275" t="s">
        <v>1463</v>
      </c>
      <c r="Q431" s="276" t="s">
        <v>1693</v>
      </c>
      <c r="R431" s="396">
        <v>44263.8765162037</v>
      </c>
      <c r="S431" s="278"/>
      <c r="T431" s="278"/>
      <c r="U431" s="279"/>
      <c r="V431" s="279"/>
      <c r="W431" s="280"/>
      <c r="X431" s="281"/>
      <c r="Y431" s="279"/>
      <c r="Z431" s="282" t="s">
        <v>1570</v>
      </c>
      <c r="AA431" s="282" t="s">
        <v>3439</v>
      </c>
      <c r="AB431" s="283">
        <v>44263.0</v>
      </c>
      <c r="AC431" s="284"/>
      <c r="AD431" s="284"/>
    </row>
    <row r="432" ht="14.25" customHeight="1">
      <c r="A432" s="265">
        <v>44263.0</v>
      </c>
      <c r="B432" s="266" t="s">
        <v>2030</v>
      </c>
      <c r="C432" s="266" t="s">
        <v>1686</v>
      </c>
      <c r="D432" s="266" t="s">
        <v>1543</v>
      </c>
      <c r="E432" s="268"/>
      <c r="F432" s="269" t="s">
        <v>3441</v>
      </c>
      <c r="G432" s="268" t="s">
        <v>1463</v>
      </c>
      <c r="H432" s="270">
        <v>8.449074074074075E-4</v>
      </c>
      <c r="I432" s="271">
        <v>44266.399305555555</v>
      </c>
      <c r="J432" s="268"/>
      <c r="K432" s="348">
        <v>44266.40200231481</v>
      </c>
      <c r="L432" s="271"/>
      <c r="M432" s="272" t="s">
        <v>3442</v>
      </c>
      <c r="N432" s="273"/>
      <c r="O432" s="275"/>
      <c r="P432" s="275"/>
      <c r="Q432" s="276"/>
      <c r="R432" s="277"/>
      <c r="S432" s="270"/>
      <c r="T432" s="272"/>
      <c r="U432" s="279"/>
      <c r="V432" s="279" t="s">
        <v>1570</v>
      </c>
      <c r="W432" s="280">
        <v>44286.0</v>
      </c>
      <c r="X432" s="281">
        <v>0.006944444444444444</v>
      </c>
      <c r="Y432" s="279" t="s">
        <v>1693</v>
      </c>
      <c r="Z432" s="282" t="s">
        <v>1570</v>
      </c>
      <c r="AA432" s="282">
        <v>6341373.0</v>
      </c>
      <c r="AB432" s="283">
        <v>44270.0</v>
      </c>
      <c r="AC432" s="284"/>
      <c r="AD432" s="284"/>
    </row>
    <row r="433" ht="14.25" customHeight="1">
      <c r="A433" s="265">
        <v>44263.0</v>
      </c>
      <c r="B433" s="266" t="s">
        <v>2030</v>
      </c>
      <c r="C433" s="266" t="s">
        <v>1455</v>
      </c>
      <c r="D433" s="266" t="s">
        <v>1543</v>
      </c>
      <c r="E433" s="268"/>
      <c r="F433" s="269" t="s">
        <v>3443</v>
      </c>
      <c r="G433" s="268" t="s">
        <v>1463</v>
      </c>
      <c r="H433" s="270">
        <v>7.060185185185185E-4</v>
      </c>
      <c r="I433" s="271">
        <v>44266.41527777778</v>
      </c>
      <c r="J433" s="268"/>
      <c r="K433" s="348">
        <v>44266.41678240741</v>
      </c>
      <c r="L433" s="271"/>
      <c r="M433" s="272" t="s">
        <v>3444</v>
      </c>
      <c r="N433" s="273"/>
      <c r="O433" s="275"/>
      <c r="P433" s="275"/>
      <c r="Q433" s="276"/>
      <c r="R433" s="277"/>
      <c r="S433" s="270"/>
      <c r="T433" s="272"/>
      <c r="U433" s="279"/>
      <c r="V433" s="279" t="s">
        <v>1570</v>
      </c>
      <c r="W433" s="280">
        <v>44286.0</v>
      </c>
      <c r="X433" s="281">
        <v>0.006944444444444444</v>
      </c>
      <c r="Y433" s="279" t="s">
        <v>1693</v>
      </c>
      <c r="Z433" s="282" t="s">
        <v>1570</v>
      </c>
      <c r="AA433" s="282">
        <v>6341374.0</v>
      </c>
      <c r="AB433" s="283">
        <v>44270.0</v>
      </c>
      <c r="AC433" s="284"/>
      <c r="AD433" s="284"/>
    </row>
    <row r="434" ht="14.25" customHeight="1">
      <c r="A434" s="265">
        <v>44263.0</v>
      </c>
      <c r="B434" s="266" t="s">
        <v>2030</v>
      </c>
      <c r="C434" s="266" t="s">
        <v>1450</v>
      </c>
      <c r="D434" s="266" t="s">
        <v>1543</v>
      </c>
      <c r="E434" s="268"/>
      <c r="F434" s="269" t="s">
        <v>3445</v>
      </c>
      <c r="G434" s="268" t="s">
        <v>1463</v>
      </c>
      <c r="H434" s="270">
        <v>4.050925925925926E-4</v>
      </c>
      <c r="I434" s="271">
        <v>44266.444444444445</v>
      </c>
      <c r="J434" s="268"/>
      <c r="K434" s="348">
        <v>44266.447280092594</v>
      </c>
      <c r="L434" s="271"/>
      <c r="M434" s="272" t="s">
        <v>3446</v>
      </c>
      <c r="N434" s="273"/>
      <c r="O434" s="275"/>
      <c r="P434" s="275"/>
      <c r="Q434" s="276"/>
      <c r="R434" s="277"/>
      <c r="S434" s="270"/>
      <c r="T434" s="272"/>
      <c r="U434" s="279"/>
      <c r="V434" s="279" t="s">
        <v>1570</v>
      </c>
      <c r="W434" s="280">
        <v>44286.0</v>
      </c>
      <c r="X434" s="281">
        <v>0.006944444444444444</v>
      </c>
      <c r="Y434" s="279" t="s">
        <v>1693</v>
      </c>
      <c r="Z434" s="282" t="s">
        <v>1570</v>
      </c>
      <c r="AA434" s="282">
        <v>6341375.0</v>
      </c>
      <c r="AB434" s="283">
        <v>44270.0</v>
      </c>
      <c r="AC434" s="284"/>
      <c r="AD434" s="284"/>
    </row>
    <row r="435" ht="14.25" customHeight="1">
      <c r="A435" s="265">
        <v>44263.0</v>
      </c>
      <c r="B435" s="266" t="s">
        <v>2030</v>
      </c>
      <c r="C435" s="266" t="s">
        <v>1450</v>
      </c>
      <c r="D435" s="266" t="s">
        <v>1543</v>
      </c>
      <c r="E435" s="268"/>
      <c r="F435" s="269" t="s">
        <v>3447</v>
      </c>
      <c r="G435" s="268" t="s">
        <v>1463</v>
      </c>
      <c r="H435" s="270">
        <v>3.125E-4</v>
      </c>
      <c r="I435" s="271">
        <v>44266.45208333333</v>
      </c>
      <c r="J435" s="268"/>
      <c r="K435" s="348">
        <v>44266.454097222224</v>
      </c>
      <c r="L435" s="271"/>
      <c r="M435" s="272" t="s">
        <v>3448</v>
      </c>
      <c r="N435" s="273"/>
      <c r="O435" s="275"/>
      <c r="P435" s="275"/>
      <c r="Q435" s="276"/>
      <c r="R435" s="277"/>
      <c r="S435" s="270"/>
      <c r="T435" s="272"/>
      <c r="U435" s="279"/>
      <c r="V435" s="308" t="s">
        <v>1570</v>
      </c>
      <c r="W435" s="280">
        <v>44286.0</v>
      </c>
      <c r="X435" s="281">
        <v>0.006944444444444444</v>
      </c>
      <c r="Y435" s="279" t="s">
        <v>1693</v>
      </c>
      <c r="Z435" s="282" t="s">
        <v>1570</v>
      </c>
      <c r="AA435" s="282">
        <v>6341376.0</v>
      </c>
      <c r="AB435" s="283">
        <v>44270.0</v>
      </c>
      <c r="AC435" s="284"/>
      <c r="AD435" s="284"/>
    </row>
    <row r="436" ht="14.25" customHeight="1">
      <c r="A436" s="265">
        <v>44263.0</v>
      </c>
      <c r="B436" s="266" t="s">
        <v>2030</v>
      </c>
      <c r="C436" s="266" t="s">
        <v>1450</v>
      </c>
      <c r="D436" s="266" t="s">
        <v>1543</v>
      </c>
      <c r="E436" s="268"/>
      <c r="F436" s="269" t="s">
        <v>3449</v>
      </c>
      <c r="G436" s="268" t="s">
        <v>1463</v>
      </c>
      <c r="H436" s="270" t="s">
        <v>3450</v>
      </c>
      <c r="I436" s="271">
        <v>44266.45694444444</v>
      </c>
      <c r="J436" s="268"/>
      <c r="K436" s="348">
        <v>44266.46126157408</v>
      </c>
      <c r="L436" s="271"/>
      <c r="M436" s="272" t="s">
        <v>3451</v>
      </c>
      <c r="N436" s="273"/>
      <c r="O436" s="275"/>
      <c r="P436" s="275"/>
      <c r="Q436" s="276"/>
      <c r="R436" s="277"/>
      <c r="S436" s="270"/>
      <c r="T436" s="272"/>
      <c r="U436" s="279"/>
      <c r="V436" s="279" t="s">
        <v>1570</v>
      </c>
      <c r="W436" s="280">
        <v>44286.0</v>
      </c>
      <c r="X436" s="281">
        <v>0.006944444444444444</v>
      </c>
      <c r="Y436" s="279" t="s">
        <v>1693</v>
      </c>
      <c r="Z436" s="282" t="s">
        <v>1570</v>
      </c>
      <c r="AA436" s="282">
        <v>6341377.0</v>
      </c>
      <c r="AB436" s="283">
        <v>44270.0</v>
      </c>
      <c r="AC436" s="284"/>
      <c r="AD436" s="284"/>
    </row>
    <row r="437" ht="14.25" customHeight="1">
      <c r="A437" s="265">
        <v>44263.0</v>
      </c>
      <c r="B437" s="266" t="s">
        <v>2030</v>
      </c>
      <c r="C437" s="266" t="s">
        <v>1450</v>
      </c>
      <c r="D437" s="266" t="s">
        <v>1543</v>
      </c>
      <c r="E437" s="268"/>
      <c r="F437" s="269" t="s">
        <v>3452</v>
      </c>
      <c r="G437" s="268" t="s">
        <v>1463</v>
      </c>
      <c r="H437" s="270">
        <v>0.0026041666666666665</v>
      </c>
      <c r="I437" s="271">
        <v>44266.48333333333</v>
      </c>
      <c r="J437" s="268"/>
      <c r="K437" s="348">
        <v>44266.488645833335</v>
      </c>
      <c r="L437" s="271"/>
      <c r="M437" s="272" t="s">
        <v>3453</v>
      </c>
      <c r="N437" s="273"/>
      <c r="O437" s="275"/>
      <c r="P437" s="275"/>
      <c r="Q437" s="276"/>
      <c r="R437" s="277"/>
      <c r="S437" s="270"/>
      <c r="T437" s="272"/>
      <c r="U437" s="279"/>
      <c r="V437" s="279" t="s">
        <v>1570</v>
      </c>
      <c r="W437" s="280">
        <v>44286.0</v>
      </c>
      <c r="X437" s="281">
        <v>0.006944444444444444</v>
      </c>
      <c r="Y437" s="279" t="s">
        <v>1693</v>
      </c>
      <c r="Z437" s="282" t="s">
        <v>1570</v>
      </c>
      <c r="AA437" s="282">
        <v>6341378.0</v>
      </c>
      <c r="AB437" s="283">
        <v>44270.0</v>
      </c>
      <c r="AC437" s="284"/>
      <c r="AD437" s="284"/>
    </row>
    <row r="438" ht="14.25" customHeight="1">
      <c r="A438" s="265">
        <v>44263.0</v>
      </c>
      <c r="B438" s="266" t="s">
        <v>2030</v>
      </c>
      <c r="C438" s="266" t="s">
        <v>1450</v>
      </c>
      <c r="D438" s="266" t="s">
        <v>1543</v>
      </c>
      <c r="E438" s="268"/>
      <c r="F438" s="269" t="s">
        <v>3454</v>
      </c>
      <c r="G438" s="268" t="s">
        <v>1463</v>
      </c>
      <c r="H438" s="270">
        <v>0.0012268518518518518</v>
      </c>
      <c r="I438" s="271">
        <v>44266.53402777778</v>
      </c>
      <c r="J438" s="268"/>
      <c r="K438" s="348">
        <v>44266.53695601852</v>
      </c>
      <c r="L438" s="271"/>
      <c r="M438" s="272" t="s">
        <v>3455</v>
      </c>
      <c r="N438" s="273"/>
      <c r="O438" s="275"/>
      <c r="P438" s="275"/>
      <c r="Q438" s="276"/>
      <c r="R438" s="277"/>
      <c r="S438" s="270"/>
      <c r="T438" s="272"/>
      <c r="U438" s="279"/>
      <c r="V438" s="279" t="s">
        <v>1570</v>
      </c>
      <c r="W438" s="280">
        <v>44286.0</v>
      </c>
      <c r="X438" s="281">
        <v>0.006944444444444444</v>
      </c>
      <c r="Y438" s="279" t="s">
        <v>1693</v>
      </c>
      <c r="Z438" s="282" t="s">
        <v>1570</v>
      </c>
      <c r="AA438" s="282">
        <v>6341379.0</v>
      </c>
      <c r="AB438" s="283">
        <v>44270.0</v>
      </c>
      <c r="AC438" s="284"/>
      <c r="AD438" s="284"/>
    </row>
    <row r="439" ht="14.25" customHeight="1">
      <c r="A439" s="265">
        <v>44263.0</v>
      </c>
      <c r="B439" s="266" t="s">
        <v>2030</v>
      </c>
      <c r="C439" s="266" t="s">
        <v>2083</v>
      </c>
      <c r="D439" s="266" t="s">
        <v>1543</v>
      </c>
      <c r="E439" s="268"/>
      <c r="F439" s="269" t="s">
        <v>3456</v>
      </c>
      <c r="G439" s="268" t="s">
        <v>1463</v>
      </c>
      <c r="H439" s="270">
        <v>0.0011805555555555556</v>
      </c>
      <c r="I439" s="271">
        <v>44270.3375</v>
      </c>
      <c r="J439" s="268"/>
      <c r="K439" s="348">
        <v>44270.34375</v>
      </c>
      <c r="L439" s="271"/>
      <c r="M439" s="272" t="s">
        <v>3457</v>
      </c>
      <c r="N439" s="273"/>
      <c r="O439" s="275"/>
      <c r="P439" s="275"/>
      <c r="Q439" s="276"/>
      <c r="R439" s="277"/>
      <c r="S439" s="270"/>
      <c r="T439" s="272"/>
      <c r="U439" s="279"/>
      <c r="V439" s="279" t="s">
        <v>1570</v>
      </c>
      <c r="W439" s="280">
        <v>44286.0</v>
      </c>
      <c r="X439" s="281">
        <v>0.006944444444444444</v>
      </c>
      <c r="Y439" s="279" t="s">
        <v>1693</v>
      </c>
      <c r="Z439" s="282" t="s">
        <v>1570</v>
      </c>
      <c r="AA439" s="282">
        <v>6341380.0</v>
      </c>
      <c r="AB439" s="283">
        <v>44270.0</v>
      </c>
      <c r="AC439" s="284"/>
      <c r="AD439" s="284"/>
    </row>
    <row r="440" ht="14.25" customHeight="1">
      <c r="A440" s="265">
        <v>44263.0</v>
      </c>
      <c r="B440" s="266" t="s">
        <v>1824</v>
      </c>
      <c r="C440" s="266" t="s">
        <v>2158</v>
      </c>
      <c r="D440" s="266" t="s">
        <v>1450</v>
      </c>
      <c r="E440" s="268"/>
      <c r="F440" s="269" t="s">
        <v>3458</v>
      </c>
      <c r="G440" s="268" t="s">
        <v>1463</v>
      </c>
      <c r="H440" s="270">
        <v>0.004398148148148148</v>
      </c>
      <c r="I440" s="271">
        <v>44274.55694444444</v>
      </c>
      <c r="J440" s="268"/>
      <c r="K440" s="348">
        <v>44274.563888888886</v>
      </c>
      <c r="L440" s="271"/>
      <c r="M440" s="272" t="s">
        <v>3459</v>
      </c>
      <c r="N440" s="273"/>
      <c r="O440" s="275"/>
      <c r="P440" s="275"/>
      <c r="Q440" s="276"/>
      <c r="R440" s="271"/>
      <c r="S440" s="270"/>
      <c r="T440" s="272"/>
      <c r="U440" s="279"/>
      <c r="V440" s="279" t="s">
        <v>1824</v>
      </c>
      <c r="W440" s="280">
        <v>44274.0</v>
      </c>
      <c r="X440" s="281">
        <v>0.003472222222222222</v>
      </c>
      <c r="Y440" s="279" t="s">
        <v>1693</v>
      </c>
      <c r="Z440" s="282" t="s">
        <v>1570</v>
      </c>
      <c r="AA440" s="282">
        <v>6343604.0</v>
      </c>
      <c r="AB440" s="283">
        <v>44275.0</v>
      </c>
      <c r="AC440" s="284"/>
      <c r="AD440" s="284"/>
    </row>
    <row r="441" ht="14.25" customHeight="1">
      <c r="A441" s="265">
        <v>44263.0</v>
      </c>
      <c r="B441" s="266" t="s">
        <v>1783</v>
      </c>
      <c r="C441" s="266"/>
      <c r="D441" s="266" t="s">
        <v>1450</v>
      </c>
      <c r="E441" s="268"/>
      <c r="F441" s="358" t="s">
        <v>3460</v>
      </c>
      <c r="G441" s="268" t="s">
        <v>2085</v>
      </c>
      <c r="H441" s="270">
        <v>0.09854166666666668</v>
      </c>
      <c r="I441" s="271">
        <v>44263.790972222225</v>
      </c>
      <c r="J441" s="268"/>
      <c r="K441" s="348">
        <v>44263.872083333335</v>
      </c>
      <c r="L441" s="271"/>
      <c r="M441" s="359" t="s">
        <v>2524</v>
      </c>
      <c r="N441" s="273"/>
      <c r="O441" s="275"/>
      <c r="P441" s="275"/>
      <c r="Q441" s="276"/>
      <c r="R441" s="271"/>
      <c r="S441" s="270"/>
      <c r="T441" s="272"/>
      <c r="U441" s="279"/>
      <c r="V441" s="279" t="s">
        <v>1824</v>
      </c>
      <c r="W441" s="280">
        <v>44272.0</v>
      </c>
      <c r="X441" s="281">
        <v>0.3062847222222222</v>
      </c>
      <c r="Y441" s="279" t="s">
        <v>1693</v>
      </c>
      <c r="Z441" s="282" t="s">
        <v>1570</v>
      </c>
      <c r="AA441" s="282" t="s">
        <v>3460</v>
      </c>
      <c r="AB441" s="283">
        <v>44263.0</v>
      </c>
      <c r="AC441" s="284"/>
      <c r="AD441" s="284"/>
    </row>
    <row r="442" ht="14.25" customHeight="1">
      <c r="A442" s="265">
        <v>44263.0</v>
      </c>
      <c r="B442" s="266" t="s">
        <v>1783</v>
      </c>
      <c r="C442" s="266"/>
      <c r="D442" s="266" t="s">
        <v>1452</v>
      </c>
      <c r="E442" s="268"/>
      <c r="F442" s="358" t="s">
        <v>3461</v>
      </c>
      <c r="G442" s="268" t="s">
        <v>2085</v>
      </c>
      <c r="H442" s="270">
        <v>0.0078009259259259256</v>
      </c>
      <c r="I442" s="271">
        <v>44263.42916666667</v>
      </c>
      <c r="J442" s="268"/>
      <c r="K442" s="348">
        <v>44263.44005787037</v>
      </c>
      <c r="L442" s="271"/>
      <c r="M442" s="359" t="s">
        <v>2524</v>
      </c>
      <c r="N442" s="273"/>
      <c r="O442" s="275"/>
      <c r="P442" s="275"/>
      <c r="Q442" s="276"/>
      <c r="R442" s="271"/>
      <c r="S442" s="270"/>
      <c r="T442" s="272"/>
      <c r="U442" s="279"/>
      <c r="V442" s="279" t="s">
        <v>1783</v>
      </c>
      <c r="W442" s="280">
        <v>44263.0</v>
      </c>
      <c r="X442" s="281">
        <v>0.027777777777777776</v>
      </c>
      <c r="Y442" s="279" t="s">
        <v>1693</v>
      </c>
      <c r="Z442" s="282" t="s">
        <v>53</v>
      </c>
      <c r="AA442" s="282" t="s">
        <v>3462</v>
      </c>
      <c r="AB442" s="283">
        <v>44263.0</v>
      </c>
      <c r="AC442" s="284"/>
      <c r="AD442" s="284"/>
    </row>
    <row r="443" ht="14.25" customHeight="1">
      <c r="A443" s="265">
        <v>44263.0</v>
      </c>
      <c r="B443" s="266" t="s">
        <v>1746</v>
      </c>
      <c r="C443" s="266"/>
      <c r="D443" s="266" t="s">
        <v>1686</v>
      </c>
      <c r="E443" s="268"/>
      <c r="F443" s="358" t="s">
        <v>3461</v>
      </c>
      <c r="G443" s="268" t="s">
        <v>2085</v>
      </c>
      <c r="H443" s="270">
        <v>0.03909722222222222</v>
      </c>
      <c r="I443" s="271">
        <v>44263.84166666667</v>
      </c>
      <c r="J443" s="268"/>
      <c r="K443" s="348">
        <v>44263.87388888889</v>
      </c>
      <c r="L443" s="271"/>
      <c r="M443" s="359" t="s">
        <v>2524</v>
      </c>
      <c r="N443" s="273"/>
      <c r="O443" s="275"/>
      <c r="P443" s="275"/>
      <c r="Q443" s="276"/>
      <c r="R443" s="271"/>
      <c r="S443" s="270"/>
      <c r="T443" s="272"/>
      <c r="U443" s="279"/>
      <c r="V443" s="279" t="s">
        <v>1746</v>
      </c>
      <c r="W443" s="280">
        <v>44264.0</v>
      </c>
      <c r="X443" s="281">
        <v>0.22916666666666666</v>
      </c>
      <c r="Y443" s="279" t="s">
        <v>1693</v>
      </c>
      <c r="Z443" s="282" t="s">
        <v>1570</v>
      </c>
      <c r="AA443" s="282" t="s">
        <v>3461</v>
      </c>
      <c r="AB443" s="283">
        <v>44263.0</v>
      </c>
      <c r="AC443" s="284"/>
      <c r="AD443" s="284"/>
    </row>
    <row r="444" ht="14.25" customHeight="1">
      <c r="A444" s="265">
        <v>44263.0</v>
      </c>
      <c r="B444" s="266" t="s">
        <v>1733</v>
      </c>
      <c r="C444" s="266"/>
      <c r="D444" s="266" t="s">
        <v>1455</v>
      </c>
      <c r="E444" s="268"/>
      <c r="F444" s="358" t="s">
        <v>3463</v>
      </c>
      <c r="G444" s="268" t="s">
        <v>2085</v>
      </c>
      <c r="H444" s="270">
        <v>0.019872685185185184</v>
      </c>
      <c r="I444" s="271">
        <v>44263.98055555556</v>
      </c>
      <c r="J444" s="268"/>
      <c r="K444" s="348">
        <v>44264.001979166664</v>
      </c>
      <c r="L444" s="271"/>
      <c r="M444" s="359" t="s">
        <v>2524</v>
      </c>
      <c r="N444" s="273"/>
      <c r="O444" s="275"/>
      <c r="P444" s="275"/>
      <c r="Q444" s="276"/>
      <c r="R444" s="271"/>
      <c r="S444" s="270"/>
      <c r="T444" s="272"/>
      <c r="U444" s="279"/>
      <c r="V444" s="279" t="s">
        <v>1824</v>
      </c>
      <c r="W444" s="280">
        <v>44266.0</v>
      </c>
      <c r="X444" s="281">
        <v>0.10291666666666666</v>
      </c>
      <c r="Y444" s="279" t="s">
        <v>1693</v>
      </c>
      <c r="Z444" s="282" t="s">
        <v>53</v>
      </c>
      <c r="AA444" s="282" t="s">
        <v>3463</v>
      </c>
      <c r="AB444" s="283">
        <v>44264.0</v>
      </c>
      <c r="AC444" s="284"/>
      <c r="AD444" s="284"/>
    </row>
    <row r="445" ht="14.25" customHeight="1">
      <c r="A445" s="265">
        <v>44264.0</v>
      </c>
      <c r="B445" s="266" t="s">
        <v>2030</v>
      </c>
      <c r="C445" s="266" t="s">
        <v>2641</v>
      </c>
      <c r="D445" s="266" t="s">
        <v>1543</v>
      </c>
      <c r="E445" s="268"/>
      <c r="F445" s="269" t="s">
        <v>3464</v>
      </c>
      <c r="G445" s="268" t="s">
        <v>1463</v>
      </c>
      <c r="H445" s="270">
        <v>0.0014351851851851854</v>
      </c>
      <c r="I445" s="271">
        <v>44266.260416666664</v>
      </c>
      <c r="J445" s="268"/>
      <c r="K445" s="271">
        <v>44266.27777777778</v>
      </c>
      <c r="L445" s="271"/>
      <c r="M445" s="272" t="s">
        <v>3465</v>
      </c>
      <c r="N445" s="273"/>
      <c r="O445" s="275"/>
      <c r="P445" s="275"/>
      <c r="Q445" s="276"/>
      <c r="R445" s="277"/>
      <c r="S445" s="271"/>
      <c r="T445" s="349"/>
      <c r="U445" s="279"/>
      <c r="V445" s="279" t="s">
        <v>1570</v>
      </c>
      <c r="W445" s="280">
        <v>44286.0</v>
      </c>
      <c r="X445" s="281">
        <v>0.006944444444444444</v>
      </c>
      <c r="Y445" s="279" t="s">
        <v>1693</v>
      </c>
      <c r="Z445" s="282" t="s">
        <v>53</v>
      </c>
      <c r="AA445" s="282">
        <v>6339678.0</v>
      </c>
      <c r="AB445" s="283">
        <v>44266.0</v>
      </c>
      <c r="AC445" s="284"/>
      <c r="AD445" s="284"/>
    </row>
    <row r="446" ht="14.25" customHeight="1">
      <c r="A446" s="265">
        <v>44264.0</v>
      </c>
      <c r="B446" s="266" t="s">
        <v>2030</v>
      </c>
      <c r="C446" s="266" t="s">
        <v>1686</v>
      </c>
      <c r="D446" s="266" t="s">
        <v>1543</v>
      </c>
      <c r="E446" s="268"/>
      <c r="F446" s="269" t="s">
        <v>3466</v>
      </c>
      <c r="G446" s="268" t="s">
        <v>1463</v>
      </c>
      <c r="H446" s="270">
        <v>0.0022337962962962967</v>
      </c>
      <c r="I446" s="271">
        <v>44270.37013888889</v>
      </c>
      <c r="J446" s="268"/>
      <c r="K446" s="271">
        <v>44270.375023148146</v>
      </c>
      <c r="L446" s="271"/>
      <c r="M446" s="272" t="s">
        <v>3467</v>
      </c>
      <c r="N446" s="273"/>
      <c r="O446" s="275"/>
      <c r="P446" s="275"/>
      <c r="Q446" s="276"/>
      <c r="R446" s="277"/>
      <c r="S446" s="271"/>
      <c r="T446" s="349"/>
      <c r="U446" s="279"/>
      <c r="V446" s="279" t="s">
        <v>1570</v>
      </c>
      <c r="W446" s="280">
        <v>44286.0</v>
      </c>
      <c r="X446" s="281">
        <v>0.006944444444444444</v>
      </c>
      <c r="Y446" s="279" t="s">
        <v>1693</v>
      </c>
      <c r="Z446" s="282" t="s">
        <v>1570</v>
      </c>
      <c r="AA446" s="282">
        <v>6341382.0</v>
      </c>
      <c r="AB446" s="283">
        <v>44270.0</v>
      </c>
      <c r="AC446" s="284"/>
      <c r="AD446" s="284"/>
    </row>
    <row r="447" ht="14.25" customHeight="1">
      <c r="A447" s="265">
        <v>44264.0</v>
      </c>
      <c r="B447" s="266" t="s">
        <v>2030</v>
      </c>
      <c r="C447" s="266" t="s">
        <v>1686</v>
      </c>
      <c r="D447" s="266" t="s">
        <v>1543</v>
      </c>
      <c r="E447" s="268"/>
      <c r="F447" s="269" t="s">
        <v>3468</v>
      </c>
      <c r="G447" s="268" t="s">
        <v>1463</v>
      </c>
      <c r="H447" s="270">
        <v>5.555555555555556E-4</v>
      </c>
      <c r="I447" s="271">
        <v>44270.37708333333</v>
      </c>
      <c r="J447" s="268"/>
      <c r="K447" s="271">
        <v>44270.37929398148</v>
      </c>
      <c r="L447" s="271"/>
      <c r="M447" s="272" t="s">
        <v>3469</v>
      </c>
      <c r="N447" s="273"/>
      <c r="O447" s="275"/>
      <c r="P447" s="275"/>
      <c r="Q447" s="276"/>
      <c r="R447" s="277"/>
      <c r="S447" s="271"/>
      <c r="T447" s="349"/>
      <c r="U447" s="279"/>
      <c r="V447" s="279" t="s">
        <v>1570</v>
      </c>
      <c r="W447" s="280">
        <v>44286.0</v>
      </c>
      <c r="X447" s="281">
        <v>0.006944444444444444</v>
      </c>
      <c r="Y447" s="279" t="s">
        <v>1693</v>
      </c>
      <c r="Z447" s="282" t="s">
        <v>1570</v>
      </c>
      <c r="AA447" s="282">
        <v>6341383.0</v>
      </c>
      <c r="AB447" s="283">
        <v>44270.0</v>
      </c>
      <c r="AC447" s="284"/>
      <c r="AD447" s="284"/>
    </row>
    <row r="448" ht="14.25" customHeight="1">
      <c r="A448" s="265">
        <v>44264.0</v>
      </c>
      <c r="B448" s="266" t="s">
        <v>2030</v>
      </c>
      <c r="C448" s="266" t="s">
        <v>1686</v>
      </c>
      <c r="D448" s="266" t="s">
        <v>1543</v>
      </c>
      <c r="E448" s="268"/>
      <c r="F448" s="269" t="s">
        <v>3470</v>
      </c>
      <c r="G448" s="268" t="s">
        <v>1463</v>
      </c>
      <c r="H448" s="270">
        <v>7.060185185185185E-4</v>
      </c>
      <c r="I448" s="271">
        <v>44270.4</v>
      </c>
      <c r="J448" s="268"/>
      <c r="K448" s="271">
        <v>44270.40287037037</v>
      </c>
      <c r="L448" s="271"/>
      <c r="M448" s="272" t="s">
        <v>3471</v>
      </c>
      <c r="N448" s="273"/>
      <c r="O448" s="275"/>
      <c r="P448" s="275"/>
      <c r="Q448" s="276"/>
      <c r="R448" s="277"/>
      <c r="S448" s="271"/>
      <c r="T448" s="349"/>
      <c r="U448" s="279"/>
      <c r="V448" s="279" t="s">
        <v>1570</v>
      </c>
      <c r="W448" s="280">
        <v>44286.0</v>
      </c>
      <c r="X448" s="281">
        <v>0.006944444444444444</v>
      </c>
      <c r="Y448" s="279" t="s">
        <v>1693</v>
      </c>
      <c r="Z448" s="282" t="s">
        <v>1570</v>
      </c>
      <c r="AA448" s="282">
        <v>6341453.0</v>
      </c>
      <c r="AB448" s="283">
        <v>44270.0</v>
      </c>
      <c r="AC448" s="284"/>
      <c r="AD448" s="284"/>
    </row>
    <row r="449" ht="14.25" customHeight="1">
      <c r="A449" s="265">
        <v>44264.0</v>
      </c>
      <c r="B449" s="266" t="s">
        <v>1783</v>
      </c>
      <c r="C449" s="266" t="s">
        <v>3472</v>
      </c>
      <c r="D449" s="266" t="s">
        <v>1455</v>
      </c>
      <c r="E449" s="268"/>
      <c r="F449" s="358" t="s">
        <v>3473</v>
      </c>
      <c r="G449" s="268" t="s">
        <v>1463</v>
      </c>
      <c r="H449" s="270">
        <v>0.0018171296296296297</v>
      </c>
      <c r="I449" s="271">
        <v>44273.53680555556</v>
      </c>
      <c r="J449" s="268"/>
      <c r="K449" s="271">
        <v>44273.54392361111</v>
      </c>
      <c r="L449" s="271"/>
      <c r="M449" s="272" t="s">
        <v>3474</v>
      </c>
      <c r="N449" s="273"/>
      <c r="O449" s="275"/>
      <c r="P449" s="275"/>
      <c r="Q449" s="276"/>
      <c r="R449" s="271"/>
      <c r="S449" s="271"/>
      <c r="T449" s="349"/>
      <c r="U449" s="279"/>
      <c r="V449" s="279" t="s">
        <v>1824</v>
      </c>
      <c r="W449" s="280">
        <v>44273.0</v>
      </c>
      <c r="X449" s="281">
        <v>0.003472222222222222</v>
      </c>
      <c r="Y449" s="279" t="s">
        <v>1693</v>
      </c>
      <c r="Z449" s="282" t="s">
        <v>1570</v>
      </c>
      <c r="AA449" s="282">
        <v>6343029.0</v>
      </c>
      <c r="AB449" s="283">
        <v>44273.0</v>
      </c>
      <c r="AC449" s="284"/>
      <c r="AD449" s="284"/>
    </row>
    <row r="450" ht="14.25" customHeight="1">
      <c r="A450" s="265">
        <v>44264.0</v>
      </c>
      <c r="B450" s="266" t="s">
        <v>2030</v>
      </c>
      <c r="C450" s="266" t="s">
        <v>1686</v>
      </c>
      <c r="D450" s="266" t="s">
        <v>1543</v>
      </c>
      <c r="E450" s="268"/>
      <c r="F450" s="269" t="s">
        <v>3475</v>
      </c>
      <c r="G450" s="268" t="s">
        <v>1463</v>
      </c>
      <c r="H450" s="270">
        <v>0.0014930555555555556</v>
      </c>
      <c r="I450" s="271">
        <v>44274.518055555556</v>
      </c>
      <c r="J450" s="268"/>
      <c r="K450" s="271">
        <v>44274.51865740741</v>
      </c>
      <c r="L450" s="271"/>
      <c r="M450" s="272" t="s">
        <v>3476</v>
      </c>
      <c r="N450" s="273"/>
      <c r="O450" s="275"/>
      <c r="P450" s="275"/>
      <c r="Q450" s="276"/>
      <c r="R450" s="277"/>
      <c r="S450" s="271"/>
      <c r="T450" s="349"/>
      <c r="U450" s="279"/>
      <c r="V450" s="279" t="s">
        <v>1570</v>
      </c>
      <c r="W450" s="280">
        <v>44286.0</v>
      </c>
      <c r="X450" s="281">
        <v>0.006944444444444444</v>
      </c>
      <c r="Y450" s="279" t="s">
        <v>1693</v>
      </c>
      <c r="Z450" s="282" t="s">
        <v>1570</v>
      </c>
      <c r="AA450" s="282">
        <v>6343605.0</v>
      </c>
      <c r="AB450" s="283">
        <v>44275.0</v>
      </c>
      <c r="AC450" s="284"/>
      <c r="AD450" s="284"/>
    </row>
    <row r="451" ht="14.25" customHeight="1">
      <c r="A451" s="265">
        <v>44264.0</v>
      </c>
      <c r="B451" s="266" t="s">
        <v>1733</v>
      </c>
      <c r="C451" s="266"/>
      <c r="D451" s="266" t="s">
        <v>1450</v>
      </c>
      <c r="E451" s="268"/>
      <c r="F451" s="358" t="s">
        <v>3477</v>
      </c>
      <c r="G451" s="268" t="s">
        <v>2085</v>
      </c>
      <c r="H451" s="270">
        <v>0.09868055555555555</v>
      </c>
      <c r="I451" s="271">
        <v>44264.77777777778</v>
      </c>
      <c r="J451" s="268"/>
      <c r="K451" s="271">
        <v>44264.865011574075</v>
      </c>
      <c r="L451" s="271"/>
      <c r="M451" s="359" t="s">
        <v>2524</v>
      </c>
      <c r="N451" s="290"/>
      <c r="O451" s="275"/>
      <c r="P451" s="275"/>
      <c r="Q451" s="276"/>
      <c r="R451" s="268"/>
      <c r="S451" s="278"/>
      <c r="T451" s="278"/>
      <c r="U451" s="279"/>
      <c r="V451" s="279" t="s">
        <v>1824</v>
      </c>
      <c r="W451" s="280">
        <v>44274.0</v>
      </c>
      <c r="X451" s="281">
        <v>0.3125</v>
      </c>
      <c r="Y451" s="279" t="s">
        <v>1693</v>
      </c>
      <c r="Z451" s="282" t="s">
        <v>1570</v>
      </c>
      <c r="AA451" s="282" t="s">
        <v>3477</v>
      </c>
      <c r="AB451" s="283">
        <v>44264.0</v>
      </c>
      <c r="AC451" s="284"/>
      <c r="AD451" s="284"/>
    </row>
    <row r="452" ht="14.25" customHeight="1">
      <c r="A452" s="265">
        <v>44264.0</v>
      </c>
      <c r="B452" s="266" t="s">
        <v>1783</v>
      </c>
      <c r="C452" s="266"/>
      <c r="D452" s="266" t="s">
        <v>1452</v>
      </c>
      <c r="E452" s="268"/>
      <c r="F452" s="358" t="s">
        <v>3478</v>
      </c>
      <c r="G452" s="268" t="s">
        <v>2085</v>
      </c>
      <c r="H452" s="270">
        <v>0.006388888888888888</v>
      </c>
      <c r="I452" s="271">
        <v>44264.50069444445</v>
      </c>
      <c r="J452" s="268"/>
      <c r="K452" s="271">
        <v>44264.51608796296</v>
      </c>
      <c r="L452" s="271"/>
      <c r="M452" s="359" t="s">
        <v>2524</v>
      </c>
      <c r="N452" s="290"/>
      <c r="O452" s="275"/>
      <c r="P452" s="275"/>
      <c r="Q452" s="276"/>
      <c r="R452" s="268"/>
      <c r="S452" s="278"/>
      <c r="T452" s="278"/>
      <c r="U452" s="279"/>
      <c r="V452" s="279" t="s">
        <v>1783</v>
      </c>
      <c r="W452" s="280">
        <v>44264.0</v>
      </c>
      <c r="X452" s="281">
        <v>0.024305555555555556</v>
      </c>
      <c r="Y452" s="279" t="s">
        <v>1693</v>
      </c>
      <c r="Z452" s="282" t="s">
        <v>1570</v>
      </c>
      <c r="AA452" s="282" t="s">
        <v>3478</v>
      </c>
      <c r="AB452" s="283">
        <v>44264.0</v>
      </c>
      <c r="AC452" s="284"/>
      <c r="AD452" s="284"/>
    </row>
    <row r="453" ht="14.25" customHeight="1">
      <c r="A453" s="265">
        <v>44264.0</v>
      </c>
      <c r="B453" s="266" t="s">
        <v>1746</v>
      </c>
      <c r="C453" s="266"/>
      <c r="D453" s="266" t="s">
        <v>1686</v>
      </c>
      <c r="E453" s="268"/>
      <c r="F453" s="358" t="s">
        <v>3479</v>
      </c>
      <c r="G453" s="268" t="s">
        <v>2085</v>
      </c>
      <c r="H453" s="270">
        <v>0.040219907407407406</v>
      </c>
      <c r="I453" s="271">
        <v>44264.665972222225</v>
      </c>
      <c r="J453" s="268"/>
      <c r="K453" s="271">
        <v>44264.82454861111</v>
      </c>
      <c r="L453" s="271"/>
      <c r="M453" s="359" t="s">
        <v>2524</v>
      </c>
      <c r="N453" s="290"/>
      <c r="O453" s="275"/>
      <c r="P453" s="275"/>
      <c r="Q453" s="276"/>
      <c r="R453" s="268"/>
      <c r="S453" s="278"/>
      <c r="T453" s="278"/>
      <c r="U453" s="279"/>
      <c r="V453" s="279" t="s">
        <v>1746</v>
      </c>
      <c r="W453" s="280">
        <v>44265.0</v>
      </c>
      <c r="X453" s="281">
        <v>0.2534722222222222</v>
      </c>
      <c r="Y453" s="279" t="s">
        <v>1693</v>
      </c>
      <c r="Z453" s="282" t="s">
        <v>1570</v>
      </c>
      <c r="AA453" s="282" t="s">
        <v>3479</v>
      </c>
      <c r="AB453" s="283">
        <v>44264.0</v>
      </c>
      <c r="AC453" s="284"/>
      <c r="AD453" s="284"/>
    </row>
    <row r="454" ht="14.25" customHeight="1">
      <c r="A454" s="265">
        <v>44264.0</v>
      </c>
      <c r="B454" s="266" t="s">
        <v>1733</v>
      </c>
      <c r="C454" s="266"/>
      <c r="D454" s="266" t="s">
        <v>1455</v>
      </c>
      <c r="E454" s="268"/>
      <c r="F454" s="358" t="s">
        <v>3480</v>
      </c>
      <c r="G454" s="268" t="s">
        <v>2085</v>
      </c>
      <c r="H454" s="270">
        <v>0.02241898148148148</v>
      </c>
      <c r="I454" s="271">
        <v>44264.98472222222</v>
      </c>
      <c r="J454" s="268"/>
      <c r="K454" s="271">
        <v>44265.01084490741</v>
      </c>
      <c r="L454" s="271"/>
      <c r="M454" s="359" t="s">
        <v>2524</v>
      </c>
      <c r="N454" s="273"/>
      <c r="O454" s="275"/>
      <c r="P454" s="275"/>
      <c r="Q454" s="276"/>
      <c r="R454" s="271"/>
      <c r="S454" s="271"/>
      <c r="T454" s="349"/>
      <c r="U454" s="279"/>
      <c r="V454" s="279" t="s">
        <v>1824</v>
      </c>
      <c r="W454" s="280">
        <v>44266.0</v>
      </c>
      <c r="X454" s="281">
        <v>0.10006944444444445</v>
      </c>
      <c r="Y454" s="279" t="s">
        <v>1693</v>
      </c>
      <c r="Z454" s="282" t="s">
        <v>53</v>
      </c>
      <c r="AA454" s="282" t="s">
        <v>3480</v>
      </c>
      <c r="AB454" s="283">
        <v>44265.0</v>
      </c>
      <c r="AC454" s="284"/>
      <c r="AD454" s="284"/>
    </row>
    <row r="455" ht="14.25" customHeight="1">
      <c r="A455" s="265">
        <v>44265.0</v>
      </c>
      <c r="B455" s="266" t="s">
        <v>1733</v>
      </c>
      <c r="C455" s="266"/>
      <c r="D455" s="266" t="s">
        <v>1450</v>
      </c>
      <c r="E455" s="268"/>
      <c r="F455" s="358" t="s">
        <v>3481</v>
      </c>
      <c r="G455" s="268" t="s">
        <v>2085</v>
      </c>
      <c r="H455" s="270">
        <v>0.10581018518518519</v>
      </c>
      <c r="I455" s="271">
        <v>44265.81875</v>
      </c>
      <c r="J455" s="268"/>
      <c r="K455" s="271"/>
      <c r="L455" s="271"/>
      <c r="M455" s="307" t="s">
        <v>3482</v>
      </c>
      <c r="N455" s="273">
        <v>44265.92013888889</v>
      </c>
      <c r="O455" s="391" t="s">
        <v>3483</v>
      </c>
      <c r="P455" s="275" t="s">
        <v>1463</v>
      </c>
      <c r="Q455" s="276" t="s">
        <v>1693</v>
      </c>
      <c r="R455" s="396">
        <v>44265.97096064815</v>
      </c>
      <c r="S455" s="278"/>
      <c r="T455" s="278"/>
      <c r="U455" s="279"/>
      <c r="V455" s="279" t="s">
        <v>1685</v>
      </c>
      <c r="W455" s="280" t="s">
        <v>3484</v>
      </c>
      <c r="X455" s="281">
        <v>0.2916666666666667</v>
      </c>
      <c r="Y455" s="279" t="s">
        <v>1693</v>
      </c>
      <c r="Z455" s="282" t="s">
        <v>1570</v>
      </c>
      <c r="AA455" s="282" t="s">
        <v>3481</v>
      </c>
      <c r="AB455" s="283">
        <v>44266.0</v>
      </c>
      <c r="AC455" s="284"/>
      <c r="AD455" s="284"/>
    </row>
    <row r="456" ht="14.25" customHeight="1">
      <c r="A456" s="265">
        <v>44265.0</v>
      </c>
      <c r="B456" s="266" t="s">
        <v>1783</v>
      </c>
      <c r="C456" s="266"/>
      <c r="D456" s="266" t="s">
        <v>1452</v>
      </c>
      <c r="E456" s="268"/>
      <c r="F456" s="358" t="s">
        <v>3485</v>
      </c>
      <c r="G456" s="268" t="s">
        <v>2085</v>
      </c>
      <c r="H456" s="270">
        <v>0.005578703703703704</v>
      </c>
      <c r="I456" s="271">
        <v>44265.44930555556</v>
      </c>
      <c r="J456" s="268"/>
      <c r="K456" s="271">
        <v>44265.45900462963</v>
      </c>
      <c r="L456" s="271"/>
      <c r="M456" s="359" t="s">
        <v>2524</v>
      </c>
      <c r="N456" s="273"/>
      <c r="O456" s="275"/>
      <c r="P456" s="275"/>
      <c r="Q456" s="276"/>
      <c r="R456" s="268"/>
      <c r="S456" s="278"/>
      <c r="T456" s="278"/>
      <c r="U456" s="279"/>
      <c r="V456" s="279" t="s">
        <v>1783</v>
      </c>
      <c r="W456" s="280">
        <v>44265.0</v>
      </c>
      <c r="X456" s="281">
        <v>0.017361111111111112</v>
      </c>
      <c r="Y456" s="279" t="s">
        <v>1693</v>
      </c>
      <c r="Z456" s="282" t="s">
        <v>1570</v>
      </c>
      <c r="AA456" s="282" t="s">
        <v>3485</v>
      </c>
      <c r="AB456" s="283">
        <v>44265.0</v>
      </c>
      <c r="AC456" s="284"/>
      <c r="AD456" s="284"/>
    </row>
    <row r="457" ht="14.25" customHeight="1">
      <c r="A457" s="265">
        <v>44265.0</v>
      </c>
      <c r="B457" s="266" t="s">
        <v>1746</v>
      </c>
      <c r="C457" s="266"/>
      <c r="D457" s="266" t="s">
        <v>1686</v>
      </c>
      <c r="E457" s="268"/>
      <c r="F457" s="358" t="s">
        <v>3486</v>
      </c>
      <c r="G457" s="268" t="s">
        <v>2085</v>
      </c>
      <c r="H457" s="270">
        <v>0.03982638888888889</v>
      </c>
      <c r="I457" s="271">
        <v>44265.794444444444</v>
      </c>
      <c r="J457" s="268"/>
      <c r="K457" s="271">
        <v>44265.816875</v>
      </c>
      <c r="L457" s="271"/>
      <c r="M457" s="359" t="s">
        <v>2524</v>
      </c>
      <c r="N457" s="273"/>
      <c r="O457" s="275"/>
      <c r="P457" s="275"/>
      <c r="Q457" s="276"/>
      <c r="R457" s="268"/>
      <c r="S457" s="278"/>
      <c r="T457" s="278"/>
      <c r="U457" s="279"/>
      <c r="V457" s="279" t="s">
        <v>1746</v>
      </c>
      <c r="W457" s="280">
        <v>44266.0</v>
      </c>
      <c r="X457" s="281">
        <v>0.23611111111111113</v>
      </c>
      <c r="Y457" s="279" t="s">
        <v>1693</v>
      </c>
      <c r="Z457" s="282" t="s">
        <v>1570</v>
      </c>
      <c r="AA457" s="282" t="s">
        <v>3486</v>
      </c>
      <c r="AB457" s="283">
        <v>44265.0</v>
      </c>
      <c r="AC457" s="284"/>
      <c r="AD457" s="284"/>
    </row>
    <row r="458" ht="14.25" customHeight="1">
      <c r="A458" s="265">
        <v>44265.0</v>
      </c>
      <c r="B458" s="266" t="s">
        <v>1733</v>
      </c>
      <c r="C458" s="266"/>
      <c r="D458" s="266" t="s">
        <v>1455</v>
      </c>
      <c r="E458" s="268"/>
      <c r="F458" s="358" t="s">
        <v>3487</v>
      </c>
      <c r="G458" s="268" t="s">
        <v>2085</v>
      </c>
      <c r="H458" s="270">
        <v>0.020810185185185185</v>
      </c>
      <c r="I458" s="271">
        <v>44265.91805555556</v>
      </c>
      <c r="J458" s="268"/>
      <c r="K458" s="271">
        <v>44265.94429398148</v>
      </c>
      <c r="L458" s="271"/>
      <c r="M458" s="359" t="s">
        <v>2524</v>
      </c>
      <c r="N458" s="273"/>
      <c r="O458" s="275"/>
      <c r="P458" s="275"/>
      <c r="Q458" s="276"/>
      <c r="R458" s="271"/>
      <c r="S458" s="278"/>
      <c r="T458" s="278"/>
      <c r="U458" s="279"/>
      <c r="V458" s="279" t="s">
        <v>1824</v>
      </c>
      <c r="W458" s="280">
        <v>44267.0</v>
      </c>
      <c r="X458" s="281">
        <v>0.11505787037037037</v>
      </c>
      <c r="Y458" s="279" t="s">
        <v>1693</v>
      </c>
      <c r="Z458" s="282" t="s">
        <v>1570</v>
      </c>
      <c r="AA458" s="282" t="s">
        <v>3487</v>
      </c>
      <c r="AB458" s="283">
        <v>44265.0</v>
      </c>
      <c r="AC458" s="284"/>
      <c r="AD458" s="284"/>
    </row>
    <row r="459" ht="14.25" customHeight="1">
      <c r="A459" s="265">
        <v>44266.0</v>
      </c>
      <c r="B459" s="266" t="s">
        <v>2030</v>
      </c>
      <c r="C459" s="266" t="s">
        <v>2083</v>
      </c>
      <c r="D459" s="266" t="s">
        <v>1543</v>
      </c>
      <c r="E459" s="268"/>
      <c r="F459" s="269" t="s">
        <v>3488</v>
      </c>
      <c r="G459" s="268" t="s">
        <v>1463</v>
      </c>
      <c r="H459" s="270">
        <v>0.002013888888888889</v>
      </c>
      <c r="I459" s="271">
        <v>44270.46388888889</v>
      </c>
      <c r="J459" s="268"/>
      <c r="K459" s="271">
        <v>44270.46704861111</v>
      </c>
      <c r="L459" s="271"/>
      <c r="M459" s="272" t="s">
        <v>3489</v>
      </c>
      <c r="N459" s="273"/>
      <c r="O459" s="275"/>
      <c r="P459" s="275"/>
      <c r="Q459" s="276"/>
      <c r="R459" s="278"/>
      <c r="S459" s="278"/>
      <c r="T459" s="278"/>
      <c r="U459" s="279"/>
      <c r="V459" s="279" t="s">
        <v>1570</v>
      </c>
      <c r="W459" s="280">
        <v>44286.0</v>
      </c>
      <c r="X459" s="281">
        <v>0.006944444444444444</v>
      </c>
      <c r="Y459" s="279" t="s">
        <v>1693</v>
      </c>
      <c r="Z459" s="282" t="s">
        <v>53</v>
      </c>
      <c r="AA459" s="282">
        <v>6341717.0</v>
      </c>
      <c r="AB459" s="283">
        <v>44272.0</v>
      </c>
      <c r="AC459" s="284"/>
      <c r="AD459" s="284"/>
    </row>
    <row r="460" ht="14.25" customHeight="1">
      <c r="A460" s="265">
        <v>44266.0</v>
      </c>
      <c r="B460" s="266" t="s">
        <v>1733</v>
      </c>
      <c r="C460" s="266"/>
      <c r="D460" s="266" t="s">
        <v>1450</v>
      </c>
      <c r="E460" s="268"/>
      <c r="F460" s="358" t="s">
        <v>3490</v>
      </c>
      <c r="G460" s="268" t="s">
        <v>2085</v>
      </c>
      <c r="H460" s="270">
        <v>0.09875</v>
      </c>
      <c r="I460" s="271">
        <v>44266.78611111111</v>
      </c>
      <c r="J460" s="268"/>
      <c r="K460" s="271">
        <v>44266.865891203706</v>
      </c>
      <c r="L460" s="271"/>
      <c r="M460" s="359" t="s">
        <v>2524</v>
      </c>
      <c r="N460" s="273"/>
      <c r="O460" s="275"/>
      <c r="P460" s="275"/>
      <c r="Q460" s="276"/>
      <c r="R460" s="271"/>
      <c r="S460" s="270"/>
      <c r="T460" s="278"/>
      <c r="U460" s="279"/>
      <c r="V460" s="279" t="s">
        <v>1746</v>
      </c>
      <c r="W460" s="280">
        <v>44277.0</v>
      </c>
      <c r="X460" s="281">
        <v>0.3298611111111111</v>
      </c>
      <c r="Y460" s="279" t="s">
        <v>1693</v>
      </c>
      <c r="Z460" s="282" t="s">
        <v>1570</v>
      </c>
      <c r="AA460" s="282" t="s">
        <v>3490</v>
      </c>
      <c r="AB460" s="283">
        <v>44267.0</v>
      </c>
      <c r="AC460" s="284"/>
      <c r="AD460" s="284"/>
    </row>
    <row r="461" ht="14.25" customHeight="1">
      <c r="A461" s="265">
        <v>44266.0</v>
      </c>
      <c r="B461" s="266" t="s">
        <v>1783</v>
      </c>
      <c r="C461" s="266"/>
      <c r="D461" s="266" t="s">
        <v>1452</v>
      </c>
      <c r="E461" s="268"/>
      <c r="F461" s="358" t="s">
        <v>3491</v>
      </c>
      <c r="G461" s="268" t="s">
        <v>2085</v>
      </c>
      <c r="H461" s="270">
        <v>0.009074074074074073</v>
      </c>
      <c r="I461" s="271">
        <v>44266.444444444445</v>
      </c>
      <c r="J461" s="268"/>
      <c r="K461" s="271">
        <v>44266.460335648146</v>
      </c>
      <c r="L461" s="271"/>
      <c r="M461" s="359" t="s">
        <v>2524</v>
      </c>
      <c r="N461" s="273"/>
      <c r="O461" s="275"/>
      <c r="P461" s="275"/>
      <c r="Q461" s="276"/>
      <c r="R461" s="268"/>
      <c r="S461" s="278"/>
      <c r="T461" s="278"/>
      <c r="U461" s="279"/>
      <c r="V461" s="279" t="s">
        <v>1783</v>
      </c>
      <c r="W461" s="280">
        <v>44266.0</v>
      </c>
      <c r="X461" s="281">
        <v>0.017361111111111112</v>
      </c>
      <c r="Y461" s="279" t="s">
        <v>1693</v>
      </c>
      <c r="Z461" s="282" t="s">
        <v>1570</v>
      </c>
      <c r="AA461" s="282" t="s">
        <v>3491</v>
      </c>
      <c r="AB461" s="283">
        <v>44267.0</v>
      </c>
      <c r="AC461" s="284"/>
      <c r="AD461" s="284"/>
    </row>
    <row r="462" ht="14.25" customHeight="1">
      <c r="A462" s="265">
        <v>44266.0</v>
      </c>
      <c r="B462" s="266" t="s">
        <v>1746</v>
      </c>
      <c r="C462" s="266"/>
      <c r="D462" s="266" t="s">
        <v>1686</v>
      </c>
      <c r="E462" s="268"/>
      <c r="F462" s="358" t="s">
        <v>3492</v>
      </c>
      <c r="G462" s="268" t="s">
        <v>2085</v>
      </c>
      <c r="H462" s="270">
        <v>0.03881944444444444</v>
      </c>
      <c r="I462" s="271">
        <v>44266.7875</v>
      </c>
      <c r="J462" s="268"/>
      <c r="K462" s="271">
        <v>44266.80734953703</v>
      </c>
      <c r="L462" s="271"/>
      <c r="M462" s="359" t="s">
        <v>2524</v>
      </c>
      <c r="N462" s="273"/>
      <c r="O462" s="275"/>
      <c r="P462" s="275"/>
      <c r="Q462" s="276"/>
      <c r="R462" s="268"/>
      <c r="S462" s="278"/>
      <c r="T462" s="278"/>
      <c r="U462" s="279"/>
      <c r="V462" s="279" t="s">
        <v>1824</v>
      </c>
      <c r="W462" s="280">
        <v>44270.0</v>
      </c>
      <c r="X462" s="281">
        <v>0.16666666666666666</v>
      </c>
      <c r="Y462" s="279" t="s">
        <v>1693</v>
      </c>
      <c r="Z462" s="282" t="s">
        <v>1570</v>
      </c>
      <c r="AA462" s="282" t="s">
        <v>3492</v>
      </c>
      <c r="AB462" s="283">
        <v>44267.0</v>
      </c>
      <c r="AC462" s="284"/>
      <c r="AD462" s="284"/>
    </row>
    <row r="463" ht="14.25" customHeight="1">
      <c r="A463" s="265">
        <v>44266.0</v>
      </c>
      <c r="B463" s="266" t="s">
        <v>1733</v>
      </c>
      <c r="C463" s="266"/>
      <c r="D463" s="266" t="s">
        <v>1455</v>
      </c>
      <c r="E463" s="268"/>
      <c r="F463" s="358" t="s">
        <v>3493</v>
      </c>
      <c r="G463" s="268" t="s">
        <v>2085</v>
      </c>
      <c r="H463" s="270">
        <v>0.020879629629629626</v>
      </c>
      <c r="I463" s="271">
        <v>44266.884722222225</v>
      </c>
      <c r="J463" s="268"/>
      <c r="K463" s="271">
        <v>44266.90972222222</v>
      </c>
      <c r="L463" s="271"/>
      <c r="M463" s="359" t="s">
        <v>2524</v>
      </c>
      <c r="N463" s="273"/>
      <c r="O463" s="275"/>
      <c r="P463" s="275"/>
      <c r="Q463" s="276"/>
      <c r="R463" s="268"/>
      <c r="S463" s="278"/>
      <c r="T463" s="278"/>
      <c r="U463" s="279"/>
      <c r="V463" s="279" t="s">
        <v>1824</v>
      </c>
      <c r="W463" s="280">
        <v>44267.0</v>
      </c>
      <c r="X463" s="281">
        <v>0.11447916666666667</v>
      </c>
      <c r="Y463" s="279" t="s">
        <v>1693</v>
      </c>
      <c r="Z463" s="282" t="s">
        <v>1570</v>
      </c>
      <c r="AA463" s="282" t="s">
        <v>3493</v>
      </c>
      <c r="AB463" s="283">
        <v>44267.0</v>
      </c>
      <c r="AC463" s="284"/>
      <c r="AD463" s="284"/>
    </row>
    <row r="464" ht="14.25" customHeight="1">
      <c r="A464" s="265">
        <v>44267.0</v>
      </c>
      <c r="B464" s="266" t="s">
        <v>1733</v>
      </c>
      <c r="C464" s="266"/>
      <c r="D464" s="266" t="s">
        <v>1450</v>
      </c>
      <c r="E464" s="268"/>
      <c r="F464" s="358" t="s">
        <v>3494</v>
      </c>
      <c r="G464" s="268" t="s">
        <v>2085</v>
      </c>
      <c r="H464" s="270">
        <v>0.0977662037037037</v>
      </c>
      <c r="I464" s="271">
        <v>44267.77222222222</v>
      </c>
      <c r="J464" s="268"/>
      <c r="K464" s="271">
        <v>44267.82420138889</v>
      </c>
      <c r="L464" s="271"/>
      <c r="M464" s="359" t="s">
        <v>2524</v>
      </c>
      <c r="N464" s="273"/>
      <c r="O464" s="275"/>
      <c r="P464" s="275"/>
      <c r="Q464" s="276"/>
      <c r="R464" s="268"/>
      <c r="S464" s="278"/>
      <c r="T464" s="278"/>
      <c r="U464" s="279"/>
      <c r="V464" s="279" t="s">
        <v>1685</v>
      </c>
      <c r="W464" s="280">
        <v>44277.0</v>
      </c>
      <c r="X464" s="281">
        <v>0.3125</v>
      </c>
      <c r="Y464" s="279" t="s">
        <v>1693</v>
      </c>
      <c r="Z464" s="282" t="s">
        <v>1570</v>
      </c>
      <c r="AA464" s="282" t="s">
        <v>3494</v>
      </c>
      <c r="AB464" s="283">
        <v>44267.0</v>
      </c>
      <c r="AC464" s="284"/>
      <c r="AD464" s="284"/>
    </row>
    <row r="465" ht="14.25" customHeight="1">
      <c r="A465" s="265">
        <v>44267.0</v>
      </c>
      <c r="B465" s="266" t="s">
        <v>1783</v>
      </c>
      <c r="C465" s="266"/>
      <c r="D465" s="266" t="s">
        <v>1452</v>
      </c>
      <c r="E465" s="268"/>
      <c r="F465" s="359" t="s">
        <v>3495</v>
      </c>
      <c r="G465" s="268" t="s">
        <v>2085</v>
      </c>
      <c r="H465" s="270">
        <v>0.012060185185185186</v>
      </c>
      <c r="I465" s="271">
        <v>44267.45347222222</v>
      </c>
      <c r="J465" s="268"/>
      <c r="K465" s="271">
        <v>44267.51733796296</v>
      </c>
      <c r="L465" s="271"/>
      <c r="M465" s="359" t="s">
        <v>2524</v>
      </c>
      <c r="N465" s="273"/>
      <c r="O465" s="275"/>
      <c r="P465" s="275"/>
      <c r="Q465" s="276"/>
      <c r="R465" s="268"/>
      <c r="S465" s="278"/>
      <c r="T465" s="278"/>
      <c r="U465" s="279"/>
      <c r="V465" s="279" t="s">
        <v>1783</v>
      </c>
      <c r="W465" s="280">
        <v>44267.0</v>
      </c>
      <c r="X465" s="281">
        <v>0.03819444444444444</v>
      </c>
      <c r="Y465" s="279" t="s">
        <v>1693</v>
      </c>
      <c r="Z465" s="282" t="s">
        <v>1570</v>
      </c>
      <c r="AA465" s="282" t="s">
        <v>3495</v>
      </c>
      <c r="AB465" s="283">
        <v>44267.0</v>
      </c>
      <c r="AC465" s="284"/>
      <c r="AD465" s="284"/>
    </row>
    <row r="466" ht="14.25" customHeight="1">
      <c r="A466" s="265">
        <v>44267.0</v>
      </c>
      <c r="B466" s="266" t="s">
        <v>1746</v>
      </c>
      <c r="C466" s="266"/>
      <c r="D466" s="266" t="s">
        <v>1686</v>
      </c>
      <c r="E466" s="268"/>
      <c r="F466" s="358" t="s">
        <v>3496</v>
      </c>
      <c r="G466" s="268" t="s">
        <v>2085</v>
      </c>
      <c r="H466" s="270">
        <v>0.038807870370370375</v>
      </c>
      <c r="I466" s="271">
        <v>44267.77361111111</v>
      </c>
      <c r="J466" s="268"/>
      <c r="K466" s="271">
        <v>44267.82641203704</v>
      </c>
      <c r="L466" s="271"/>
      <c r="M466" s="359" t="s">
        <v>2524</v>
      </c>
      <c r="N466" s="273"/>
      <c r="O466" s="275"/>
      <c r="P466" s="275"/>
      <c r="Q466" s="276"/>
      <c r="R466" s="268"/>
      <c r="S466" s="278"/>
      <c r="T466" s="278"/>
      <c r="U466" s="279"/>
      <c r="V466" s="279" t="s">
        <v>1824</v>
      </c>
      <c r="W466" s="280">
        <v>44271.0</v>
      </c>
      <c r="X466" s="281">
        <v>0.18674768518518517</v>
      </c>
      <c r="Y466" s="279" t="s">
        <v>1693</v>
      </c>
      <c r="Z466" s="282" t="s">
        <v>1570</v>
      </c>
      <c r="AA466" s="282" t="s">
        <v>3496</v>
      </c>
      <c r="AB466" s="283">
        <v>44267.0</v>
      </c>
      <c r="AC466" s="284"/>
      <c r="AD466" s="284"/>
    </row>
    <row r="467" ht="14.25" customHeight="1">
      <c r="A467" s="265">
        <v>44267.0</v>
      </c>
      <c r="B467" s="266" t="s">
        <v>1733</v>
      </c>
      <c r="C467" s="266"/>
      <c r="D467" s="266" t="s">
        <v>1455</v>
      </c>
      <c r="E467" s="268"/>
      <c r="F467" s="358" t="s">
        <v>3497</v>
      </c>
      <c r="G467" s="268" t="s">
        <v>2085</v>
      </c>
      <c r="H467" s="270">
        <v>0.020844907407407406</v>
      </c>
      <c r="I467" s="271">
        <v>44268.00069444445</v>
      </c>
      <c r="J467" s="268"/>
      <c r="K467" s="271">
        <v>44268.024039351854</v>
      </c>
      <c r="L467" s="271"/>
      <c r="M467" s="359" t="s">
        <v>2524</v>
      </c>
      <c r="N467" s="273"/>
      <c r="O467" s="275"/>
      <c r="P467" s="275"/>
      <c r="Q467" s="276"/>
      <c r="R467" s="268"/>
      <c r="S467" s="278"/>
      <c r="T467" s="278"/>
      <c r="U467" s="279"/>
      <c r="V467" s="279" t="s">
        <v>1570</v>
      </c>
      <c r="W467" s="280">
        <v>44270.0</v>
      </c>
      <c r="X467" s="281">
        <v>0.14583333333333334</v>
      </c>
      <c r="Y467" s="279" t="s">
        <v>1693</v>
      </c>
      <c r="Z467" s="282" t="s">
        <v>53</v>
      </c>
      <c r="AA467" s="282" t="s">
        <v>3497</v>
      </c>
      <c r="AB467" s="283">
        <v>44270.0</v>
      </c>
      <c r="AC467" s="284"/>
      <c r="AD467" s="284"/>
    </row>
    <row r="468" ht="14.25" customHeight="1">
      <c r="A468" s="265">
        <v>44268.0</v>
      </c>
      <c r="B468" s="266" t="s">
        <v>2030</v>
      </c>
      <c r="C468" s="266" t="s">
        <v>1686</v>
      </c>
      <c r="D468" s="266" t="s">
        <v>1543</v>
      </c>
      <c r="E468" s="268"/>
      <c r="F468" s="269" t="s">
        <v>3498</v>
      </c>
      <c r="G468" s="268" t="s">
        <v>1463</v>
      </c>
      <c r="H468" s="270">
        <v>8.333333333333334E-4</v>
      </c>
      <c r="I468" s="271">
        <v>44273.53125</v>
      </c>
      <c r="J468" s="268"/>
      <c r="K468" s="271">
        <v>44273.53451388889</v>
      </c>
      <c r="L468" s="271"/>
      <c r="M468" s="272" t="s">
        <v>3499</v>
      </c>
      <c r="N468" s="273"/>
      <c r="O468" s="275"/>
      <c r="P468" s="268"/>
      <c r="Q468" s="276"/>
      <c r="R468" s="277"/>
      <c r="S468" s="278"/>
      <c r="T468" s="278"/>
      <c r="U468" s="279"/>
      <c r="V468" s="279" t="s">
        <v>1570</v>
      </c>
      <c r="W468" s="280">
        <v>44286.0</v>
      </c>
      <c r="X468" s="281">
        <v>0.006944444444444444</v>
      </c>
      <c r="Y468" s="279" t="s">
        <v>1693</v>
      </c>
      <c r="Z468" s="282" t="s">
        <v>1570</v>
      </c>
      <c r="AA468" s="282">
        <v>6343030.0</v>
      </c>
      <c r="AB468" s="283">
        <v>44273.0</v>
      </c>
      <c r="AC468" s="284"/>
      <c r="AD468" s="284"/>
    </row>
    <row r="469" ht="14.25" customHeight="1">
      <c r="A469" s="265">
        <v>44268.0</v>
      </c>
      <c r="B469" s="266" t="s">
        <v>2030</v>
      </c>
      <c r="C469" s="266" t="s">
        <v>1686</v>
      </c>
      <c r="D469" s="266" t="s">
        <v>1543</v>
      </c>
      <c r="E469" s="268"/>
      <c r="F469" s="269" t="s">
        <v>3500</v>
      </c>
      <c r="G469" s="268" t="s">
        <v>1463</v>
      </c>
      <c r="H469" s="270">
        <v>0.0013773148148148147</v>
      </c>
      <c r="I469" s="271">
        <v>44273.54236111111</v>
      </c>
      <c r="J469" s="268"/>
      <c r="K469" s="271">
        <v>44273.77427083333</v>
      </c>
      <c r="L469" s="271"/>
      <c r="M469" s="272" t="s">
        <v>3501</v>
      </c>
      <c r="N469" s="273"/>
      <c r="O469" s="275"/>
      <c r="P469" s="268"/>
      <c r="Q469" s="276"/>
      <c r="R469" s="277"/>
      <c r="S469" s="278"/>
      <c r="T469" s="278"/>
      <c r="U469" s="279"/>
      <c r="V469" s="279" t="s">
        <v>1570</v>
      </c>
      <c r="W469" s="280">
        <v>44286.0</v>
      </c>
      <c r="X469" s="281">
        <v>0.006944444444444444</v>
      </c>
      <c r="Y469" s="279" t="s">
        <v>1693</v>
      </c>
      <c r="Z469" s="282" t="s">
        <v>1570</v>
      </c>
      <c r="AA469" s="282">
        <v>6343031.0</v>
      </c>
      <c r="AB469" s="283">
        <v>44273.0</v>
      </c>
      <c r="AC469" s="284"/>
      <c r="AD469" s="284"/>
    </row>
    <row r="470" ht="14.25" customHeight="1">
      <c r="A470" s="265">
        <v>44268.0</v>
      </c>
      <c r="B470" s="266" t="s">
        <v>1500</v>
      </c>
      <c r="C470" s="266" t="s">
        <v>1455</v>
      </c>
      <c r="D470" s="266" t="s">
        <v>1543</v>
      </c>
      <c r="E470" s="268"/>
      <c r="F470" s="269" t="s">
        <v>3502</v>
      </c>
      <c r="G470" s="268" t="s">
        <v>1463</v>
      </c>
      <c r="H470" s="270">
        <v>0.0027546296296296294</v>
      </c>
      <c r="I470" s="271">
        <v>44280.27847222222</v>
      </c>
      <c r="J470" s="268"/>
      <c r="K470" s="271">
        <v>44280.28946759259</v>
      </c>
      <c r="L470" s="271"/>
      <c r="M470" s="272" t="s">
        <v>3503</v>
      </c>
      <c r="N470" s="273"/>
      <c r="O470" s="275"/>
      <c r="P470" s="268"/>
      <c r="Q470" s="276"/>
      <c r="R470" s="277"/>
      <c r="S470" s="278"/>
      <c r="T470" s="278"/>
      <c r="U470" s="279"/>
      <c r="V470" s="279" t="s">
        <v>1570</v>
      </c>
      <c r="W470" s="280">
        <v>44286.0</v>
      </c>
      <c r="X470" s="281">
        <v>0.006944444444444444</v>
      </c>
      <c r="Y470" s="279" t="s">
        <v>1693</v>
      </c>
      <c r="Z470" s="282" t="s">
        <v>53</v>
      </c>
      <c r="AA470" s="282">
        <v>6346125.0</v>
      </c>
      <c r="AB470" s="283">
        <v>44280.0</v>
      </c>
      <c r="AC470" s="284"/>
      <c r="AD470" s="284"/>
    </row>
    <row r="471" ht="14.25" customHeight="1">
      <c r="A471" s="265">
        <v>44268.0</v>
      </c>
      <c r="B471" s="266" t="s">
        <v>1500</v>
      </c>
      <c r="C471" s="266" t="s">
        <v>1455</v>
      </c>
      <c r="D471" s="266" t="s">
        <v>1543</v>
      </c>
      <c r="E471" s="268"/>
      <c r="F471" s="269" t="s">
        <v>3504</v>
      </c>
      <c r="G471" s="268" t="s">
        <v>1463</v>
      </c>
      <c r="H471" s="270">
        <v>0.0027083333333333334</v>
      </c>
      <c r="I471" s="271">
        <v>44280.33194444444</v>
      </c>
      <c r="J471" s="268"/>
      <c r="K471" s="271">
        <v>44280.79739583333</v>
      </c>
      <c r="L471" s="271"/>
      <c r="M471" s="359" t="s">
        <v>3505</v>
      </c>
      <c r="N471" s="273"/>
      <c r="O471" s="275"/>
      <c r="P471" s="268"/>
      <c r="Q471" s="276"/>
      <c r="R471" s="277"/>
      <c r="S471" s="278"/>
      <c r="T471" s="278"/>
      <c r="U471" s="279"/>
      <c r="V471" s="279" t="s">
        <v>1570</v>
      </c>
      <c r="W471" s="280">
        <v>44286.0</v>
      </c>
      <c r="X471" s="281">
        <v>0.006944444444444444</v>
      </c>
      <c r="Y471" s="279" t="s">
        <v>1693</v>
      </c>
      <c r="Z471" s="282" t="s">
        <v>1570</v>
      </c>
      <c r="AA471" s="282">
        <v>6346340.0</v>
      </c>
      <c r="AB471" s="283">
        <v>44280.0</v>
      </c>
      <c r="AC471" s="284"/>
      <c r="AD471" s="284"/>
    </row>
    <row r="472" ht="14.25" customHeight="1">
      <c r="A472" s="265">
        <v>44268.0</v>
      </c>
      <c r="B472" s="266" t="s">
        <v>1733</v>
      </c>
      <c r="C472" s="266"/>
      <c r="D472" s="266" t="s">
        <v>1686</v>
      </c>
      <c r="E472" s="268"/>
      <c r="F472" s="358" t="s">
        <v>3506</v>
      </c>
      <c r="G472" s="268" t="s">
        <v>2085</v>
      </c>
      <c r="H472" s="270">
        <v>0.03900462962962963</v>
      </c>
      <c r="I472" s="271">
        <v>44268.67361111111</v>
      </c>
      <c r="J472" s="268"/>
      <c r="K472" s="271">
        <v>44268.69798611111</v>
      </c>
      <c r="L472" s="271"/>
      <c r="M472" s="359" t="s">
        <v>2524</v>
      </c>
      <c r="N472" s="273"/>
      <c r="O472" s="275"/>
      <c r="P472" s="275"/>
      <c r="Q472" s="276"/>
      <c r="R472" s="268"/>
      <c r="S472" s="278"/>
      <c r="T472" s="278"/>
      <c r="U472" s="279"/>
      <c r="V472" s="279" t="s">
        <v>1783</v>
      </c>
      <c r="W472" s="280" t="s">
        <v>3507</v>
      </c>
      <c r="X472" s="281">
        <v>0.14583333333333334</v>
      </c>
      <c r="Y472" s="279" t="s">
        <v>1693</v>
      </c>
      <c r="Z472" s="282" t="s">
        <v>53</v>
      </c>
      <c r="AA472" s="282" t="s">
        <v>3506</v>
      </c>
      <c r="AB472" s="283">
        <v>44270.0</v>
      </c>
      <c r="AC472" s="284"/>
      <c r="AD472" s="284"/>
    </row>
    <row r="473" ht="14.25" customHeight="1">
      <c r="A473" s="265">
        <v>44268.0</v>
      </c>
      <c r="B473" s="266" t="s">
        <v>1746</v>
      </c>
      <c r="C473" s="266"/>
      <c r="D473" s="266" t="s">
        <v>1455</v>
      </c>
      <c r="E473" s="268"/>
      <c r="F473" s="358" t="s">
        <v>3508</v>
      </c>
      <c r="G473" s="268" t="s">
        <v>2085</v>
      </c>
      <c r="H473" s="270">
        <v>0.018032407407407407</v>
      </c>
      <c r="I473" s="271">
        <v>44270.43819444445</v>
      </c>
      <c r="J473" s="268"/>
      <c r="K473" s="271">
        <v>44270.46194444445</v>
      </c>
      <c r="L473" s="271"/>
      <c r="M473" s="359" t="s">
        <v>2524</v>
      </c>
      <c r="N473" s="273"/>
      <c r="O473" s="275"/>
      <c r="P473" s="268"/>
      <c r="Q473" s="276"/>
      <c r="R473" s="271"/>
      <c r="S473" s="278"/>
      <c r="T473" s="278"/>
      <c r="U473" s="279"/>
      <c r="V473" s="279" t="s">
        <v>1783</v>
      </c>
      <c r="W473" s="280">
        <v>44277.0</v>
      </c>
      <c r="X473" s="281">
        <v>0.06944444444444443</v>
      </c>
      <c r="Y473" s="279" t="s">
        <v>1693</v>
      </c>
      <c r="Z473" s="282" t="s">
        <v>1570</v>
      </c>
      <c r="AA473" s="282" t="s">
        <v>3508</v>
      </c>
      <c r="AB473" s="283">
        <v>44270.0</v>
      </c>
      <c r="AC473" s="284"/>
      <c r="AD473" s="284"/>
    </row>
    <row r="474" ht="14.25" customHeight="1">
      <c r="A474" s="285">
        <v>44269.0</v>
      </c>
      <c r="B474" s="266" t="s">
        <v>1733</v>
      </c>
      <c r="C474" s="266"/>
      <c r="D474" s="267" t="s">
        <v>3509</v>
      </c>
      <c r="E474" s="268"/>
      <c r="F474" s="358">
        <v>6334789.0</v>
      </c>
      <c r="G474" s="268" t="s">
        <v>3510</v>
      </c>
      <c r="H474" s="270">
        <v>0.026516203703703698</v>
      </c>
      <c r="I474" s="271">
        <v>44272.75</v>
      </c>
      <c r="J474" s="268"/>
      <c r="K474" s="271">
        <v>44272.80347222222</v>
      </c>
      <c r="L474" s="271"/>
      <c r="M474" s="278"/>
      <c r="N474" s="290"/>
      <c r="O474" s="276"/>
      <c r="P474" s="276"/>
      <c r="Q474" s="276"/>
      <c r="R474" s="278"/>
      <c r="S474" s="278"/>
      <c r="T474" s="278"/>
      <c r="U474" s="279"/>
      <c r="V474" s="279"/>
      <c r="W474" s="280"/>
      <c r="X474" s="281"/>
      <c r="Y474" s="279"/>
      <c r="Z474" s="282" t="s">
        <v>101</v>
      </c>
      <c r="AA474" s="282">
        <v>6334789.0</v>
      </c>
      <c r="AB474" s="283">
        <v>44272.0</v>
      </c>
      <c r="AC474" s="284"/>
      <c r="AD474" s="284"/>
    </row>
    <row r="475" ht="14.25" customHeight="1">
      <c r="A475" s="265">
        <v>44269.0</v>
      </c>
      <c r="B475" s="266" t="s">
        <v>1783</v>
      </c>
      <c r="C475" s="266"/>
      <c r="D475" s="266" t="s">
        <v>1457</v>
      </c>
      <c r="E475" s="268"/>
      <c r="F475" s="358" t="s">
        <v>3511</v>
      </c>
      <c r="G475" s="268" t="s">
        <v>2085</v>
      </c>
      <c r="H475" s="270">
        <v>0.017280092592592593</v>
      </c>
      <c r="I475" s="271">
        <v>44270.34583333333</v>
      </c>
      <c r="J475" s="268"/>
      <c r="K475" s="271">
        <v>44270.359988425924</v>
      </c>
      <c r="L475" s="271"/>
      <c r="M475" s="359" t="s">
        <v>2524</v>
      </c>
      <c r="N475" s="290"/>
      <c r="O475" s="276"/>
      <c r="P475" s="276"/>
      <c r="Q475" s="276"/>
      <c r="R475" s="278"/>
      <c r="S475" s="278"/>
      <c r="T475" s="278"/>
      <c r="U475" s="279"/>
      <c r="V475" s="279" t="s">
        <v>1783</v>
      </c>
      <c r="W475" s="280">
        <v>44270.0</v>
      </c>
      <c r="X475" s="281">
        <v>0.041666666666666664</v>
      </c>
      <c r="Y475" s="279" t="s">
        <v>1693</v>
      </c>
      <c r="Z475" s="282" t="s">
        <v>53</v>
      </c>
      <c r="AA475" s="282" t="s">
        <v>3511</v>
      </c>
      <c r="AB475" s="283">
        <v>44270.0</v>
      </c>
      <c r="AC475" s="284"/>
      <c r="AD475" s="284"/>
    </row>
    <row r="476" ht="14.25" customHeight="1">
      <c r="A476" s="265">
        <v>44269.0</v>
      </c>
      <c r="B476" s="266" t="s">
        <v>3512</v>
      </c>
      <c r="C476" s="266"/>
      <c r="D476" s="266" t="s">
        <v>2829</v>
      </c>
      <c r="E476" s="268"/>
      <c r="F476" s="358" t="s">
        <v>3513</v>
      </c>
      <c r="G476" s="268" t="s">
        <v>2085</v>
      </c>
      <c r="H476" s="270">
        <v>0.018449074074074073</v>
      </c>
      <c r="I476" s="271">
        <v>44270.79791666667</v>
      </c>
      <c r="J476" s="268"/>
      <c r="K476" s="271"/>
      <c r="L476" s="271"/>
      <c r="M476" s="307" t="s">
        <v>2808</v>
      </c>
      <c r="N476" s="388">
        <v>44270.0</v>
      </c>
      <c r="O476" s="276" t="s">
        <v>3514</v>
      </c>
      <c r="P476" s="268" t="s">
        <v>1463</v>
      </c>
      <c r="Q476" s="276" t="s">
        <v>3515</v>
      </c>
      <c r="R476" s="277">
        <v>44270.948541666665</v>
      </c>
      <c r="S476" s="278"/>
      <c r="T476" s="278"/>
      <c r="U476" s="279"/>
      <c r="V476" s="279"/>
      <c r="W476" s="280"/>
      <c r="X476" s="281"/>
      <c r="Y476" s="279"/>
      <c r="Z476" s="282" t="s">
        <v>53</v>
      </c>
      <c r="AA476" s="282" t="s">
        <v>3513</v>
      </c>
      <c r="AB476" s="283">
        <v>44271.0</v>
      </c>
      <c r="AC476" s="284"/>
      <c r="AD476" s="284"/>
    </row>
    <row r="477" ht="14.25" customHeight="1">
      <c r="A477" s="265">
        <v>44270.0</v>
      </c>
      <c r="B477" s="266" t="s">
        <v>1500</v>
      </c>
      <c r="C477" s="266" t="s">
        <v>1686</v>
      </c>
      <c r="D477" s="266" t="s">
        <v>1543</v>
      </c>
      <c r="E477" s="268"/>
      <c r="F477" s="269" t="s">
        <v>3516</v>
      </c>
      <c r="G477" s="268" t="s">
        <v>1463</v>
      </c>
      <c r="H477" s="270">
        <v>0.0019097222222222222</v>
      </c>
      <c r="I477" s="271">
        <v>44281.4375</v>
      </c>
      <c r="J477" s="268"/>
      <c r="K477" s="271">
        <v>44281.83269675926</v>
      </c>
      <c r="L477" s="271"/>
      <c r="M477" s="272" t="s">
        <v>3517</v>
      </c>
      <c r="N477" s="290"/>
      <c r="O477" s="276"/>
      <c r="P477" s="276"/>
      <c r="Q477" s="276"/>
      <c r="R477" s="278"/>
      <c r="S477" s="278"/>
      <c r="T477" s="278"/>
      <c r="U477" s="279"/>
      <c r="V477" s="279" t="s">
        <v>1570</v>
      </c>
      <c r="W477" s="280">
        <v>44286.0</v>
      </c>
      <c r="X477" s="281">
        <v>0.006944444444444444</v>
      </c>
      <c r="Y477" s="279" t="s">
        <v>1693</v>
      </c>
      <c r="Z477" s="282" t="s">
        <v>1570</v>
      </c>
      <c r="AA477" s="282">
        <v>6346992.0</v>
      </c>
      <c r="AB477" s="283">
        <v>44282.0</v>
      </c>
      <c r="AC477" s="284"/>
      <c r="AD477" s="284"/>
    </row>
    <row r="478" ht="14.25" customHeight="1">
      <c r="A478" s="265">
        <v>44270.0</v>
      </c>
      <c r="B478" s="266" t="s">
        <v>1733</v>
      </c>
      <c r="C478" s="266"/>
      <c r="D478" s="266" t="s">
        <v>1450</v>
      </c>
      <c r="E478" s="268"/>
      <c r="F478" s="358" t="s">
        <v>3518</v>
      </c>
      <c r="G478" s="268" t="s">
        <v>2085</v>
      </c>
      <c r="H478" s="270">
        <v>0.09888888888888887</v>
      </c>
      <c r="I478" s="271">
        <v>44270.813888888886</v>
      </c>
      <c r="J478" s="268"/>
      <c r="K478" s="271">
        <v>44270.87986111111</v>
      </c>
      <c r="L478" s="271"/>
      <c r="M478" s="359" t="s">
        <v>2524</v>
      </c>
      <c r="N478" s="290"/>
      <c r="O478" s="276"/>
      <c r="P478" s="276"/>
      <c r="Q478" s="276"/>
      <c r="R478" s="278"/>
      <c r="S478" s="278"/>
      <c r="T478" s="278"/>
      <c r="U478" s="279"/>
      <c r="V478" s="279" t="s">
        <v>1746</v>
      </c>
      <c r="W478" s="280" t="s">
        <v>3519</v>
      </c>
      <c r="X478" s="281">
        <v>0.75</v>
      </c>
      <c r="Y478" s="279" t="s">
        <v>1693</v>
      </c>
      <c r="Z478" s="282" t="s">
        <v>1570</v>
      </c>
      <c r="AA478" s="282" t="s">
        <v>3518</v>
      </c>
      <c r="AB478" s="283">
        <v>44270.0</v>
      </c>
      <c r="AC478" s="284"/>
      <c r="AD478" s="284"/>
    </row>
    <row r="479" ht="14.25" customHeight="1">
      <c r="A479" s="265">
        <v>44270.0</v>
      </c>
      <c r="B479" s="266" t="s">
        <v>1783</v>
      </c>
      <c r="C479" s="266"/>
      <c r="D479" s="266" t="s">
        <v>1452</v>
      </c>
      <c r="E479" s="268"/>
      <c r="F479" s="358" t="s">
        <v>3520</v>
      </c>
      <c r="G479" s="268" t="s">
        <v>2085</v>
      </c>
      <c r="H479" s="270">
        <v>0.007719907407407408</v>
      </c>
      <c r="I479" s="271">
        <v>44270.49166666667</v>
      </c>
      <c r="J479" s="268"/>
      <c r="K479" s="271">
        <v>44270.507210648146</v>
      </c>
      <c r="L479" s="271"/>
      <c r="M479" s="359" t="s">
        <v>2524</v>
      </c>
      <c r="N479" s="290"/>
      <c r="O479" s="276"/>
      <c r="P479" s="276"/>
      <c r="Q479" s="276"/>
      <c r="R479" s="278"/>
      <c r="S479" s="278"/>
      <c r="T479" s="278"/>
      <c r="U479" s="279"/>
      <c r="V479" s="279" t="s">
        <v>1783</v>
      </c>
      <c r="W479" s="280">
        <v>44270.0</v>
      </c>
      <c r="X479" s="281">
        <v>0.024305555555555556</v>
      </c>
      <c r="Y479" s="279" t="s">
        <v>1693</v>
      </c>
      <c r="Z479" s="282" t="s">
        <v>1570</v>
      </c>
      <c r="AA479" s="282" t="s">
        <v>3520</v>
      </c>
      <c r="AB479" s="283">
        <v>44270.0</v>
      </c>
      <c r="AC479" s="284"/>
      <c r="AD479" s="284"/>
    </row>
    <row r="480" ht="14.25" customHeight="1">
      <c r="A480" s="265">
        <v>44270.0</v>
      </c>
      <c r="B480" s="266" t="s">
        <v>1824</v>
      </c>
      <c r="C480" s="266"/>
      <c r="D480" s="266" t="s">
        <v>1686</v>
      </c>
      <c r="E480" s="268"/>
      <c r="F480" s="358" t="s">
        <v>3521</v>
      </c>
      <c r="G480" s="268" t="s">
        <v>2085</v>
      </c>
      <c r="H480" s="270">
        <v>0.03876157407407408</v>
      </c>
      <c r="I480" s="271">
        <v>44270.81597222222</v>
      </c>
      <c r="J480" s="268"/>
      <c r="K480" s="271">
        <v>44270.84920138889</v>
      </c>
      <c r="L480" s="271"/>
      <c r="M480" s="359" t="s">
        <v>2524</v>
      </c>
      <c r="N480" s="290"/>
      <c r="O480" s="276"/>
      <c r="P480" s="276"/>
      <c r="Q480" s="276"/>
      <c r="R480" s="278"/>
      <c r="S480" s="278"/>
      <c r="T480" s="278"/>
      <c r="U480" s="279"/>
      <c r="V480" s="279" t="s">
        <v>1783</v>
      </c>
      <c r="W480" s="280" t="s">
        <v>3522</v>
      </c>
      <c r="X480" s="281">
        <v>0.20833333333333334</v>
      </c>
      <c r="Y480" s="279" t="s">
        <v>1693</v>
      </c>
      <c r="Z480" s="282" t="s">
        <v>1570</v>
      </c>
      <c r="AA480" s="282" t="s">
        <v>3521</v>
      </c>
      <c r="AB480" s="283">
        <v>44270.0</v>
      </c>
      <c r="AC480" s="284"/>
      <c r="AD480" s="284"/>
    </row>
    <row r="481" ht="14.25" customHeight="1">
      <c r="A481" s="265">
        <v>44270.0</v>
      </c>
      <c r="B481" s="266" t="s">
        <v>1733</v>
      </c>
      <c r="C481" s="266"/>
      <c r="D481" s="266" t="s">
        <v>1455</v>
      </c>
      <c r="E481" s="268"/>
      <c r="F481" s="358" t="s">
        <v>3523</v>
      </c>
      <c r="G481" s="268" t="s">
        <v>2085</v>
      </c>
      <c r="H481" s="270">
        <v>0.020266203703703703</v>
      </c>
      <c r="I481" s="271" t="s">
        <v>3524</v>
      </c>
      <c r="J481" s="268"/>
      <c r="K481" s="271">
        <v>44270.959652777776</v>
      </c>
      <c r="L481" s="271"/>
      <c r="M481" s="359" t="s">
        <v>2524</v>
      </c>
      <c r="N481" s="290"/>
      <c r="O481" s="276"/>
      <c r="P481" s="276"/>
      <c r="Q481" s="276"/>
      <c r="R481" s="278"/>
      <c r="S481" s="278"/>
      <c r="T481" s="278"/>
      <c r="U481" s="279"/>
      <c r="V481" s="279" t="s">
        <v>1783</v>
      </c>
      <c r="W481" s="280">
        <v>44271.0</v>
      </c>
      <c r="X481" s="281">
        <v>0.15277777777777776</v>
      </c>
      <c r="Y481" s="279" t="s">
        <v>1693</v>
      </c>
      <c r="Z481" s="282" t="s">
        <v>1570</v>
      </c>
      <c r="AA481" s="282" t="s">
        <v>3523</v>
      </c>
      <c r="AB481" s="283">
        <v>44270.0</v>
      </c>
      <c r="AC481" s="284"/>
      <c r="AD481" s="284"/>
    </row>
    <row r="482" ht="14.25" customHeight="1">
      <c r="A482" s="265">
        <v>44271.0</v>
      </c>
      <c r="B482" s="266" t="s">
        <v>1500</v>
      </c>
      <c r="C482" s="266" t="s">
        <v>1455</v>
      </c>
      <c r="D482" s="266" t="s">
        <v>1543</v>
      </c>
      <c r="E482" s="268"/>
      <c r="F482" s="269" t="s">
        <v>3525</v>
      </c>
      <c r="G482" s="268" t="s">
        <v>1463</v>
      </c>
      <c r="H482" s="270">
        <v>0.0021527777777777778</v>
      </c>
      <c r="I482" s="271">
        <v>44280.37152777778</v>
      </c>
      <c r="J482" s="268"/>
      <c r="K482" s="271">
        <v>44281.83269675926</v>
      </c>
      <c r="L482" s="271"/>
      <c r="M482" s="272" t="s">
        <v>3517</v>
      </c>
      <c r="N482" s="290"/>
      <c r="O482" s="276"/>
      <c r="P482" s="276"/>
      <c r="Q482" s="276"/>
      <c r="R482" s="277"/>
      <c r="S482" s="278"/>
      <c r="T482" s="278"/>
      <c r="U482" s="279"/>
      <c r="V482" s="279" t="s">
        <v>1570</v>
      </c>
      <c r="W482" s="280">
        <v>44286.0</v>
      </c>
      <c r="X482" s="281">
        <v>0.006944444444444444</v>
      </c>
      <c r="Y482" s="279" t="s">
        <v>1693</v>
      </c>
      <c r="Z482" s="282" t="s">
        <v>1570</v>
      </c>
      <c r="AA482" s="282">
        <v>6346341.0</v>
      </c>
      <c r="AB482" s="283">
        <v>44280.0</v>
      </c>
      <c r="AC482" s="284"/>
      <c r="AD482" s="284"/>
    </row>
    <row r="483" ht="14.25" customHeight="1">
      <c r="A483" s="265">
        <v>44271.0</v>
      </c>
      <c r="B483" s="266" t="s">
        <v>1733</v>
      </c>
      <c r="C483" s="266"/>
      <c r="D483" s="266" t="s">
        <v>1450</v>
      </c>
      <c r="E483" s="268"/>
      <c r="F483" s="358" t="s">
        <v>3526</v>
      </c>
      <c r="G483" s="268" t="s">
        <v>2085</v>
      </c>
      <c r="H483" s="270">
        <v>0.0991087962962963</v>
      </c>
      <c r="I483" s="271">
        <v>44271.80902777778</v>
      </c>
      <c r="J483" s="268"/>
      <c r="K483" s="271">
        <v>44271.92613425926</v>
      </c>
      <c r="L483" s="271"/>
      <c r="M483" s="359" t="s">
        <v>2524</v>
      </c>
      <c r="N483" s="290"/>
      <c r="O483" s="276"/>
      <c r="P483" s="276"/>
      <c r="Q483" s="276"/>
      <c r="R483" s="278"/>
      <c r="S483" s="278"/>
      <c r="T483" s="278"/>
      <c r="U483" s="279"/>
      <c r="V483" s="279" t="s">
        <v>1685</v>
      </c>
      <c r="W483" s="280">
        <v>44278.0</v>
      </c>
      <c r="X483" s="281">
        <v>0.3333333333333333</v>
      </c>
      <c r="Y483" s="279" t="s">
        <v>1693</v>
      </c>
      <c r="Z483" s="282" t="s">
        <v>53</v>
      </c>
      <c r="AA483" s="282" t="s">
        <v>3526</v>
      </c>
      <c r="AB483" s="283">
        <v>44272.0</v>
      </c>
      <c r="AC483" s="284"/>
      <c r="AD483" s="284"/>
    </row>
    <row r="484" ht="14.25" customHeight="1">
      <c r="A484" s="265">
        <v>44271.0</v>
      </c>
      <c r="B484" s="266" t="s">
        <v>1783</v>
      </c>
      <c r="C484" s="266"/>
      <c r="D484" s="266" t="s">
        <v>1452</v>
      </c>
      <c r="E484" s="268"/>
      <c r="F484" s="358" t="s">
        <v>3527</v>
      </c>
      <c r="G484" s="268" t="s">
        <v>2085</v>
      </c>
      <c r="H484" s="270">
        <v>0.008900462962962962</v>
      </c>
      <c r="I484" s="271">
        <v>44271.63402777778</v>
      </c>
      <c r="J484" s="268"/>
      <c r="K484" s="271">
        <v>44271.643217592595</v>
      </c>
      <c r="L484" s="271"/>
      <c r="M484" s="394" t="s">
        <v>2524</v>
      </c>
      <c r="N484" s="290"/>
      <c r="O484" s="276"/>
      <c r="P484" s="276"/>
      <c r="Q484" s="276"/>
      <c r="R484" s="278"/>
      <c r="S484" s="278"/>
      <c r="T484" s="278"/>
      <c r="U484" s="279"/>
      <c r="V484" s="279" t="s">
        <v>1783</v>
      </c>
      <c r="W484" s="280" t="s">
        <v>3528</v>
      </c>
      <c r="X484" s="281">
        <v>0.041666666666666664</v>
      </c>
      <c r="Y484" s="279" t="s">
        <v>1693</v>
      </c>
      <c r="Z484" s="282" t="s">
        <v>53</v>
      </c>
      <c r="AA484" s="282" t="s">
        <v>3527</v>
      </c>
      <c r="AB484" s="283">
        <v>44272.0</v>
      </c>
      <c r="AC484" s="284"/>
      <c r="AD484" s="284"/>
    </row>
    <row r="485" ht="14.25" customHeight="1">
      <c r="A485" s="265">
        <v>44271.0</v>
      </c>
      <c r="B485" s="266" t="s">
        <v>1824</v>
      </c>
      <c r="C485" s="266"/>
      <c r="D485" s="266" t="s">
        <v>1686</v>
      </c>
      <c r="E485" s="268"/>
      <c r="F485" s="358" t="s">
        <v>3529</v>
      </c>
      <c r="G485" s="268" t="s">
        <v>2085</v>
      </c>
      <c r="H485" s="270">
        <v>0.03866898148148148</v>
      </c>
      <c r="I485" s="271">
        <v>44271.75763888889</v>
      </c>
      <c r="J485" s="268"/>
      <c r="K485" s="271">
        <v>44271.78707175926</v>
      </c>
      <c r="L485" s="271"/>
      <c r="M485" s="359" t="s">
        <v>2524</v>
      </c>
      <c r="N485" s="290"/>
      <c r="O485" s="276"/>
      <c r="P485" s="276"/>
      <c r="Q485" s="276"/>
      <c r="R485" s="278"/>
      <c r="S485" s="278"/>
      <c r="T485" s="278"/>
      <c r="U485" s="279"/>
      <c r="V485" s="279" t="s">
        <v>1824</v>
      </c>
      <c r="W485" s="280">
        <v>44277.0</v>
      </c>
      <c r="X485" s="281">
        <v>0.18325231481481483</v>
      </c>
      <c r="Y485" s="279" t="s">
        <v>1693</v>
      </c>
      <c r="Z485" s="282" t="s">
        <v>53</v>
      </c>
      <c r="AA485" s="282" t="s">
        <v>3529</v>
      </c>
      <c r="AB485" s="283">
        <v>44272.0</v>
      </c>
      <c r="AC485" s="284"/>
      <c r="AD485" s="284"/>
    </row>
    <row r="486" ht="14.25" customHeight="1">
      <c r="A486" s="265">
        <v>44271.0</v>
      </c>
      <c r="B486" s="266" t="s">
        <v>1733</v>
      </c>
      <c r="C486" s="266"/>
      <c r="D486" s="266" t="s">
        <v>1455</v>
      </c>
      <c r="E486" s="268"/>
      <c r="F486" s="358" t="s">
        <v>3530</v>
      </c>
      <c r="G486" s="268" t="s">
        <v>2085</v>
      </c>
      <c r="H486" s="270">
        <v>0.020682870370370372</v>
      </c>
      <c r="I486" s="271">
        <v>44272.021527777775</v>
      </c>
      <c r="J486" s="268"/>
      <c r="K486" s="271">
        <v>44272.03873842592</v>
      </c>
      <c r="L486" s="271"/>
      <c r="M486" s="359" t="s">
        <v>2524</v>
      </c>
      <c r="N486" s="290"/>
      <c r="O486" s="276"/>
      <c r="P486" s="276"/>
      <c r="Q486" s="276"/>
      <c r="R486" s="271"/>
      <c r="S486" s="278"/>
      <c r="T486" s="278"/>
      <c r="U486" s="279"/>
      <c r="V486" s="279" t="s">
        <v>1783</v>
      </c>
      <c r="W486" s="280">
        <v>44272.0</v>
      </c>
      <c r="X486" s="281">
        <v>0.125</v>
      </c>
      <c r="Y486" s="279" t="s">
        <v>1693</v>
      </c>
      <c r="Z486" s="282" t="s">
        <v>53</v>
      </c>
      <c r="AA486" s="282" t="s">
        <v>3530</v>
      </c>
      <c r="AB486" s="283">
        <v>44272.0</v>
      </c>
      <c r="AC486" s="284"/>
      <c r="AD486" s="284"/>
    </row>
    <row r="487" ht="14.25" customHeight="1">
      <c r="A487" s="265">
        <v>44272.0</v>
      </c>
      <c r="B487" s="266" t="s">
        <v>2030</v>
      </c>
      <c r="C487" s="266" t="s">
        <v>1696</v>
      </c>
      <c r="D487" s="266" t="s">
        <v>1543</v>
      </c>
      <c r="E487" s="268"/>
      <c r="F487" s="269" t="s">
        <v>3531</v>
      </c>
      <c r="G487" s="268" t="s">
        <v>1463</v>
      </c>
      <c r="H487" s="270">
        <v>0.0017592592592592592</v>
      </c>
      <c r="I487" s="271">
        <v>44274.3</v>
      </c>
      <c r="J487" s="268"/>
      <c r="K487" s="271">
        <v>44274.301724537036</v>
      </c>
      <c r="L487" s="271"/>
      <c r="M487" s="307" t="s">
        <v>3532</v>
      </c>
      <c r="N487" s="351">
        <v>44273.356944444444</v>
      </c>
      <c r="O487" s="276" t="s">
        <v>3533</v>
      </c>
      <c r="P487" s="275" t="s">
        <v>1463</v>
      </c>
      <c r="Q487" s="276" t="s">
        <v>1691</v>
      </c>
      <c r="R487" s="277">
        <v>44274.35952546296</v>
      </c>
      <c r="S487" s="278"/>
      <c r="T487" s="278" t="s">
        <v>3534</v>
      </c>
      <c r="U487" s="279"/>
      <c r="V487" s="279" t="s">
        <v>2030</v>
      </c>
      <c r="W487" s="280">
        <v>44274.0</v>
      </c>
      <c r="X487" s="281">
        <v>0.010416666666666666</v>
      </c>
      <c r="Y487" s="279" t="s">
        <v>1693</v>
      </c>
      <c r="Z487" s="282" t="s">
        <v>1570</v>
      </c>
      <c r="AA487" s="282">
        <v>6343606.0</v>
      </c>
      <c r="AB487" s="283">
        <v>44275.0</v>
      </c>
      <c r="AC487" s="284"/>
      <c r="AD487" s="284"/>
    </row>
    <row r="488" ht="14.25" customHeight="1">
      <c r="A488" s="265">
        <v>44272.0</v>
      </c>
      <c r="B488" s="266" t="s">
        <v>1500</v>
      </c>
      <c r="C488" s="266" t="s">
        <v>1686</v>
      </c>
      <c r="D488" s="266" t="s">
        <v>1543</v>
      </c>
      <c r="E488" s="268"/>
      <c r="F488" s="269" t="s">
        <v>3535</v>
      </c>
      <c r="G488" s="268" t="s">
        <v>1463</v>
      </c>
      <c r="H488" s="270">
        <v>0.003344907407407407</v>
      </c>
      <c r="I488" s="271">
        <v>44277.354166666664</v>
      </c>
      <c r="J488" s="268"/>
      <c r="K488" s="271">
        <v>44277.35826388889</v>
      </c>
      <c r="L488" s="271"/>
      <c r="M488" s="272" t="s">
        <v>3536</v>
      </c>
      <c r="N488" s="351"/>
      <c r="O488" s="276"/>
      <c r="P488" s="275"/>
      <c r="Q488" s="276"/>
      <c r="R488" s="277"/>
      <c r="S488" s="278"/>
      <c r="T488" s="278"/>
      <c r="U488" s="279"/>
      <c r="V488" s="279" t="s">
        <v>1783</v>
      </c>
      <c r="W488" s="280">
        <v>44291.0</v>
      </c>
      <c r="X488" s="281">
        <v>0.006944444444444444</v>
      </c>
      <c r="Y488" s="279" t="s">
        <v>1693</v>
      </c>
      <c r="Z488" s="282" t="s">
        <v>1570</v>
      </c>
      <c r="AA488" s="282">
        <v>6344506.0</v>
      </c>
      <c r="AB488" s="283">
        <v>44278.0</v>
      </c>
      <c r="AC488" s="284"/>
      <c r="AD488" s="284"/>
    </row>
    <row r="489" ht="14.25" customHeight="1">
      <c r="A489" s="265">
        <v>44272.0</v>
      </c>
      <c r="B489" s="266" t="s">
        <v>1500</v>
      </c>
      <c r="C489" s="266" t="s">
        <v>1686</v>
      </c>
      <c r="D489" s="266" t="s">
        <v>1543</v>
      </c>
      <c r="E489" s="268"/>
      <c r="F489" s="269" t="s">
        <v>3537</v>
      </c>
      <c r="G489" s="268" t="s">
        <v>1463</v>
      </c>
      <c r="H489" s="270">
        <v>5.439814814814814E-4</v>
      </c>
      <c r="I489" s="271">
        <v>44282.458333333336</v>
      </c>
      <c r="J489" s="268"/>
      <c r="K489" s="271">
        <v>44282.61960648148</v>
      </c>
      <c r="L489" s="271"/>
      <c r="M489" s="272" t="s">
        <v>3538</v>
      </c>
      <c r="N489" s="351"/>
      <c r="O489" s="276"/>
      <c r="P489" s="275"/>
      <c r="Q489" s="276"/>
      <c r="R489" s="277"/>
      <c r="S489" s="278"/>
      <c r="T489" s="278"/>
      <c r="U489" s="279"/>
      <c r="V489" s="279" t="s">
        <v>1783</v>
      </c>
      <c r="W489" s="280">
        <v>44291.0</v>
      </c>
      <c r="X489" s="281">
        <v>0.003472222222222222</v>
      </c>
      <c r="Y489" s="279" t="s">
        <v>1693</v>
      </c>
      <c r="Z489" s="282" t="s">
        <v>1570</v>
      </c>
      <c r="AA489" s="282">
        <v>6346993.0</v>
      </c>
      <c r="AB489" s="283">
        <v>44282.0</v>
      </c>
      <c r="AC489" s="284"/>
      <c r="AD489" s="284"/>
    </row>
    <row r="490" ht="14.25" customHeight="1">
      <c r="A490" s="265">
        <v>44272.0</v>
      </c>
      <c r="B490" s="266" t="s">
        <v>1824</v>
      </c>
      <c r="C490" s="266"/>
      <c r="D490" s="266" t="s">
        <v>1450</v>
      </c>
      <c r="E490" s="268"/>
      <c r="F490" s="358" t="s">
        <v>3539</v>
      </c>
      <c r="G490" s="268" t="s">
        <v>2085</v>
      </c>
      <c r="H490" s="270">
        <v>0.0991435185185185</v>
      </c>
      <c r="I490" s="271">
        <v>44272.972916666666</v>
      </c>
      <c r="J490" s="268"/>
      <c r="K490" s="271">
        <v>44273.04755787037</v>
      </c>
      <c r="L490" s="271"/>
      <c r="M490" s="359" t="s">
        <v>2524</v>
      </c>
      <c r="N490" s="351"/>
      <c r="O490" s="276"/>
      <c r="P490" s="276"/>
      <c r="Q490" s="276"/>
      <c r="R490" s="271"/>
      <c r="S490" s="278"/>
      <c r="T490" s="278"/>
      <c r="U490" s="279"/>
      <c r="V490" s="279" t="s">
        <v>1685</v>
      </c>
      <c r="W490" s="280">
        <v>44279.0</v>
      </c>
      <c r="X490" s="281">
        <v>0.3333333333333333</v>
      </c>
      <c r="Y490" s="279" t="s">
        <v>1693</v>
      </c>
      <c r="Z490" s="282" t="s">
        <v>53</v>
      </c>
      <c r="AA490" s="282" t="s">
        <v>3539</v>
      </c>
      <c r="AB490" s="283">
        <v>44273.0</v>
      </c>
      <c r="AC490" s="284"/>
      <c r="AD490" s="284"/>
    </row>
    <row r="491" ht="14.25" customHeight="1">
      <c r="A491" s="265">
        <v>44272.0</v>
      </c>
      <c r="B491" s="266" t="s">
        <v>1733</v>
      </c>
      <c r="C491" s="266"/>
      <c r="D491" s="266" t="s">
        <v>1452</v>
      </c>
      <c r="E491" s="268"/>
      <c r="F491" s="358" t="s">
        <v>3540</v>
      </c>
      <c r="G491" s="268" t="s">
        <v>2085</v>
      </c>
      <c r="H491" s="270">
        <v>0.006898148148148149</v>
      </c>
      <c r="I491" s="271">
        <v>44273.01597222222</v>
      </c>
      <c r="J491" s="268"/>
      <c r="K491" s="271"/>
      <c r="L491" s="271"/>
      <c r="M491" s="307" t="s">
        <v>2808</v>
      </c>
      <c r="N491" s="402">
        <v>44273.0</v>
      </c>
      <c r="O491" s="276" t="s">
        <v>3541</v>
      </c>
      <c r="P491" s="275" t="s">
        <v>1463</v>
      </c>
      <c r="Q491" s="276" t="s">
        <v>1693</v>
      </c>
      <c r="R491" s="278"/>
      <c r="S491" s="278"/>
      <c r="T491" s="278"/>
      <c r="U491" s="279"/>
      <c r="V491" s="279" t="s">
        <v>1783</v>
      </c>
      <c r="W491" s="280">
        <v>44277.0</v>
      </c>
      <c r="X491" s="281">
        <v>0.024305555555555556</v>
      </c>
      <c r="Y491" s="279" t="s">
        <v>1693</v>
      </c>
      <c r="Z491" s="282" t="s">
        <v>1570</v>
      </c>
      <c r="AA491" s="282" t="s">
        <v>3540</v>
      </c>
      <c r="AB491" s="283">
        <v>44273.0</v>
      </c>
      <c r="AC491" s="284"/>
      <c r="AD491" s="284"/>
    </row>
    <row r="492" ht="14.25" customHeight="1">
      <c r="A492" s="265">
        <v>44272.0</v>
      </c>
      <c r="B492" s="266" t="s">
        <v>1783</v>
      </c>
      <c r="C492" s="266"/>
      <c r="D492" s="266" t="s">
        <v>1686</v>
      </c>
      <c r="E492" s="268"/>
      <c r="F492" s="358" t="s">
        <v>3542</v>
      </c>
      <c r="G492" s="268" t="s">
        <v>2085</v>
      </c>
      <c r="H492" s="270">
        <v>0.04045138888888889</v>
      </c>
      <c r="I492" s="271">
        <v>44272.611805555556</v>
      </c>
      <c r="J492" s="268"/>
      <c r="K492" s="271">
        <v>44272.64587962963</v>
      </c>
      <c r="L492" s="271"/>
      <c r="M492" s="394" t="s">
        <v>2524</v>
      </c>
      <c r="N492" s="352"/>
      <c r="O492" s="276"/>
      <c r="P492" s="275"/>
      <c r="Q492" s="276"/>
      <c r="R492" s="278"/>
      <c r="S492" s="278"/>
      <c r="T492" s="278"/>
      <c r="U492" s="279"/>
      <c r="V492" s="279" t="s">
        <v>1824</v>
      </c>
      <c r="W492" s="280">
        <v>44277.0</v>
      </c>
      <c r="X492" s="281">
        <v>0.18189814814814817</v>
      </c>
      <c r="Y492" s="279" t="s">
        <v>1693</v>
      </c>
      <c r="Z492" s="282" t="s">
        <v>1570</v>
      </c>
      <c r="AA492" s="282" t="s">
        <v>3542</v>
      </c>
      <c r="AB492" s="283">
        <v>44272.0</v>
      </c>
      <c r="AC492" s="284"/>
      <c r="AD492" s="284"/>
    </row>
    <row r="493" ht="14.25" customHeight="1">
      <c r="A493" s="265">
        <v>44272.0</v>
      </c>
      <c r="B493" s="266" t="s">
        <v>1733</v>
      </c>
      <c r="C493" s="266"/>
      <c r="D493" s="266" t="s">
        <v>1455</v>
      </c>
      <c r="E493" s="268"/>
      <c r="F493" s="358" t="s">
        <v>3543</v>
      </c>
      <c r="G493" s="268" t="s">
        <v>2085</v>
      </c>
      <c r="H493" s="270">
        <v>0.020671296296296295</v>
      </c>
      <c r="I493" s="271">
        <v>44272.98333333333</v>
      </c>
      <c r="J493" s="268"/>
      <c r="K493" s="271">
        <v>44273.00203703704</v>
      </c>
      <c r="L493" s="271"/>
      <c r="M493" s="359" t="s">
        <v>2524</v>
      </c>
      <c r="N493" s="351"/>
      <c r="O493" s="276"/>
      <c r="P493" s="275"/>
      <c r="Q493" s="276"/>
      <c r="R493" s="278"/>
      <c r="S493" s="278"/>
      <c r="T493" s="278"/>
      <c r="U493" s="279"/>
      <c r="V493" s="279" t="s">
        <v>1783</v>
      </c>
      <c r="W493" s="280" t="s">
        <v>3544</v>
      </c>
      <c r="X493" s="281">
        <v>0.13541666666666666</v>
      </c>
      <c r="Y493" s="279" t="s">
        <v>1693</v>
      </c>
      <c r="Z493" s="282" t="s">
        <v>53</v>
      </c>
      <c r="AA493" s="282" t="s">
        <v>3543</v>
      </c>
      <c r="AB493" s="283">
        <v>44273.0</v>
      </c>
      <c r="AC493" s="284"/>
      <c r="AD493" s="284"/>
    </row>
    <row r="494" ht="14.25" customHeight="1">
      <c r="A494" s="265">
        <v>44273.0</v>
      </c>
      <c r="B494" s="266" t="s">
        <v>1824</v>
      </c>
      <c r="C494" s="266"/>
      <c r="D494" s="266" t="s">
        <v>1450</v>
      </c>
      <c r="E494" s="268"/>
      <c r="F494" s="358" t="s">
        <v>3545</v>
      </c>
      <c r="G494" s="268" t="s">
        <v>2085</v>
      </c>
      <c r="H494" s="270">
        <v>0.09987268518518518</v>
      </c>
      <c r="I494" s="271">
        <v>44273.83611111111</v>
      </c>
      <c r="J494" s="268"/>
      <c r="K494" s="271">
        <v>44273.948645833334</v>
      </c>
      <c r="L494" s="271"/>
      <c r="M494" s="359" t="s">
        <v>2524</v>
      </c>
      <c r="N494" s="351"/>
      <c r="O494" s="276"/>
      <c r="P494" s="275"/>
      <c r="Q494" s="276"/>
      <c r="R494" s="278"/>
      <c r="S494" s="278"/>
      <c r="T494" s="278"/>
      <c r="U494" s="279"/>
      <c r="V494" s="279" t="s">
        <v>1746</v>
      </c>
      <c r="W494" s="280">
        <v>44280.0</v>
      </c>
      <c r="X494" s="281">
        <v>0.3506944444444444</v>
      </c>
      <c r="Y494" s="279" t="s">
        <v>1693</v>
      </c>
      <c r="Z494" s="282" t="s">
        <v>53</v>
      </c>
      <c r="AA494" s="282" t="s">
        <v>3545</v>
      </c>
      <c r="AB494" s="283">
        <v>44274.0</v>
      </c>
      <c r="AC494" s="284"/>
      <c r="AD494" s="284"/>
    </row>
    <row r="495" ht="14.25" customHeight="1">
      <c r="A495" s="265">
        <v>44273.0</v>
      </c>
      <c r="B495" s="266" t="s">
        <v>1733</v>
      </c>
      <c r="C495" s="266"/>
      <c r="D495" s="266" t="s">
        <v>1452</v>
      </c>
      <c r="E495" s="268"/>
      <c r="F495" s="358" t="s">
        <v>3546</v>
      </c>
      <c r="G495" s="268" t="s">
        <v>2085</v>
      </c>
      <c r="H495" s="270">
        <v>0.011145833333333334</v>
      </c>
      <c r="I495" s="271">
        <v>44273.88263888889</v>
      </c>
      <c r="J495" s="268"/>
      <c r="K495" s="271">
        <v>44273.89896990741</v>
      </c>
      <c r="L495" s="271"/>
      <c r="M495" s="359" t="s">
        <v>2524</v>
      </c>
      <c r="N495" s="352"/>
      <c r="O495" s="276"/>
      <c r="P495" s="275"/>
      <c r="Q495" s="276"/>
      <c r="R495" s="278"/>
      <c r="S495" s="278"/>
      <c r="T495" s="278"/>
      <c r="U495" s="279"/>
      <c r="V495" s="279" t="s">
        <v>1783</v>
      </c>
      <c r="W495" s="280">
        <v>44278.0</v>
      </c>
      <c r="X495" s="281">
        <v>0.041666666666666664</v>
      </c>
      <c r="Y495" s="279" t="s">
        <v>1693</v>
      </c>
      <c r="Z495" s="282" t="s">
        <v>1570</v>
      </c>
      <c r="AA495" s="282" t="s">
        <v>3546</v>
      </c>
      <c r="AB495" s="283">
        <v>44273.0</v>
      </c>
      <c r="AC495" s="284"/>
      <c r="AD495" s="284"/>
    </row>
    <row r="496" ht="14.25" customHeight="1">
      <c r="A496" s="265">
        <v>44273.0</v>
      </c>
      <c r="B496" s="266" t="s">
        <v>1783</v>
      </c>
      <c r="C496" s="266"/>
      <c r="D496" s="266" t="s">
        <v>1686</v>
      </c>
      <c r="E496" s="268"/>
      <c r="F496" s="358" t="s">
        <v>3547</v>
      </c>
      <c r="G496" s="268" t="s">
        <v>2085</v>
      </c>
      <c r="H496" s="270">
        <v>0.03753472222222222</v>
      </c>
      <c r="I496" s="271">
        <v>44273.5625</v>
      </c>
      <c r="J496" s="268"/>
      <c r="K496" s="271">
        <v>44273.591574074075</v>
      </c>
      <c r="L496" s="271"/>
      <c r="M496" s="359" t="s">
        <v>2524</v>
      </c>
      <c r="N496" s="351"/>
      <c r="O496" s="276"/>
      <c r="P496" s="275"/>
      <c r="Q496" s="276"/>
      <c r="R496" s="271"/>
      <c r="S496" s="278"/>
      <c r="T496" s="278"/>
      <c r="U496" s="279"/>
      <c r="V496" s="279" t="s">
        <v>1824</v>
      </c>
      <c r="W496" s="280">
        <v>44278.0</v>
      </c>
      <c r="X496" s="281">
        <v>0.16291666666666668</v>
      </c>
      <c r="Y496" s="279" t="s">
        <v>1693</v>
      </c>
      <c r="Z496" s="282" t="s">
        <v>1570</v>
      </c>
      <c r="AA496" s="282" t="s">
        <v>3547</v>
      </c>
      <c r="AB496" s="283">
        <v>44273.0</v>
      </c>
      <c r="AC496" s="284"/>
      <c r="AD496" s="284"/>
    </row>
    <row r="497" ht="14.25" customHeight="1">
      <c r="A497" s="265">
        <v>44273.0</v>
      </c>
      <c r="B497" s="266" t="s">
        <v>1733</v>
      </c>
      <c r="C497" s="266"/>
      <c r="D497" s="266" t="s">
        <v>1455</v>
      </c>
      <c r="E497" s="268"/>
      <c r="F497" s="358" t="s">
        <v>3548</v>
      </c>
      <c r="G497" s="268" t="s">
        <v>2085</v>
      </c>
      <c r="H497" s="270">
        <v>0.020775462962962964</v>
      </c>
      <c r="I497" s="271">
        <v>44273.96805555555</v>
      </c>
      <c r="J497" s="268"/>
      <c r="K497" s="271">
        <v>44273.990266203706</v>
      </c>
      <c r="L497" s="271"/>
      <c r="M497" s="359" t="s">
        <v>2524</v>
      </c>
      <c r="N497" s="352"/>
      <c r="O497" s="276"/>
      <c r="P497" s="275"/>
      <c r="Q497" s="276"/>
      <c r="R497" s="278"/>
      <c r="S497" s="278"/>
      <c r="T497" s="278"/>
      <c r="U497" s="279"/>
      <c r="V497" s="279" t="s">
        <v>1570</v>
      </c>
      <c r="W497" s="280">
        <v>44277.0</v>
      </c>
      <c r="X497" s="281">
        <v>0.14583333333333334</v>
      </c>
      <c r="Y497" s="279" t="s">
        <v>1693</v>
      </c>
      <c r="Z497" s="282" t="s">
        <v>53</v>
      </c>
      <c r="AA497" s="282" t="s">
        <v>3548</v>
      </c>
      <c r="AB497" s="283">
        <v>44274.0</v>
      </c>
      <c r="AC497" s="284"/>
      <c r="AD497" s="284"/>
    </row>
    <row r="498" ht="14.25" customHeight="1">
      <c r="A498" s="265">
        <v>44274.0</v>
      </c>
      <c r="B498" s="266" t="s">
        <v>1824</v>
      </c>
      <c r="C498" s="266"/>
      <c r="D498" s="266" t="s">
        <v>1450</v>
      </c>
      <c r="E498" s="268"/>
      <c r="F498" s="358" t="s">
        <v>3549</v>
      </c>
      <c r="G498" s="268" t="s">
        <v>2085</v>
      </c>
      <c r="H498" s="270">
        <v>0.09917824074074073</v>
      </c>
      <c r="I498" s="271">
        <v>44274.78125</v>
      </c>
      <c r="J498" s="268"/>
      <c r="K498" s="271">
        <v>44274.897893518515</v>
      </c>
      <c r="L498" s="271"/>
      <c r="M498" s="359" t="s">
        <v>2524</v>
      </c>
      <c r="N498" s="352"/>
      <c r="O498" s="276"/>
      <c r="P498" s="276"/>
      <c r="Q498" s="276"/>
      <c r="R498" s="278"/>
      <c r="S498" s="278"/>
      <c r="T498" s="278"/>
      <c r="U498" s="279"/>
      <c r="V498" s="279" t="s">
        <v>1685</v>
      </c>
      <c r="W498" s="280" t="s">
        <v>3550</v>
      </c>
      <c r="X498" s="281"/>
      <c r="Y498" s="279" t="s">
        <v>1693</v>
      </c>
      <c r="Z498" s="282" t="s">
        <v>1570</v>
      </c>
      <c r="AA498" s="282" t="s">
        <v>3549</v>
      </c>
      <c r="AB498" s="283">
        <v>44274.0</v>
      </c>
      <c r="AC498" s="284"/>
      <c r="AD498" s="284"/>
    </row>
    <row r="499" ht="14.25" customHeight="1">
      <c r="A499" s="265">
        <v>44274.0</v>
      </c>
      <c r="B499" s="266" t="s">
        <v>1733</v>
      </c>
      <c r="C499" s="266"/>
      <c r="D499" s="266" t="s">
        <v>1452</v>
      </c>
      <c r="E499" s="268"/>
      <c r="F499" s="358" t="s">
        <v>3551</v>
      </c>
      <c r="G499" s="268" t="s">
        <v>2085</v>
      </c>
      <c r="H499" s="270">
        <v>0.0038541666666666668</v>
      </c>
      <c r="I499" s="271">
        <v>44275.02569444444</v>
      </c>
      <c r="J499" s="268"/>
      <c r="K499" s="271">
        <v>44275.0321412037</v>
      </c>
      <c r="L499" s="271"/>
      <c r="M499" s="359" t="s">
        <v>2524</v>
      </c>
      <c r="N499" s="352"/>
      <c r="O499" s="276"/>
      <c r="P499" s="276"/>
      <c r="Q499" s="276"/>
      <c r="R499" s="278"/>
      <c r="S499" s="278"/>
      <c r="T499" s="278"/>
      <c r="U499" s="279"/>
      <c r="V499" s="279" t="s">
        <v>1783</v>
      </c>
      <c r="W499" s="280">
        <v>44278.0</v>
      </c>
      <c r="X499" s="281">
        <v>0.013888888888888888</v>
      </c>
      <c r="Y499" s="279" t="s">
        <v>1693</v>
      </c>
      <c r="Z499" s="282" t="s">
        <v>1570</v>
      </c>
      <c r="AA499" s="282" t="s">
        <v>3551</v>
      </c>
      <c r="AB499" s="283">
        <v>44275.0</v>
      </c>
      <c r="AC499" s="284"/>
      <c r="AD499" s="284"/>
    </row>
    <row r="500" ht="14.25" customHeight="1">
      <c r="A500" s="265">
        <v>44274.0</v>
      </c>
      <c r="B500" s="266" t="s">
        <v>1783</v>
      </c>
      <c r="C500" s="266"/>
      <c r="D500" s="266" t="s">
        <v>1686</v>
      </c>
      <c r="E500" s="268"/>
      <c r="F500" s="358" t="s">
        <v>3552</v>
      </c>
      <c r="G500" s="268" t="s">
        <v>2085</v>
      </c>
      <c r="H500" s="270">
        <v>0.03702546296296296</v>
      </c>
      <c r="I500" s="271">
        <v>44274.57083333333</v>
      </c>
      <c r="J500" s="268"/>
      <c r="K500" s="271">
        <v>44274.606944444444</v>
      </c>
      <c r="L500" s="271"/>
      <c r="M500" s="394" t="s">
        <v>2524</v>
      </c>
      <c r="N500" s="352"/>
      <c r="O500" s="276"/>
      <c r="P500" s="276"/>
      <c r="Q500" s="276"/>
      <c r="R500" s="278"/>
      <c r="S500" s="278"/>
      <c r="T500" s="278"/>
      <c r="U500" s="279"/>
      <c r="V500" s="279" t="s">
        <v>1824</v>
      </c>
      <c r="W500" s="280">
        <v>44278.0</v>
      </c>
      <c r="X500" s="281">
        <v>0.16091435185185185</v>
      </c>
      <c r="Y500" s="279" t="s">
        <v>1693</v>
      </c>
      <c r="Z500" s="282" t="s">
        <v>1570</v>
      </c>
      <c r="AA500" s="282" t="s">
        <v>3552</v>
      </c>
      <c r="AB500" s="283">
        <v>44274.0</v>
      </c>
      <c r="AC500" s="284"/>
      <c r="AD500" s="284"/>
    </row>
    <row r="501" ht="14.25" customHeight="1">
      <c r="A501" s="265">
        <v>44274.0</v>
      </c>
      <c r="B501" s="266" t="s">
        <v>1733</v>
      </c>
      <c r="C501" s="266"/>
      <c r="D501" s="266" t="s">
        <v>1455</v>
      </c>
      <c r="E501" s="268"/>
      <c r="F501" s="358" t="s">
        <v>3553</v>
      </c>
      <c r="G501" s="268" t="s">
        <v>2085</v>
      </c>
      <c r="H501" s="270">
        <v>0.02119212962962963</v>
      </c>
      <c r="I501" s="271">
        <v>44275.06041666667</v>
      </c>
      <c r="J501" s="268"/>
      <c r="K501" s="271">
        <v>44275.41390046296</v>
      </c>
      <c r="L501" s="271"/>
      <c r="M501" s="394" t="s">
        <v>2524</v>
      </c>
      <c r="N501" s="352"/>
      <c r="O501" s="276"/>
      <c r="P501" s="276"/>
      <c r="Q501" s="276"/>
      <c r="R501" s="278"/>
      <c r="S501" s="278"/>
      <c r="T501" s="278"/>
      <c r="U501" s="279"/>
      <c r="V501" s="279" t="s">
        <v>1570</v>
      </c>
      <c r="W501" s="280" t="s">
        <v>3554</v>
      </c>
      <c r="X501" s="281">
        <v>0.14583333333333334</v>
      </c>
      <c r="Y501" s="279" t="s">
        <v>1693</v>
      </c>
      <c r="Z501" s="282" t="s">
        <v>1570</v>
      </c>
      <c r="AA501" s="282" t="s">
        <v>3553</v>
      </c>
      <c r="AB501" s="283">
        <v>44275.0</v>
      </c>
      <c r="AC501" s="284"/>
      <c r="AD501" s="284"/>
    </row>
    <row r="502" ht="14.25" customHeight="1">
      <c r="A502" s="265">
        <v>44275.0</v>
      </c>
      <c r="B502" s="266" t="s">
        <v>1500</v>
      </c>
      <c r="C502" s="266" t="s">
        <v>1455</v>
      </c>
      <c r="D502" s="266" t="s">
        <v>1543</v>
      </c>
      <c r="E502" s="268"/>
      <c r="F502" s="269" t="s">
        <v>3555</v>
      </c>
      <c r="G502" s="268" t="s">
        <v>1463</v>
      </c>
      <c r="H502" s="270">
        <v>0.0025</v>
      </c>
      <c r="I502" s="271">
        <v>44280.236805555556</v>
      </c>
      <c r="J502" s="268"/>
      <c r="K502" s="271">
        <v>44280.24423611111</v>
      </c>
      <c r="L502" s="271"/>
      <c r="M502" s="303" t="s">
        <v>3556</v>
      </c>
      <c r="N502" s="351"/>
      <c r="O502" s="269"/>
      <c r="P502" s="268"/>
      <c r="Q502" s="276"/>
      <c r="R502" s="277"/>
      <c r="S502" s="278"/>
      <c r="T502" s="278"/>
      <c r="U502" s="279"/>
      <c r="V502" s="279" t="s">
        <v>1783</v>
      </c>
      <c r="W502" s="280">
        <v>44291.0</v>
      </c>
      <c r="X502" s="281">
        <v>0.003472222222222222</v>
      </c>
      <c r="Y502" s="279" t="s">
        <v>1693</v>
      </c>
      <c r="Z502" s="282" t="s">
        <v>53</v>
      </c>
      <c r="AA502" s="282">
        <v>6346126.0</v>
      </c>
      <c r="AB502" s="283">
        <v>44280.0</v>
      </c>
      <c r="AC502" s="284"/>
      <c r="AD502" s="284"/>
    </row>
    <row r="503" ht="14.25" customHeight="1">
      <c r="A503" s="265">
        <v>44275.0</v>
      </c>
      <c r="B503" s="266" t="s">
        <v>1733</v>
      </c>
      <c r="C503" s="266"/>
      <c r="D503" s="266" t="s">
        <v>1686</v>
      </c>
      <c r="E503" s="268"/>
      <c r="F503" s="358" t="s">
        <v>3557</v>
      </c>
      <c r="G503" s="268" t="s">
        <v>2085</v>
      </c>
      <c r="H503" s="270">
        <v>0.03868055555555556</v>
      </c>
      <c r="I503" s="271">
        <v>44275.777083333334</v>
      </c>
      <c r="J503" s="268"/>
      <c r="K503" s="271">
        <v>44275.81043981481</v>
      </c>
      <c r="L503" s="271"/>
      <c r="M503" s="359" t="s">
        <v>2524</v>
      </c>
      <c r="N503" s="352"/>
      <c r="O503" s="276"/>
      <c r="P503" s="276"/>
      <c r="Q503" s="276"/>
      <c r="R503" s="278"/>
      <c r="S503" s="278"/>
      <c r="T503" s="278"/>
      <c r="U503" s="279"/>
      <c r="V503" s="279" t="s">
        <v>1824</v>
      </c>
      <c r="W503" s="280">
        <v>44279.0</v>
      </c>
      <c r="X503" s="281">
        <v>0.16755787037037037</v>
      </c>
      <c r="Y503" s="279" t="s">
        <v>1693</v>
      </c>
      <c r="Z503" s="282" t="s">
        <v>1570</v>
      </c>
      <c r="AA503" s="282" t="s">
        <v>3557</v>
      </c>
      <c r="AB503" s="283">
        <v>44275.0</v>
      </c>
      <c r="AC503" s="284"/>
      <c r="AD503" s="284"/>
    </row>
    <row r="504" ht="14.25" customHeight="1">
      <c r="A504" s="265">
        <v>44275.0</v>
      </c>
      <c r="B504" s="266" t="s">
        <v>1746</v>
      </c>
      <c r="C504" s="266"/>
      <c r="D504" s="266" t="s">
        <v>1455</v>
      </c>
      <c r="E504" s="268"/>
      <c r="F504" s="358" t="s">
        <v>3558</v>
      </c>
      <c r="G504" s="268" t="s">
        <v>2085</v>
      </c>
      <c r="H504" s="270">
        <v>0.017627314814814814</v>
      </c>
      <c r="I504" s="271">
        <v>44277.36319444444</v>
      </c>
      <c r="J504" s="268"/>
      <c r="K504" s="271">
        <v>44277.71288194445</v>
      </c>
      <c r="L504" s="271"/>
      <c r="M504" s="359" t="s">
        <v>2524</v>
      </c>
      <c r="N504" s="351"/>
      <c r="O504" s="269"/>
      <c r="P504" s="268"/>
      <c r="Q504" s="276"/>
      <c r="R504" s="271"/>
      <c r="S504" s="278"/>
      <c r="T504" s="278"/>
      <c r="U504" s="279"/>
      <c r="V504" s="279" t="s">
        <v>1570</v>
      </c>
      <c r="W504" s="280">
        <v>44279.0</v>
      </c>
      <c r="X504" s="281">
        <v>0.125</v>
      </c>
      <c r="Y504" s="279" t="s">
        <v>1693</v>
      </c>
      <c r="Z504" s="282" t="s">
        <v>53</v>
      </c>
      <c r="AA504" s="282" t="s">
        <v>3558</v>
      </c>
      <c r="AB504" s="283">
        <v>44277.0</v>
      </c>
      <c r="AC504" s="284"/>
      <c r="AD504" s="284"/>
    </row>
    <row r="505" ht="14.25" customHeight="1">
      <c r="A505" s="265">
        <v>44276.0</v>
      </c>
      <c r="B505" s="266" t="s">
        <v>1733</v>
      </c>
      <c r="C505" s="266"/>
      <c r="D505" s="266" t="s">
        <v>3509</v>
      </c>
      <c r="E505" s="268"/>
      <c r="F505" s="358">
        <v>6340384.0</v>
      </c>
      <c r="G505" s="268" t="s">
        <v>3510</v>
      </c>
      <c r="H505" s="270">
        <v>0.033761574074074076</v>
      </c>
      <c r="I505" s="271">
        <v>44277.04305555556</v>
      </c>
      <c r="J505" s="268"/>
      <c r="K505" s="271">
        <v>44278.46256944445</v>
      </c>
      <c r="L505" s="271"/>
      <c r="M505" s="278"/>
      <c r="N505" s="352"/>
      <c r="O505" s="276"/>
      <c r="P505" s="275"/>
      <c r="Q505" s="276"/>
      <c r="R505" s="278"/>
      <c r="S505" s="278"/>
      <c r="T505" s="278"/>
      <c r="U505" s="279"/>
      <c r="V505" s="279"/>
      <c r="W505" s="280"/>
      <c r="X505" s="281"/>
      <c r="Y505" s="279"/>
      <c r="Z505" s="282" t="s">
        <v>3559</v>
      </c>
      <c r="AA505" s="282">
        <v>6340384.0</v>
      </c>
      <c r="AB505" s="283">
        <v>44278.0</v>
      </c>
      <c r="AC505" s="284"/>
      <c r="AD505" s="284"/>
    </row>
    <row r="506" ht="14.25" customHeight="1">
      <c r="A506" s="265">
        <v>44276.0</v>
      </c>
      <c r="B506" s="266" t="s">
        <v>1500</v>
      </c>
      <c r="C506" s="266" t="s">
        <v>1450</v>
      </c>
      <c r="D506" s="266" t="s">
        <v>1543</v>
      </c>
      <c r="E506" s="268"/>
      <c r="F506" s="269" t="s">
        <v>3560</v>
      </c>
      <c r="G506" s="268" t="s">
        <v>1463</v>
      </c>
      <c r="H506" s="270">
        <v>0.0018518518518518517</v>
      </c>
      <c r="I506" s="271">
        <v>44285.30763888889</v>
      </c>
      <c r="J506" s="268"/>
      <c r="K506" s="271">
        <v>44286.41113425926</v>
      </c>
      <c r="L506" s="271"/>
      <c r="M506" s="359" t="s">
        <v>3505</v>
      </c>
      <c r="N506" s="352"/>
      <c r="O506" s="276"/>
      <c r="P506" s="275"/>
      <c r="Q506" s="276"/>
      <c r="R506" s="278"/>
      <c r="S506" s="278"/>
      <c r="T506" s="278"/>
      <c r="U506" s="279"/>
      <c r="V506" s="279" t="s">
        <v>1824</v>
      </c>
      <c r="W506" s="280">
        <v>44291.0</v>
      </c>
      <c r="X506" s="281">
        <v>0.01085648148148148</v>
      </c>
      <c r="Y506" s="279" t="s">
        <v>1693</v>
      </c>
      <c r="Z506" s="282" t="s">
        <v>53</v>
      </c>
      <c r="AA506" s="282">
        <v>6348201.0</v>
      </c>
      <c r="AB506" s="283">
        <v>44286.0</v>
      </c>
      <c r="AC506" s="284"/>
      <c r="AD506" s="284"/>
    </row>
    <row r="507" ht="14.25" customHeight="1">
      <c r="A507" s="265">
        <v>44276.0</v>
      </c>
      <c r="B507" s="266" t="s">
        <v>1500</v>
      </c>
      <c r="C507" s="266"/>
      <c r="D507" s="266" t="s">
        <v>1457</v>
      </c>
      <c r="E507" s="268"/>
      <c r="F507" s="358" t="s">
        <v>3561</v>
      </c>
      <c r="G507" s="268" t="s">
        <v>2085</v>
      </c>
      <c r="H507" s="270">
        <v>0.01712962962962963</v>
      </c>
      <c r="I507" s="271">
        <v>44277.36319444444</v>
      </c>
      <c r="J507" s="268"/>
      <c r="K507" s="271">
        <v>44277.71493055556</v>
      </c>
      <c r="L507" s="271"/>
      <c r="M507" s="359" t="s">
        <v>2524</v>
      </c>
      <c r="N507" s="351"/>
      <c r="O507" s="276"/>
      <c r="P507" s="275"/>
      <c r="Q507" s="276"/>
      <c r="R507" s="278"/>
      <c r="S507" s="278"/>
      <c r="T507" s="277"/>
      <c r="U507" s="279"/>
      <c r="V507" s="279" t="s">
        <v>1783</v>
      </c>
      <c r="W507" s="280">
        <v>44277.0</v>
      </c>
      <c r="X507" s="281">
        <v>0.041666666666666664</v>
      </c>
      <c r="Y507" s="279" t="s">
        <v>1693</v>
      </c>
      <c r="Z507" s="282" t="s">
        <v>53</v>
      </c>
      <c r="AA507" s="282" t="s">
        <v>3561</v>
      </c>
      <c r="AB507" s="283">
        <v>44277.0</v>
      </c>
      <c r="AC507" s="284"/>
      <c r="AD507" s="284"/>
    </row>
    <row r="508" ht="14.25" customHeight="1">
      <c r="A508" s="265">
        <v>44276.0</v>
      </c>
      <c r="B508" s="266" t="s">
        <v>1500</v>
      </c>
      <c r="C508" s="266"/>
      <c r="D508" s="266" t="s">
        <v>2829</v>
      </c>
      <c r="E508" s="268"/>
      <c r="F508" s="358" t="s">
        <v>3562</v>
      </c>
      <c r="G508" s="268" t="s">
        <v>2085</v>
      </c>
      <c r="H508" s="270">
        <v>0.01300925925925926</v>
      </c>
      <c r="I508" s="271">
        <v>44277.48888888889</v>
      </c>
      <c r="J508" s="268"/>
      <c r="K508" s="271">
        <v>44277.84180555555</v>
      </c>
      <c r="L508" s="271"/>
      <c r="M508" s="359" t="s">
        <v>2524</v>
      </c>
      <c r="N508" s="351"/>
      <c r="O508" s="276"/>
      <c r="P508" s="275"/>
      <c r="Q508" s="276"/>
      <c r="R508" s="271"/>
      <c r="S508" s="278"/>
      <c r="T508" s="278"/>
      <c r="U508" s="279"/>
      <c r="V508" s="279"/>
      <c r="W508" s="280"/>
      <c r="X508" s="281"/>
      <c r="Y508" s="279"/>
      <c r="Z508" s="282" t="s">
        <v>53</v>
      </c>
      <c r="AA508" s="282" t="s">
        <v>3562</v>
      </c>
      <c r="AB508" s="283">
        <v>44277.0</v>
      </c>
      <c r="AC508" s="284"/>
      <c r="AD508" s="284"/>
    </row>
    <row r="509" ht="14.25" customHeight="1">
      <c r="A509" s="265">
        <v>44277.0</v>
      </c>
      <c r="B509" s="266" t="s">
        <v>1500</v>
      </c>
      <c r="C509" s="266" t="s">
        <v>1450</v>
      </c>
      <c r="D509" s="266" t="s">
        <v>1543</v>
      </c>
      <c r="E509" s="268"/>
      <c r="F509" s="269" t="s">
        <v>3563</v>
      </c>
      <c r="G509" s="268" t="s">
        <v>1463</v>
      </c>
      <c r="H509" s="270">
        <v>0.0020601851851851853</v>
      </c>
      <c r="I509" s="271">
        <v>44285.35763888889</v>
      </c>
      <c r="J509" s="268"/>
      <c r="K509" s="271">
        <v>44285.69762731482</v>
      </c>
      <c r="L509" s="271"/>
      <c r="M509" s="307" t="s">
        <v>3564</v>
      </c>
      <c r="N509" s="351">
        <v>44286.55625</v>
      </c>
      <c r="O509" s="276" t="s">
        <v>3565</v>
      </c>
      <c r="P509" s="268" t="s">
        <v>1463</v>
      </c>
      <c r="Q509" s="276" t="s">
        <v>1819</v>
      </c>
      <c r="R509" s="277"/>
      <c r="S509" s="278"/>
      <c r="T509" s="359" t="s">
        <v>3505</v>
      </c>
      <c r="U509" s="279"/>
      <c r="V509" s="279" t="s">
        <v>1783</v>
      </c>
      <c r="W509" s="280">
        <v>44292.0</v>
      </c>
      <c r="X509" s="281">
        <v>0.003472222222222222</v>
      </c>
      <c r="Y509" s="279" t="s">
        <v>1693</v>
      </c>
      <c r="Z509" s="282" t="s">
        <v>53</v>
      </c>
      <c r="AA509" s="282">
        <v>6348202.0</v>
      </c>
      <c r="AB509" s="283">
        <v>44286.0</v>
      </c>
      <c r="AC509" s="284"/>
      <c r="AD509" s="284"/>
    </row>
    <row r="510" ht="14.25" customHeight="1">
      <c r="A510" s="265">
        <v>44277.0</v>
      </c>
      <c r="B510" s="266" t="s">
        <v>1500</v>
      </c>
      <c r="C510" s="266" t="s">
        <v>1450</v>
      </c>
      <c r="D510" s="266" t="s">
        <v>1543</v>
      </c>
      <c r="E510" s="268"/>
      <c r="F510" s="269" t="s">
        <v>3566</v>
      </c>
      <c r="G510" s="268" t="s">
        <v>1463</v>
      </c>
      <c r="H510" s="270">
        <v>0.0011805555555555556</v>
      </c>
      <c r="I510" s="271">
        <v>44285.38402777778</v>
      </c>
      <c r="J510" s="268"/>
      <c r="K510" s="271">
        <v>44286.412465277775</v>
      </c>
      <c r="L510" s="271"/>
      <c r="M510" s="359" t="s">
        <v>3505</v>
      </c>
      <c r="N510" s="351"/>
      <c r="O510" s="276"/>
      <c r="P510" s="268"/>
      <c r="Q510" s="276"/>
      <c r="R510" s="277"/>
      <c r="S510" s="278"/>
      <c r="T510" s="278"/>
      <c r="U510" s="279"/>
      <c r="V510" s="279" t="s">
        <v>1783</v>
      </c>
      <c r="W510" s="280">
        <v>44292.0</v>
      </c>
      <c r="X510" s="281">
        <v>0.001388888888888889</v>
      </c>
      <c r="Y510" s="279" t="s">
        <v>1693</v>
      </c>
      <c r="Z510" s="282" t="s">
        <v>53</v>
      </c>
      <c r="AA510" s="282">
        <v>6348203.0</v>
      </c>
      <c r="AB510" s="283">
        <v>44286.0</v>
      </c>
      <c r="AC510" s="284"/>
      <c r="AD510" s="284"/>
    </row>
    <row r="511" ht="14.25" customHeight="1">
      <c r="A511" s="265">
        <v>44277.0</v>
      </c>
      <c r="B511" s="266" t="s">
        <v>1500</v>
      </c>
      <c r="C511" s="266" t="s">
        <v>1450</v>
      </c>
      <c r="D511" s="266" t="s">
        <v>1543</v>
      </c>
      <c r="E511" s="268"/>
      <c r="F511" s="269" t="s">
        <v>3567</v>
      </c>
      <c r="G511" s="268" t="s">
        <v>1463</v>
      </c>
      <c r="H511" s="270">
        <v>8.912037037037036E-4</v>
      </c>
      <c r="I511" s="271">
        <v>44285.31458333333</v>
      </c>
      <c r="J511" s="268"/>
      <c r="K511" s="271">
        <v>44285.318506944444</v>
      </c>
      <c r="L511" s="271"/>
      <c r="M511" s="272" t="s">
        <v>3568</v>
      </c>
      <c r="N511" s="351"/>
      <c r="O511" s="276"/>
      <c r="P511" s="268"/>
      <c r="Q511" s="276"/>
      <c r="R511" s="277"/>
      <c r="S511" s="278"/>
      <c r="T511" s="278"/>
      <c r="U511" s="279"/>
      <c r="V511" s="279" t="s">
        <v>1783</v>
      </c>
      <c r="W511" s="280">
        <v>44292.0</v>
      </c>
      <c r="X511" s="281">
        <v>0.001388888888888889</v>
      </c>
      <c r="Y511" s="279" t="s">
        <v>1693</v>
      </c>
      <c r="Z511" s="282" t="s">
        <v>1570</v>
      </c>
      <c r="AA511" s="282">
        <v>6348692.0</v>
      </c>
      <c r="AB511" s="283">
        <v>44286.0</v>
      </c>
      <c r="AC511" s="284"/>
      <c r="AD511" s="284"/>
    </row>
    <row r="512" ht="14.25" customHeight="1">
      <c r="A512" s="265">
        <v>44277.0</v>
      </c>
      <c r="B512" s="266" t="s">
        <v>1746</v>
      </c>
      <c r="C512" s="266"/>
      <c r="D512" s="266" t="s">
        <v>1450</v>
      </c>
      <c r="E512" s="268"/>
      <c r="F512" s="358" t="s">
        <v>3569</v>
      </c>
      <c r="G512" s="268" t="s">
        <v>2085</v>
      </c>
      <c r="H512" s="270">
        <v>0.09966435185185185</v>
      </c>
      <c r="I512" s="271">
        <v>44277.85902777778</v>
      </c>
      <c r="J512" s="268"/>
      <c r="K512" s="271">
        <v>44277.981782407405</v>
      </c>
      <c r="L512" s="271"/>
      <c r="M512" s="359" t="s">
        <v>2524</v>
      </c>
      <c r="N512" s="352"/>
      <c r="O512" s="276"/>
      <c r="P512" s="268"/>
      <c r="Q512" s="276"/>
      <c r="R512" s="271"/>
      <c r="S512" s="278"/>
      <c r="T512" s="278"/>
      <c r="U512" s="279"/>
      <c r="V512" s="279" t="s">
        <v>1746</v>
      </c>
      <c r="W512" s="280">
        <v>44281.0</v>
      </c>
      <c r="X512" s="281">
        <v>0.34722222222222227</v>
      </c>
      <c r="Y512" s="279" t="s">
        <v>1693</v>
      </c>
      <c r="Z512" s="282" t="s">
        <v>1570</v>
      </c>
      <c r="AA512" s="282" t="s">
        <v>3569</v>
      </c>
      <c r="AB512" s="283">
        <v>44278.0</v>
      </c>
      <c r="AC512" s="284"/>
      <c r="AD512" s="284"/>
    </row>
    <row r="513" ht="14.25" customHeight="1">
      <c r="A513" s="265">
        <v>44277.0</v>
      </c>
      <c r="B513" s="266" t="s">
        <v>1783</v>
      </c>
      <c r="C513" s="266"/>
      <c r="D513" s="266" t="s">
        <v>1452</v>
      </c>
      <c r="E513" s="268"/>
      <c r="F513" s="358" t="s">
        <v>3570</v>
      </c>
      <c r="G513" s="268" t="s">
        <v>2085</v>
      </c>
      <c r="H513" s="270">
        <v>0.007638888888888889</v>
      </c>
      <c r="I513" s="271">
        <v>44277.58263888889</v>
      </c>
      <c r="J513" s="268"/>
      <c r="K513" s="271">
        <v>44277.60755787037</v>
      </c>
      <c r="L513" s="271"/>
      <c r="M513" s="359" t="s">
        <v>2524</v>
      </c>
      <c r="N513" s="351"/>
      <c r="O513" s="276"/>
      <c r="P513" s="275"/>
      <c r="Q513" s="276"/>
      <c r="R513" s="278"/>
      <c r="S513" s="278"/>
      <c r="T513" s="278"/>
      <c r="U513" s="279"/>
      <c r="V513" s="279" t="s">
        <v>1783</v>
      </c>
      <c r="W513" s="280">
        <v>44279.0</v>
      </c>
      <c r="X513" s="281">
        <v>0.034722222222222224</v>
      </c>
      <c r="Y513" s="279" t="s">
        <v>1693</v>
      </c>
      <c r="Z513" s="282" t="s">
        <v>1570</v>
      </c>
      <c r="AA513" s="282" t="s">
        <v>3570</v>
      </c>
      <c r="AB513" s="283">
        <v>44278.0</v>
      </c>
      <c r="AC513" s="284"/>
      <c r="AD513" s="284"/>
    </row>
    <row r="514" ht="14.25" customHeight="1">
      <c r="A514" s="265">
        <v>44277.0</v>
      </c>
      <c r="B514" s="266" t="s">
        <v>1824</v>
      </c>
      <c r="C514" s="266"/>
      <c r="D514" s="266" t="s">
        <v>1686</v>
      </c>
      <c r="E514" s="268"/>
      <c r="F514" s="358" t="s">
        <v>3571</v>
      </c>
      <c r="G514" s="268" t="s">
        <v>2085</v>
      </c>
      <c r="H514" s="270">
        <v>0.038969907407407404</v>
      </c>
      <c r="I514" s="271">
        <v>44277.0</v>
      </c>
      <c r="J514" s="268"/>
      <c r="K514" s="271">
        <v>44278.77905092593</v>
      </c>
      <c r="L514" s="271"/>
      <c r="M514" s="359" t="s">
        <v>2524</v>
      </c>
      <c r="N514" s="351"/>
      <c r="O514" s="276"/>
      <c r="P514" s="275"/>
      <c r="Q514" s="276"/>
      <c r="R514" s="278"/>
      <c r="S514" s="278"/>
      <c r="T514" s="278"/>
      <c r="U514" s="279"/>
      <c r="V514" s="279" t="s">
        <v>1824</v>
      </c>
      <c r="W514" s="280">
        <v>44280.0</v>
      </c>
      <c r="X514" s="281">
        <v>0.14583333333333334</v>
      </c>
      <c r="Y514" s="279" t="s">
        <v>1693</v>
      </c>
      <c r="Z514" s="282" t="s">
        <v>1570</v>
      </c>
      <c r="AA514" s="282" t="s">
        <v>3571</v>
      </c>
      <c r="AB514" s="283">
        <v>44278.0</v>
      </c>
      <c r="AC514" s="284"/>
      <c r="AD514" s="284"/>
    </row>
    <row r="515" ht="14.25" customHeight="1">
      <c r="A515" s="265">
        <v>44277.0</v>
      </c>
      <c r="B515" s="266" t="s">
        <v>1733</v>
      </c>
      <c r="C515" s="266"/>
      <c r="D515" s="266" t="s">
        <v>1455</v>
      </c>
      <c r="E515" s="268"/>
      <c r="F515" s="358" t="s">
        <v>3572</v>
      </c>
      <c r="G515" s="268" t="s">
        <v>2085</v>
      </c>
      <c r="H515" s="270">
        <v>0.02148148148148148</v>
      </c>
      <c r="I515" s="271">
        <v>44277.98055555556</v>
      </c>
      <c r="J515" s="268"/>
      <c r="K515" s="271">
        <v>44277.996932870374</v>
      </c>
      <c r="L515" s="271"/>
      <c r="M515" s="359" t="s">
        <v>2524</v>
      </c>
      <c r="N515" s="351"/>
      <c r="O515" s="276"/>
      <c r="P515" s="268"/>
      <c r="Q515" s="276"/>
      <c r="R515" s="271"/>
      <c r="S515" s="278"/>
      <c r="T515" s="278"/>
      <c r="U515" s="279"/>
      <c r="V515" s="279" t="s">
        <v>1783</v>
      </c>
      <c r="W515" s="280" t="s">
        <v>3573</v>
      </c>
      <c r="X515" s="281">
        <v>0.125</v>
      </c>
      <c r="Y515" s="279" t="s">
        <v>1693</v>
      </c>
      <c r="Z515" s="282" t="s">
        <v>1570</v>
      </c>
      <c r="AA515" s="282" t="s">
        <v>3572</v>
      </c>
      <c r="AB515" s="283">
        <v>44278.0</v>
      </c>
      <c r="AC515" s="284"/>
      <c r="AD515" s="284"/>
    </row>
    <row r="516" ht="14.25" customHeight="1">
      <c r="A516" s="265">
        <v>44278.0</v>
      </c>
      <c r="B516" s="266" t="s">
        <v>1500</v>
      </c>
      <c r="C516" s="266" t="s">
        <v>1455</v>
      </c>
      <c r="D516" s="266" t="s">
        <v>1543</v>
      </c>
      <c r="E516" s="268"/>
      <c r="F516" s="269" t="s">
        <v>3574</v>
      </c>
      <c r="G516" s="268" t="s">
        <v>1463</v>
      </c>
      <c r="H516" s="270">
        <v>9.953703703703704E-4</v>
      </c>
      <c r="I516" s="271">
        <v>44280.46527777778</v>
      </c>
      <c r="J516" s="268"/>
      <c r="K516" s="271">
        <v>44280.803125</v>
      </c>
      <c r="L516" s="271"/>
      <c r="M516" s="359" t="s">
        <v>3505</v>
      </c>
      <c r="N516" s="352"/>
      <c r="O516" s="276"/>
      <c r="P516" s="276"/>
      <c r="Q516" s="276"/>
      <c r="R516" s="278"/>
      <c r="S516" s="278"/>
      <c r="T516" s="278"/>
      <c r="U516" s="279"/>
      <c r="V516" s="279" t="s">
        <v>1783</v>
      </c>
      <c r="W516" s="280">
        <v>44292.0</v>
      </c>
      <c r="X516" s="281">
        <v>0.002777777777777778</v>
      </c>
      <c r="Y516" s="279" t="s">
        <v>1693</v>
      </c>
      <c r="Z516" s="282" t="s">
        <v>1570</v>
      </c>
      <c r="AA516" s="282">
        <v>6346342.0</v>
      </c>
      <c r="AB516" s="283">
        <v>44280.0</v>
      </c>
      <c r="AC516" s="284"/>
      <c r="AD516" s="284"/>
    </row>
    <row r="517" ht="14.25" customHeight="1">
      <c r="A517" s="265">
        <v>44278.0</v>
      </c>
      <c r="B517" s="266" t="s">
        <v>1746</v>
      </c>
      <c r="C517" s="266"/>
      <c r="D517" s="266" t="s">
        <v>1450</v>
      </c>
      <c r="E517" s="268"/>
      <c r="F517" s="358" t="s">
        <v>3575</v>
      </c>
      <c r="G517" s="268" t="s">
        <v>2085</v>
      </c>
      <c r="H517" s="270">
        <v>0.10023148148148148</v>
      </c>
      <c r="I517" s="271">
        <v>44278.751388888886</v>
      </c>
      <c r="J517" s="268"/>
      <c r="K517" s="271">
        <v>44278.86782407408</v>
      </c>
      <c r="L517" s="271"/>
      <c r="M517" s="359" t="s">
        <v>2524</v>
      </c>
      <c r="N517" s="351"/>
      <c r="O517" s="291"/>
      <c r="P517" s="275"/>
      <c r="Q517" s="276"/>
      <c r="R517" s="271"/>
      <c r="S517" s="278"/>
      <c r="T517" s="278"/>
      <c r="U517" s="279"/>
      <c r="V517" s="279" t="s">
        <v>1685</v>
      </c>
      <c r="W517" s="280" t="s">
        <v>3576</v>
      </c>
      <c r="X517" s="281">
        <v>0.4166666666666667</v>
      </c>
      <c r="Y517" s="279" t="s">
        <v>1693</v>
      </c>
      <c r="Z517" s="282" t="s">
        <v>1570</v>
      </c>
      <c r="AA517" s="282" t="s">
        <v>3575</v>
      </c>
      <c r="AB517" s="283">
        <v>44278.0</v>
      </c>
      <c r="AC517" s="284"/>
      <c r="AD517" s="284"/>
    </row>
    <row r="518" ht="14.25" customHeight="1">
      <c r="A518" s="265">
        <v>44278.0</v>
      </c>
      <c r="B518" s="266" t="s">
        <v>1783</v>
      </c>
      <c r="C518" s="266"/>
      <c r="D518" s="266" t="s">
        <v>1452</v>
      </c>
      <c r="E518" s="268"/>
      <c r="F518" s="358" t="s">
        <v>3577</v>
      </c>
      <c r="G518" s="268" t="s">
        <v>2085</v>
      </c>
      <c r="H518" s="270">
        <v>0.008819444444444444</v>
      </c>
      <c r="I518" s="271">
        <v>44278.60625</v>
      </c>
      <c r="J518" s="268"/>
      <c r="K518" s="271">
        <v>44278.62048611111</v>
      </c>
      <c r="L518" s="271"/>
      <c r="M518" s="359" t="s">
        <v>2524</v>
      </c>
      <c r="N518" s="351"/>
      <c r="O518" s="276"/>
      <c r="P518" s="268"/>
      <c r="Q518" s="276"/>
      <c r="R518" s="271"/>
      <c r="S518" s="278"/>
      <c r="T518" s="278"/>
      <c r="U518" s="279"/>
      <c r="V518" s="279" t="s">
        <v>1783</v>
      </c>
      <c r="W518" s="280">
        <v>44279.0</v>
      </c>
      <c r="X518" s="281">
        <v>0.041666666666666664</v>
      </c>
      <c r="Y518" s="279" t="s">
        <v>1693</v>
      </c>
      <c r="Z518" s="282" t="s">
        <v>1570</v>
      </c>
      <c r="AA518" s="282" t="s">
        <v>3577</v>
      </c>
      <c r="AB518" s="283">
        <v>44278.0</v>
      </c>
      <c r="AC518" s="284"/>
      <c r="AD518" s="284"/>
    </row>
    <row r="519" ht="14.25" customHeight="1">
      <c r="A519" s="265">
        <v>44278.0</v>
      </c>
      <c r="B519" s="266" t="s">
        <v>1733</v>
      </c>
      <c r="C519" s="266"/>
      <c r="D519" s="266" t="s">
        <v>1686</v>
      </c>
      <c r="E519" s="268"/>
      <c r="F519" s="358" t="s">
        <v>3578</v>
      </c>
      <c r="G519" s="268" t="s">
        <v>2085</v>
      </c>
      <c r="H519" s="270">
        <v>0.03846064814814815</v>
      </c>
      <c r="I519" s="271">
        <v>44278.75347222222</v>
      </c>
      <c r="J519" s="268"/>
      <c r="K519" s="271">
        <v>44278.80734953703</v>
      </c>
      <c r="L519" s="271"/>
      <c r="M519" s="359" t="s">
        <v>2524</v>
      </c>
      <c r="N519" s="352"/>
      <c r="O519" s="276"/>
      <c r="P519" s="276"/>
      <c r="Q519" s="276"/>
      <c r="R519" s="278"/>
      <c r="S519" s="278"/>
      <c r="T519" s="278"/>
      <c r="U519" s="279"/>
      <c r="V519" s="279" t="s">
        <v>1824</v>
      </c>
      <c r="W519" s="280" t="s">
        <v>3550</v>
      </c>
      <c r="X519" s="281">
        <v>0.14583333333333334</v>
      </c>
      <c r="Y519" s="279" t="s">
        <v>1693</v>
      </c>
      <c r="Z519" s="282" t="s">
        <v>1570</v>
      </c>
      <c r="AA519" s="282" t="s">
        <v>3578</v>
      </c>
      <c r="AB519" s="283">
        <v>44278.0</v>
      </c>
      <c r="AC519" s="284"/>
      <c r="AD519" s="284"/>
    </row>
    <row r="520" ht="14.25" customHeight="1">
      <c r="A520" s="265">
        <v>44278.0</v>
      </c>
      <c r="B520" s="266" t="s">
        <v>1733</v>
      </c>
      <c r="C520" s="266"/>
      <c r="D520" s="266" t="s">
        <v>1455</v>
      </c>
      <c r="E520" s="268"/>
      <c r="F520" s="358" t="s">
        <v>3579</v>
      </c>
      <c r="G520" s="268" t="s">
        <v>2085</v>
      </c>
      <c r="H520" s="270">
        <v>0.021666666666666667</v>
      </c>
      <c r="I520" s="271">
        <v>44279.00208333333</v>
      </c>
      <c r="J520" s="268"/>
      <c r="K520" s="271">
        <v>44279.02979166667</v>
      </c>
      <c r="L520" s="271"/>
      <c r="M520" s="359" t="s">
        <v>2524</v>
      </c>
      <c r="N520" s="352"/>
      <c r="O520" s="276"/>
      <c r="P520" s="276"/>
      <c r="Q520" s="276"/>
      <c r="R520" s="278"/>
      <c r="S520" s="278"/>
      <c r="T520" s="278"/>
      <c r="U520" s="279"/>
      <c r="V520" s="279" t="s">
        <v>1783</v>
      </c>
      <c r="W520" s="280">
        <v>44280.0</v>
      </c>
      <c r="X520" s="281">
        <v>0.10416666666666667</v>
      </c>
      <c r="Y520" s="279" t="s">
        <v>1693</v>
      </c>
      <c r="Z520" s="282" t="s">
        <v>1570</v>
      </c>
      <c r="AA520" s="282" t="s">
        <v>3579</v>
      </c>
      <c r="AB520" s="283">
        <v>44279.0</v>
      </c>
      <c r="AC520" s="284"/>
      <c r="AD520" s="284"/>
    </row>
    <row r="521" ht="14.25" customHeight="1">
      <c r="A521" s="265">
        <v>44279.0</v>
      </c>
      <c r="B521" s="266" t="s">
        <v>1824</v>
      </c>
      <c r="C521" s="266" t="s">
        <v>1831</v>
      </c>
      <c r="D521" s="266" t="s">
        <v>1686</v>
      </c>
      <c r="E521" s="268"/>
      <c r="F521" s="269" t="s">
        <v>3580</v>
      </c>
      <c r="G521" s="268" t="s">
        <v>2085</v>
      </c>
      <c r="H521" s="270">
        <v>0.0019560185185185184</v>
      </c>
      <c r="I521" s="271">
        <v>44288.541666666664</v>
      </c>
      <c r="J521" s="268"/>
      <c r="K521" s="271">
        <v>44288.56041666667</v>
      </c>
      <c r="L521" s="271"/>
      <c r="M521" s="359"/>
      <c r="N521" s="352"/>
      <c r="O521" s="276"/>
      <c r="P521" s="276"/>
      <c r="Q521" s="276"/>
      <c r="R521" s="278"/>
      <c r="S521" s="278"/>
      <c r="T521" s="278"/>
      <c r="U521" s="279"/>
      <c r="V521" s="279" t="s">
        <v>1824</v>
      </c>
      <c r="W521" s="280">
        <v>44288.0</v>
      </c>
      <c r="X521" s="281">
        <v>0.008333333333333333</v>
      </c>
      <c r="Y521" s="279" t="s">
        <v>1693</v>
      </c>
      <c r="Z521" s="282" t="s">
        <v>1570</v>
      </c>
      <c r="AA521" s="282">
        <v>6349591.0</v>
      </c>
      <c r="AB521" s="283">
        <v>44292.0</v>
      </c>
      <c r="AC521" s="284"/>
      <c r="AD521" s="284"/>
    </row>
    <row r="522" ht="14.25" customHeight="1">
      <c r="A522" s="265">
        <v>44279.0</v>
      </c>
      <c r="B522" s="266" t="s">
        <v>1746</v>
      </c>
      <c r="C522" s="266"/>
      <c r="D522" s="266" t="s">
        <v>1450</v>
      </c>
      <c r="E522" s="268"/>
      <c r="F522" s="358" t="s">
        <v>3581</v>
      </c>
      <c r="G522" s="268" t="s">
        <v>2085</v>
      </c>
      <c r="H522" s="270">
        <v>0.10041666666666667</v>
      </c>
      <c r="I522" s="271">
        <v>44279.96805555555</v>
      </c>
      <c r="J522" s="268"/>
      <c r="K522" s="271">
        <v>44280.07638888889</v>
      </c>
      <c r="L522" s="271"/>
      <c r="M522" s="359" t="s">
        <v>2524</v>
      </c>
      <c r="N522" s="352"/>
      <c r="O522" s="276"/>
      <c r="P522" s="276"/>
      <c r="Q522" s="276"/>
      <c r="R522" s="278"/>
      <c r="S522" s="278"/>
      <c r="T522" s="278"/>
      <c r="U522" s="279"/>
      <c r="V522" s="279" t="s">
        <v>1733</v>
      </c>
      <c r="W522" s="280">
        <v>44284.0</v>
      </c>
      <c r="X522" s="281">
        <v>0.2708333333333333</v>
      </c>
      <c r="Y522" s="279" t="s">
        <v>1693</v>
      </c>
      <c r="Z522" s="282" t="s">
        <v>53</v>
      </c>
      <c r="AA522" s="282" t="s">
        <v>3581</v>
      </c>
      <c r="AB522" s="283">
        <v>44280.0</v>
      </c>
      <c r="AC522" s="284"/>
      <c r="AD522" s="284"/>
    </row>
    <row r="523" ht="14.25" customHeight="1">
      <c r="A523" s="265">
        <v>44279.0</v>
      </c>
      <c r="B523" s="266" t="s">
        <v>1783</v>
      </c>
      <c r="C523" s="266"/>
      <c r="D523" s="266" t="s">
        <v>1452</v>
      </c>
      <c r="E523" s="268"/>
      <c r="F523" s="358" t="s">
        <v>3582</v>
      </c>
      <c r="G523" s="268" t="s">
        <v>2085</v>
      </c>
      <c r="H523" s="270">
        <v>0.004155092592592593</v>
      </c>
      <c r="I523" s="271">
        <v>44279.479166666664</v>
      </c>
      <c r="J523" s="268"/>
      <c r="K523" s="271">
        <v>44279.48674768519</v>
      </c>
      <c r="L523" s="271"/>
      <c r="M523" s="359" t="s">
        <v>2524</v>
      </c>
      <c r="N523" s="352"/>
      <c r="O523" s="276"/>
      <c r="P523" s="276"/>
      <c r="Q523" s="276"/>
      <c r="R523" s="278"/>
      <c r="S523" s="278"/>
      <c r="T523" s="278"/>
      <c r="U523" s="279"/>
      <c r="V523" s="279" t="s">
        <v>1783</v>
      </c>
      <c r="W523" s="280">
        <v>44279.0</v>
      </c>
      <c r="X523" s="281">
        <v>0.010416666666666666</v>
      </c>
      <c r="Y523" s="279" t="s">
        <v>1693</v>
      </c>
      <c r="Z523" s="282" t="s">
        <v>1570</v>
      </c>
      <c r="AA523" s="282" t="s">
        <v>3582</v>
      </c>
      <c r="AB523" s="283">
        <v>44279.0</v>
      </c>
      <c r="AC523" s="284"/>
      <c r="AD523" s="284"/>
    </row>
    <row r="524" ht="14.25" customHeight="1">
      <c r="A524" s="265">
        <v>44279.0</v>
      </c>
      <c r="B524" s="266" t="s">
        <v>1824</v>
      </c>
      <c r="C524" s="266"/>
      <c r="D524" s="266" t="s">
        <v>1686</v>
      </c>
      <c r="E524" s="268"/>
      <c r="F524" s="358" t="s">
        <v>3583</v>
      </c>
      <c r="G524" s="268" t="s">
        <v>2085</v>
      </c>
      <c r="H524" s="270">
        <v>0.03974537037037037</v>
      </c>
      <c r="I524" s="271">
        <v>44279.96944444445</v>
      </c>
      <c r="J524" s="268"/>
      <c r="K524" s="271">
        <v>44280.01666666667</v>
      </c>
      <c r="L524" s="271"/>
      <c r="M524" s="359" t="s">
        <v>2524</v>
      </c>
      <c r="N524" s="352"/>
      <c r="O524" s="276"/>
      <c r="P524" s="276"/>
      <c r="Q524" s="276"/>
      <c r="R524" s="278"/>
      <c r="S524" s="278"/>
      <c r="T524" s="278"/>
      <c r="U524" s="279"/>
      <c r="V524" s="279" t="s">
        <v>1824</v>
      </c>
      <c r="W524" s="280" t="s">
        <v>3584</v>
      </c>
      <c r="X524" s="281">
        <v>0.14583333333333334</v>
      </c>
      <c r="Y524" s="279" t="s">
        <v>1693</v>
      </c>
      <c r="Z524" s="282" t="s">
        <v>53</v>
      </c>
      <c r="AA524" s="282" t="s">
        <v>3583</v>
      </c>
      <c r="AB524" s="283">
        <v>44280.0</v>
      </c>
      <c r="AC524" s="284"/>
      <c r="AD524" s="284"/>
    </row>
    <row r="525" ht="14.25" customHeight="1">
      <c r="A525" s="265">
        <v>44279.0</v>
      </c>
      <c r="B525" s="266" t="s">
        <v>1733</v>
      </c>
      <c r="C525" s="266"/>
      <c r="D525" s="266" t="s">
        <v>1455</v>
      </c>
      <c r="E525" s="268"/>
      <c r="F525" s="358" t="s">
        <v>3585</v>
      </c>
      <c r="G525" s="268" t="s">
        <v>2085</v>
      </c>
      <c r="H525" s="270">
        <v>0.020532407407407405</v>
      </c>
      <c r="I525" s="271">
        <v>44280.08472222222</v>
      </c>
      <c r="J525" s="268"/>
      <c r="K525" s="271">
        <v>44280.71671296296</v>
      </c>
      <c r="L525" s="271"/>
      <c r="M525" s="359" t="s">
        <v>2524</v>
      </c>
      <c r="N525" s="352"/>
      <c r="O525" s="276"/>
      <c r="P525" s="276"/>
      <c r="Q525" s="276"/>
      <c r="R525" s="278"/>
      <c r="S525" s="278"/>
      <c r="T525" s="278"/>
      <c r="U525" s="279"/>
      <c r="V525" s="279" t="s">
        <v>1570</v>
      </c>
      <c r="W525" s="280">
        <v>44280.0</v>
      </c>
      <c r="X525" s="281">
        <v>0.125</v>
      </c>
      <c r="Y525" s="279" t="s">
        <v>1693</v>
      </c>
      <c r="Z525" s="282" t="s">
        <v>53</v>
      </c>
      <c r="AA525" s="282" t="s">
        <v>3585</v>
      </c>
      <c r="AB525" s="283">
        <v>44280.0</v>
      </c>
      <c r="AC525" s="284"/>
      <c r="AD525" s="284"/>
    </row>
    <row r="526" ht="14.25" customHeight="1">
      <c r="A526" s="265">
        <v>44280.0</v>
      </c>
      <c r="B526" s="266" t="s">
        <v>1500</v>
      </c>
      <c r="C526" s="266" t="s">
        <v>2083</v>
      </c>
      <c r="D526" s="266" t="s">
        <v>1543</v>
      </c>
      <c r="E526" s="268"/>
      <c r="F526" s="269" t="s">
        <v>3586</v>
      </c>
      <c r="G526" s="268" t="s">
        <v>1463</v>
      </c>
      <c r="H526" s="270">
        <v>0.0026620370370370374</v>
      </c>
      <c r="I526" s="271">
        <v>44282.625</v>
      </c>
      <c r="J526" s="268"/>
      <c r="K526" s="271">
        <v>44282.87741898148</v>
      </c>
      <c r="L526" s="271"/>
      <c r="M526" s="307" t="s">
        <v>3587</v>
      </c>
      <c r="N526" s="351">
        <v>44284.28472222222</v>
      </c>
      <c r="O526" s="276" t="s">
        <v>3588</v>
      </c>
      <c r="P526" s="275" t="s">
        <v>2085</v>
      </c>
      <c r="Q526" s="276" t="s">
        <v>1819</v>
      </c>
      <c r="R526" s="277">
        <v>44284.279131944444</v>
      </c>
      <c r="S526" s="278"/>
      <c r="T526" s="278" t="s">
        <v>3589</v>
      </c>
      <c r="U526" s="279"/>
      <c r="V526" s="279" t="s">
        <v>1783</v>
      </c>
      <c r="W526" s="280">
        <v>44292.0</v>
      </c>
      <c r="X526" s="281">
        <v>0.004861111111111111</v>
      </c>
      <c r="Y526" s="279" t="s">
        <v>1693</v>
      </c>
      <c r="Z526" s="282" t="s">
        <v>1570</v>
      </c>
      <c r="AA526" s="282">
        <v>6347234.0</v>
      </c>
      <c r="AB526" s="283">
        <v>44284.0</v>
      </c>
      <c r="AC526" s="284"/>
      <c r="AD526" s="284"/>
    </row>
    <row r="527" ht="14.25" customHeight="1">
      <c r="A527" s="265">
        <v>44280.0</v>
      </c>
      <c r="B527" s="266" t="s">
        <v>1500</v>
      </c>
      <c r="C527" s="266" t="s">
        <v>1696</v>
      </c>
      <c r="D527" s="266" t="s">
        <v>1543</v>
      </c>
      <c r="E527" s="268"/>
      <c r="F527" s="269" t="s">
        <v>3590</v>
      </c>
      <c r="G527" s="268" t="s">
        <v>1463</v>
      </c>
      <c r="H527" s="270">
        <v>8.564814814814815E-4</v>
      </c>
      <c r="I527" s="271">
        <v>44286.51388888889</v>
      </c>
      <c r="J527" s="268"/>
      <c r="K527" s="271">
        <v>44286.52413194445</v>
      </c>
      <c r="L527" s="271"/>
      <c r="M527" s="272" t="s">
        <v>3591</v>
      </c>
      <c r="N527" s="351"/>
      <c r="O527" s="276"/>
      <c r="P527" s="275"/>
      <c r="Q527" s="276"/>
      <c r="R527" s="277"/>
      <c r="S527" s="278"/>
      <c r="T527" s="278"/>
      <c r="U527" s="279"/>
      <c r="V527" s="279" t="s">
        <v>1783</v>
      </c>
      <c r="W527" s="280">
        <v>44292.0</v>
      </c>
      <c r="X527" s="281">
        <v>0.0020833333333333333</v>
      </c>
      <c r="Y527" s="279" t="s">
        <v>1693</v>
      </c>
      <c r="Z527" s="282" t="s">
        <v>1570</v>
      </c>
      <c r="AA527" s="282">
        <v>6348693.0</v>
      </c>
      <c r="AB527" s="283">
        <v>44286.0</v>
      </c>
      <c r="AC527" s="284"/>
      <c r="AD527" s="284"/>
    </row>
    <row r="528" ht="14.25" customHeight="1">
      <c r="A528" s="265">
        <v>44280.0</v>
      </c>
      <c r="B528" s="266" t="s">
        <v>1746</v>
      </c>
      <c r="C528" s="266"/>
      <c r="D528" s="266" t="s">
        <v>1450</v>
      </c>
      <c r="E528" s="268"/>
      <c r="F528" s="358" t="s">
        <v>3592</v>
      </c>
      <c r="G528" s="268" t="s">
        <v>2085</v>
      </c>
      <c r="H528" s="270">
        <v>0.10082175925925925</v>
      </c>
      <c r="I528" s="271">
        <v>44280.85138888889</v>
      </c>
      <c r="J528" s="268"/>
      <c r="K528" s="271">
        <v>44280.92663194444</v>
      </c>
      <c r="L528" s="271"/>
      <c r="M528" s="359" t="s">
        <v>2524</v>
      </c>
      <c r="N528" s="352"/>
      <c r="O528" s="291"/>
      <c r="P528" s="268"/>
      <c r="Q528" s="276"/>
      <c r="R528" s="278"/>
      <c r="S528" s="278"/>
      <c r="T528" s="278"/>
      <c r="U528" s="279"/>
      <c r="V528" s="279" t="s">
        <v>1733</v>
      </c>
      <c r="W528" s="280">
        <v>44285.0</v>
      </c>
      <c r="X528" s="281">
        <v>0.2916666666666667</v>
      </c>
      <c r="Y528" s="279" t="s">
        <v>1693</v>
      </c>
      <c r="Z528" s="282" t="s">
        <v>1570</v>
      </c>
      <c r="AA528" s="282" t="s">
        <v>3592</v>
      </c>
      <c r="AB528" s="283">
        <v>44281.0</v>
      </c>
      <c r="AC528" s="284"/>
      <c r="AD528" s="284"/>
    </row>
    <row r="529" ht="14.25" customHeight="1">
      <c r="A529" s="265">
        <v>44280.0</v>
      </c>
      <c r="B529" s="266" t="s">
        <v>1783</v>
      </c>
      <c r="C529" s="266"/>
      <c r="D529" s="266" t="s">
        <v>1452</v>
      </c>
      <c r="E529" s="268"/>
      <c r="F529" s="358" t="s">
        <v>3593</v>
      </c>
      <c r="G529" s="268" t="s">
        <v>2085</v>
      </c>
      <c r="H529" s="270">
        <v>0.0027199074074074074</v>
      </c>
      <c r="I529" s="271">
        <v>44280.44097222222</v>
      </c>
      <c r="J529" s="268"/>
      <c r="K529" s="271">
        <v>44280.445706018516</v>
      </c>
      <c r="L529" s="271"/>
      <c r="M529" s="359" t="s">
        <v>2524</v>
      </c>
      <c r="N529" s="352"/>
      <c r="O529" s="276"/>
      <c r="P529" s="276"/>
      <c r="Q529" s="276"/>
      <c r="R529" s="278"/>
      <c r="S529" s="278"/>
      <c r="T529" s="278"/>
      <c r="U529" s="279"/>
      <c r="V529" s="279" t="s">
        <v>1783</v>
      </c>
      <c r="W529" s="280">
        <v>44280.0</v>
      </c>
      <c r="X529" s="281">
        <v>0.008333333333333333</v>
      </c>
      <c r="Y529" s="279" t="s">
        <v>1693</v>
      </c>
      <c r="Z529" s="282" t="s">
        <v>1570</v>
      </c>
      <c r="AA529" s="282" t="s">
        <v>3593</v>
      </c>
      <c r="AB529" s="283">
        <v>44280.0</v>
      </c>
      <c r="AC529" s="284"/>
      <c r="AD529" s="284"/>
    </row>
    <row r="530" ht="14.25" customHeight="1">
      <c r="A530" s="265">
        <v>44280.0</v>
      </c>
      <c r="B530" s="266" t="s">
        <v>1824</v>
      </c>
      <c r="C530" s="266"/>
      <c r="D530" s="266" t="s">
        <v>1686</v>
      </c>
      <c r="E530" s="268"/>
      <c r="F530" s="358" t="s">
        <v>3594</v>
      </c>
      <c r="G530" s="268" t="s">
        <v>2085</v>
      </c>
      <c r="H530" s="270">
        <v>0.037731481481481484</v>
      </c>
      <c r="I530" s="271">
        <v>44280.85208333333</v>
      </c>
      <c r="J530" s="268"/>
      <c r="K530" s="271" t="s">
        <v>3595</v>
      </c>
      <c r="L530" s="271"/>
      <c r="M530" s="359" t="s">
        <v>2524</v>
      </c>
      <c r="N530" s="351"/>
      <c r="O530" s="276"/>
      <c r="P530" s="275"/>
      <c r="Q530" s="276"/>
      <c r="R530" s="271"/>
      <c r="S530" s="278"/>
      <c r="T530" s="278"/>
      <c r="U530" s="279"/>
      <c r="V530" s="279" t="s">
        <v>1824</v>
      </c>
      <c r="W530" s="280">
        <v>44284.0</v>
      </c>
      <c r="X530" s="281">
        <v>0.14583333333333334</v>
      </c>
      <c r="Y530" s="279" t="s">
        <v>1693</v>
      </c>
      <c r="Z530" s="282" t="s">
        <v>1570</v>
      </c>
      <c r="AA530" s="282" t="s">
        <v>3594</v>
      </c>
      <c r="AB530" s="283">
        <v>44281.0</v>
      </c>
      <c r="AC530" s="284"/>
      <c r="AD530" s="284"/>
    </row>
    <row r="531" ht="14.25" customHeight="1">
      <c r="A531" s="265">
        <v>44280.0</v>
      </c>
      <c r="B531" s="266" t="s">
        <v>1733</v>
      </c>
      <c r="C531" s="266"/>
      <c r="D531" s="266" t="s">
        <v>1455</v>
      </c>
      <c r="E531" s="268"/>
      <c r="F531" s="358" t="s">
        <v>3596</v>
      </c>
      <c r="G531" s="268" t="s">
        <v>2085</v>
      </c>
      <c r="H531" s="270">
        <v>0.020011574074074074</v>
      </c>
      <c r="I531" s="271">
        <v>44280.941666666666</v>
      </c>
      <c r="J531" s="268"/>
      <c r="K531" s="271">
        <v>44280.95891203704</v>
      </c>
      <c r="L531" s="271"/>
      <c r="M531" s="359" t="s">
        <v>2524</v>
      </c>
      <c r="N531" s="351"/>
      <c r="O531" s="276"/>
      <c r="P531" s="275"/>
      <c r="Q531" s="276"/>
      <c r="R531" s="271"/>
      <c r="S531" s="278"/>
      <c r="T531" s="278"/>
      <c r="U531" s="279"/>
      <c r="V531" s="279" t="s">
        <v>1570</v>
      </c>
      <c r="W531" s="280">
        <v>44281.0</v>
      </c>
      <c r="X531" s="281">
        <v>0.125</v>
      </c>
      <c r="Y531" s="279" t="s">
        <v>1693</v>
      </c>
      <c r="Z531" s="282" t="s">
        <v>1570</v>
      </c>
      <c r="AA531" s="282" t="s">
        <v>3596</v>
      </c>
      <c r="AB531" s="283">
        <v>44281.0</v>
      </c>
      <c r="AC531" s="284"/>
      <c r="AD531" s="284"/>
    </row>
    <row r="532" ht="14.25" customHeight="1">
      <c r="A532" s="265">
        <v>44281.0</v>
      </c>
      <c r="B532" s="266" t="s">
        <v>1500</v>
      </c>
      <c r="C532" s="266" t="s">
        <v>1686</v>
      </c>
      <c r="D532" s="266" t="s">
        <v>1543</v>
      </c>
      <c r="E532" s="268"/>
      <c r="F532" s="269" t="s">
        <v>3597</v>
      </c>
      <c r="G532" s="268" t="s">
        <v>1463</v>
      </c>
      <c r="H532" s="270">
        <v>0.0014351851851851854</v>
      </c>
      <c r="I532" s="271">
        <v>44282.635416666664</v>
      </c>
      <c r="J532" s="268"/>
      <c r="K532" s="271">
        <v>44282.60925925926</v>
      </c>
      <c r="L532" s="271"/>
      <c r="M532" s="272" t="s">
        <v>3598</v>
      </c>
      <c r="N532" s="352"/>
      <c r="O532" s="276"/>
      <c r="P532" s="276"/>
      <c r="Q532" s="276"/>
      <c r="R532" s="278"/>
      <c r="S532" s="278"/>
      <c r="T532" s="278"/>
      <c r="U532" s="279"/>
      <c r="V532" s="279" t="s">
        <v>1783</v>
      </c>
      <c r="W532" s="280">
        <v>44292.0</v>
      </c>
      <c r="X532" s="281">
        <v>0.003472222222222222</v>
      </c>
      <c r="Y532" s="279" t="s">
        <v>1693</v>
      </c>
      <c r="Z532" s="282" t="s">
        <v>1570</v>
      </c>
      <c r="AA532" s="282">
        <v>6346994.0</v>
      </c>
      <c r="AB532" s="283">
        <v>44282.0</v>
      </c>
      <c r="AC532" s="284"/>
      <c r="AD532" s="284"/>
    </row>
    <row r="533" ht="14.25" customHeight="1">
      <c r="A533" s="265">
        <v>44281.0</v>
      </c>
      <c r="B533" s="266" t="s">
        <v>1500</v>
      </c>
      <c r="C533" s="266" t="s">
        <v>2083</v>
      </c>
      <c r="D533" s="266" t="s">
        <v>1543</v>
      </c>
      <c r="E533" s="268"/>
      <c r="F533" s="269" t="s">
        <v>3599</v>
      </c>
      <c r="G533" s="268" t="s">
        <v>1463</v>
      </c>
      <c r="H533" s="270">
        <v>0.0018750000000000001</v>
      </c>
      <c r="I533" s="271">
        <v>44282.375</v>
      </c>
      <c r="J533" s="268"/>
      <c r="K533" s="271">
        <v>44282.390497685185</v>
      </c>
      <c r="L533" s="271"/>
      <c r="M533" s="272" t="s">
        <v>3600</v>
      </c>
      <c r="N533" s="352"/>
      <c r="O533" s="276"/>
      <c r="P533" s="276"/>
      <c r="Q533" s="276"/>
      <c r="R533" s="278"/>
      <c r="S533" s="278"/>
      <c r="T533" s="278"/>
      <c r="U533" s="279"/>
      <c r="V533" s="279" t="s">
        <v>1783</v>
      </c>
      <c r="W533" s="280">
        <v>44292.0</v>
      </c>
      <c r="X533" s="281">
        <v>0.0020833333333333333</v>
      </c>
      <c r="Y533" s="279" t="s">
        <v>1693</v>
      </c>
      <c r="Z533" s="282" t="s">
        <v>1570</v>
      </c>
      <c r="AA533" s="282">
        <v>6346995.0</v>
      </c>
      <c r="AB533" s="283">
        <v>44282.0</v>
      </c>
      <c r="AC533" s="284"/>
      <c r="AD533" s="284"/>
    </row>
    <row r="534" ht="14.25" customHeight="1">
      <c r="A534" s="265">
        <v>44281.0</v>
      </c>
      <c r="B534" s="266" t="s">
        <v>1746</v>
      </c>
      <c r="C534" s="266"/>
      <c r="D534" s="266" t="s">
        <v>1450</v>
      </c>
      <c r="E534" s="268"/>
      <c r="F534" s="358" t="s">
        <v>3601</v>
      </c>
      <c r="G534" s="268" t="s">
        <v>2085</v>
      </c>
      <c r="H534" s="270">
        <v>0.09923611111111112</v>
      </c>
      <c r="I534" s="271">
        <v>44281.95347222222</v>
      </c>
      <c r="J534" s="268"/>
      <c r="K534" s="271">
        <v>44282.01162037037</v>
      </c>
      <c r="L534" s="271"/>
      <c r="M534" s="359" t="s">
        <v>2524</v>
      </c>
      <c r="N534" s="352"/>
      <c r="O534" s="276"/>
      <c r="P534" s="276"/>
      <c r="Q534" s="276"/>
      <c r="R534" s="268"/>
      <c r="S534" s="278"/>
      <c r="T534" s="278"/>
      <c r="U534" s="279"/>
      <c r="V534" s="279" t="s">
        <v>1685</v>
      </c>
      <c r="W534" s="280">
        <v>43921.0</v>
      </c>
      <c r="X534" s="281"/>
      <c r="Y534" s="279" t="s">
        <v>1693</v>
      </c>
      <c r="Z534" s="282" t="s">
        <v>1570</v>
      </c>
      <c r="AA534" s="282" t="s">
        <v>3601</v>
      </c>
      <c r="AB534" s="283">
        <v>44281.0</v>
      </c>
      <c r="AC534" s="284"/>
      <c r="AD534" s="284"/>
    </row>
    <row r="535" ht="14.25" customHeight="1">
      <c r="A535" s="265">
        <v>44281.0</v>
      </c>
      <c r="B535" s="266" t="s">
        <v>1783</v>
      </c>
      <c r="C535" s="266"/>
      <c r="D535" s="266" t="s">
        <v>1452</v>
      </c>
      <c r="E535" s="268"/>
      <c r="F535" s="358" t="s">
        <v>3602</v>
      </c>
      <c r="G535" s="268" t="s">
        <v>2085</v>
      </c>
      <c r="H535" s="270">
        <v>0.004699074074074074</v>
      </c>
      <c r="I535" s="271">
        <v>44281.46111111111</v>
      </c>
      <c r="J535" s="268"/>
      <c r="K535" s="271">
        <v>44281.47011574074</v>
      </c>
      <c r="L535" s="271"/>
      <c r="M535" s="359" t="s">
        <v>2524</v>
      </c>
      <c r="N535" s="351"/>
      <c r="O535" s="276"/>
      <c r="P535" s="268"/>
      <c r="Q535" s="276"/>
      <c r="R535" s="278"/>
      <c r="S535" s="278"/>
      <c r="T535" s="278"/>
      <c r="U535" s="279"/>
      <c r="V535" s="279" t="s">
        <v>1783</v>
      </c>
      <c r="W535" s="280">
        <v>44281.0</v>
      </c>
      <c r="X535" s="281">
        <v>0.010416666666666666</v>
      </c>
      <c r="Y535" s="279" t="s">
        <v>1693</v>
      </c>
      <c r="Z535" s="282" t="s">
        <v>1570</v>
      </c>
      <c r="AA535" s="282" t="s">
        <v>3602</v>
      </c>
      <c r="AB535" s="283">
        <v>44281.0</v>
      </c>
      <c r="AC535" s="284"/>
      <c r="AD535" s="284"/>
    </row>
    <row r="536" ht="14.25" customHeight="1">
      <c r="A536" s="265">
        <v>44281.0</v>
      </c>
      <c r="B536" s="266" t="s">
        <v>1824</v>
      </c>
      <c r="C536" s="266"/>
      <c r="D536" s="266" t="s">
        <v>1686</v>
      </c>
      <c r="E536" s="268"/>
      <c r="F536" s="358" t="s">
        <v>3603</v>
      </c>
      <c r="G536" s="268" t="s">
        <v>2085</v>
      </c>
      <c r="H536" s="270">
        <v>0.03854166666666667</v>
      </c>
      <c r="I536" s="271">
        <v>44281.95625</v>
      </c>
      <c r="J536" s="268"/>
      <c r="K536" s="271">
        <v>44281.98584490741</v>
      </c>
      <c r="L536" s="271"/>
      <c r="M536" s="359" t="s">
        <v>2524</v>
      </c>
      <c r="N536" s="352"/>
      <c r="O536" s="276"/>
      <c r="P536" s="276"/>
      <c r="Q536" s="276"/>
      <c r="R536" s="278"/>
      <c r="S536" s="278"/>
      <c r="T536" s="278"/>
      <c r="U536" s="279"/>
      <c r="V536" s="279" t="s">
        <v>1824</v>
      </c>
      <c r="W536" s="280" t="s">
        <v>3576</v>
      </c>
      <c r="X536" s="281">
        <v>0.14583333333333334</v>
      </c>
      <c r="Y536" s="279" t="s">
        <v>1693</v>
      </c>
      <c r="Z536" s="282" t="s">
        <v>1570</v>
      </c>
      <c r="AA536" s="282" t="s">
        <v>3603</v>
      </c>
      <c r="AB536" s="283">
        <v>44282.0</v>
      </c>
      <c r="AC536" s="284"/>
      <c r="AD536" s="284"/>
    </row>
    <row r="537" ht="14.25" customHeight="1">
      <c r="A537" s="265">
        <v>44281.0</v>
      </c>
      <c r="B537" s="266" t="s">
        <v>1733</v>
      </c>
      <c r="C537" s="266"/>
      <c r="D537" s="266" t="s">
        <v>1455</v>
      </c>
      <c r="E537" s="268"/>
      <c r="F537" s="358" t="s">
        <v>3604</v>
      </c>
      <c r="G537" s="268" t="s">
        <v>2085</v>
      </c>
      <c r="H537" s="270">
        <v>0.020520833333333332</v>
      </c>
      <c r="I537" s="271">
        <v>44281.98055555556</v>
      </c>
      <c r="J537" s="268"/>
      <c r="K537" s="271">
        <v>44282.00136574074</v>
      </c>
      <c r="L537" s="271"/>
      <c r="M537" s="359" t="s">
        <v>2524</v>
      </c>
      <c r="N537" s="352"/>
      <c r="O537" s="276"/>
      <c r="P537" s="276"/>
      <c r="Q537" s="276"/>
      <c r="R537" s="278"/>
      <c r="S537" s="278"/>
      <c r="T537" s="278"/>
      <c r="U537" s="279"/>
      <c r="V537" s="279" t="s">
        <v>1783</v>
      </c>
      <c r="W537" s="280">
        <v>44284.0</v>
      </c>
      <c r="X537" s="281">
        <v>0.09375</v>
      </c>
      <c r="Y537" s="279" t="s">
        <v>1693</v>
      </c>
      <c r="Z537" s="282" t="s">
        <v>1570</v>
      </c>
      <c r="AA537" s="282" t="s">
        <v>3604</v>
      </c>
      <c r="AB537" s="283">
        <v>44282.0</v>
      </c>
      <c r="AC537" s="284"/>
      <c r="AD537" s="284"/>
    </row>
    <row r="538" ht="14.25" customHeight="1">
      <c r="A538" s="265">
        <v>44282.0</v>
      </c>
      <c r="B538" s="266" t="s">
        <v>1500</v>
      </c>
      <c r="C538" s="266" t="s">
        <v>2179</v>
      </c>
      <c r="D538" s="266" t="s">
        <v>1543</v>
      </c>
      <c r="E538" s="268"/>
      <c r="F538" s="269" t="s">
        <v>3605</v>
      </c>
      <c r="G538" s="268" t="s">
        <v>1463</v>
      </c>
      <c r="H538" s="270">
        <v>0.0014351851851851854</v>
      </c>
      <c r="I538" s="271">
        <v>44284.25902777778</v>
      </c>
      <c r="J538" s="268"/>
      <c r="K538" s="271">
        <v>44284.26803240741</v>
      </c>
      <c r="L538" s="271"/>
      <c r="M538" s="272" t="s">
        <v>3606</v>
      </c>
      <c r="N538" s="352"/>
      <c r="O538" s="276"/>
      <c r="P538" s="276"/>
      <c r="Q538" s="276"/>
      <c r="R538" s="278"/>
      <c r="S538" s="278"/>
      <c r="T538" s="278"/>
      <c r="U538" s="279"/>
      <c r="V538" s="279" t="s">
        <v>1783</v>
      </c>
      <c r="W538" s="280">
        <v>44292.0</v>
      </c>
      <c r="X538" s="281">
        <v>0.001388888888888889</v>
      </c>
      <c r="Y538" s="279" t="s">
        <v>1693</v>
      </c>
      <c r="Z538" s="282" t="s">
        <v>1570</v>
      </c>
      <c r="AA538" s="282">
        <v>6347235.0</v>
      </c>
      <c r="AB538" s="283">
        <v>44284.0</v>
      </c>
      <c r="AC538" s="284"/>
      <c r="AD538" s="284"/>
    </row>
    <row r="539" ht="14.25" customHeight="1">
      <c r="A539" s="265">
        <v>44282.0</v>
      </c>
      <c r="B539" s="266" t="s">
        <v>1500</v>
      </c>
      <c r="C539" s="266" t="s">
        <v>2179</v>
      </c>
      <c r="D539" s="266" t="s">
        <v>1543</v>
      </c>
      <c r="E539" s="268"/>
      <c r="F539" s="269" t="s">
        <v>3607</v>
      </c>
      <c r="G539" s="268" t="s">
        <v>1463</v>
      </c>
      <c r="H539" s="270">
        <v>0.004479166666666667</v>
      </c>
      <c r="I539" s="271">
        <v>44284.32638888889</v>
      </c>
      <c r="J539" s="268"/>
      <c r="K539" s="271">
        <v>44284.33069444444</v>
      </c>
      <c r="L539" s="271"/>
      <c r="M539" s="272" t="s">
        <v>3608</v>
      </c>
      <c r="N539" s="352"/>
      <c r="O539" s="276"/>
      <c r="P539" s="276"/>
      <c r="Q539" s="276"/>
      <c r="R539" s="278"/>
      <c r="S539" s="278"/>
      <c r="T539" s="278"/>
      <c r="U539" s="279"/>
      <c r="V539" s="279" t="s">
        <v>1783</v>
      </c>
      <c r="W539" s="280">
        <v>44292.0</v>
      </c>
      <c r="X539" s="281">
        <v>0.004861111111111111</v>
      </c>
      <c r="Y539" s="279" t="s">
        <v>1693</v>
      </c>
      <c r="Z539" s="282" t="s">
        <v>53</v>
      </c>
      <c r="AA539" s="282">
        <v>6347647.0</v>
      </c>
      <c r="AB539" s="283">
        <v>44285.0</v>
      </c>
      <c r="AC539" s="284"/>
      <c r="AD539" s="284"/>
    </row>
    <row r="540" ht="14.25" customHeight="1">
      <c r="A540" s="265">
        <v>44282.0</v>
      </c>
      <c r="B540" s="266" t="s">
        <v>1500</v>
      </c>
      <c r="C540" s="266" t="s">
        <v>2471</v>
      </c>
      <c r="D540" s="266" t="s">
        <v>1543</v>
      </c>
      <c r="E540" s="268"/>
      <c r="F540" s="269" t="s">
        <v>3609</v>
      </c>
      <c r="G540" s="268" t="s">
        <v>1463</v>
      </c>
      <c r="H540" s="270">
        <v>7.75462962962963E-4</v>
      </c>
      <c r="I540" s="271">
        <v>44285.26388888889</v>
      </c>
      <c r="J540" s="268"/>
      <c r="K540" s="271">
        <v>44286.412777777776</v>
      </c>
      <c r="L540" s="271"/>
      <c r="M540" s="359" t="s">
        <v>3505</v>
      </c>
      <c r="N540" s="352"/>
      <c r="O540" s="276"/>
      <c r="P540" s="276"/>
      <c r="Q540" s="276"/>
      <c r="R540" s="278"/>
      <c r="S540" s="278"/>
      <c r="T540" s="278"/>
      <c r="U540" s="279"/>
      <c r="V540" s="279" t="s">
        <v>1783</v>
      </c>
      <c r="W540" s="280">
        <v>44292.0</v>
      </c>
      <c r="X540" s="281">
        <v>0.001388888888888889</v>
      </c>
      <c r="Y540" s="279" t="s">
        <v>1693</v>
      </c>
      <c r="Z540" s="282" t="s">
        <v>53</v>
      </c>
      <c r="AA540" s="282">
        <v>6348204.0</v>
      </c>
      <c r="AB540" s="283">
        <v>44286.0</v>
      </c>
      <c r="AC540" s="284"/>
      <c r="AD540" s="284"/>
    </row>
    <row r="541" ht="14.25" customHeight="1">
      <c r="A541" s="265">
        <v>44282.0</v>
      </c>
      <c r="B541" s="266" t="s">
        <v>1500</v>
      </c>
      <c r="C541" s="266" t="s">
        <v>1455</v>
      </c>
      <c r="D541" s="266" t="s">
        <v>1543</v>
      </c>
      <c r="E541" s="268"/>
      <c r="F541" s="269" t="s">
        <v>3610</v>
      </c>
      <c r="G541" s="268" t="s">
        <v>1463</v>
      </c>
      <c r="H541" s="270">
        <v>8.101851851851852E-4</v>
      </c>
      <c r="I541" s="271">
        <v>44287.38888888889</v>
      </c>
      <c r="J541" s="268"/>
      <c r="K541" s="271">
        <v>44287.727002314816</v>
      </c>
      <c r="L541" s="271"/>
      <c r="M541" s="272" t="s">
        <v>3611</v>
      </c>
      <c r="N541" s="352"/>
      <c r="O541" s="276"/>
      <c r="P541" s="276"/>
      <c r="Q541" s="276"/>
      <c r="R541" s="278"/>
      <c r="S541" s="278"/>
      <c r="T541" s="278"/>
      <c r="U541" s="279"/>
      <c r="V541" s="279" t="s">
        <v>1783</v>
      </c>
      <c r="W541" s="280">
        <v>44292.0</v>
      </c>
      <c r="X541" s="281">
        <v>0.001388888888888889</v>
      </c>
      <c r="Y541" s="279" t="s">
        <v>1693</v>
      </c>
      <c r="Z541" s="282" t="s">
        <v>53</v>
      </c>
      <c r="AA541" s="282">
        <v>6349397.0</v>
      </c>
      <c r="AB541" s="283">
        <v>44292.0</v>
      </c>
      <c r="AC541" s="284"/>
      <c r="AD541" s="284"/>
    </row>
    <row r="542" ht="14.25" customHeight="1">
      <c r="A542" s="265">
        <v>44282.0</v>
      </c>
      <c r="B542" s="266" t="s">
        <v>1738</v>
      </c>
      <c r="C542" s="266"/>
      <c r="D542" s="266" t="s">
        <v>1686</v>
      </c>
      <c r="E542" s="268"/>
      <c r="F542" s="358" t="s">
        <v>3612</v>
      </c>
      <c r="G542" s="268" t="s">
        <v>2085</v>
      </c>
      <c r="H542" s="270">
        <v>0.03995370370370371</v>
      </c>
      <c r="I542" s="271">
        <v>44282.72430555556</v>
      </c>
      <c r="J542" s="268"/>
      <c r="K542" s="271">
        <v>44283.09333333333</v>
      </c>
      <c r="L542" s="271"/>
      <c r="M542" s="359" t="s">
        <v>2524</v>
      </c>
      <c r="N542" s="351"/>
      <c r="O542" s="276"/>
      <c r="P542" s="268"/>
      <c r="Q542" s="276"/>
      <c r="R542" s="271"/>
      <c r="S542" s="278"/>
      <c r="T542" s="278"/>
      <c r="U542" s="279"/>
      <c r="V542" s="279" t="s">
        <v>1824</v>
      </c>
      <c r="W542" s="280">
        <v>44285.0</v>
      </c>
      <c r="X542" s="281">
        <v>0.14583333333333334</v>
      </c>
      <c r="Y542" s="279" t="s">
        <v>1693</v>
      </c>
      <c r="Z542" s="282" t="s">
        <v>1570</v>
      </c>
      <c r="AA542" s="282" t="s">
        <v>3612</v>
      </c>
      <c r="AB542" s="283">
        <v>44282.0</v>
      </c>
      <c r="AC542" s="284"/>
      <c r="AD542" s="284"/>
    </row>
    <row r="543" ht="14.25" customHeight="1">
      <c r="A543" s="265">
        <v>44282.0</v>
      </c>
      <c r="B543" s="266" t="s">
        <v>1733</v>
      </c>
      <c r="C543" s="266"/>
      <c r="D543" s="266" t="s">
        <v>1455</v>
      </c>
      <c r="E543" s="268"/>
      <c r="F543" s="358" t="s">
        <v>3613</v>
      </c>
      <c r="G543" s="268" t="s">
        <v>2085</v>
      </c>
      <c r="H543" s="270">
        <v>0.01730324074074074</v>
      </c>
      <c r="I543" s="271">
        <v>44283.777083333334</v>
      </c>
      <c r="J543" s="268"/>
      <c r="K543" s="271">
        <v>44283.79572916667</v>
      </c>
      <c r="L543" s="271"/>
      <c r="M543" s="359" t="s">
        <v>2524</v>
      </c>
      <c r="N543" s="352"/>
      <c r="O543" s="276"/>
      <c r="P543" s="276"/>
      <c r="Q543" s="276"/>
      <c r="R543" s="278"/>
      <c r="S543" s="278"/>
      <c r="T543" s="278"/>
      <c r="U543" s="279"/>
      <c r="V543" s="279" t="s">
        <v>1570</v>
      </c>
      <c r="W543" s="280" t="s">
        <v>3576</v>
      </c>
      <c r="X543" s="281">
        <v>0.125</v>
      </c>
      <c r="Y543" s="279" t="s">
        <v>1693</v>
      </c>
      <c r="Z543" s="282" t="s">
        <v>53</v>
      </c>
      <c r="AA543" s="282" t="s">
        <v>3613</v>
      </c>
      <c r="AB543" s="283">
        <v>44284.0</v>
      </c>
      <c r="AC543" s="284"/>
      <c r="AD543" s="284"/>
    </row>
    <row r="544" ht="14.25" customHeight="1">
      <c r="A544" s="265">
        <v>44283.0</v>
      </c>
      <c r="B544" s="266" t="s">
        <v>1733</v>
      </c>
      <c r="C544" s="266"/>
      <c r="D544" s="267" t="s">
        <v>3509</v>
      </c>
      <c r="E544" s="268"/>
      <c r="F544" s="358">
        <v>6342978.0</v>
      </c>
      <c r="G544" s="268" t="s">
        <v>3510</v>
      </c>
      <c r="H544" s="270">
        <v>0.0375462962962963</v>
      </c>
      <c r="I544" s="271">
        <v>44283.819444444445</v>
      </c>
      <c r="J544" s="268"/>
      <c r="K544" s="271" t="s">
        <v>3614</v>
      </c>
      <c r="L544" s="271"/>
      <c r="M544" s="344" t="s">
        <v>3615</v>
      </c>
      <c r="N544" s="290"/>
      <c r="O544" s="276"/>
      <c r="P544" s="276"/>
      <c r="Q544" s="276"/>
      <c r="R544" s="278"/>
      <c r="S544" s="278"/>
      <c r="T544" s="278"/>
      <c r="U544" s="279"/>
      <c r="V544" s="279"/>
      <c r="W544" s="280"/>
      <c r="X544" s="281"/>
      <c r="Y544" s="279"/>
      <c r="Z544" s="282" t="s">
        <v>3559</v>
      </c>
      <c r="AA544" s="282">
        <v>6342978.0</v>
      </c>
      <c r="AB544" s="283">
        <v>44284.0</v>
      </c>
      <c r="AC544" s="284"/>
      <c r="AD544" s="284"/>
    </row>
    <row r="545" ht="14.25" customHeight="1">
      <c r="A545" s="265">
        <v>44283.0</v>
      </c>
      <c r="B545" s="266" t="s">
        <v>1733</v>
      </c>
      <c r="C545" s="266"/>
      <c r="D545" s="266" t="s">
        <v>1457</v>
      </c>
      <c r="E545" s="268"/>
      <c r="F545" s="358" t="s">
        <v>3616</v>
      </c>
      <c r="G545" s="268" t="s">
        <v>2085</v>
      </c>
      <c r="H545" s="270">
        <v>0.01747685185185185</v>
      </c>
      <c r="I545" s="271">
        <v>44283.78611111111</v>
      </c>
      <c r="J545" s="268"/>
      <c r="K545" s="271">
        <v>44283.80076388889</v>
      </c>
      <c r="L545" s="271"/>
      <c r="M545" s="359" t="s">
        <v>2524</v>
      </c>
      <c r="N545" s="352"/>
      <c r="O545" s="276"/>
      <c r="P545" s="276"/>
      <c r="Q545" s="276"/>
      <c r="R545" s="278"/>
      <c r="S545" s="278"/>
      <c r="T545" s="278"/>
      <c r="U545" s="279"/>
      <c r="V545" s="279" t="s">
        <v>1783</v>
      </c>
      <c r="W545" s="280">
        <v>44284.0</v>
      </c>
      <c r="X545" s="281">
        <v>0.041666666666666664</v>
      </c>
      <c r="Y545" s="279" t="s">
        <v>1693</v>
      </c>
      <c r="Z545" s="282" t="s">
        <v>53</v>
      </c>
      <c r="AA545" s="282" t="s">
        <v>3616</v>
      </c>
      <c r="AB545" s="283">
        <v>44284.0</v>
      </c>
      <c r="AC545" s="284"/>
      <c r="AD545" s="284"/>
    </row>
    <row r="546" ht="14.25" customHeight="1">
      <c r="A546" s="265">
        <v>44283.0</v>
      </c>
      <c r="B546" s="266" t="s">
        <v>1500</v>
      </c>
      <c r="C546" s="266"/>
      <c r="D546" s="266" t="s">
        <v>2829</v>
      </c>
      <c r="E546" s="268"/>
      <c r="F546" s="358" t="s">
        <v>3617</v>
      </c>
      <c r="G546" s="268" t="s">
        <v>2085</v>
      </c>
      <c r="H546" s="270">
        <v>0.01851851851851852</v>
      </c>
      <c r="I546" s="271">
        <v>44284.225</v>
      </c>
      <c r="J546" s="268"/>
      <c r="K546" s="271"/>
      <c r="L546" s="271"/>
      <c r="M546" s="403" t="s">
        <v>2808</v>
      </c>
      <c r="N546" s="351">
        <v>44284.694444444445</v>
      </c>
      <c r="O546" s="276" t="s">
        <v>3618</v>
      </c>
      <c r="P546" s="275" t="s">
        <v>1463</v>
      </c>
      <c r="Q546" s="276" t="s">
        <v>1819</v>
      </c>
      <c r="R546" s="271">
        <v>44284.714479166665</v>
      </c>
      <c r="S546" s="278"/>
      <c r="T546" s="278"/>
      <c r="U546" s="279"/>
      <c r="V546" s="279"/>
      <c r="W546" s="280"/>
      <c r="X546" s="279"/>
      <c r="Y546" s="279"/>
      <c r="Z546" s="282" t="s">
        <v>1570</v>
      </c>
      <c r="AA546" s="282" t="s">
        <v>3617</v>
      </c>
      <c r="AB546" s="283">
        <v>44284.0</v>
      </c>
      <c r="AC546" s="284"/>
      <c r="AD546" s="284"/>
    </row>
    <row r="547" ht="14.25" customHeight="1">
      <c r="A547" s="265">
        <v>44284.0</v>
      </c>
      <c r="B547" s="266" t="s">
        <v>1500</v>
      </c>
      <c r="C547" s="266" t="s">
        <v>1696</v>
      </c>
      <c r="D547" s="266" t="s">
        <v>1543</v>
      </c>
      <c r="E547" s="268"/>
      <c r="F547" s="269" t="s">
        <v>3619</v>
      </c>
      <c r="G547" s="268" t="s">
        <v>1463</v>
      </c>
      <c r="H547" s="270">
        <v>0.0016666666666666668</v>
      </c>
      <c r="I547" s="271">
        <v>44286.50277777778</v>
      </c>
      <c r="J547" s="268"/>
      <c r="K547" s="271">
        <v>44286.509467592594</v>
      </c>
      <c r="L547" s="271"/>
      <c r="M547" s="355" t="s">
        <v>3620</v>
      </c>
      <c r="N547" s="290"/>
      <c r="O547" s="276"/>
      <c r="P547" s="276"/>
      <c r="Q547" s="276"/>
      <c r="R547" s="278"/>
      <c r="S547" s="278"/>
      <c r="T547" s="278"/>
      <c r="U547" s="279"/>
      <c r="V547" s="279" t="s">
        <v>2030</v>
      </c>
      <c r="W547" s="280">
        <v>44296.0</v>
      </c>
      <c r="X547" s="281">
        <v>0.005555555555555556</v>
      </c>
      <c r="Y547" s="279" t="s">
        <v>1693</v>
      </c>
      <c r="Z547" s="282" t="s">
        <v>1570</v>
      </c>
      <c r="AA547" s="282">
        <v>6348694.0</v>
      </c>
      <c r="AB547" s="283">
        <v>44286.0</v>
      </c>
      <c r="AC547" s="284"/>
      <c r="AD547" s="284"/>
    </row>
    <row r="548" ht="14.25" customHeight="1">
      <c r="A548" s="265">
        <v>44284.0</v>
      </c>
      <c r="B548" s="266" t="s">
        <v>2030</v>
      </c>
      <c r="C548" s="266" t="s">
        <v>1686</v>
      </c>
      <c r="D548" s="266" t="s">
        <v>1543</v>
      </c>
      <c r="E548" s="268"/>
      <c r="F548" s="269" t="s">
        <v>3621</v>
      </c>
      <c r="G548" s="268" t="s">
        <v>1463</v>
      </c>
      <c r="H548" s="270">
        <v>0.0010648148148148147</v>
      </c>
      <c r="I548" s="271">
        <v>44261.32777777778</v>
      </c>
      <c r="J548" s="268"/>
      <c r="K548" s="271">
        <v>44292.33510416667</v>
      </c>
      <c r="L548" s="271"/>
      <c r="M548" s="355" t="s">
        <v>3622</v>
      </c>
      <c r="N548" s="290"/>
      <c r="O548" s="276"/>
      <c r="P548" s="276"/>
      <c r="Q548" s="276"/>
      <c r="R548" s="278"/>
      <c r="S548" s="278"/>
      <c r="T548" s="278"/>
      <c r="U548" s="279"/>
      <c r="V548" s="279" t="s">
        <v>2030</v>
      </c>
      <c r="W548" s="280">
        <v>44296.0</v>
      </c>
      <c r="X548" s="281">
        <v>0.006944444444444444</v>
      </c>
      <c r="Y548" s="279" t="s">
        <v>1693</v>
      </c>
      <c r="Z548" s="282" t="s">
        <v>1570</v>
      </c>
      <c r="AA548" s="282">
        <v>6349592.0</v>
      </c>
      <c r="AB548" s="283">
        <v>44292.0</v>
      </c>
      <c r="AC548" s="284"/>
      <c r="AD548" s="284"/>
    </row>
    <row r="549" ht="14.25" customHeight="1">
      <c r="A549" s="265">
        <v>44284.0</v>
      </c>
      <c r="B549" s="266" t="s">
        <v>3512</v>
      </c>
      <c r="C549" s="266"/>
      <c r="D549" s="266" t="s">
        <v>1450</v>
      </c>
      <c r="E549" s="268"/>
      <c r="F549" s="358" t="s">
        <v>3623</v>
      </c>
      <c r="G549" s="268" t="s">
        <v>2085</v>
      </c>
      <c r="H549" s="270">
        <v>0.09929398148148148</v>
      </c>
      <c r="I549" s="271">
        <v>44284.74444444444</v>
      </c>
      <c r="J549" s="268"/>
      <c r="K549" s="271">
        <v>44284.86571759259</v>
      </c>
      <c r="L549" s="271"/>
      <c r="M549" s="399" t="s">
        <v>2524</v>
      </c>
      <c r="N549" s="290"/>
      <c r="O549" s="276"/>
      <c r="P549" s="276"/>
      <c r="Q549" s="276"/>
      <c r="R549" s="278"/>
      <c r="S549" s="278"/>
      <c r="T549" s="278"/>
      <c r="U549" s="279"/>
      <c r="V549" s="279" t="s">
        <v>1746</v>
      </c>
      <c r="W549" s="280">
        <v>44291.0</v>
      </c>
      <c r="X549" s="281">
        <v>0.3194444444444445</v>
      </c>
      <c r="Y549" s="279" t="s">
        <v>1693</v>
      </c>
      <c r="Z549" s="282" t="s">
        <v>1570</v>
      </c>
      <c r="AA549" s="282" t="s">
        <v>3623</v>
      </c>
      <c r="AB549" s="283">
        <v>44284.0</v>
      </c>
      <c r="AC549" s="284"/>
      <c r="AD549" s="284"/>
    </row>
    <row r="550" ht="14.25" customHeight="1">
      <c r="A550" s="265">
        <v>44284.0</v>
      </c>
      <c r="B550" s="266" t="s">
        <v>1783</v>
      </c>
      <c r="C550" s="266"/>
      <c r="D550" s="266" t="s">
        <v>1452</v>
      </c>
      <c r="E550" s="268"/>
      <c r="F550" s="358" t="s">
        <v>3624</v>
      </c>
      <c r="G550" s="268" t="s">
        <v>2085</v>
      </c>
      <c r="H550" s="270">
        <v>0.0020601851851851853</v>
      </c>
      <c r="I550" s="271">
        <v>44284.44652777778</v>
      </c>
      <c r="J550" s="268"/>
      <c r="K550" s="271">
        <v>44284.46115740741</v>
      </c>
      <c r="L550" s="271"/>
      <c r="M550" s="359" t="s">
        <v>2524</v>
      </c>
      <c r="N550" s="290"/>
      <c r="O550" s="276"/>
      <c r="P550" s="276"/>
      <c r="Q550" s="276"/>
      <c r="R550" s="278"/>
      <c r="S550" s="278"/>
      <c r="T550" s="278"/>
      <c r="U550" s="279"/>
      <c r="V550" s="279" t="s">
        <v>1783</v>
      </c>
      <c r="W550" s="280">
        <v>44284.0</v>
      </c>
      <c r="X550" s="281">
        <v>0.004861111111111111</v>
      </c>
      <c r="Y550" s="279" t="s">
        <v>1693</v>
      </c>
      <c r="Z550" s="282" t="s">
        <v>1570</v>
      </c>
      <c r="AA550" s="282" t="s">
        <v>3624</v>
      </c>
      <c r="AB550" s="283">
        <v>44284.0</v>
      </c>
      <c r="AC550" s="284"/>
      <c r="AD550" s="284"/>
    </row>
    <row r="551" ht="14.25" customHeight="1">
      <c r="A551" s="265">
        <v>44284.0</v>
      </c>
      <c r="B551" s="266" t="s">
        <v>1824</v>
      </c>
      <c r="C551" s="266"/>
      <c r="D551" s="266" t="s">
        <v>1686</v>
      </c>
      <c r="E551" s="268"/>
      <c r="F551" s="358" t="s">
        <v>3625</v>
      </c>
      <c r="G551" s="268" t="s">
        <v>2085</v>
      </c>
      <c r="H551" s="270">
        <v>0.03854166666666667</v>
      </c>
      <c r="I551" s="271">
        <v>44284.70208333333</v>
      </c>
      <c r="J551" s="268"/>
      <c r="K551" s="271">
        <v>44284.70347222222</v>
      </c>
      <c r="L551" s="271"/>
      <c r="M551" s="399" t="s">
        <v>2524</v>
      </c>
      <c r="N551" s="290"/>
      <c r="O551" s="276"/>
      <c r="P551" s="276"/>
      <c r="Q551" s="276"/>
      <c r="R551" s="278"/>
      <c r="S551" s="278"/>
      <c r="T551" s="278"/>
      <c r="U551" s="279"/>
      <c r="V551" s="279" t="s">
        <v>1824</v>
      </c>
      <c r="W551" s="280" t="s">
        <v>3626</v>
      </c>
      <c r="X551" s="281">
        <v>0.14583333333333334</v>
      </c>
      <c r="Y551" s="279" t="s">
        <v>1693</v>
      </c>
      <c r="Z551" s="282" t="s">
        <v>1570</v>
      </c>
      <c r="AA551" s="282" t="s">
        <v>3625</v>
      </c>
      <c r="AB551" s="283">
        <v>44284.0</v>
      </c>
      <c r="AC551" s="284"/>
      <c r="AD551" s="284"/>
    </row>
    <row r="552" ht="14.25" customHeight="1">
      <c r="A552" s="265">
        <v>44284.0</v>
      </c>
      <c r="B552" s="266" t="s">
        <v>1733</v>
      </c>
      <c r="C552" s="266"/>
      <c r="D552" s="266" t="s">
        <v>1455</v>
      </c>
      <c r="E552" s="268"/>
      <c r="F552" s="358" t="s">
        <v>3627</v>
      </c>
      <c r="G552" s="268" t="s">
        <v>2085</v>
      </c>
      <c r="H552" s="270">
        <v>0.021863425925925925</v>
      </c>
      <c r="I552" s="271">
        <v>44284.933333333334</v>
      </c>
      <c r="J552" s="268"/>
      <c r="K552" s="271">
        <v>44284.95789351852</v>
      </c>
      <c r="L552" s="271"/>
      <c r="M552" s="399" t="s">
        <v>2524</v>
      </c>
      <c r="N552" s="290"/>
      <c r="O552" s="276"/>
      <c r="P552" s="276"/>
      <c r="Q552" s="276"/>
      <c r="R552" s="278"/>
      <c r="S552" s="278"/>
      <c r="T552" s="278"/>
      <c r="U552" s="279"/>
      <c r="V552" s="279" t="s">
        <v>1783</v>
      </c>
      <c r="W552" s="280">
        <v>44285.0</v>
      </c>
      <c r="X552" s="281">
        <v>0.1111111111111111</v>
      </c>
      <c r="Y552" s="279" t="s">
        <v>1693</v>
      </c>
      <c r="Z552" s="282" t="s">
        <v>1570</v>
      </c>
      <c r="AA552" s="282" t="s">
        <v>3627</v>
      </c>
      <c r="AB552" s="283">
        <v>44284.0</v>
      </c>
      <c r="AC552" s="284"/>
      <c r="AD552" s="284"/>
    </row>
    <row r="553" ht="14.25" customHeight="1">
      <c r="A553" s="265">
        <v>44285.0</v>
      </c>
      <c r="B553" s="266" t="s">
        <v>1500</v>
      </c>
      <c r="C553" s="266" t="s">
        <v>1686</v>
      </c>
      <c r="D553" s="266" t="s">
        <v>1543</v>
      </c>
      <c r="E553" s="268"/>
      <c r="F553" s="269" t="s">
        <v>3628</v>
      </c>
      <c r="G553" s="268" t="s">
        <v>1463</v>
      </c>
      <c r="H553" s="270">
        <v>0.0022569444444444447</v>
      </c>
      <c r="I553" s="271">
        <v>44287.51388888889</v>
      </c>
      <c r="J553" s="268"/>
      <c r="K553" s="271">
        <v>44287.90521990741</v>
      </c>
      <c r="L553" s="271"/>
      <c r="M553" s="359" t="s">
        <v>3505</v>
      </c>
      <c r="N553" s="290"/>
      <c r="O553" s="276"/>
      <c r="P553" s="276"/>
      <c r="Q553" s="276"/>
      <c r="R553" s="278"/>
      <c r="S553" s="278"/>
      <c r="T553" s="278"/>
      <c r="U553" s="279"/>
      <c r="V553" s="279" t="s">
        <v>2030</v>
      </c>
      <c r="W553" s="280">
        <v>44296.0</v>
      </c>
      <c r="X553" s="281">
        <v>0.010416666666666666</v>
      </c>
      <c r="Y553" s="279" t="s">
        <v>1693</v>
      </c>
      <c r="Z553" s="282" t="s">
        <v>1570</v>
      </c>
      <c r="AA553" s="282">
        <v>6348984.0</v>
      </c>
      <c r="AB553" s="283">
        <v>44287.0</v>
      </c>
      <c r="AC553" s="284"/>
      <c r="AD553" s="284"/>
    </row>
    <row r="554" ht="14.25" customHeight="1">
      <c r="A554" s="265">
        <v>44285.0</v>
      </c>
      <c r="B554" s="267" t="s">
        <v>1685</v>
      </c>
      <c r="C554" s="267"/>
      <c r="D554" s="266" t="s">
        <v>1450</v>
      </c>
      <c r="E554" s="268"/>
      <c r="F554" s="358" t="s">
        <v>3629</v>
      </c>
      <c r="G554" s="268" t="s">
        <v>2085</v>
      </c>
      <c r="H554" s="270">
        <v>0.10037037037037037</v>
      </c>
      <c r="I554" s="271">
        <v>44284.90625</v>
      </c>
      <c r="J554" s="268"/>
      <c r="K554" s="271">
        <v>44285.96111111111</v>
      </c>
      <c r="L554" s="271"/>
      <c r="M554" s="359" t="s">
        <v>2524</v>
      </c>
      <c r="N554" s="290"/>
      <c r="O554" s="276"/>
      <c r="P554" s="276"/>
      <c r="Q554" s="276"/>
      <c r="R554" s="278"/>
      <c r="S554" s="278"/>
      <c r="T554" s="278"/>
      <c r="U554" s="279"/>
      <c r="V554" s="279" t="s">
        <v>1746</v>
      </c>
      <c r="W554" s="280">
        <v>44292.0</v>
      </c>
      <c r="X554" s="281"/>
      <c r="Y554" s="279" t="s">
        <v>1693</v>
      </c>
      <c r="Z554" s="282" t="s">
        <v>1570</v>
      </c>
      <c r="AA554" s="282" t="s">
        <v>3629</v>
      </c>
      <c r="AB554" s="283">
        <v>44285.0</v>
      </c>
      <c r="AC554" s="284"/>
      <c r="AD554" s="284"/>
    </row>
    <row r="555" ht="14.25" customHeight="1">
      <c r="A555" s="265">
        <v>44285.0</v>
      </c>
      <c r="B555" s="266" t="s">
        <v>1783</v>
      </c>
      <c r="C555" s="266"/>
      <c r="D555" s="266" t="s">
        <v>1452</v>
      </c>
      <c r="E555" s="268"/>
      <c r="F555" s="358" t="s">
        <v>3630</v>
      </c>
      <c r="G555" s="268" t="s">
        <v>2085</v>
      </c>
      <c r="H555" s="270">
        <v>0.003483796296296296</v>
      </c>
      <c r="I555" s="271">
        <v>44285.48055555556</v>
      </c>
      <c r="J555" s="268"/>
      <c r="K555" s="271" t="s">
        <v>3631</v>
      </c>
      <c r="L555" s="271"/>
      <c r="M555" s="399" t="s">
        <v>2524</v>
      </c>
      <c r="N555" s="290"/>
      <c r="O555" s="276"/>
      <c r="P555" s="276"/>
      <c r="Q555" s="276"/>
      <c r="R555" s="278"/>
      <c r="S555" s="278"/>
      <c r="T555" s="278"/>
      <c r="U555" s="279"/>
      <c r="V555" s="279" t="s">
        <v>1783</v>
      </c>
      <c r="W555" s="280">
        <v>44285.0</v>
      </c>
      <c r="X555" s="281">
        <v>0.013888888888888888</v>
      </c>
      <c r="Y555" s="279" t="s">
        <v>1693</v>
      </c>
      <c r="Z555" s="282" t="s">
        <v>53</v>
      </c>
      <c r="AA555" s="282" t="s">
        <v>3630</v>
      </c>
      <c r="AB555" s="283">
        <v>44285.0</v>
      </c>
      <c r="AC555" s="284"/>
      <c r="AD555" s="284"/>
    </row>
    <row r="556" ht="14.25" customHeight="1">
      <c r="A556" s="265">
        <v>44285.0</v>
      </c>
      <c r="B556" s="266" t="s">
        <v>1824</v>
      </c>
      <c r="C556" s="266"/>
      <c r="D556" s="266" t="s">
        <v>1686</v>
      </c>
      <c r="E556" s="268"/>
      <c r="F556" s="358" t="s">
        <v>3632</v>
      </c>
      <c r="G556" s="268" t="s">
        <v>2085</v>
      </c>
      <c r="H556" s="270">
        <v>0.03877314814814815</v>
      </c>
      <c r="I556" s="271">
        <v>44285.907638888886</v>
      </c>
      <c r="J556" s="268"/>
      <c r="K556" s="271">
        <v>44285.94635416667</v>
      </c>
      <c r="L556" s="271"/>
      <c r="M556" s="399" t="s">
        <v>2524</v>
      </c>
      <c r="N556" s="290"/>
      <c r="O556" s="276"/>
      <c r="P556" s="276"/>
      <c r="Q556" s="276"/>
      <c r="R556" s="278"/>
      <c r="S556" s="278"/>
      <c r="T556" s="278"/>
      <c r="U556" s="279"/>
      <c r="V556" s="279" t="s">
        <v>1824</v>
      </c>
      <c r="W556" s="280" t="s">
        <v>3633</v>
      </c>
      <c r="X556" s="281">
        <v>0.14583333333333334</v>
      </c>
      <c r="Y556" s="279" t="s">
        <v>1693</v>
      </c>
      <c r="Z556" s="282" t="s">
        <v>1570</v>
      </c>
      <c r="AA556" s="282" t="s">
        <v>3632</v>
      </c>
      <c r="AB556" s="283">
        <v>44285.0</v>
      </c>
      <c r="AC556" s="284"/>
      <c r="AD556" s="284"/>
    </row>
    <row r="557" ht="14.25" customHeight="1">
      <c r="A557" s="265">
        <v>44285.0</v>
      </c>
      <c r="B557" s="266" t="s">
        <v>1733</v>
      </c>
      <c r="C557" s="266"/>
      <c r="D557" s="266" t="s">
        <v>1455</v>
      </c>
      <c r="E557" s="268"/>
      <c r="F557" s="358" t="s">
        <v>3634</v>
      </c>
      <c r="G557" s="268" t="s">
        <v>2085</v>
      </c>
      <c r="H557" s="270">
        <v>0.021354166666666664</v>
      </c>
      <c r="I557" s="271">
        <v>44285.91805555556</v>
      </c>
      <c r="J557" s="268"/>
      <c r="K557" s="271">
        <v>44285.97777777778</v>
      </c>
      <c r="L557" s="271"/>
      <c r="M557" s="399" t="s">
        <v>2524</v>
      </c>
      <c r="N557" s="290"/>
      <c r="O557" s="276"/>
      <c r="P557" s="276"/>
      <c r="Q557" s="276"/>
      <c r="R557" s="278"/>
      <c r="S557" s="278"/>
      <c r="T557" s="278"/>
      <c r="U557" s="279"/>
      <c r="V557" s="279" t="s">
        <v>1783</v>
      </c>
      <c r="W557" s="280">
        <v>44286.0</v>
      </c>
      <c r="X557" s="281">
        <v>0.1111111111111111</v>
      </c>
      <c r="Y557" s="279" t="s">
        <v>1693</v>
      </c>
      <c r="Z557" s="282" t="s">
        <v>1570</v>
      </c>
      <c r="AA557" s="282" t="s">
        <v>3634</v>
      </c>
      <c r="AB557" s="283">
        <v>44285.0</v>
      </c>
      <c r="AC557" s="284"/>
      <c r="AD557" s="284"/>
    </row>
    <row r="558" ht="14.25" customHeight="1">
      <c r="A558" s="265">
        <v>44286.0</v>
      </c>
      <c r="B558" s="266" t="s">
        <v>1500</v>
      </c>
      <c r="C558" s="266" t="s">
        <v>1686</v>
      </c>
      <c r="D558" s="266" t="s">
        <v>1543</v>
      </c>
      <c r="E558" s="268"/>
      <c r="F558" s="269" t="s">
        <v>3635</v>
      </c>
      <c r="G558" s="268" t="s">
        <v>1463</v>
      </c>
      <c r="H558" s="270">
        <v>0.001365740740740741</v>
      </c>
      <c r="I558" s="271">
        <v>44287.50555555556</v>
      </c>
      <c r="J558" s="268"/>
      <c r="K558" s="271">
        <v>44287.90577546296</v>
      </c>
      <c r="L558" s="271"/>
      <c r="M558" s="359" t="s">
        <v>3505</v>
      </c>
      <c r="N558" s="290"/>
      <c r="O558" s="276"/>
      <c r="P558" s="276"/>
      <c r="Q558" s="276"/>
      <c r="R558" s="278"/>
      <c r="S558" s="278"/>
      <c r="T558" s="278"/>
      <c r="U558" s="279"/>
      <c r="V558" s="279" t="s">
        <v>2030</v>
      </c>
      <c r="W558" s="280">
        <v>44296.0</v>
      </c>
      <c r="X558" s="281">
        <v>0.006944444444444444</v>
      </c>
      <c r="Y558" s="279" t="s">
        <v>3636</v>
      </c>
      <c r="Z558" s="282" t="s">
        <v>1570</v>
      </c>
      <c r="AA558" s="282">
        <v>6348985.0</v>
      </c>
      <c r="AB558" s="283">
        <v>44287.0</v>
      </c>
      <c r="AC558" s="284"/>
      <c r="AD558" s="284"/>
    </row>
    <row r="559" ht="14.25" customHeight="1">
      <c r="A559" s="265">
        <v>44286.0</v>
      </c>
      <c r="B559" s="266" t="s">
        <v>1500</v>
      </c>
      <c r="C559" s="266" t="s">
        <v>1686</v>
      </c>
      <c r="D559" s="266" t="s">
        <v>1543</v>
      </c>
      <c r="E559" s="268"/>
      <c r="F559" s="269" t="s">
        <v>3637</v>
      </c>
      <c r="G559" s="268" t="s">
        <v>1463</v>
      </c>
      <c r="H559" s="270">
        <v>6.712962962962962E-4</v>
      </c>
      <c r="I559" s="271">
        <v>44287.455555555556</v>
      </c>
      <c r="J559" s="268"/>
      <c r="K559" s="271">
        <v>44287.79304398148</v>
      </c>
      <c r="L559" s="271"/>
      <c r="M559" s="355" t="s">
        <v>3638</v>
      </c>
      <c r="N559" s="290"/>
      <c r="O559" s="276"/>
      <c r="P559" s="276"/>
      <c r="Q559" s="276"/>
      <c r="R559" s="278"/>
      <c r="S559" s="278"/>
      <c r="T559" s="278"/>
      <c r="U559" s="279"/>
      <c r="V559" s="279" t="s">
        <v>2030</v>
      </c>
      <c r="W559" s="280">
        <v>44298.0</v>
      </c>
      <c r="X559" s="281">
        <v>0.006944444444444444</v>
      </c>
      <c r="Y559" s="279" t="s">
        <v>1693</v>
      </c>
      <c r="Z559" s="282" t="s">
        <v>1570</v>
      </c>
      <c r="AA559" s="282">
        <v>6348995.0</v>
      </c>
      <c r="AB559" s="283">
        <v>44288.0</v>
      </c>
      <c r="AC559" s="284"/>
      <c r="AD559" s="284"/>
    </row>
    <row r="560" ht="14.25" customHeight="1">
      <c r="A560" s="265">
        <v>44286.0</v>
      </c>
      <c r="B560" s="266" t="s">
        <v>1500</v>
      </c>
      <c r="C560" s="266" t="s">
        <v>1450</v>
      </c>
      <c r="D560" s="266" t="s">
        <v>1543</v>
      </c>
      <c r="E560" s="268"/>
      <c r="F560" s="269" t="s">
        <v>3639</v>
      </c>
      <c r="G560" s="268" t="s">
        <v>1463</v>
      </c>
      <c r="H560" s="270">
        <v>7.523148148148147E-4</v>
      </c>
      <c r="I560" s="271">
        <v>44292.458333333336</v>
      </c>
      <c r="J560" s="268"/>
      <c r="K560" s="271">
        <v>44292.62614583333</v>
      </c>
      <c r="L560" s="271"/>
      <c r="M560" s="355" t="s">
        <v>3640</v>
      </c>
      <c r="N560" s="290"/>
      <c r="O560" s="276"/>
      <c r="P560" s="276"/>
      <c r="Q560" s="276"/>
      <c r="R560" s="278"/>
      <c r="S560" s="278"/>
      <c r="T560" s="278"/>
      <c r="U560" s="279"/>
      <c r="V560" s="279" t="s">
        <v>2030</v>
      </c>
      <c r="W560" s="280">
        <v>44298.0</v>
      </c>
      <c r="X560" s="281">
        <v>0.006944444444444444</v>
      </c>
      <c r="Y560" s="279" t="s">
        <v>1693</v>
      </c>
      <c r="Z560" s="282" t="s">
        <v>1570</v>
      </c>
      <c r="AA560" s="282">
        <v>6349593.0</v>
      </c>
      <c r="AB560" s="283">
        <v>44292.0</v>
      </c>
      <c r="AC560" s="284"/>
      <c r="AD560" s="284"/>
    </row>
    <row r="561" ht="14.25" customHeight="1">
      <c r="A561" s="265">
        <v>44286.0</v>
      </c>
      <c r="B561" s="266" t="s">
        <v>1500</v>
      </c>
      <c r="C561" s="266" t="s">
        <v>1696</v>
      </c>
      <c r="D561" s="266" t="s">
        <v>1543</v>
      </c>
      <c r="E561" s="268"/>
      <c r="F561" s="269" t="s">
        <v>3641</v>
      </c>
      <c r="G561" s="268" t="s">
        <v>1463</v>
      </c>
      <c r="H561" s="270">
        <v>0.006354166666666667</v>
      </c>
      <c r="I561" s="271">
        <v>44298.8</v>
      </c>
      <c r="J561" s="268"/>
      <c r="K561" s="271">
        <v>44299.41748842593</v>
      </c>
      <c r="L561" s="271"/>
      <c r="M561" s="355" t="s">
        <v>3642</v>
      </c>
      <c r="N561" s="290"/>
      <c r="O561" s="276"/>
      <c r="P561" s="276"/>
      <c r="Q561" s="276"/>
      <c r="R561" s="278"/>
      <c r="S561" s="278"/>
      <c r="T561" s="278"/>
      <c r="U561" s="279"/>
      <c r="V561" s="279" t="s">
        <v>1500</v>
      </c>
      <c r="W561" s="280">
        <v>44306.0</v>
      </c>
      <c r="X561" s="281">
        <v>0.006944444444444444</v>
      </c>
      <c r="Y561" s="279" t="s">
        <v>1693</v>
      </c>
      <c r="Z561" s="282" t="s">
        <v>1570</v>
      </c>
      <c r="AA561" s="282">
        <v>6352403.0</v>
      </c>
      <c r="AB561" s="283">
        <v>44299.0</v>
      </c>
      <c r="AC561" s="284"/>
      <c r="AD561" s="284"/>
    </row>
    <row r="562" ht="14.25" customHeight="1">
      <c r="A562" s="265">
        <v>44286.0</v>
      </c>
      <c r="B562" s="266" t="s">
        <v>1685</v>
      </c>
      <c r="C562" s="266"/>
      <c r="D562" s="266" t="s">
        <v>1450</v>
      </c>
      <c r="E562" s="268"/>
      <c r="F562" s="358" t="s">
        <v>3643</v>
      </c>
      <c r="G562" s="268" t="s">
        <v>2085</v>
      </c>
      <c r="H562" s="270" t="s">
        <v>3644</v>
      </c>
      <c r="I562" s="271">
        <v>44285.589583333334</v>
      </c>
      <c r="J562" s="268"/>
      <c r="K562" s="271">
        <v>44286.703935185185</v>
      </c>
      <c r="L562" s="271"/>
      <c r="M562" s="344" t="s">
        <v>2524</v>
      </c>
      <c r="N562" s="290"/>
      <c r="O562" s="276"/>
      <c r="P562" s="276"/>
      <c r="Q562" s="276"/>
      <c r="R562" s="278"/>
      <c r="S562" s="278"/>
      <c r="T562" s="278"/>
      <c r="U562" s="279"/>
      <c r="V562" s="279" t="s">
        <v>1570</v>
      </c>
      <c r="W562" s="279" t="s">
        <v>3645</v>
      </c>
      <c r="X562" s="281">
        <v>0.3333333333333333</v>
      </c>
      <c r="Y562" s="279" t="s">
        <v>1693</v>
      </c>
      <c r="Z562" s="282" t="s">
        <v>1570</v>
      </c>
      <c r="AA562" s="282" t="s">
        <v>3643</v>
      </c>
      <c r="AB562" s="283">
        <v>44286.0</v>
      </c>
      <c r="AC562" s="284"/>
      <c r="AD562" s="284"/>
    </row>
    <row r="563" ht="14.25" customHeight="1">
      <c r="A563" s="265">
        <v>44286.0</v>
      </c>
      <c r="B563" s="266" t="s">
        <v>1783</v>
      </c>
      <c r="C563" s="266"/>
      <c r="D563" s="266" t="s">
        <v>1452</v>
      </c>
      <c r="E563" s="268"/>
      <c r="F563" s="358" t="s">
        <v>3646</v>
      </c>
      <c r="G563" s="268" t="s">
        <v>2085</v>
      </c>
      <c r="H563" s="270">
        <v>7.060185185185185E-4</v>
      </c>
      <c r="I563" s="271">
        <v>44286.52847222222</v>
      </c>
      <c r="J563" s="268"/>
      <c r="K563" s="271" t="s">
        <v>3647</v>
      </c>
      <c r="L563" s="271"/>
      <c r="M563" s="399" t="s">
        <v>2524</v>
      </c>
      <c r="N563" s="290"/>
      <c r="O563" s="276"/>
      <c r="P563" s="276"/>
      <c r="Q563" s="276"/>
      <c r="R563" s="278"/>
      <c r="S563" s="278"/>
      <c r="T563" s="278"/>
      <c r="U563" s="279"/>
      <c r="V563" s="279" t="s">
        <v>1783</v>
      </c>
      <c r="W563" s="280">
        <v>44286.0</v>
      </c>
      <c r="X563" s="281">
        <v>0.004166666666666667</v>
      </c>
      <c r="Y563" s="279" t="s">
        <v>1693</v>
      </c>
      <c r="Z563" s="282" t="s">
        <v>1570</v>
      </c>
      <c r="AA563" s="282" t="s">
        <v>3646</v>
      </c>
      <c r="AB563" s="283">
        <v>44286.0</v>
      </c>
      <c r="AC563" s="284"/>
      <c r="AD563" s="284"/>
    </row>
    <row r="564" ht="14.25" customHeight="1">
      <c r="A564" s="265">
        <v>44286.0</v>
      </c>
      <c r="B564" s="266" t="s">
        <v>1824</v>
      </c>
      <c r="C564" s="266"/>
      <c r="D564" s="266" t="s">
        <v>1686</v>
      </c>
      <c r="E564" s="268"/>
      <c r="F564" s="358" t="s">
        <v>3648</v>
      </c>
      <c r="G564" s="268" t="s">
        <v>2085</v>
      </c>
      <c r="H564" s="270">
        <v>0.040601851851851854</v>
      </c>
      <c r="I564" s="271">
        <v>44286.944444444445</v>
      </c>
      <c r="J564" s="268"/>
      <c r="K564" s="271">
        <v>44286.97351851852</v>
      </c>
      <c r="L564" s="271"/>
      <c r="M564" s="399" t="s">
        <v>2524</v>
      </c>
      <c r="N564" s="290"/>
      <c r="O564" s="276"/>
      <c r="P564" s="276"/>
      <c r="Q564" s="276"/>
      <c r="R564" s="278"/>
      <c r="S564" s="278"/>
      <c r="T564" s="278"/>
      <c r="U564" s="279"/>
      <c r="V564" s="279" t="s">
        <v>1824</v>
      </c>
      <c r="W564" s="280">
        <v>44287.0</v>
      </c>
      <c r="X564" s="281">
        <v>0.14583333333333334</v>
      </c>
      <c r="Y564" s="279" t="s">
        <v>1693</v>
      </c>
      <c r="Z564" s="282" t="s">
        <v>1570</v>
      </c>
      <c r="AA564" s="282" t="s">
        <v>3648</v>
      </c>
      <c r="AB564" s="283">
        <v>44286.0</v>
      </c>
      <c r="AC564" s="284"/>
      <c r="AD564" s="284"/>
    </row>
    <row r="565" ht="14.25" customHeight="1">
      <c r="A565" s="265">
        <v>44286.0</v>
      </c>
      <c r="B565" s="266" t="s">
        <v>1733</v>
      </c>
      <c r="C565" s="266"/>
      <c r="D565" s="266" t="s">
        <v>1455</v>
      </c>
      <c r="E565" s="268"/>
      <c r="F565" s="358" t="s">
        <v>3649</v>
      </c>
      <c r="G565" s="268" t="s">
        <v>2085</v>
      </c>
      <c r="H565" s="270">
        <v>0.021331018518518517</v>
      </c>
      <c r="I565" s="271">
        <v>44286.958333333336</v>
      </c>
      <c r="J565" s="268"/>
      <c r="K565" s="271">
        <v>44286.974583333336</v>
      </c>
      <c r="L565" s="271"/>
      <c r="M565" s="399" t="s">
        <v>2524</v>
      </c>
      <c r="N565" s="290"/>
      <c r="O565" s="276"/>
      <c r="P565" s="276"/>
      <c r="Q565" s="276"/>
      <c r="R565" s="278"/>
      <c r="S565" s="278"/>
      <c r="T565" s="278"/>
      <c r="U565" s="279"/>
      <c r="V565" s="279" t="s">
        <v>1824</v>
      </c>
      <c r="W565" s="280">
        <v>44260.0</v>
      </c>
      <c r="X565" s="281">
        <v>0.09027777777777778</v>
      </c>
      <c r="Y565" s="279" t="s">
        <v>1693</v>
      </c>
      <c r="Z565" s="282" t="s">
        <v>1570</v>
      </c>
      <c r="AA565" s="282" t="s">
        <v>3649</v>
      </c>
      <c r="AB565" s="283">
        <v>44286.0</v>
      </c>
      <c r="AC565" s="284"/>
      <c r="AD565" s="284"/>
    </row>
    <row r="566" ht="14.25" customHeight="1">
      <c r="A566" s="265">
        <v>44287.0</v>
      </c>
      <c r="B566" s="266" t="s">
        <v>1500</v>
      </c>
      <c r="C566" s="266" t="s">
        <v>2471</v>
      </c>
      <c r="D566" s="266" t="s">
        <v>1543</v>
      </c>
      <c r="E566" s="268"/>
      <c r="F566" s="269" t="s">
        <v>3650</v>
      </c>
      <c r="G566" s="268" t="s">
        <v>1463</v>
      </c>
      <c r="H566" s="270">
        <v>0.0010532407407407407</v>
      </c>
      <c r="I566" s="271">
        <v>44291.430555555555</v>
      </c>
      <c r="J566" s="268"/>
      <c r="K566" s="271">
        <v>44291.77609953703</v>
      </c>
      <c r="L566" s="271"/>
      <c r="M566" s="355" t="s">
        <v>3651</v>
      </c>
      <c r="N566" s="290"/>
      <c r="O566" s="276"/>
      <c r="P566" s="276"/>
      <c r="Q566" s="276"/>
      <c r="R566" s="278"/>
      <c r="S566" s="278"/>
      <c r="T566" s="278"/>
      <c r="U566" s="279"/>
      <c r="V566" s="279" t="s">
        <v>2030</v>
      </c>
      <c r="W566" s="280">
        <v>44298.0</v>
      </c>
      <c r="X566" s="281">
        <v>0.006944444444444444</v>
      </c>
      <c r="Y566" s="279" t="s">
        <v>3636</v>
      </c>
      <c r="Z566" s="282" t="s">
        <v>1570</v>
      </c>
      <c r="AA566" s="282">
        <v>6349594.0</v>
      </c>
      <c r="AB566" s="283">
        <v>44292.0</v>
      </c>
      <c r="AC566" s="284"/>
      <c r="AD566" s="284"/>
    </row>
    <row r="567" ht="14.25" customHeight="1">
      <c r="A567" s="265">
        <v>44287.0</v>
      </c>
      <c r="B567" s="266" t="s">
        <v>1500</v>
      </c>
      <c r="C567" s="266" t="s">
        <v>2083</v>
      </c>
      <c r="D567" s="266" t="s">
        <v>1543</v>
      </c>
      <c r="E567" s="268"/>
      <c r="F567" s="269" t="s">
        <v>3652</v>
      </c>
      <c r="G567" s="268" t="s">
        <v>1463</v>
      </c>
      <c r="H567" s="270">
        <v>0.0013310185185185185</v>
      </c>
      <c r="I567" s="271">
        <v>44292.36944444444</v>
      </c>
      <c r="J567" s="268"/>
      <c r="K567" s="271">
        <v>44292.61699074074</v>
      </c>
      <c r="L567" s="271"/>
      <c r="M567" s="355" t="s">
        <v>3653</v>
      </c>
      <c r="N567" s="290"/>
      <c r="O567" s="276"/>
      <c r="P567" s="276"/>
      <c r="Q567" s="276"/>
      <c r="R567" s="278"/>
      <c r="S567" s="278"/>
      <c r="T567" s="278"/>
      <c r="U567" s="279"/>
      <c r="V567" s="279" t="s">
        <v>2030</v>
      </c>
      <c r="W567" s="280">
        <v>44299.0</v>
      </c>
      <c r="X567" s="281">
        <v>0.010416666666666666</v>
      </c>
      <c r="Y567" s="279" t="s">
        <v>1693</v>
      </c>
      <c r="Z567" s="282" t="s">
        <v>1570</v>
      </c>
      <c r="AA567" s="282">
        <v>6349595.0</v>
      </c>
      <c r="AB567" s="283">
        <v>44292.0</v>
      </c>
      <c r="AC567" s="284"/>
      <c r="AD567" s="284"/>
    </row>
    <row r="568" ht="14.25" customHeight="1">
      <c r="A568" s="265">
        <v>44287.0</v>
      </c>
      <c r="B568" s="266" t="s">
        <v>1824</v>
      </c>
      <c r="C568" s="266" t="s">
        <v>3472</v>
      </c>
      <c r="D568" s="266" t="s">
        <v>1455</v>
      </c>
      <c r="E568" s="268"/>
      <c r="F568" s="269" t="s">
        <v>3654</v>
      </c>
      <c r="G568" s="268" t="s">
        <v>2085</v>
      </c>
      <c r="H568" s="270">
        <v>0.0026504629629629625</v>
      </c>
      <c r="I568" s="271">
        <v>44293.69375</v>
      </c>
      <c r="J568" s="268"/>
      <c r="K568" s="271">
        <v>44293.708333333336</v>
      </c>
      <c r="L568" s="271"/>
      <c r="M568" s="355" t="s">
        <v>3655</v>
      </c>
      <c r="N568" s="290"/>
      <c r="O568" s="276"/>
      <c r="P568" s="276"/>
      <c r="Q568" s="276"/>
      <c r="R568" s="278"/>
      <c r="S568" s="278"/>
      <c r="T568" s="278"/>
      <c r="U568" s="279"/>
      <c r="V568" s="279" t="s">
        <v>1824</v>
      </c>
      <c r="W568" s="280">
        <v>44299.0</v>
      </c>
      <c r="X568" s="281">
        <v>0.003472222222222222</v>
      </c>
      <c r="Y568" s="279" t="s">
        <v>3636</v>
      </c>
      <c r="Z568" s="282" t="s">
        <v>1570</v>
      </c>
      <c r="AA568" s="282">
        <v>6351449.0</v>
      </c>
      <c r="AB568" s="283">
        <v>44296.0</v>
      </c>
      <c r="AC568" s="284"/>
      <c r="AD568" s="284"/>
    </row>
    <row r="569" ht="14.25" customHeight="1">
      <c r="A569" s="265">
        <v>44287.0</v>
      </c>
      <c r="B569" s="266" t="s">
        <v>1500</v>
      </c>
      <c r="C569" s="266" t="s">
        <v>1686</v>
      </c>
      <c r="D569" s="266" t="s">
        <v>1543</v>
      </c>
      <c r="E569" s="268"/>
      <c r="F569" s="269" t="s">
        <v>3656</v>
      </c>
      <c r="G569" s="268" t="s">
        <v>1463</v>
      </c>
      <c r="H569" s="270">
        <v>0.0011458333333333333</v>
      </c>
      <c r="I569" s="271">
        <v>44298.8</v>
      </c>
      <c r="J569" s="268"/>
      <c r="K569" s="271">
        <v>44299.13657407407</v>
      </c>
      <c r="L569" s="271"/>
      <c r="M569" s="355" t="s">
        <v>3657</v>
      </c>
      <c r="N569" s="290"/>
      <c r="O569" s="276"/>
      <c r="P569" s="276"/>
      <c r="Q569" s="276"/>
      <c r="R569" s="278"/>
      <c r="S569" s="278"/>
      <c r="T569" s="278"/>
      <c r="U569" s="279"/>
      <c r="V569" s="279" t="s">
        <v>1500</v>
      </c>
      <c r="W569" s="280">
        <v>44306.0</v>
      </c>
      <c r="X569" s="281">
        <v>0.006944444444444444</v>
      </c>
      <c r="Y569" s="279" t="s">
        <v>1693</v>
      </c>
      <c r="Z569" s="282" t="s">
        <v>1570</v>
      </c>
      <c r="AA569" s="282">
        <v>6352404.0</v>
      </c>
      <c r="AB569" s="283">
        <v>44300.0</v>
      </c>
      <c r="AC569" s="284"/>
      <c r="AD569" s="284"/>
    </row>
    <row r="570" ht="14.25" customHeight="1">
      <c r="A570" s="265">
        <v>44287.0</v>
      </c>
      <c r="B570" s="266" t="s">
        <v>1500</v>
      </c>
      <c r="C570" s="266" t="s">
        <v>2179</v>
      </c>
      <c r="D570" s="266" t="s">
        <v>1543</v>
      </c>
      <c r="E570" s="268"/>
      <c r="F570" s="269" t="s">
        <v>3658</v>
      </c>
      <c r="G570" s="268" t="s">
        <v>1463</v>
      </c>
      <c r="H570" s="270">
        <v>0.0018055555555555557</v>
      </c>
      <c r="I570" s="271"/>
      <c r="J570" s="268"/>
      <c r="K570" s="271">
        <v>44313.49208333333</v>
      </c>
      <c r="L570" s="271"/>
      <c r="M570" s="355" t="s">
        <v>3659</v>
      </c>
      <c r="N570" s="290"/>
      <c r="O570" s="276"/>
      <c r="P570" s="276"/>
      <c r="Q570" s="276"/>
      <c r="R570" s="278"/>
      <c r="S570" s="278"/>
      <c r="T570" s="278"/>
      <c r="U570" s="279"/>
      <c r="V570" s="279" t="s">
        <v>1500</v>
      </c>
      <c r="W570" s="280">
        <v>44319.0</v>
      </c>
      <c r="X570" s="281">
        <v>0.006944444444444444</v>
      </c>
      <c r="Y570" s="279" t="s">
        <v>1693</v>
      </c>
      <c r="Z570" s="282" t="s">
        <v>1570</v>
      </c>
      <c r="AA570" s="282">
        <v>6358663.0</v>
      </c>
      <c r="AB570" s="283">
        <v>44319.0</v>
      </c>
      <c r="AC570" s="284"/>
      <c r="AD570" s="284"/>
    </row>
    <row r="571" ht="14.25" customHeight="1">
      <c r="A571" s="265">
        <v>44287.0</v>
      </c>
      <c r="B571" s="266" t="s">
        <v>1500</v>
      </c>
      <c r="C571" s="266"/>
      <c r="D571" s="266" t="s">
        <v>1450</v>
      </c>
      <c r="E571" s="268"/>
      <c r="F571" s="358" t="s">
        <v>3660</v>
      </c>
      <c r="G571" s="268" t="s">
        <v>2085</v>
      </c>
      <c r="H571" s="270">
        <v>0.10041666666666667</v>
      </c>
      <c r="I571" s="271">
        <v>44287.538194444445</v>
      </c>
      <c r="J571" s="268"/>
      <c r="K571" s="271">
        <v>44287.98128472222</v>
      </c>
      <c r="L571" s="271"/>
      <c r="M571" s="399" t="s">
        <v>2524</v>
      </c>
      <c r="N571" s="290"/>
      <c r="O571" s="276"/>
      <c r="P571" s="276"/>
      <c r="Q571" s="276"/>
      <c r="R571" s="278"/>
      <c r="S571" s="278"/>
      <c r="T571" s="278"/>
      <c r="U571" s="279"/>
      <c r="V571" s="279" t="s">
        <v>1783</v>
      </c>
      <c r="W571" s="280" t="s">
        <v>3661</v>
      </c>
      <c r="X571" s="281">
        <v>0.3958333333333333</v>
      </c>
      <c r="Y571" s="279" t="s">
        <v>1693</v>
      </c>
      <c r="Z571" s="282" t="s">
        <v>1570</v>
      </c>
      <c r="AA571" s="282" t="s">
        <v>3660</v>
      </c>
      <c r="AB571" s="283">
        <v>44287.0</v>
      </c>
      <c r="AC571" s="284"/>
      <c r="AD571" s="284"/>
    </row>
    <row r="572" ht="14.25" customHeight="1">
      <c r="A572" s="265">
        <v>44287.0</v>
      </c>
      <c r="B572" s="266" t="s">
        <v>1500</v>
      </c>
      <c r="C572" s="266"/>
      <c r="D572" s="265" t="s">
        <v>1452</v>
      </c>
      <c r="E572" s="268"/>
      <c r="F572" s="358" t="s">
        <v>3662</v>
      </c>
      <c r="G572" s="268" t="s">
        <v>2085</v>
      </c>
      <c r="H572" s="270">
        <v>0.0028124999999999995</v>
      </c>
      <c r="I572" s="271">
        <v>44287.57986111111</v>
      </c>
      <c r="J572" s="268"/>
      <c r="K572" s="271">
        <v>44287.93854166667</v>
      </c>
      <c r="L572" s="271"/>
      <c r="M572" s="399" t="s">
        <v>2524</v>
      </c>
      <c r="N572" s="290"/>
      <c r="O572" s="276"/>
      <c r="P572" s="276"/>
      <c r="Q572" s="276"/>
      <c r="R572" s="278"/>
      <c r="S572" s="278"/>
      <c r="T572" s="278"/>
      <c r="U572" s="279"/>
      <c r="V572" s="279" t="s">
        <v>1783</v>
      </c>
      <c r="W572" s="280">
        <v>44291.0</v>
      </c>
      <c r="X572" s="281">
        <v>0.006944444444444444</v>
      </c>
      <c r="Y572" s="279" t="s">
        <v>1693</v>
      </c>
      <c r="Z572" s="282" t="s">
        <v>1570</v>
      </c>
      <c r="AA572" s="282" t="s">
        <v>3662</v>
      </c>
      <c r="AB572" s="283">
        <v>44287.0</v>
      </c>
      <c r="AC572" s="284"/>
      <c r="AD572" s="284"/>
    </row>
    <row r="573" ht="14.25" customHeight="1">
      <c r="A573" s="265">
        <v>44287.0</v>
      </c>
      <c r="B573" s="266" t="s">
        <v>1500</v>
      </c>
      <c r="C573" s="266"/>
      <c r="D573" s="266" t="s">
        <v>1686</v>
      </c>
      <c r="E573" s="268"/>
      <c r="F573" s="358" t="s">
        <v>3663</v>
      </c>
      <c r="G573" s="268" t="s">
        <v>2085</v>
      </c>
      <c r="H573" s="270">
        <v>0.04107638888888889</v>
      </c>
      <c r="I573" s="271">
        <v>44287.60763888889</v>
      </c>
      <c r="J573" s="268"/>
      <c r="K573" s="271">
        <v>44287.971655092595</v>
      </c>
      <c r="L573" s="271"/>
      <c r="M573" s="399" t="s">
        <v>2524</v>
      </c>
      <c r="N573" s="290"/>
      <c r="O573" s="276"/>
      <c r="P573" s="276"/>
      <c r="Q573" s="276"/>
      <c r="R573" s="278"/>
      <c r="S573" s="278"/>
      <c r="T573" s="278"/>
      <c r="U573" s="279"/>
      <c r="V573" s="279" t="s">
        <v>1570</v>
      </c>
      <c r="W573" s="280">
        <v>44291.0</v>
      </c>
      <c r="X573" s="281">
        <v>0.14583333333333334</v>
      </c>
      <c r="Y573" s="279" t="s">
        <v>1693</v>
      </c>
      <c r="Z573" s="282" t="s">
        <v>1570</v>
      </c>
      <c r="AA573" s="282" t="s">
        <v>3663</v>
      </c>
      <c r="AB573" s="283">
        <v>44287.0</v>
      </c>
      <c r="AC573" s="284"/>
      <c r="AD573" s="284"/>
    </row>
    <row r="574" ht="14.25" customHeight="1">
      <c r="A574" s="265">
        <v>44287.0</v>
      </c>
      <c r="B574" s="266" t="s">
        <v>1500</v>
      </c>
      <c r="C574" s="266"/>
      <c r="D574" s="266" t="s">
        <v>1455</v>
      </c>
      <c r="E574" s="268"/>
      <c r="F574" s="358" t="s">
        <v>3664</v>
      </c>
      <c r="G574" s="268" t="s">
        <v>2085</v>
      </c>
      <c r="H574" s="270">
        <v>0.021747685185185186</v>
      </c>
      <c r="I574" s="271">
        <v>44288.385416666664</v>
      </c>
      <c r="J574" s="268"/>
      <c r="K574" s="271">
        <v>44288.74710648148</v>
      </c>
      <c r="L574" s="271"/>
      <c r="M574" s="399" t="s">
        <v>2524</v>
      </c>
      <c r="N574" s="290"/>
      <c r="O574" s="276"/>
      <c r="P574" s="276"/>
      <c r="Q574" s="276"/>
      <c r="R574" s="278"/>
      <c r="S574" s="278"/>
      <c r="T574" s="278"/>
      <c r="U574" s="279"/>
      <c r="V574" s="279" t="s">
        <v>1824</v>
      </c>
      <c r="W574" s="280">
        <v>44291.0</v>
      </c>
      <c r="X574" s="281">
        <v>0.09027777777777778</v>
      </c>
      <c r="Y574" s="279" t="s">
        <v>1693</v>
      </c>
      <c r="Z574" s="282" t="s">
        <v>1570</v>
      </c>
      <c r="AA574" s="282" t="s">
        <v>3664</v>
      </c>
      <c r="AB574" s="283">
        <v>44288.0</v>
      </c>
      <c r="AC574" s="284"/>
      <c r="AD574" s="284"/>
    </row>
    <row r="575" ht="14.25" customHeight="1">
      <c r="A575" s="265">
        <v>44288.0</v>
      </c>
      <c r="B575" s="266" t="s">
        <v>1500</v>
      </c>
      <c r="C575" s="266"/>
      <c r="D575" s="266" t="s">
        <v>1450</v>
      </c>
      <c r="E575" s="268"/>
      <c r="F575" s="358" t="s">
        <v>3665</v>
      </c>
      <c r="G575" s="268" t="s">
        <v>2085</v>
      </c>
      <c r="H575" s="270">
        <v>0.10116898148148147</v>
      </c>
      <c r="I575" s="271">
        <v>44288.58125</v>
      </c>
      <c r="J575" s="268"/>
      <c r="K575" s="271">
        <v>44288.99868055555</v>
      </c>
      <c r="L575" s="271"/>
      <c r="M575" s="399" t="s">
        <v>2524</v>
      </c>
      <c r="N575" s="290"/>
      <c r="O575" s="276"/>
      <c r="P575" s="276"/>
      <c r="Q575" s="276"/>
      <c r="R575" s="278"/>
      <c r="S575" s="278"/>
      <c r="T575" s="278"/>
      <c r="U575" s="279"/>
      <c r="V575" s="279" t="s">
        <v>1824</v>
      </c>
      <c r="W575" s="280" t="s">
        <v>3666</v>
      </c>
      <c r="X575" s="281">
        <v>0.3125</v>
      </c>
      <c r="Y575" s="279" t="s">
        <v>1693</v>
      </c>
      <c r="Z575" s="282" t="s">
        <v>1570</v>
      </c>
      <c r="AA575" s="282" t="s">
        <v>3665</v>
      </c>
      <c r="AB575" s="283">
        <v>44288.0</v>
      </c>
      <c r="AC575" s="284"/>
      <c r="AD575" s="284"/>
    </row>
    <row r="576" ht="14.25" customHeight="1">
      <c r="A576" s="265">
        <v>44288.0</v>
      </c>
      <c r="B576" s="266" t="s">
        <v>1500</v>
      </c>
      <c r="C576" s="266"/>
      <c r="D576" s="265" t="s">
        <v>1452</v>
      </c>
      <c r="E576" s="268"/>
      <c r="F576" s="358" t="s">
        <v>3667</v>
      </c>
      <c r="G576" s="268" t="s">
        <v>2085</v>
      </c>
      <c r="H576" s="270">
        <v>0.005648148148148148</v>
      </c>
      <c r="I576" s="271">
        <v>44288.58125</v>
      </c>
      <c r="J576" s="268"/>
      <c r="K576" s="271">
        <v>44288.925532407404</v>
      </c>
      <c r="L576" s="271"/>
      <c r="M576" s="399" t="s">
        <v>2524</v>
      </c>
      <c r="N576" s="290"/>
      <c r="O576" s="276"/>
      <c r="P576" s="276"/>
      <c r="Q576" s="276"/>
      <c r="R576" s="278"/>
      <c r="S576" s="278"/>
      <c r="T576" s="278"/>
      <c r="U576" s="279"/>
      <c r="V576" s="279" t="s">
        <v>1783</v>
      </c>
      <c r="W576" s="280">
        <v>44291.0</v>
      </c>
      <c r="X576" s="281">
        <v>0.015277777777777777</v>
      </c>
      <c r="Y576" s="279" t="s">
        <v>1693</v>
      </c>
      <c r="Z576" s="282" t="s">
        <v>1570</v>
      </c>
      <c r="AA576" s="282" t="s">
        <v>3667</v>
      </c>
      <c r="AB576" s="283">
        <v>44288.0</v>
      </c>
      <c r="AC576" s="284"/>
      <c r="AD576" s="284"/>
    </row>
    <row r="577" ht="14.25" customHeight="1">
      <c r="A577" s="265">
        <v>44288.0</v>
      </c>
      <c r="B577" s="266" t="s">
        <v>1500</v>
      </c>
      <c r="C577" s="266"/>
      <c r="D577" s="266" t="s">
        <v>1686</v>
      </c>
      <c r="E577" s="268"/>
      <c r="F577" s="358" t="s">
        <v>3668</v>
      </c>
      <c r="G577" s="268" t="s">
        <v>2085</v>
      </c>
      <c r="H577" s="270">
        <v>0.037766203703703705</v>
      </c>
      <c r="I577" s="271">
        <v>44291.375</v>
      </c>
      <c r="J577" s="268"/>
      <c r="K577" s="348">
        <v>44291.735243055555</v>
      </c>
      <c r="L577" s="271"/>
      <c r="M577" s="359" t="s">
        <v>2524</v>
      </c>
      <c r="N577" s="290"/>
      <c r="O577" s="276"/>
      <c r="P577" s="275"/>
      <c r="Q577" s="276"/>
      <c r="R577" s="278"/>
      <c r="S577" s="278"/>
      <c r="T577" s="278"/>
      <c r="U577" s="279"/>
      <c r="V577" s="279" t="s">
        <v>1570</v>
      </c>
      <c r="W577" s="280">
        <v>44291.0</v>
      </c>
      <c r="X577" s="281">
        <v>0.14583333333333334</v>
      </c>
      <c r="Y577" s="279" t="s">
        <v>1693</v>
      </c>
      <c r="Z577" s="282" t="s">
        <v>53</v>
      </c>
      <c r="AA577" s="282" t="s">
        <v>3668</v>
      </c>
      <c r="AB577" s="283">
        <v>44292.0</v>
      </c>
      <c r="AC577" s="284"/>
      <c r="AD577" s="284"/>
    </row>
    <row r="578" ht="14.25" customHeight="1">
      <c r="A578" s="265">
        <v>44288.0</v>
      </c>
      <c r="B578" s="266" t="s">
        <v>1500</v>
      </c>
      <c r="C578" s="266"/>
      <c r="D578" s="266" t="s">
        <v>1455</v>
      </c>
      <c r="E578" s="268"/>
      <c r="F578" s="358" t="s">
        <v>3669</v>
      </c>
      <c r="G578" s="268" t="s">
        <v>2085</v>
      </c>
      <c r="H578" s="270">
        <v>0.020636574074074075</v>
      </c>
      <c r="I578" s="271">
        <v>44291.375</v>
      </c>
      <c r="J578" s="268"/>
      <c r="K578" s="348">
        <v>44291.904861111114</v>
      </c>
      <c r="L578" s="271"/>
      <c r="M578" s="359" t="s">
        <v>2524</v>
      </c>
      <c r="N578" s="404"/>
      <c r="O578" s="352"/>
      <c r="P578" s="268"/>
      <c r="Q578" s="276"/>
      <c r="R578" s="277"/>
      <c r="S578" s="278"/>
      <c r="T578" s="278"/>
      <c r="U578" s="279"/>
      <c r="V578" s="279" t="s">
        <v>1824</v>
      </c>
      <c r="W578" s="280">
        <v>44292.0</v>
      </c>
      <c r="X578" s="281">
        <v>0.09027777777777778</v>
      </c>
      <c r="Y578" s="279" t="s">
        <v>1693</v>
      </c>
      <c r="Z578" s="282" t="s">
        <v>53</v>
      </c>
      <c r="AA578" s="282" t="s">
        <v>3669</v>
      </c>
      <c r="AB578" s="283">
        <v>44292.0</v>
      </c>
      <c r="AC578" s="284"/>
      <c r="AD578" s="284"/>
    </row>
    <row r="579" ht="14.25" customHeight="1">
      <c r="A579" s="265">
        <v>44289.0</v>
      </c>
      <c r="B579" s="266" t="s">
        <v>2030</v>
      </c>
      <c r="C579" s="266" t="s">
        <v>1686</v>
      </c>
      <c r="D579" s="266" t="s">
        <v>1543</v>
      </c>
      <c r="E579" s="268"/>
      <c r="F579" s="291" t="s">
        <v>3670</v>
      </c>
      <c r="G579" s="268" t="s">
        <v>1463</v>
      </c>
      <c r="H579" s="270">
        <v>0.0019444444444444442</v>
      </c>
      <c r="I579" s="271">
        <v>44291.35833333333</v>
      </c>
      <c r="J579" s="268"/>
      <c r="K579" s="348">
        <v>44291.36791666667</v>
      </c>
      <c r="L579" s="271"/>
      <c r="M579" s="278" t="s">
        <v>3671</v>
      </c>
      <c r="N579" s="290"/>
      <c r="O579" s="276"/>
      <c r="P579" s="275"/>
      <c r="Q579" s="276"/>
      <c r="R579" s="278"/>
      <c r="S579" s="278"/>
      <c r="T579" s="278"/>
      <c r="U579" s="279"/>
      <c r="V579" s="279" t="s">
        <v>2030</v>
      </c>
      <c r="W579" s="280">
        <v>44300.0</v>
      </c>
      <c r="X579" s="281">
        <v>0.010416666666666666</v>
      </c>
      <c r="Y579" s="279" t="s">
        <v>1693</v>
      </c>
      <c r="Z579" s="282" t="s">
        <v>53</v>
      </c>
      <c r="AA579" s="282">
        <v>6349399.0</v>
      </c>
      <c r="AB579" s="283">
        <v>44292.0</v>
      </c>
      <c r="AC579" s="284"/>
      <c r="AD579" s="284"/>
    </row>
    <row r="580" ht="14.25" customHeight="1">
      <c r="A580" s="265">
        <v>44289.0</v>
      </c>
      <c r="B580" s="266" t="s">
        <v>1500</v>
      </c>
      <c r="C580" s="266" t="s">
        <v>1696</v>
      </c>
      <c r="D580" s="266" t="s">
        <v>1543</v>
      </c>
      <c r="E580" s="268"/>
      <c r="F580" s="291" t="s">
        <v>3672</v>
      </c>
      <c r="G580" s="268" t="s">
        <v>1463</v>
      </c>
      <c r="H580" s="270">
        <v>0.0019097222222222222</v>
      </c>
      <c r="I580" s="271">
        <v>44292.38888888889</v>
      </c>
      <c r="J580" s="268"/>
      <c r="K580" s="348">
        <v>44292.435381944444</v>
      </c>
      <c r="L580" s="271"/>
      <c r="M580" s="307" t="s">
        <v>3673</v>
      </c>
      <c r="N580" s="273">
        <v>44295.40625</v>
      </c>
      <c r="O580" s="276" t="s">
        <v>3674</v>
      </c>
      <c r="P580" s="275" t="s">
        <v>1463</v>
      </c>
      <c r="Q580" s="276" t="s">
        <v>1819</v>
      </c>
      <c r="R580" s="277">
        <v>44295.424525462964</v>
      </c>
      <c r="S580" s="278"/>
      <c r="T580" s="278" t="s">
        <v>3675</v>
      </c>
      <c r="U580" s="279"/>
      <c r="V580" s="279" t="s">
        <v>2030</v>
      </c>
      <c r="W580" s="280">
        <v>44300.0</v>
      </c>
      <c r="X580" s="281">
        <v>0.008333333333333333</v>
      </c>
      <c r="Y580" s="279" t="s">
        <v>1693</v>
      </c>
      <c r="Z580" s="282" t="s">
        <v>53</v>
      </c>
      <c r="AA580" s="282">
        <v>6350048.0</v>
      </c>
      <c r="AB580" s="283">
        <v>44295.0</v>
      </c>
      <c r="AC580" s="284"/>
      <c r="AD580" s="284"/>
    </row>
    <row r="581" ht="14.25" customHeight="1">
      <c r="A581" s="265">
        <v>44289.0</v>
      </c>
      <c r="B581" s="266" t="s">
        <v>1738</v>
      </c>
      <c r="C581" s="266"/>
      <c r="D581" s="266" t="s">
        <v>1686</v>
      </c>
      <c r="E581" s="268"/>
      <c r="F581" s="358" t="s">
        <v>3676</v>
      </c>
      <c r="G581" s="268" t="s">
        <v>2085</v>
      </c>
      <c r="H581" s="270">
        <v>0.04120370370370371</v>
      </c>
      <c r="I581" s="271">
        <v>44289.600694444445</v>
      </c>
      <c r="J581" s="268"/>
      <c r="K581" s="271">
        <v>44289.98032407407</v>
      </c>
      <c r="L581" s="271"/>
      <c r="M581" s="399" t="s">
        <v>2524</v>
      </c>
      <c r="N581" s="290"/>
      <c r="O581" s="276"/>
      <c r="P581" s="275"/>
      <c r="Q581" s="276"/>
      <c r="R581" s="278"/>
      <c r="S581" s="278"/>
      <c r="T581" s="278"/>
      <c r="U581" s="279"/>
      <c r="V581" s="279" t="s">
        <v>1570</v>
      </c>
      <c r="W581" s="280">
        <v>44292.0</v>
      </c>
      <c r="X581" s="281">
        <v>0.14583333333333334</v>
      </c>
      <c r="Y581" s="279" t="s">
        <v>1693</v>
      </c>
      <c r="Z581" s="282" t="s">
        <v>53</v>
      </c>
      <c r="AA581" s="282" t="s">
        <v>3676</v>
      </c>
      <c r="AB581" s="283">
        <v>44292.0</v>
      </c>
      <c r="AC581" s="284"/>
      <c r="AD581" s="284"/>
    </row>
    <row r="582" ht="14.25" customHeight="1">
      <c r="A582" s="265">
        <v>44289.0</v>
      </c>
      <c r="B582" s="266" t="s">
        <v>3677</v>
      </c>
      <c r="C582" s="266"/>
      <c r="D582" s="266" t="s">
        <v>1455</v>
      </c>
      <c r="E582" s="268"/>
      <c r="F582" s="358" t="s">
        <v>3678</v>
      </c>
      <c r="G582" s="268" t="s">
        <v>2085</v>
      </c>
      <c r="H582" s="270">
        <v>0.018784722222222223</v>
      </c>
      <c r="I582" s="271">
        <v>44291.375</v>
      </c>
      <c r="J582" s="268"/>
      <c r="K582" s="348">
        <v>44291.910532407404</v>
      </c>
      <c r="L582" s="271"/>
      <c r="M582" s="399" t="s">
        <v>2524</v>
      </c>
      <c r="N582" s="290"/>
      <c r="O582" s="276"/>
      <c r="P582" s="275"/>
      <c r="Q582" s="276"/>
      <c r="R582" s="278"/>
      <c r="S582" s="278"/>
      <c r="T582" s="278"/>
      <c r="U582" s="279"/>
      <c r="V582" s="279" t="s">
        <v>1824</v>
      </c>
      <c r="W582" s="280">
        <v>44292.0</v>
      </c>
      <c r="X582" s="281">
        <v>0.09027777777777778</v>
      </c>
      <c r="Y582" s="279" t="s">
        <v>1693</v>
      </c>
      <c r="Z582" s="282" t="s">
        <v>53</v>
      </c>
      <c r="AA582" s="282" t="s">
        <v>3678</v>
      </c>
      <c r="AB582" s="283">
        <v>44292.0</v>
      </c>
      <c r="AC582" s="284"/>
      <c r="AD582" s="284"/>
    </row>
    <row r="583" ht="14.25" customHeight="1">
      <c r="A583" s="265">
        <v>44290.0</v>
      </c>
      <c r="B583" s="266" t="s">
        <v>1733</v>
      </c>
      <c r="C583" s="266"/>
      <c r="D583" s="267" t="s">
        <v>3509</v>
      </c>
      <c r="E583" s="268"/>
      <c r="F583" s="358">
        <v>6346445.0</v>
      </c>
      <c r="G583" s="268" t="s">
        <v>3510</v>
      </c>
      <c r="H583" s="270">
        <v>0.037453703703703704</v>
      </c>
      <c r="I583" s="271">
        <v>44291.779861111114</v>
      </c>
      <c r="J583" s="268"/>
      <c r="K583" s="271"/>
      <c r="L583" s="271"/>
      <c r="M583" s="278" t="s">
        <v>3679</v>
      </c>
      <c r="N583" s="352"/>
      <c r="O583" s="275"/>
      <c r="P583" s="275"/>
      <c r="Q583" s="276"/>
      <c r="R583" s="278"/>
      <c r="S583" s="278"/>
      <c r="T583" s="278"/>
      <c r="U583" s="279"/>
      <c r="V583" s="279"/>
      <c r="W583" s="280"/>
      <c r="X583" s="281"/>
      <c r="Y583" s="279"/>
      <c r="Z583" s="282" t="s">
        <v>101</v>
      </c>
      <c r="AA583" s="282">
        <v>6346445.0</v>
      </c>
      <c r="AB583" s="283">
        <v>44292.0</v>
      </c>
      <c r="AC583" s="284"/>
      <c r="AD583" s="284"/>
    </row>
    <row r="584" ht="14.25" customHeight="1">
      <c r="A584" s="265">
        <v>44290.0</v>
      </c>
      <c r="B584" s="266" t="s">
        <v>1783</v>
      </c>
      <c r="C584" s="266"/>
      <c r="D584" s="266" t="s">
        <v>1457</v>
      </c>
      <c r="E584" s="268"/>
      <c r="F584" s="358" t="s">
        <v>3680</v>
      </c>
      <c r="G584" s="268" t="s">
        <v>2085</v>
      </c>
      <c r="H584" s="270">
        <v>0.017685185185185182</v>
      </c>
      <c r="I584" s="271">
        <v>44291.364583333336</v>
      </c>
      <c r="J584" s="268"/>
      <c r="K584" s="271"/>
      <c r="L584" s="271"/>
      <c r="M584" s="307" t="s">
        <v>2808</v>
      </c>
      <c r="N584" s="351">
        <v>44291.4375</v>
      </c>
      <c r="O584" s="275" t="s">
        <v>3681</v>
      </c>
      <c r="P584" s="275" t="s">
        <v>2085</v>
      </c>
      <c r="Q584" s="276" t="s">
        <v>1819</v>
      </c>
      <c r="R584" s="277">
        <v>44291.45197916667</v>
      </c>
      <c r="S584" s="278"/>
      <c r="T584" s="278" t="s">
        <v>3682</v>
      </c>
      <c r="U584" s="279"/>
      <c r="V584" s="279" t="s">
        <v>1783</v>
      </c>
      <c r="W584" s="280">
        <v>44293.0</v>
      </c>
      <c r="X584" s="281">
        <v>0.03125</v>
      </c>
      <c r="Y584" s="279" t="s">
        <v>1693</v>
      </c>
      <c r="Z584" s="282" t="s">
        <v>1570</v>
      </c>
      <c r="AA584" s="282" t="s">
        <v>3680</v>
      </c>
      <c r="AB584" s="283">
        <v>44292.0</v>
      </c>
      <c r="AC584" s="284"/>
      <c r="AD584" s="284"/>
    </row>
    <row r="585" ht="14.25" customHeight="1">
      <c r="A585" s="265">
        <v>44290.0</v>
      </c>
      <c r="B585" s="266" t="s">
        <v>1500</v>
      </c>
      <c r="C585" s="266"/>
      <c r="D585" s="266" t="s">
        <v>2829</v>
      </c>
      <c r="E585" s="268"/>
      <c r="F585" s="358" t="s">
        <v>3683</v>
      </c>
      <c r="G585" s="268" t="s">
        <v>2085</v>
      </c>
      <c r="H585" s="270">
        <v>0.018506944444444444</v>
      </c>
      <c r="I585" s="271">
        <v>44291.42152777778</v>
      </c>
      <c r="J585" s="268"/>
      <c r="K585" s="271"/>
      <c r="L585" s="271"/>
      <c r="M585" s="307" t="s">
        <v>2808</v>
      </c>
      <c r="N585" s="351">
        <v>44291.73125</v>
      </c>
      <c r="O585" s="275" t="s">
        <v>3684</v>
      </c>
      <c r="P585" s="275" t="s">
        <v>1463</v>
      </c>
      <c r="Q585" s="276" t="s">
        <v>1819</v>
      </c>
      <c r="R585" s="277">
        <v>44291.75579861111</v>
      </c>
      <c r="S585" s="278"/>
      <c r="T585" s="278" t="s">
        <v>3685</v>
      </c>
      <c r="U585" s="279"/>
      <c r="V585" s="279"/>
      <c r="W585" s="280"/>
      <c r="X585" s="281"/>
      <c r="Y585" s="279"/>
      <c r="Z585" s="282" t="s">
        <v>1570</v>
      </c>
      <c r="AA585" s="282" t="s">
        <v>3683</v>
      </c>
      <c r="AB585" s="283">
        <v>44291.0</v>
      </c>
      <c r="AC585" s="284"/>
      <c r="AD585" s="284"/>
    </row>
    <row r="586" ht="14.25" customHeight="1">
      <c r="A586" s="265">
        <v>44291.0</v>
      </c>
      <c r="B586" s="266" t="s">
        <v>1500</v>
      </c>
      <c r="C586" s="266" t="s">
        <v>2083</v>
      </c>
      <c r="D586" s="266" t="s">
        <v>1543</v>
      </c>
      <c r="E586" s="268"/>
      <c r="F586" s="269" t="s">
        <v>3686</v>
      </c>
      <c r="G586" s="268" t="s">
        <v>1463</v>
      </c>
      <c r="H586" s="270">
        <v>0.0021643518518518518</v>
      </c>
      <c r="I586" s="271">
        <v>44292.379166666666</v>
      </c>
      <c r="J586" s="268"/>
      <c r="K586" s="348">
        <v>44292.38873842593</v>
      </c>
      <c r="L586" s="271"/>
      <c r="M586" s="355" t="s">
        <v>3687</v>
      </c>
      <c r="N586" s="351"/>
      <c r="O586" s="268"/>
      <c r="P586" s="275"/>
      <c r="Q586" s="276"/>
      <c r="R586" s="277"/>
      <c r="S586" s="278"/>
      <c r="T586" s="278"/>
      <c r="U586" s="279"/>
      <c r="V586" s="279" t="s">
        <v>2030</v>
      </c>
      <c r="W586" s="280">
        <v>44300.0</v>
      </c>
      <c r="X586" s="281"/>
      <c r="Y586" s="279" t="s">
        <v>1693</v>
      </c>
      <c r="Z586" s="282" t="s">
        <v>53</v>
      </c>
      <c r="AA586" s="282">
        <v>6349722.0</v>
      </c>
      <c r="AB586" s="283">
        <v>44293.0</v>
      </c>
      <c r="AC586" s="284"/>
      <c r="AD586" s="284"/>
    </row>
    <row r="587" ht="14.25" customHeight="1">
      <c r="A587" s="265">
        <v>44291.0</v>
      </c>
      <c r="B587" s="266" t="s">
        <v>1500</v>
      </c>
      <c r="C587" s="266" t="s">
        <v>1686</v>
      </c>
      <c r="D587" s="266" t="s">
        <v>1543</v>
      </c>
      <c r="E587" s="268"/>
      <c r="F587" s="269" t="s">
        <v>3688</v>
      </c>
      <c r="G587" s="268" t="s">
        <v>1463</v>
      </c>
      <c r="H587" s="270">
        <v>0.0014930555555555556</v>
      </c>
      <c r="I587" s="271">
        <v>44292.59583333333</v>
      </c>
      <c r="J587" s="268"/>
      <c r="K587" s="348">
        <v>44292.60358796296</v>
      </c>
      <c r="L587" s="271"/>
      <c r="M587" s="355" t="s">
        <v>3689</v>
      </c>
      <c r="N587" s="351"/>
      <c r="O587" s="268"/>
      <c r="P587" s="275"/>
      <c r="Q587" s="276"/>
      <c r="R587" s="277"/>
      <c r="S587" s="278"/>
      <c r="T587" s="278"/>
      <c r="U587" s="279"/>
      <c r="V587" s="279" t="s">
        <v>1500</v>
      </c>
      <c r="W587" s="280">
        <v>44306.0</v>
      </c>
      <c r="X587" s="281">
        <v>0.006944444444444444</v>
      </c>
      <c r="Y587" s="279" t="s">
        <v>1693</v>
      </c>
      <c r="Z587" s="282" t="s">
        <v>53</v>
      </c>
      <c r="AA587" s="282">
        <v>6349723.0</v>
      </c>
      <c r="AB587" s="283">
        <v>44293.0</v>
      </c>
      <c r="AC587" s="284"/>
      <c r="AD587" s="284"/>
    </row>
    <row r="588" ht="14.25" customHeight="1">
      <c r="A588" s="265">
        <v>44291.0</v>
      </c>
      <c r="B588" s="266" t="s">
        <v>1746</v>
      </c>
      <c r="C588" s="266"/>
      <c r="D588" s="266" t="s">
        <v>1450</v>
      </c>
      <c r="E588" s="268"/>
      <c r="F588" s="358" t="s">
        <v>3690</v>
      </c>
      <c r="G588" s="268" t="s">
        <v>2085</v>
      </c>
      <c r="H588" s="270">
        <v>0.09967592592592593</v>
      </c>
      <c r="I588" s="271">
        <v>44291.736805555556</v>
      </c>
      <c r="J588" s="268"/>
      <c r="K588" s="271">
        <v>44291.814479166664</v>
      </c>
      <c r="L588" s="271"/>
      <c r="M588" s="359" t="s">
        <v>2524</v>
      </c>
      <c r="N588" s="352"/>
      <c r="O588" s="275"/>
      <c r="P588" s="275"/>
      <c r="Q588" s="276"/>
      <c r="R588" s="278"/>
      <c r="S588" s="278"/>
      <c r="T588" s="278"/>
      <c r="U588" s="279"/>
      <c r="V588" s="279" t="s">
        <v>1824</v>
      </c>
      <c r="W588" s="280" t="s">
        <v>3691</v>
      </c>
      <c r="X588" s="281">
        <v>0.3333333333333333</v>
      </c>
      <c r="Y588" s="279" t="s">
        <v>3636</v>
      </c>
      <c r="Z588" s="282" t="s">
        <v>1570</v>
      </c>
      <c r="AA588" s="282" t="s">
        <v>3690</v>
      </c>
      <c r="AB588" s="283">
        <v>44291.0</v>
      </c>
      <c r="AC588" s="284"/>
      <c r="AD588" s="284"/>
    </row>
    <row r="589" ht="14.25" customHeight="1">
      <c r="A589" s="265">
        <v>44291.0</v>
      </c>
      <c r="B589" s="266" t="s">
        <v>1783</v>
      </c>
      <c r="C589" s="266"/>
      <c r="D589" s="265" t="s">
        <v>1452</v>
      </c>
      <c r="E589" s="268"/>
      <c r="F589" s="358" t="s">
        <v>3692</v>
      </c>
      <c r="G589" s="268" t="s">
        <v>2085</v>
      </c>
      <c r="H589" s="270">
        <v>0.006921296296296297</v>
      </c>
      <c r="I589" s="271">
        <v>44291.45763888889</v>
      </c>
      <c r="J589" s="268"/>
      <c r="K589" s="271" t="s">
        <v>3693</v>
      </c>
      <c r="L589" s="271"/>
      <c r="M589" s="399" t="s">
        <v>2524</v>
      </c>
      <c r="N589" s="352"/>
      <c r="O589" s="275"/>
      <c r="P589" s="275"/>
      <c r="Q589" s="276"/>
      <c r="R589" s="278"/>
      <c r="S589" s="278"/>
      <c r="T589" s="278"/>
      <c r="U589" s="279"/>
      <c r="V589" s="279" t="s">
        <v>1783</v>
      </c>
      <c r="W589" s="280">
        <v>44291.0</v>
      </c>
      <c r="X589" s="281">
        <v>0.017361111111111112</v>
      </c>
      <c r="Y589" s="279" t="s">
        <v>1693</v>
      </c>
      <c r="Z589" s="282" t="s">
        <v>1570</v>
      </c>
      <c r="AA589" s="282" t="s">
        <v>3692</v>
      </c>
      <c r="AB589" s="283">
        <v>44291.0</v>
      </c>
      <c r="AC589" s="284"/>
      <c r="AD589" s="284"/>
    </row>
    <row r="590" ht="14.25" customHeight="1">
      <c r="A590" s="265">
        <v>44291.0</v>
      </c>
      <c r="B590" s="266" t="s">
        <v>1733</v>
      </c>
      <c r="C590" s="266"/>
      <c r="D590" s="266" t="s">
        <v>1686</v>
      </c>
      <c r="E590" s="268"/>
      <c r="F590" s="358" t="s">
        <v>3694</v>
      </c>
      <c r="G590" s="268" t="s">
        <v>2085</v>
      </c>
      <c r="H590" s="270">
        <v>0.037986111111111116</v>
      </c>
      <c r="I590" s="271">
        <v>44291.75625</v>
      </c>
      <c r="J590" s="268"/>
      <c r="K590" s="271">
        <v>44291.78680555556</v>
      </c>
      <c r="L590" s="271"/>
      <c r="M590" s="399" t="s">
        <v>2524</v>
      </c>
      <c r="N590" s="352"/>
      <c r="O590" s="275"/>
      <c r="P590" s="275"/>
      <c r="Q590" s="276"/>
      <c r="R590" s="278"/>
      <c r="S590" s="278"/>
      <c r="T590" s="278"/>
      <c r="U590" s="279"/>
      <c r="V590" s="279" t="s">
        <v>1570</v>
      </c>
      <c r="W590" s="280">
        <v>44292.0</v>
      </c>
      <c r="X590" s="281">
        <v>0.14583333333333334</v>
      </c>
      <c r="Y590" s="279" t="s">
        <v>1693</v>
      </c>
      <c r="Z590" s="282" t="s">
        <v>1570</v>
      </c>
      <c r="AA590" s="282" t="s">
        <v>3694</v>
      </c>
      <c r="AB590" s="283">
        <v>44291.0</v>
      </c>
      <c r="AC590" s="284"/>
      <c r="AD590" s="284"/>
    </row>
    <row r="591" ht="14.25" customHeight="1">
      <c r="A591" s="265">
        <v>44291.0</v>
      </c>
      <c r="B591" s="266" t="s">
        <v>1733</v>
      </c>
      <c r="C591" s="266"/>
      <c r="D591" s="266" t="s">
        <v>1455</v>
      </c>
      <c r="E591" s="268"/>
      <c r="F591" s="358" t="s">
        <v>3695</v>
      </c>
      <c r="G591" s="268" t="s">
        <v>2085</v>
      </c>
      <c r="H591" s="270">
        <v>0.020277777777777777</v>
      </c>
      <c r="I591" s="271">
        <v>44291.91875</v>
      </c>
      <c r="J591" s="268"/>
      <c r="K591" s="348">
        <v>44291.93640046296</v>
      </c>
      <c r="L591" s="271"/>
      <c r="M591" s="399" t="s">
        <v>2524</v>
      </c>
      <c r="N591" s="351"/>
      <c r="O591" s="268"/>
      <c r="P591" s="275"/>
      <c r="Q591" s="276"/>
      <c r="R591" s="277"/>
      <c r="S591" s="278"/>
      <c r="T591" s="278"/>
      <c r="U591" s="279"/>
      <c r="V591" s="279" t="s">
        <v>1824</v>
      </c>
      <c r="W591" s="280" t="s">
        <v>3696</v>
      </c>
      <c r="X591" s="281">
        <v>0.09027777777777778</v>
      </c>
      <c r="Y591" s="279" t="s">
        <v>1693</v>
      </c>
      <c r="Z591" s="282" t="s">
        <v>1570</v>
      </c>
      <c r="AA591" s="282" t="s">
        <v>3695</v>
      </c>
      <c r="AB591" s="283">
        <v>44291.0</v>
      </c>
      <c r="AC591" s="284"/>
      <c r="AD591" s="284"/>
    </row>
    <row r="592" ht="14.25" customHeight="1">
      <c r="A592" s="265">
        <v>44292.0</v>
      </c>
      <c r="B592" s="266" t="s">
        <v>1500</v>
      </c>
      <c r="C592" s="266" t="s">
        <v>1450</v>
      </c>
      <c r="D592" s="266" t="s">
        <v>1543</v>
      </c>
      <c r="E592" s="268"/>
      <c r="F592" s="291" t="s">
        <v>3697</v>
      </c>
      <c r="G592" s="268" t="s">
        <v>1463</v>
      </c>
      <c r="H592" s="270">
        <v>0.0024537037037037036</v>
      </c>
      <c r="I592" s="271">
        <v>44293.44583333333</v>
      </c>
      <c r="J592" s="268"/>
      <c r="K592" s="271">
        <v>44293.94048611111</v>
      </c>
      <c r="L592" s="271"/>
      <c r="M592" s="359" t="s">
        <v>3505</v>
      </c>
      <c r="N592" s="290"/>
      <c r="O592" s="276"/>
      <c r="P592" s="275"/>
      <c r="Q592" s="276"/>
      <c r="R592" s="278"/>
      <c r="S592" s="278"/>
      <c r="T592" s="278"/>
      <c r="U592" s="279"/>
      <c r="V592" s="279" t="s">
        <v>1500</v>
      </c>
      <c r="W592" s="280">
        <v>44306.0</v>
      </c>
      <c r="X592" s="281">
        <v>0.006944444444444444</v>
      </c>
      <c r="Y592" s="279" t="s">
        <v>1693</v>
      </c>
      <c r="Z592" s="282" t="s">
        <v>1570</v>
      </c>
      <c r="AA592" s="282">
        <v>6349926.0</v>
      </c>
      <c r="AB592" s="283">
        <v>44293.0</v>
      </c>
      <c r="AC592" s="284"/>
      <c r="AD592" s="284"/>
    </row>
    <row r="593" ht="14.25" customHeight="1">
      <c r="A593" s="265">
        <v>44292.0</v>
      </c>
      <c r="B593" s="266" t="s">
        <v>1500</v>
      </c>
      <c r="C593" s="266" t="s">
        <v>1450</v>
      </c>
      <c r="D593" s="266" t="s">
        <v>1543</v>
      </c>
      <c r="E593" s="268"/>
      <c r="F593" s="291" t="s">
        <v>3698</v>
      </c>
      <c r="G593" s="268" t="s">
        <v>1463</v>
      </c>
      <c r="H593" s="270">
        <v>0.0018287037037037037</v>
      </c>
      <c r="I593" s="271">
        <v>44293.59861111111</v>
      </c>
      <c r="J593" s="268"/>
      <c r="K593" s="271">
        <v>44294.09868055556</v>
      </c>
      <c r="L593" s="271"/>
      <c r="M593" s="359" t="s">
        <v>3505</v>
      </c>
      <c r="N593" s="290"/>
      <c r="O593" s="276"/>
      <c r="P593" s="275"/>
      <c r="Q593" s="276"/>
      <c r="R593" s="278"/>
      <c r="S593" s="278"/>
      <c r="T593" s="278"/>
      <c r="U593" s="279"/>
      <c r="V593" s="279" t="s">
        <v>1500</v>
      </c>
      <c r="W593" s="280">
        <v>44306.0</v>
      </c>
      <c r="X593" s="281">
        <v>0.013888888888888888</v>
      </c>
      <c r="Y593" s="279" t="s">
        <v>1693</v>
      </c>
      <c r="Z593" s="282" t="s">
        <v>1570</v>
      </c>
      <c r="AA593" s="282">
        <v>6349927.0</v>
      </c>
      <c r="AB593" s="283">
        <v>44293.0</v>
      </c>
      <c r="AC593" s="284"/>
      <c r="AD593" s="284"/>
    </row>
    <row r="594" ht="14.25" customHeight="1">
      <c r="A594" s="265">
        <v>44292.0</v>
      </c>
      <c r="B594" s="266" t="s">
        <v>3677</v>
      </c>
      <c r="C594" s="266"/>
      <c r="D594" s="266" t="s">
        <v>1450</v>
      </c>
      <c r="E594" s="268"/>
      <c r="F594" s="358" t="s">
        <v>3699</v>
      </c>
      <c r="G594" s="268" t="s">
        <v>2085</v>
      </c>
      <c r="H594" s="270">
        <v>0.10084490740740741</v>
      </c>
      <c r="I594" s="271">
        <v>44292.84583333333</v>
      </c>
      <c r="J594" s="268"/>
      <c r="K594" s="271">
        <v>44292.9471412037</v>
      </c>
      <c r="L594" s="271"/>
      <c r="M594" s="359" t="s">
        <v>2524</v>
      </c>
      <c r="N594" s="290"/>
      <c r="O594" s="276"/>
      <c r="P594" s="275"/>
      <c r="Q594" s="276"/>
      <c r="R594" s="278"/>
      <c r="S594" s="278"/>
      <c r="T594" s="278"/>
      <c r="U594" s="279"/>
      <c r="V594" s="279" t="s">
        <v>1746</v>
      </c>
      <c r="W594" s="280">
        <v>44293.0</v>
      </c>
      <c r="X594" s="281">
        <v>0.3055555555555555</v>
      </c>
      <c r="Y594" s="279" t="s">
        <v>1693</v>
      </c>
      <c r="Z594" s="282" t="s">
        <v>1570</v>
      </c>
      <c r="AA594" s="282" t="s">
        <v>3699</v>
      </c>
      <c r="AB594" s="283">
        <v>44292.0</v>
      </c>
      <c r="AC594" s="284"/>
      <c r="AD594" s="284"/>
    </row>
    <row r="595" ht="14.25" customHeight="1">
      <c r="A595" s="265">
        <v>44292.0</v>
      </c>
      <c r="B595" s="266" t="s">
        <v>1783</v>
      </c>
      <c r="C595" s="266"/>
      <c r="D595" s="265" t="s">
        <v>1452</v>
      </c>
      <c r="E595" s="268"/>
      <c r="F595" s="358" t="s">
        <v>3700</v>
      </c>
      <c r="G595" s="268" t="s">
        <v>2085</v>
      </c>
      <c r="H595" s="270">
        <v>0.006967592592592592</v>
      </c>
      <c r="I595" s="271">
        <v>44292.49652777778</v>
      </c>
      <c r="J595" s="268"/>
      <c r="K595" s="271" t="s">
        <v>3701</v>
      </c>
      <c r="L595" s="271"/>
      <c r="M595" s="399" t="s">
        <v>2524</v>
      </c>
      <c r="N595" s="290"/>
      <c r="O595" s="276"/>
      <c r="P595" s="275"/>
      <c r="Q595" s="276"/>
      <c r="R595" s="278"/>
      <c r="S595" s="278"/>
      <c r="T595" s="278"/>
      <c r="U595" s="279"/>
      <c r="V595" s="279" t="s">
        <v>1783</v>
      </c>
      <c r="W595" s="280">
        <v>44292.0</v>
      </c>
      <c r="X595" s="281">
        <v>0.017361111111111112</v>
      </c>
      <c r="Y595" s="279" t="s">
        <v>1693</v>
      </c>
      <c r="Z595" s="282" t="s">
        <v>1570</v>
      </c>
      <c r="AA595" s="282" t="s">
        <v>3700</v>
      </c>
      <c r="AB595" s="283">
        <v>44292.0</v>
      </c>
      <c r="AC595" s="284"/>
      <c r="AD595" s="284"/>
    </row>
    <row r="596" ht="14.25" customHeight="1">
      <c r="A596" s="265">
        <v>44292.0</v>
      </c>
      <c r="B596" s="266" t="s">
        <v>1570</v>
      </c>
      <c r="C596" s="266"/>
      <c r="D596" s="266" t="s">
        <v>1686</v>
      </c>
      <c r="E596" s="268"/>
      <c r="F596" s="358" t="s">
        <v>3702</v>
      </c>
      <c r="G596" s="268" t="s">
        <v>2085</v>
      </c>
      <c r="H596" s="270">
        <v>0.0384375</v>
      </c>
      <c r="I596" s="271">
        <v>44292.70347222222</v>
      </c>
      <c r="J596" s="268"/>
      <c r="K596" s="271">
        <v>44292.74395833333</v>
      </c>
      <c r="L596" s="271"/>
      <c r="M596" s="399" t="s">
        <v>2524</v>
      </c>
      <c r="N596" s="290"/>
      <c r="O596" s="276"/>
      <c r="P596" s="275"/>
      <c r="Q596" s="276"/>
      <c r="R596" s="278"/>
      <c r="S596" s="278"/>
      <c r="T596" s="278"/>
      <c r="U596" s="279"/>
      <c r="V596" s="279" t="s">
        <v>1570</v>
      </c>
      <c r="W596" s="280">
        <v>44293.0</v>
      </c>
      <c r="X596" s="281">
        <v>0.14583333333333334</v>
      </c>
      <c r="Y596" s="279" t="s">
        <v>1693</v>
      </c>
      <c r="Z596" s="282" t="s">
        <v>1570</v>
      </c>
      <c r="AA596" s="282" t="s">
        <v>3702</v>
      </c>
      <c r="AB596" s="283">
        <v>44292.0</v>
      </c>
      <c r="AC596" s="284"/>
      <c r="AD596" s="284"/>
    </row>
    <row r="597" ht="14.25" customHeight="1">
      <c r="A597" s="265">
        <v>44292.0</v>
      </c>
      <c r="B597" s="266" t="s">
        <v>1733</v>
      </c>
      <c r="C597" s="266"/>
      <c r="D597" s="266" t="s">
        <v>1455</v>
      </c>
      <c r="E597" s="268"/>
      <c r="F597" s="358" t="s">
        <v>3703</v>
      </c>
      <c r="G597" s="268" t="s">
        <v>2085</v>
      </c>
      <c r="H597" s="270">
        <v>0.021585648148148145</v>
      </c>
      <c r="I597" s="271">
        <v>44293.740277777775</v>
      </c>
      <c r="J597" s="268"/>
      <c r="K597" s="271">
        <v>44293.84240740741</v>
      </c>
      <c r="L597" s="271"/>
      <c r="M597" s="399" t="s">
        <v>2524</v>
      </c>
      <c r="N597" s="290"/>
      <c r="O597" s="276"/>
      <c r="P597" s="275"/>
      <c r="Q597" s="276"/>
      <c r="R597" s="278"/>
      <c r="S597" s="278"/>
      <c r="T597" s="278"/>
      <c r="U597" s="279"/>
      <c r="V597" s="279" t="s">
        <v>1824</v>
      </c>
      <c r="W597" s="280">
        <v>44293.0</v>
      </c>
      <c r="X597" s="281">
        <v>0.09027777777777778</v>
      </c>
      <c r="Y597" s="279" t="s">
        <v>1693</v>
      </c>
      <c r="Z597" s="282" t="s">
        <v>1570</v>
      </c>
      <c r="AA597" s="282" t="s">
        <v>3703</v>
      </c>
      <c r="AB597" s="283">
        <v>44293.0</v>
      </c>
      <c r="AC597" s="284"/>
      <c r="AD597" s="284"/>
    </row>
    <row r="598" ht="14.25" customHeight="1">
      <c r="A598" s="265">
        <v>44293.0</v>
      </c>
      <c r="B598" s="266" t="s">
        <v>1500</v>
      </c>
      <c r="C598" s="266" t="s">
        <v>1455</v>
      </c>
      <c r="D598" s="266" t="s">
        <v>1543</v>
      </c>
      <c r="E598" s="268"/>
      <c r="F598" s="269" t="s">
        <v>3704</v>
      </c>
      <c r="G598" s="268" t="s">
        <v>1463</v>
      </c>
      <c r="H598" s="270">
        <v>0.0010763888888888889</v>
      </c>
      <c r="I598" s="271">
        <v>44294.44930555556</v>
      </c>
      <c r="J598" s="268"/>
      <c r="K598" s="271">
        <v>44294.81570601852</v>
      </c>
      <c r="L598" s="271"/>
      <c r="M598" s="272" t="s">
        <v>3705</v>
      </c>
      <c r="N598" s="351"/>
      <c r="O598" s="275"/>
      <c r="P598" s="275"/>
      <c r="Q598" s="276"/>
      <c r="R598" s="278"/>
      <c r="S598" s="278"/>
      <c r="T598" s="278"/>
      <c r="U598" s="279"/>
      <c r="V598" s="279" t="s">
        <v>1500</v>
      </c>
      <c r="W598" s="280">
        <v>44306.0</v>
      </c>
      <c r="X598" s="281">
        <v>0.006944444444444444</v>
      </c>
      <c r="Y598" s="279" t="s">
        <v>1693</v>
      </c>
      <c r="Z598" s="282" t="s">
        <v>53</v>
      </c>
      <c r="AA598" s="282">
        <v>6351134.0</v>
      </c>
      <c r="AB598" s="283">
        <v>44295.0</v>
      </c>
      <c r="AC598" s="284"/>
      <c r="AD598" s="284"/>
    </row>
    <row r="599" ht="14.25" customHeight="1">
      <c r="A599" s="265">
        <v>44293.0</v>
      </c>
      <c r="B599" s="266" t="s">
        <v>1500</v>
      </c>
      <c r="C599" s="266" t="s">
        <v>1455</v>
      </c>
      <c r="D599" s="266" t="s">
        <v>1543</v>
      </c>
      <c r="E599" s="268"/>
      <c r="F599" s="269" t="s">
        <v>3706</v>
      </c>
      <c r="G599" s="268" t="s">
        <v>1463</v>
      </c>
      <c r="H599" s="270">
        <v>0.017569444444444447</v>
      </c>
      <c r="I599" s="271">
        <v>44294.3125</v>
      </c>
      <c r="J599" s="268"/>
      <c r="K599" s="271">
        <v>44295.335231481484</v>
      </c>
      <c r="L599" s="271"/>
      <c r="M599" s="272" t="s">
        <v>3707</v>
      </c>
      <c r="N599" s="351"/>
      <c r="O599" s="275"/>
      <c r="P599" s="275"/>
      <c r="Q599" s="276"/>
      <c r="R599" s="278"/>
      <c r="S599" s="278"/>
      <c r="T599" s="278"/>
      <c r="U599" s="279"/>
      <c r="V599" s="279" t="s">
        <v>1500</v>
      </c>
      <c r="W599" s="280">
        <v>44306.0</v>
      </c>
      <c r="X599" s="281">
        <v>0.041666666666666664</v>
      </c>
      <c r="Y599" s="279" t="s">
        <v>1693</v>
      </c>
      <c r="Z599" s="282" t="s">
        <v>53</v>
      </c>
      <c r="AA599" s="282">
        <v>6351135.0</v>
      </c>
      <c r="AB599" s="283">
        <v>44295.0</v>
      </c>
      <c r="AC599" s="284"/>
      <c r="AD599" s="284"/>
    </row>
    <row r="600" ht="14.25" customHeight="1">
      <c r="A600" s="265">
        <v>44293.0</v>
      </c>
      <c r="B600" s="266" t="s">
        <v>1500</v>
      </c>
      <c r="C600" s="266" t="s">
        <v>1450</v>
      </c>
      <c r="D600" s="266" t="s">
        <v>1543</v>
      </c>
      <c r="E600" s="268"/>
      <c r="F600" s="269" t="s">
        <v>3708</v>
      </c>
      <c r="G600" s="268" t="s">
        <v>1463</v>
      </c>
      <c r="H600" s="270">
        <v>7.523148148148147E-4</v>
      </c>
      <c r="I600" s="271">
        <v>44295.43541666667</v>
      </c>
      <c r="J600" s="268"/>
      <c r="K600" s="271">
        <v>44295.41261574074</v>
      </c>
      <c r="L600" s="271"/>
      <c r="M600" s="272" t="s">
        <v>3709</v>
      </c>
      <c r="N600" s="351"/>
      <c r="O600" s="275"/>
      <c r="P600" s="275"/>
      <c r="Q600" s="276"/>
      <c r="R600" s="278"/>
      <c r="S600" s="278"/>
      <c r="T600" s="278"/>
      <c r="U600" s="279"/>
      <c r="V600" s="279" t="s">
        <v>1500</v>
      </c>
      <c r="W600" s="280">
        <v>44307.0</v>
      </c>
      <c r="X600" s="281">
        <v>0.006944444444444444</v>
      </c>
      <c r="Y600" s="279" t="s">
        <v>1693</v>
      </c>
      <c r="Z600" s="282" t="s">
        <v>1570</v>
      </c>
      <c r="AA600" s="282">
        <v>6351450.0</v>
      </c>
      <c r="AB600" s="283">
        <v>44296.0</v>
      </c>
      <c r="AC600" s="284"/>
      <c r="AD600" s="284"/>
    </row>
    <row r="601" ht="14.25" customHeight="1">
      <c r="A601" s="265">
        <v>44293.0</v>
      </c>
      <c r="B601" s="266" t="s">
        <v>3677</v>
      </c>
      <c r="C601" s="266"/>
      <c r="D601" s="266" t="s">
        <v>1450</v>
      </c>
      <c r="E601" s="268"/>
      <c r="F601" s="358" t="s">
        <v>3710</v>
      </c>
      <c r="G601" s="268" t="s">
        <v>2085</v>
      </c>
      <c r="H601" s="270">
        <v>0.10001157407407407</v>
      </c>
      <c r="I601" s="271">
        <v>44293.729166666664</v>
      </c>
      <c r="J601" s="268"/>
      <c r="K601" s="271">
        <v>44293.934016203704</v>
      </c>
      <c r="L601" s="271"/>
      <c r="M601" s="359" t="s">
        <v>2524</v>
      </c>
      <c r="N601" s="290"/>
      <c r="O601" s="276"/>
      <c r="P601" s="275"/>
      <c r="Q601" s="276"/>
      <c r="R601" s="278"/>
      <c r="S601" s="278"/>
      <c r="T601" s="278"/>
      <c r="U601" s="279"/>
      <c r="V601" s="279" t="s">
        <v>1746</v>
      </c>
      <c r="W601" s="280">
        <v>44294.0</v>
      </c>
      <c r="X601" s="281">
        <v>0.3736111111111111</v>
      </c>
      <c r="Y601" s="279" t="s">
        <v>1693</v>
      </c>
      <c r="Z601" s="282" t="s">
        <v>1570</v>
      </c>
      <c r="AA601" s="282" t="s">
        <v>3710</v>
      </c>
      <c r="AB601" s="283">
        <v>44293.0</v>
      </c>
      <c r="AC601" s="284"/>
      <c r="AD601" s="284"/>
    </row>
    <row r="602" ht="14.25" customHeight="1">
      <c r="A602" s="265">
        <v>44293.0</v>
      </c>
      <c r="B602" s="266" t="s">
        <v>1783</v>
      </c>
      <c r="C602" s="266"/>
      <c r="D602" s="265" t="s">
        <v>1452</v>
      </c>
      <c r="E602" s="268"/>
      <c r="F602" s="358" t="s">
        <v>3711</v>
      </c>
      <c r="G602" s="268" t="s">
        <v>2085</v>
      </c>
      <c r="H602" s="270">
        <v>0.0018518518518518517</v>
      </c>
      <c r="I602" s="271">
        <v>44293.45416666667</v>
      </c>
      <c r="J602" s="268"/>
      <c r="K602" s="271" t="s">
        <v>3712</v>
      </c>
      <c r="L602" s="271"/>
      <c r="M602" s="399" t="s">
        <v>2524</v>
      </c>
      <c r="N602" s="290"/>
      <c r="O602" s="276"/>
      <c r="P602" s="275"/>
      <c r="Q602" s="276"/>
      <c r="R602" s="278"/>
      <c r="S602" s="278"/>
      <c r="T602" s="278"/>
      <c r="U602" s="279"/>
      <c r="V602" s="279" t="s">
        <v>1783</v>
      </c>
      <c r="W602" s="280">
        <v>44293.0</v>
      </c>
      <c r="X602" s="281">
        <v>0.006944444444444444</v>
      </c>
      <c r="Y602" s="279" t="s">
        <v>1693</v>
      </c>
      <c r="Z602" s="282" t="s">
        <v>1570</v>
      </c>
      <c r="AA602" s="282" t="s">
        <v>3711</v>
      </c>
      <c r="AB602" s="283">
        <v>44293.0</v>
      </c>
      <c r="AC602" s="284"/>
      <c r="AD602" s="284"/>
    </row>
    <row r="603" ht="14.25" customHeight="1">
      <c r="A603" s="265">
        <v>44293.0</v>
      </c>
      <c r="B603" s="266" t="s">
        <v>1570</v>
      </c>
      <c r="C603" s="266"/>
      <c r="D603" s="266" t="s">
        <v>1686</v>
      </c>
      <c r="E603" s="268"/>
      <c r="F603" s="358" t="s">
        <v>3713</v>
      </c>
      <c r="G603" s="268" t="s">
        <v>2085</v>
      </c>
      <c r="H603" s="270">
        <v>0.040358796296296295</v>
      </c>
      <c r="I603" s="271">
        <v>44293.74166666667</v>
      </c>
      <c r="J603" s="268"/>
      <c r="K603" s="271">
        <v>44293.86956018519</v>
      </c>
      <c r="L603" s="271"/>
      <c r="M603" s="399" t="s">
        <v>2524</v>
      </c>
      <c r="N603" s="290"/>
      <c r="O603" s="276"/>
      <c r="P603" s="275"/>
      <c r="Q603" s="276"/>
      <c r="R603" s="278"/>
      <c r="S603" s="278"/>
      <c r="T603" s="278"/>
      <c r="U603" s="279"/>
      <c r="V603" s="279" t="s">
        <v>1570</v>
      </c>
      <c r="W603" s="280">
        <v>44294.0</v>
      </c>
      <c r="X603" s="281">
        <v>0.20833333333333334</v>
      </c>
      <c r="Y603" s="279" t="s">
        <v>1693</v>
      </c>
      <c r="Z603" s="282" t="s">
        <v>1570</v>
      </c>
      <c r="AA603" s="282" t="s">
        <v>3713</v>
      </c>
      <c r="AB603" s="283">
        <v>44293.0</v>
      </c>
      <c r="AC603" s="284"/>
      <c r="AD603" s="284"/>
    </row>
    <row r="604" ht="14.25" customHeight="1">
      <c r="A604" s="265">
        <v>44293.0</v>
      </c>
      <c r="B604" s="266" t="s">
        <v>1733</v>
      </c>
      <c r="C604" s="266"/>
      <c r="D604" s="266" t="s">
        <v>1455</v>
      </c>
      <c r="E604" s="268"/>
      <c r="F604" s="358" t="s">
        <v>3714</v>
      </c>
      <c r="G604" s="268" t="s">
        <v>2085</v>
      </c>
      <c r="H604" s="270">
        <v>0.01923611111111111</v>
      </c>
      <c r="I604" s="271">
        <v>44293.94375</v>
      </c>
      <c r="J604" s="268"/>
      <c r="K604" s="271">
        <v>44294.73263888889</v>
      </c>
      <c r="L604" s="271"/>
      <c r="M604" s="399" t="s">
        <v>2524</v>
      </c>
      <c r="N604" s="351"/>
      <c r="O604" s="275"/>
      <c r="P604" s="275"/>
      <c r="Q604" s="276"/>
      <c r="R604" s="278"/>
      <c r="S604" s="278"/>
      <c r="T604" s="278"/>
      <c r="U604" s="279"/>
      <c r="V604" s="279" t="s">
        <v>1824</v>
      </c>
      <c r="W604" s="280">
        <v>44294.0</v>
      </c>
      <c r="X604" s="281">
        <v>0.09027777777777778</v>
      </c>
      <c r="Y604" s="279" t="s">
        <v>1693</v>
      </c>
      <c r="Z604" s="282" t="s">
        <v>1570</v>
      </c>
      <c r="AA604" s="282" t="s">
        <v>3714</v>
      </c>
      <c r="AB604" s="283">
        <v>44294.0</v>
      </c>
      <c r="AC604" s="284"/>
      <c r="AD604" s="284"/>
    </row>
    <row r="605" ht="14.25" customHeight="1">
      <c r="A605" s="265">
        <v>44294.0</v>
      </c>
      <c r="B605" s="266" t="s">
        <v>1500</v>
      </c>
      <c r="C605" s="266" t="s">
        <v>2083</v>
      </c>
      <c r="D605" s="266" t="s">
        <v>1543</v>
      </c>
      <c r="E605" s="268"/>
      <c r="F605" s="269" t="s">
        <v>3715</v>
      </c>
      <c r="G605" s="268" t="s">
        <v>1463</v>
      </c>
      <c r="H605" s="270">
        <v>0.0016203703703703703</v>
      </c>
      <c r="I605" s="271">
        <v>44295.660416666666</v>
      </c>
      <c r="J605" s="268"/>
      <c r="K605" s="271">
        <v>44295.997152777774</v>
      </c>
      <c r="L605" s="271"/>
      <c r="M605" s="272" t="s">
        <v>3716</v>
      </c>
      <c r="N605" s="290"/>
      <c r="O605" s="276"/>
      <c r="P605" s="275"/>
      <c r="Q605" s="276"/>
      <c r="R605" s="278"/>
      <c r="S605" s="278"/>
      <c r="T605" s="278"/>
      <c r="U605" s="279"/>
      <c r="V605" s="279" t="s">
        <v>1500</v>
      </c>
      <c r="W605" s="280">
        <v>44307.0</v>
      </c>
      <c r="X605" s="281">
        <v>0.006944444444444444</v>
      </c>
      <c r="Y605" s="279" t="s">
        <v>1693</v>
      </c>
      <c r="Z605" s="282" t="s">
        <v>1570</v>
      </c>
      <c r="AA605" s="282">
        <v>6351451.0</v>
      </c>
      <c r="AB605" s="283">
        <v>44296.0</v>
      </c>
      <c r="AC605" s="284"/>
      <c r="AD605" s="284"/>
    </row>
    <row r="606" ht="14.25" customHeight="1">
      <c r="A606" s="265">
        <v>44294.0</v>
      </c>
      <c r="B606" s="266" t="s">
        <v>1500</v>
      </c>
      <c r="C606" s="266" t="s">
        <v>2083</v>
      </c>
      <c r="D606" s="266" t="s">
        <v>1543</v>
      </c>
      <c r="E606" s="268"/>
      <c r="F606" s="269" t="s">
        <v>3717</v>
      </c>
      <c r="G606" s="268" t="s">
        <v>1463</v>
      </c>
      <c r="H606" s="270">
        <v>6.134259259259259E-4</v>
      </c>
      <c r="I606" s="271">
        <v>44298.8</v>
      </c>
      <c r="J606" s="268"/>
      <c r="K606" s="271">
        <v>44299.13736111111</v>
      </c>
      <c r="L606" s="271"/>
      <c r="M606" s="272" t="s">
        <v>3718</v>
      </c>
      <c r="N606" s="290"/>
      <c r="O606" s="276"/>
      <c r="P606" s="275"/>
      <c r="Q606" s="276"/>
      <c r="R606" s="278"/>
      <c r="S606" s="278"/>
      <c r="T606" s="278"/>
      <c r="U606" s="279"/>
      <c r="V606" s="279" t="s">
        <v>1738</v>
      </c>
      <c r="W606" s="280">
        <v>44313.0</v>
      </c>
      <c r="X606" s="281">
        <v>0.006944444444444444</v>
      </c>
      <c r="Y606" s="279" t="s">
        <v>1693</v>
      </c>
      <c r="Z606" s="282" t="s">
        <v>1570</v>
      </c>
      <c r="AA606" s="282">
        <v>6352405.0</v>
      </c>
      <c r="AB606" s="283">
        <v>44299.0</v>
      </c>
      <c r="AC606" s="284"/>
      <c r="AD606" s="284"/>
    </row>
    <row r="607" ht="14.25" customHeight="1">
      <c r="A607" s="265">
        <v>44294.0</v>
      </c>
      <c r="B607" s="266" t="s">
        <v>1500</v>
      </c>
      <c r="C607" s="266" t="s">
        <v>1686</v>
      </c>
      <c r="D607" s="266" t="s">
        <v>1543</v>
      </c>
      <c r="E607" s="268"/>
      <c r="F607" s="269" t="s">
        <v>3719</v>
      </c>
      <c r="G607" s="268" t="s">
        <v>1463</v>
      </c>
      <c r="H607" s="270">
        <v>0.0011689814814814816</v>
      </c>
      <c r="I607" s="271">
        <v>44299.68402777778</v>
      </c>
      <c r="J607" s="268"/>
      <c r="K607" s="271">
        <v>44299.69094907407</v>
      </c>
      <c r="L607" s="271"/>
      <c r="M607" s="272" t="s">
        <v>3720</v>
      </c>
      <c r="N607" s="290"/>
      <c r="O607" s="276"/>
      <c r="P607" s="275"/>
      <c r="Q607" s="276"/>
      <c r="R607" s="278"/>
      <c r="S607" s="278"/>
      <c r="T607" s="278"/>
      <c r="U607" s="279"/>
      <c r="V607" s="279" t="s">
        <v>1738</v>
      </c>
      <c r="W607" s="280">
        <v>44313.0</v>
      </c>
      <c r="X607" s="281">
        <v>0.006944444444444444</v>
      </c>
      <c r="Y607" s="279" t="s">
        <v>1693</v>
      </c>
      <c r="Z607" s="282" t="s">
        <v>1570</v>
      </c>
      <c r="AA607" s="282">
        <v>6352406.0</v>
      </c>
      <c r="AB607" s="283">
        <v>44299.0</v>
      </c>
      <c r="AC607" s="284"/>
      <c r="AD607" s="284"/>
    </row>
    <row r="608" ht="14.25" customHeight="1">
      <c r="A608" s="265">
        <v>44294.0</v>
      </c>
      <c r="B608" s="266" t="s">
        <v>1746</v>
      </c>
      <c r="C608" s="266"/>
      <c r="D608" s="266" t="s">
        <v>1450</v>
      </c>
      <c r="E608" s="268"/>
      <c r="F608" s="358" t="s">
        <v>3721</v>
      </c>
      <c r="G608" s="268" t="s">
        <v>2085</v>
      </c>
      <c r="H608" s="268" t="s">
        <v>3722</v>
      </c>
      <c r="I608" s="271">
        <v>44294.748611111114</v>
      </c>
      <c r="J608" s="268"/>
      <c r="K608" s="268"/>
      <c r="L608" s="271"/>
      <c r="M608" s="307" t="s">
        <v>2808</v>
      </c>
      <c r="N608" s="405">
        <v>44295.0</v>
      </c>
      <c r="O608" s="275" t="s">
        <v>3723</v>
      </c>
      <c r="P608" s="275" t="s">
        <v>1463</v>
      </c>
      <c r="Q608" s="276" t="s">
        <v>1819</v>
      </c>
      <c r="R608" s="278"/>
      <c r="S608" s="277">
        <v>44295.4844212963</v>
      </c>
      <c r="T608" s="278" t="s">
        <v>3724</v>
      </c>
      <c r="U608" s="279"/>
      <c r="V608" s="279" t="s">
        <v>1746</v>
      </c>
      <c r="W608" s="280">
        <v>44295.0</v>
      </c>
      <c r="X608" s="281">
        <v>0.3159722222222222</v>
      </c>
      <c r="Y608" s="279" t="s">
        <v>3636</v>
      </c>
      <c r="Z608" s="282" t="s">
        <v>53</v>
      </c>
      <c r="AA608" s="282" t="s">
        <v>3721</v>
      </c>
      <c r="AB608" s="283">
        <v>44295.0</v>
      </c>
      <c r="AC608" s="284"/>
      <c r="AD608" s="284"/>
    </row>
    <row r="609" ht="14.25" customHeight="1">
      <c r="A609" s="265">
        <v>44294.0</v>
      </c>
      <c r="B609" s="266" t="s">
        <v>1783</v>
      </c>
      <c r="C609" s="266"/>
      <c r="D609" s="265" t="s">
        <v>1452</v>
      </c>
      <c r="E609" s="268"/>
      <c r="F609" s="358" t="s">
        <v>3725</v>
      </c>
      <c r="G609" s="268" t="s">
        <v>2085</v>
      </c>
      <c r="H609" s="270">
        <v>0.0028819444444444444</v>
      </c>
      <c r="I609" s="271">
        <v>44294.43402777778</v>
      </c>
      <c r="J609" s="268"/>
      <c r="K609" s="271">
        <v>44294.60238425926</v>
      </c>
      <c r="L609" s="271"/>
      <c r="M609" s="359" t="s">
        <v>2524</v>
      </c>
      <c r="N609" s="290"/>
      <c r="O609" s="276"/>
      <c r="P609" s="275"/>
      <c r="Q609" s="276"/>
      <c r="R609" s="278"/>
      <c r="S609" s="278"/>
      <c r="T609" s="278"/>
      <c r="U609" s="279"/>
      <c r="V609" s="279" t="s">
        <v>1783</v>
      </c>
      <c r="W609" s="280">
        <v>44295.0</v>
      </c>
      <c r="X609" s="281">
        <v>0.013888888888888888</v>
      </c>
      <c r="Y609" s="279" t="s">
        <v>3636</v>
      </c>
      <c r="Z609" s="282" t="s">
        <v>1570</v>
      </c>
      <c r="AA609" s="282" t="s">
        <v>3725</v>
      </c>
      <c r="AB609" s="283">
        <v>44294.0</v>
      </c>
      <c r="AC609" s="284"/>
      <c r="AD609" s="284"/>
    </row>
    <row r="610" ht="14.25" customHeight="1">
      <c r="A610" s="265">
        <v>44294.0</v>
      </c>
      <c r="B610" s="266" t="s">
        <v>1570</v>
      </c>
      <c r="C610" s="266"/>
      <c r="D610" s="266" t="s">
        <v>1686</v>
      </c>
      <c r="E610" s="268"/>
      <c r="F610" s="358" t="s">
        <v>3726</v>
      </c>
      <c r="G610" s="268" t="s">
        <v>2085</v>
      </c>
      <c r="H610" s="270">
        <v>0.03960648148148148</v>
      </c>
      <c r="I610" s="271">
        <v>44294.85972222222</v>
      </c>
      <c r="J610" s="268"/>
      <c r="K610" s="271">
        <v>44294.90688657408</v>
      </c>
      <c r="L610" s="271"/>
      <c r="M610" s="359" t="s">
        <v>2524</v>
      </c>
      <c r="N610" s="290"/>
      <c r="O610" s="276"/>
      <c r="P610" s="275"/>
      <c r="Q610" s="276"/>
      <c r="R610" s="278"/>
      <c r="S610" s="278"/>
      <c r="T610" s="278"/>
      <c r="U610" s="279"/>
      <c r="V610" s="279" t="s">
        <v>1570</v>
      </c>
      <c r="W610" s="280">
        <v>44295.0</v>
      </c>
      <c r="X610" s="281">
        <v>0.14583333333333334</v>
      </c>
      <c r="Y610" s="279" t="s">
        <v>1693</v>
      </c>
      <c r="Z610" s="282" t="s">
        <v>1570</v>
      </c>
      <c r="AA610" s="282" t="s">
        <v>3726</v>
      </c>
      <c r="AB610" s="283">
        <v>44294.0</v>
      </c>
      <c r="AC610" s="284"/>
      <c r="AD610" s="284"/>
    </row>
    <row r="611" ht="14.25" customHeight="1">
      <c r="A611" s="265">
        <v>44294.0</v>
      </c>
      <c r="B611" s="266" t="s">
        <v>1733</v>
      </c>
      <c r="C611" s="266"/>
      <c r="D611" s="266" t="s">
        <v>1455</v>
      </c>
      <c r="E611" s="268"/>
      <c r="F611" s="358" t="s">
        <v>3727</v>
      </c>
      <c r="G611" s="268" t="s">
        <v>2085</v>
      </c>
      <c r="H611" s="270">
        <v>0.01951388888888889</v>
      </c>
      <c r="I611" s="271">
        <v>44294.98402777778</v>
      </c>
      <c r="J611" s="268"/>
      <c r="K611" s="271">
        <v>44294.99982638889</v>
      </c>
      <c r="L611" s="271"/>
      <c r="M611" s="359" t="s">
        <v>2524</v>
      </c>
      <c r="N611" s="290"/>
      <c r="O611" s="276"/>
      <c r="P611" s="275"/>
      <c r="Q611" s="276"/>
      <c r="R611" s="278"/>
      <c r="S611" s="278"/>
      <c r="T611" s="278"/>
      <c r="U611" s="279"/>
      <c r="V611" s="279" t="s">
        <v>1824</v>
      </c>
      <c r="W611" s="280">
        <v>44295.0</v>
      </c>
      <c r="X611" s="281">
        <v>0.09027777777777778</v>
      </c>
      <c r="Y611" s="279" t="s">
        <v>1693</v>
      </c>
      <c r="Z611" s="282" t="s">
        <v>53</v>
      </c>
      <c r="AA611" s="282" t="s">
        <v>3727</v>
      </c>
      <c r="AB611" s="283">
        <v>44295.0</v>
      </c>
      <c r="AC611" s="284"/>
      <c r="AD611" s="284"/>
    </row>
    <row r="612" ht="14.25" customHeight="1">
      <c r="A612" s="265">
        <v>44295.0</v>
      </c>
      <c r="B612" s="266" t="s">
        <v>1500</v>
      </c>
      <c r="C612" s="266" t="s">
        <v>1455</v>
      </c>
      <c r="D612" s="266" t="s">
        <v>1543</v>
      </c>
      <c r="E612" s="268"/>
      <c r="F612" s="269" t="s">
        <v>3728</v>
      </c>
      <c r="G612" s="268" t="s">
        <v>1463</v>
      </c>
      <c r="H612" s="270">
        <v>0.002314814814814815</v>
      </c>
      <c r="I612" s="271">
        <v>44299.68402777778</v>
      </c>
      <c r="J612" s="268"/>
      <c r="K612" s="271">
        <v>44299.69105324074</v>
      </c>
      <c r="L612" s="271"/>
      <c r="M612" s="272" t="s">
        <v>3729</v>
      </c>
      <c r="N612" s="290"/>
      <c r="O612" s="276"/>
      <c r="P612" s="275"/>
      <c r="Q612" s="276"/>
      <c r="R612" s="278"/>
      <c r="S612" s="278"/>
      <c r="T612" s="278"/>
      <c r="U612" s="279"/>
      <c r="V612" s="279" t="s">
        <v>1738</v>
      </c>
      <c r="W612" s="280">
        <v>44313.0</v>
      </c>
      <c r="X612" s="281">
        <v>0.006944444444444444</v>
      </c>
      <c r="Y612" s="279" t="s">
        <v>1693</v>
      </c>
      <c r="Z612" s="282" t="s">
        <v>1570</v>
      </c>
      <c r="AA612" s="282">
        <v>6352407.0</v>
      </c>
      <c r="AB612" s="283">
        <v>44299.0</v>
      </c>
      <c r="AC612" s="284"/>
      <c r="AD612" s="284"/>
    </row>
    <row r="613" ht="14.25" customHeight="1">
      <c r="A613" s="265">
        <v>44295.0</v>
      </c>
      <c r="B613" s="266" t="s">
        <v>1500</v>
      </c>
      <c r="C613" s="266" t="s">
        <v>2179</v>
      </c>
      <c r="D613" s="266" t="s">
        <v>1543</v>
      </c>
      <c r="E613" s="268"/>
      <c r="F613" s="269" t="s">
        <v>3730</v>
      </c>
      <c r="G613" s="268" t="s">
        <v>1463</v>
      </c>
      <c r="H613" s="270">
        <v>0.004293981481481481</v>
      </c>
      <c r="I613" s="271">
        <v>44305.60138888889</v>
      </c>
      <c r="J613" s="268"/>
      <c r="K613" s="271">
        <v>44305.61273148148</v>
      </c>
      <c r="L613" s="271"/>
      <c r="M613" s="272" t="s">
        <v>3731</v>
      </c>
      <c r="N613" s="290"/>
      <c r="O613" s="276"/>
      <c r="P613" s="275"/>
      <c r="Q613" s="276"/>
      <c r="R613" s="278"/>
      <c r="S613" s="278"/>
      <c r="T613" s="278"/>
      <c r="U613" s="279"/>
      <c r="V613" s="279" t="s">
        <v>1738</v>
      </c>
      <c r="W613" s="280">
        <v>44313.0</v>
      </c>
      <c r="X613" s="281">
        <v>0.006944444444444444</v>
      </c>
      <c r="Y613" s="279" t="s">
        <v>1693</v>
      </c>
      <c r="Z613" s="282" t="s">
        <v>1570</v>
      </c>
      <c r="AA613" s="282">
        <v>6354784.0</v>
      </c>
      <c r="AB613" s="283">
        <v>44306.0</v>
      </c>
      <c r="AC613" s="284"/>
      <c r="AD613" s="284"/>
    </row>
    <row r="614" ht="14.25" customHeight="1">
      <c r="A614" s="265">
        <v>44295.0</v>
      </c>
      <c r="B614" s="266"/>
      <c r="C614" s="266"/>
      <c r="D614" s="265" t="s">
        <v>1452</v>
      </c>
      <c r="E614" s="268"/>
      <c r="F614" s="269" t="s">
        <v>3732</v>
      </c>
      <c r="G614" s="268"/>
      <c r="H614" s="270"/>
      <c r="I614" s="271"/>
      <c r="J614" s="268"/>
      <c r="K614" s="271"/>
      <c r="L614" s="271"/>
      <c r="M614" s="272"/>
      <c r="N614" s="290"/>
      <c r="O614" s="276"/>
      <c r="P614" s="275"/>
      <c r="Q614" s="276"/>
      <c r="R614" s="278"/>
      <c r="S614" s="278"/>
      <c r="T614" s="278"/>
      <c r="U614" s="279"/>
      <c r="V614" s="279" t="s">
        <v>28</v>
      </c>
      <c r="W614" s="280" t="s">
        <v>28</v>
      </c>
      <c r="X614" s="281" t="s">
        <v>28</v>
      </c>
      <c r="Y614" s="279" t="s">
        <v>28</v>
      </c>
      <c r="Z614" s="282" t="s">
        <v>28</v>
      </c>
      <c r="AA614" s="360" t="s">
        <v>28</v>
      </c>
      <c r="AB614" s="283" t="s">
        <v>28</v>
      </c>
      <c r="AC614" s="284"/>
      <c r="AD614" s="284"/>
    </row>
    <row r="615" ht="14.25" customHeight="1">
      <c r="A615" s="265">
        <v>44295.0</v>
      </c>
      <c r="B615" s="266" t="s">
        <v>3677</v>
      </c>
      <c r="C615" s="266"/>
      <c r="D615" s="266" t="s">
        <v>1450</v>
      </c>
      <c r="E615" s="268"/>
      <c r="F615" s="358" t="s">
        <v>3733</v>
      </c>
      <c r="G615" s="268" t="s">
        <v>2085</v>
      </c>
      <c r="H615" s="270">
        <v>0.10024305555555556</v>
      </c>
      <c r="I615" s="271">
        <v>44295.79027777778</v>
      </c>
      <c r="J615" s="268"/>
      <c r="K615" s="271">
        <v>44295.856944444444</v>
      </c>
      <c r="L615" s="271"/>
      <c r="M615" s="359" t="s">
        <v>2524</v>
      </c>
      <c r="N615" s="290"/>
      <c r="O615" s="276"/>
      <c r="P615" s="275"/>
      <c r="Q615" s="276"/>
      <c r="R615" s="278"/>
      <c r="S615" s="278"/>
      <c r="T615" s="278"/>
      <c r="U615" s="279"/>
      <c r="V615" s="279" t="s">
        <v>1733</v>
      </c>
      <c r="W615" s="280" t="s">
        <v>3734</v>
      </c>
      <c r="X615" s="281">
        <v>0.3125</v>
      </c>
      <c r="Y615" s="279" t="s">
        <v>1693</v>
      </c>
      <c r="Z615" s="282" t="s">
        <v>1570</v>
      </c>
      <c r="AA615" s="282" t="s">
        <v>3733</v>
      </c>
      <c r="AB615" s="283">
        <v>44296.0</v>
      </c>
      <c r="AC615" s="284"/>
      <c r="AD615" s="284"/>
    </row>
    <row r="616" ht="14.25" customHeight="1">
      <c r="A616" s="265">
        <v>44295.0</v>
      </c>
      <c r="B616" s="266" t="s">
        <v>1570</v>
      </c>
      <c r="C616" s="266"/>
      <c r="D616" s="266" t="s">
        <v>1686</v>
      </c>
      <c r="E616" s="268"/>
      <c r="F616" s="358" t="s">
        <v>3735</v>
      </c>
      <c r="G616" s="268" t="s">
        <v>2085</v>
      </c>
      <c r="H616" s="270">
        <v>0.03953703703703703</v>
      </c>
      <c r="I616" s="271">
        <v>44295.72777777778</v>
      </c>
      <c r="J616" s="268"/>
      <c r="K616" s="271">
        <v>44294.76576388889</v>
      </c>
      <c r="L616" s="271"/>
      <c r="M616" s="359" t="s">
        <v>2524</v>
      </c>
      <c r="N616" s="290"/>
      <c r="O616" s="276"/>
      <c r="P616" s="275"/>
      <c r="Q616" s="276"/>
      <c r="R616" s="278"/>
      <c r="S616" s="278"/>
      <c r="T616" s="278"/>
      <c r="U616" s="279"/>
      <c r="V616" s="279" t="s">
        <v>1783</v>
      </c>
      <c r="W616" s="280">
        <v>44296.0</v>
      </c>
      <c r="X616" s="281">
        <v>0.15277777777777776</v>
      </c>
      <c r="Y616" s="279" t="s">
        <v>1693</v>
      </c>
      <c r="Z616" s="282" t="s">
        <v>1570</v>
      </c>
      <c r="AA616" s="282" t="s">
        <v>3735</v>
      </c>
      <c r="AB616" s="283">
        <v>44296.0</v>
      </c>
      <c r="AC616" s="284"/>
      <c r="AD616" s="284"/>
    </row>
    <row r="617" ht="14.25" customHeight="1">
      <c r="A617" s="265">
        <v>44295.0</v>
      </c>
      <c r="B617" s="266" t="s">
        <v>1733</v>
      </c>
      <c r="C617" s="266"/>
      <c r="D617" s="266" t="s">
        <v>1455</v>
      </c>
      <c r="E617" s="268"/>
      <c r="F617" s="358" t="s">
        <v>3736</v>
      </c>
      <c r="G617" s="268" t="s">
        <v>2085</v>
      </c>
      <c r="H617" s="270">
        <v>0.019386574074074073</v>
      </c>
      <c r="I617" s="271">
        <v>44296.00902777778</v>
      </c>
      <c r="J617" s="268"/>
      <c r="K617" s="271">
        <v>44296.02916666667</v>
      </c>
      <c r="L617" s="271"/>
      <c r="M617" s="359" t="s">
        <v>2524</v>
      </c>
      <c r="N617" s="290"/>
      <c r="O617" s="276"/>
      <c r="P617" s="275"/>
      <c r="Q617" s="276"/>
      <c r="R617" s="278"/>
      <c r="S617" s="278"/>
      <c r="T617" s="278"/>
      <c r="U617" s="279"/>
      <c r="V617" s="279" t="s">
        <v>1824</v>
      </c>
      <c r="W617" s="280">
        <v>44298.0</v>
      </c>
      <c r="X617" s="281">
        <v>0.09027777777777778</v>
      </c>
      <c r="Y617" s="279" t="s">
        <v>1693</v>
      </c>
      <c r="Z617" s="282" t="s">
        <v>1570</v>
      </c>
      <c r="AA617" s="282" t="s">
        <v>3736</v>
      </c>
      <c r="AB617" s="283">
        <v>44296.0</v>
      </c>
      <c r="AC617" s="284"/>
      <c r="AD617" s="284"/>
    </row>
    <row r="618" ht="14.25" customHeight="1">
      <c r="A618" s="265">
        <v>44296.0</v>
      </c>
      <c r="B618" s="266" t="s">
        <v>1500</v>
      </c>
      <c r="C618" s="266" t="s">
        <v>1696</v>
      </c>
      <c r="D618" s="266" t="s">
        <v>1543</v>
      </c>
      <c r="E618" s="268"/>
      <c r="F618" s="269" t="s">
        <v>3737</v>
      </c>
      <c r="G618" s="268" t="s">
        <v>1463</v>
      </c>
      <c r="H618" s="270">
        <v>0.0015046296296296294</v>
      </c>
      <c r="I618" s="271">
        <v>44298.8</v>
      </c>
      <c r="J618" s="268"/>
      <c r="K618" s="271">
        <v>44299.13763888889</v>
      </c>
      <c r="L618" s="271"/>
      <c r="M618" s="272" t="s">
        <v>3738</v>
      </c>
      <c r="N618" s="290"/>
      <c r="O618" s="276"/>
      <c r="P618" s="275"/>
      <c r="Q618" s="276"/>
      <c r="R618" s="278"/>
      <c r="S618" s="278"/>
      <c r="T618" s="278"/>
      <c r="U618" s="279"/>
      <c r="V618" s="279" t="s">
        <v>1738</v>
      </c>
      <c r="W618" s="280">
        <v>44313.0</v>
      </c>
      <c r="X618" s="281">
        <v>0.006944444444444444</v>
      </c>
      <c r="Y618" s="279" t="s">
        <v>1693</v>
      </c>
      <c r="Z618" s="282" t="s">
        <v>1570</v>
      </c>
      <c r="AA618" s="282">
        <v>6352408.0</v>
      </c>
      <c r="AB618" s="283">
        <v>44299.0</v>
      </c>
      <c r="AC618" s="284"/>
      <c r="AD618" s="284"/>
    </row>
    <row r="619" ht="14.25" customHeight="1">
      <c r="A619" s="265">
        <v>44296.0</v>
      </c>
      <c r="B619" s="266" t="s">
        <v>1500</v>
      </c>
      <c r="C619" s="266" t="s">
        <v>1455</v>
      </c>
      <c r="D619" s="266" t="s">
        <v>1543</v>
      </c>
      <c r="E619" s="268"/>
      <c r="F619" s="269" t="s">
        <v>3739</v>
      </c>
      <c r="G619" s="268" t="s">
        <v>1463</v>
      </c>
      <c r="H619" s="270">
        <v>0.0011805555555555556</v>
      </c>
      <c r="I619" s="271">
        <v>44300.717361111114</v>
      </c>
      <c r="J619" s="268"/>
      <c r="K619" s="271">
        <v>44301.05416666667</v>
      </c>
      <c r="L619" s="271"/>
      <c r="M619" s="272" t="s">
        <v>3740</v>
      </c>
      <c r="N619" s="290"/>
      <c r="O619" s="276"/>
      <c r="P619" s="275"/>
      <c r="Q619" s="276"/>
      <c r="R619" s="278"/>
      <c r="S619" s="278"/>
      <c r="T619" s="278"/>
      <c r="U619" s="279"/>
      <c r="V619" s="279" t="s">
        <v>1738</v>
      </c>
      <c r="W619" s="280">
        <v>44313.0</v>
      </c>
      <c r="X619" s="281">
        <v>0.006944444444444444</v>
      </c>
      <c r="Y619" s="279" t="s">
        <v>1693</v>
      </c>
      <c r="Z619" s="282" t="s">
        <v>1570</v>
      </c>
      <c r="AA619" s="282">
        <v>6354215.0</v>
      </c>
      <c r="AB619" s="283">
        <v>44302.0</v>
      </c>
      <c r="AC619" s="284"/>
      <c r="AD619" s="284"/>
    </row>
    <row r="620" ht="14.25" customHeight="1">
      <c r="A620" s="265">
        <v>44296.0</v>
      </c>
      <c r="B620" s="266" t="s">
        <v>1783</v>
      </c>
      <c r="C620" s="266" t="s">
        <v>1831</v>
      </c>
      <c r="D620" s="266" t="s">
        <v>1686</v>
      </c>
      <c r="E620" s="268"/>
      <c r="F620" s="269" t="s">
        <v>3741</v>
      </c>
      <c r="G620" s="268" t="s">
        <v>3742</v>
      </c>
      <c r="H620" s="270">
        <v>0.0030208333333333333</v>
      </c>
      <c r="I620" s="271"/>
      <c r="J620" s="268"/>
      <c r="K620" s="271"/>
      <c r="L620" s="271"/>
      <c r="M620" s="359"/>
      <c r="N620" s="273"/>
      <c r="O620" s="276"/>
      <c r="P620" s="275"/>
      <c r="Q620" s="301"/>
      <c r="R620" s="278"/>
      <c r="S620" s="278"/>
      <c r="T620" s="278"/>
      <c r="U620" s="279"/>
      <c r="V620" s="279" t="s">
        <v>28</v>
      </c>
      <c r="W620" s="280"/>
      <c r="X620" s="281"/>
      <c r="Y620" s="279"/>
      <c r="Z620" s="282" t="s">
        <v>28</v>
      </c>
      <c r="AA620" s="282" t="s">
        <v>28</v>
      </c>
      <c r="AB620" s="283" t="s">
        <v>28</v>
      </c>
      <c r="AC620" s="284"/>
      <c r="AD620" s="284"/>
    </row>
    <row r="621" ht="14.25" customHeight="1">
      <c r="A621" s="265">
        <v>44296.0</v>
      </c>
      <c r="B621" s="266" t="s">
        <v>2030</v>
      </c>
      <c r="C621" s="266"/>
      <c r="D621" s="266" t="s">
        <v>1686</v>
      </c>
      <c r="E621" s="268"/>
      <c r="F621" s="358" t="s">
        <v>3743</v>
      </c>
      <c r="G621" s="268" t="s">
        <v>2085</v>
      </c>
      <c r="H621" s="270">
        <v>0.039375</v>
      </c>
      <c r="I621" s="271">
        <v>44298.30763888889</v>
      </c>
      <c r="J621" s="268"/>
      <c r="K621" s="271">
        <v>44298.3446875</v>
      </c>
      <c r="L621" s="271"/>
      <c r="M621" s="359" t="s">
        <v>2524</v>
      </c>
      <c r="N621" s="273"/>
      <c r="O621" s="276"/>
      <c r="P621" s="275"/>
      <c r="Q621" s="301"/>
      <c r="R621" s="278"/>
      <c r="S621" s="278"/>
      <c r="T621" s="278"/>
      <c r="U621" s="279"/>
      <c r="V621" s="279" t="s">
        <v>1783</v>
      </c>
      <c r="W621" s="280">
        <v>44298.0</v>
      </c>
      <c r="X621" s="281">
        <v>0.15277777777777776</v>
      </c>
      <c r="Y621" s="279" t="s">
        <v>1693</v>
      </c>
      <c r="Z621" s="282" t="s">
        <v>53</v>
      </c>
      <c r="AA621" s="282" t="s">
        <v>3743</v>
      </c>
      <c r="AB621" s="283">
        <v>44298.0</v>
      </c>
      <c r="AC621" s="284"/>
      <c r="AD621" s="284"/>
    </row>
    <row r="622" ht="14.25" customHeight="1">
      <c r="A622" s="265">
        <v>44296.0</v>
      </c>
      <c r="B622" s="266" t="s">
        <v>1746</v>
      </c>
      <c r="C622" s="266"/>
      <c r="D622" s="266" t="s">
        <v>1455</v>
      </c>
      <c r="E622" s="268"/>
      <c r="F622" s="358" t="s">
        <v>3744</v>
      </c>
      <c r="G622" s="268" t="s">
        <v>2085</v>
      </c>
      <c r="H622" s="270">
        <v>0.018449074074074073</v>
      </c>
      <c r="I622" s="271">
        <v>44298.31041666667</v>
      </c>
      <c r="J622" s="268"/>
      <c r="K622" s="271">
        <v>44298.32603009259</v>
      </c>
      <c r="L622" s="271"/>
      <c r="M622" s="359" t="s">
        <v>2524</v>
      </c>
      <c r="N622" s="290"/>
      <c r="O622" s="276"/>
      <c r="P622" s="275"/>
      <c r="Q622" s="276"/>
      <c r="R622" s="278"/>
      <c r="S622" s="278"/>
      <c r="T622" s="278"/>
      <c r="U622" s="279"/>
      <c r="V622" s="279" t="s">
        <v>1824</v>
      </c>
      <c r="W622" s="280">
        <v>44298.0</v>
      </c>
      <c r="X622" s="281">
        <v>0.09027777777777778</v>
      </c>
      <c r="Y622" s="279" t="s">
        <v>1693</v>
      </c>
      <c r="Z622" s="282" t="s">
        <v>53</v>
      </c>
      <c r="AA622" s="282" t="s">
        <v>3744</v>
      </c>
      <c r="AB622" s="283">
        <v>44298.0</v>
      </c>
      <c r="AC622" s="284"/>
      <c r="AD622" s="284"/>
    </row>
    <row r="623" ht="14.25" customHeight="1">
      <c r="A623" s="265">
        <v>44297.0</v>
      </c>
      <c r="B623" s="266" t="s">
        <v>1500</v>
      </c>
      <c r="C623" s="266" t="s">
        <v>1450</v>
      </c>
      <c r="D623" s="267" t="s">
        <v>1543</v>
      </c>
      <c r="E623" s="268"/>
      <c r="F623" s="269" t="s">
        <v>3745</v>
      </c>
      <c r="G623" s="268" t="s">
        <v>1463</v>
      </c>
      <c r="H623" s="270">
        <v>5.671296296296296E-4</v>
      </c>
      <c r="I623" s="271">
        <v>44298.8</v>
      </c>
      <c r="J623" s="268"/>
      <c r="K623" s="271">
        <v>44299.135983796295</v>
      </c>
      <c r="L623" s="271"/>
      <c r="M623" s="272" t="s">
        <v>3746</v>
      </c>
      <c r="N623" s="290"/>
      <c r="O623" s="276"/>
      <c r="P623" s="275"/>
      <c r="Q623" s="276"/>
      <c r="R623" s="278"/>
      <c r="S623" s="278"/>
      <c r="T623" s="278"/>
      <c r="U623" s="279"/>
      <c r="V623" s="279" t="s">
        <v>1738</v>
      </c>
      <c r="W623" s="280">
        <v>44313.0</v>
      </c>
      <c r="X623" s="281">
        <v>0.006944444444444444</v>
      </c>
      <c r="Y623" s="279" t="s">
        <v>1693</v>
      </c>
      <c r="Z623" s="282" t="s">
        <v>1570</v>
      </c>
      <c r="AA623" s="282">
        <v>6352409.0</v>
      </c>
      <c r="AB623" s="283">
        <v>44299.0</v>
      </c>
      <c r="AC623" s="284"/>
      <c r="AD623" s="284"/>
    </row>
    <row r="624" ht="14.25" customHeight="1">
      <c r="A624" s="265">
        <v>44297.0</v>
      </c>
      <c r="B624" s="266" t="s">
        <v>1500</v>
      </c>
      <c r="C624" s="266" t="s">
        <v>1450</v>
      </c>
      <c r="D624" s="267" t="s">
        <v>1543</v>
      </c>
      <c r="E624" s="268"/>
      <c r="F624" s="269" t="s">
        <v>3747</v>
      </c>
      <c r="G624" s="268" t="s">
        <v>1463</v>
      </c>
      <c r="H624" s="270">
        <v>0.0010300925925925926</v>
      </c>
      <c r="I624" s="271">
        <v>44298.8</v>
      </c>
      <c r="J624" s="268"/>
      <c r="K624" s="271">
        <v>44299.13756944444</v>
      </c>
      <c r="L624" s="271"/>
      <c r="M624" s="272" t="s">
        <v>3748</v>
      </c>
      <c r="N624" s="290"/>
      <c r="O624" s="276"/>
      <c r="P624" s="275"/>
      <c r="Q624" s="276"/>
      <c r="R624" s="278"/>
      <c r="S624" s="278"/>
      <c r="T624" s="278"/>
      <c r="U624" s="279"/>
      <c r="V624" s="279" t="s">
        <v>1738</v>
      </c>
      <c r="W624" s="280">
        <v>44313.0</v>
      </c>
      <c r="X624" s="281">
        <v>0.006944444444444444</v>
      </c>
      <c r="Y624" s="279" t="s">
        <v>1693</v>
      </c>
      <c r="Z624" s="282" t="s">
        <v>1570</v>
      </c>
      <c r="AA624" s="282">
        <v>6352410.0</v>
      </c>
      <c r="AB624" s="283">
        <v>44299.0</v>
      </c>
      <c r="AC624" s="284"/>
      <c r="AD624" s="284"/>
    </row>
    <row r="625" ht="14.25" customHeight="1">
      <c r="A625" s="265">
        <v>44297.0</v>
      </c>
      <c r="B625" s="266" t="s">
        <v>1500</v>
      </c>
      <c r="C625" s="266" t="s">
        <v>1450</v>
      </c>
      <c r="D625" s="267" t="s">
        <v>1543</v>
      </c>
      <c r="E625" s="268"/>
      <c r="F625" s="269" t="s">
        <v>3749</v>
      </c>
      <c r="G625" s="268" t="s">
        <v>1463</v>
      </c>
      <c r="H625" s="270">
        <v>0.002314814814814815</v>
      </c>
      <c r="I625" s="271">
        <v>44298.8</v>
      </c>
      <c r="J625" s="268"/>
      <c r="K625" s="271">
        <v>44299.137777777774</v>
      </c>
      <c r="L625" s="271"/>
      <c r="M625" s="272" t="s">
        <v>3750</v>
      </c>
      <c r="N625" s="290"/>
      <c r="O625" s="276"/>
      <c r="P625" s="275"/>
      <c r="Q625" s="276"/>
      <c r="R625" s="278"/>
      <c r="S625" s="278"/>
      <c r="T625" s="278"/>
      <c r="U625" s="279"/>
      <c r="V625" s="279" t="s">
        <v>1738</v>
      </c>
      <c r="W625" s="280">
        <v>44313.0</v>
      </c>
      <c r="X625" s="281">
        <v>0.006944444444444444</v>
      </c>
      <c r="Y625" s="279" t="s">
        <v>1693</v>
      </c>
      <c r="Z625" s="282" t="s">
        <v>1570</v>
      </c>
      <c r="AA625" s="282">
        <v>6352411.0</v>
      </c>
      <c r="AB625" s="283">
        <v>44299.0</v>
      </c>
      <c r="AC625" s="284"/>
      <c r="AD625" s="284"/>
    </row>
    <row r="626" ht="14.25" customHeight="1">
      <c r="A626" s="265">
        <v>44297.0</v>
      </c>
      <c r="B626" s="266" t="s">
        <v>1733</v>
      </c>
      <c r="C626" s="266"/>
      <c r="D626" s="267" t="s">
        <v>3509</v>
      </c>
      <c r="E626" s="268"/>
      <c r="F626" s="269" t="s">
        <v>3751</v>
      </c>
      <c r="G626" s="268"/>
      <c r="H626" s="364"/>
      <c r="I626" s="271"/>
      <c r="J626" s="268"/>
      <c r="K626" s="271"/>
      <c r="L626" s="271"/>
      <c r="M626" s="359"/>
      <c r="N626" s="290"/>
      <c r="O626" s="276"/>
      <c r="P626" s="275"/>
      <c r="Q626" s="276"/>
      <c r="R626" s="278"/>
      <c r="S626" s="278"/>
      <c r="T626" s="278"/>
      <c r="U626" s="279"/>
      <c r="V626" s="279"/>
      <c r="W626" s="280"/>
      <c r="X626" s="281"/>
      <c r="Y626" s="279"/>
      <c r="Z626" s="282" t="s">
        <v>28</v>
      </c>
      <c r="AA626" s="282" t="s">
        <v>28</v>
      </c>
      <c r="AB626" s="283" t="s">
        <v>28</v>
      </c>
      <c r="AC626" s="284"/>
      <c r="AD626" s="284"/>
    </row>
    <row r="627" ht="14.25" customHeight="1">
      <c r="A627" s="265">
        <v>44297.0</v>
      </c>
      <c r="B627" s="266" t="s">
        <v>1733</v>
      </c>
      <c r="C627" s="266"/>
      <c r="D627" s="266" t="s">
        <v>1457</v>
      </c>
      <c r="E627" s="268"/>
      <c r="F627" s="406" t="s">
        <v>3752</v>
      </c>
      <c r="G627" s="268" t="s">
        <v>2085</v>
      </c>
      <c r="H627" s="364">
        <v>0.017638888888888888</v>
      </c>
      <c r="I627" s="271">
        <v>44298.322222222225</v>
      </c>
      <c r="J627" s="268"/>
      <c r="K627" s="271">
        <v>44298.33614583333</v>
      </c>
      <c r="L627" s="271"/>
      <c r="M627" s="359" t="s">
        <v>2524</v>
      </c>
      <c r="N627" s="290"/>
      <c r="O627" s="276"/>
      <c r="P627" s="275"/>
      <c r="Q627" s="276"/>
      <c r="R627" s="278"/>
      <c r="S627" s="278"/>
      <c r="T627" s="278"/>
      <c r="U627" s="279"/>
      <c r="V627" s="279" t="s">
        <v>1824</v>
      </c>
      <c r="W627" s="280">
        <v>44298.0</v>
      </c>
      <c r="X627" s="281">
        <v>0.05555555555555555</v>
      </c>
      <c r="Y627" s="279" t="s">
        <v>1693</v>
      </c>
      <c r="Z627" s="282" t="s">
        <v>53</v>
      </c>
      <c r="AA627" s="282" t="s">
        <v>3752</v>
      </c>
      <c r="AB627" s="283">
        <v>44298.0</v>
      </c>
      <c r="AC627" s="284"/>
      <c r="AD627" s="284"/>
    </row>
    <row r="628" ht="14.25" customHeight="1">
      <c r="A628" s="265">
        <v>44297.0</v>
      </c>
      <c r="B628" s="266" t="s">
        <v>1733</v>
      </c>
      <c r="C628" s="266"/>
      <c r="D628" s="266" t="s">
        <v>2829</v>
      </c>
      <c r="E628" s="268"/>
      <c r="F628" s="406" t="s">
        <v>3753</v>
      </c>
      <c r="G628" s="268" t="s">
        <v>2085</v>
      </c>
      <c r="H628" s="364">
        <v>0.018368055555555554</v>
      </c>
      <c r="I628" s="271">
        <v>44298.34097222222</v>
      </c>
      <c r="J628" s="268"/>
      <c r="K628" s="271"/>
      <c r="L628" s="271"/>
      <c r="M628" s="307" t="s">
        <v>2808</v>
      </c>
      <c r="N628" s="320">
        <v>44298.623611111114</v>
      </c>
      <c r="O628" s="407" t="s">
        <v>3754</v>
      </c>
      <c r="P628" s="317" t="s">
        <v>1463</v>
      </c>
      <c r="Q628" s="301" t="s">
        <v>1819</v>
      </c>
      <c r="R628" s="361">
        <v>44298.64613425926</v>
      </c>
      <c r="S628" s="272"/>
      <c r="T628" s="272"/>
      <c r="U628" s="279"/>
      <c r="V628" s="279"/>
      <c r="W628" s="280"/>
      <c r="X628" s="279"/>
      <c r="Y628" s="279"/>
      <c r="Z628" s="282" t="s">
        <v>1570</v>
      </c>
      <c r="AA628" s="282" t="s">
        <v>3753</v>
      </c>
      <c r="AB628" s="283">
        <v>44298.0</v>
      </c>
      <c r="AC628" s="284"/>
      <c r="AD628" s="284"/>
    </row>
    <row r="629" ht="14.25" customHeight="1">
      <c r="A629" s="265">
        <v>44298.0</v>
      </c>
      <c r="B629" s="266" t="s">
        <v>1500</v>
      </c>
      <c r="C629" s="266" t="s">
        <v>1686</v>
      </c>
      <c r="D629" s="266" t="s">
        <v>1543</v>
      </c>
      <c r="E629" s="268"/>
      <c r="F629" s="269" t="s">
        <v>3755</v>
      </c>
      <c r="G629" s="268" t="s">
        <v>1463</v>
      </c>
      <c r="H629" s="270">
        <v>0.005775462962962962</v>
      </c>
      <c r="I629" s="271">
        <v>44299.68402777778</v>
      </c>
      <c r="J629" s="268"/>
      <c r="K629" s="271">
        <v>44299.69412037037</v>
      </c>
      <c r="L629" s="271"/>
      <c r="M629" s="272" t="s">
        <v>3756</v>
      </c>
      <c r="N629" s="290"/>
      <c r="O629" s="276"/>
      <c r="P629" s="275"/>
      <c r="Q629" s="276"/>
      <c r="R629" s="278"/>
      <c r="S629" s="278"/>
      <c r="T629" s="278"/>
      <c r="U629" s="279"/>
      <c r="V629" s="279" t="s">
        <v>1500</v>
      </c>
      <c r="W629" s="280">
        <v>44319.0</v>
      </c>
      <c r="X629" s="281">
        <v>0.027777777777777776</v>
      </c>
      <c r="Y629" s="279" t="s">
        <v>1693</v>
      </c>
      <c r="Z629" s="282" t="s">
        <v>1570</v>
      </c>
      <c r="AA629" s="282">
        <v>6352412.0</v>
      </c>
      <c r="AB629" s="283">
        <v>44299.0</v>
      </c>
      <c r="AC629" s="284"/>
      <c r="AD629" s="284"/>
    </row>
    <row r="630" ht="14.25" customHeight="1">
      <c r="A630" s="265">
        <v>44298.0</v>
      </c>
      <c r="B630" s="266" t="s">
        <v>1500</v>
      </c>
      <c r="C630" s="266" t="s">
        <v>1686</v>
      </c>
      <c r="D630" s="266" t="s">
        <v>1543</v>
      </c>
      <c r="E630" s="268"/>
      <c r="F630" s="269" t="s">
        <v>3757</v>
      </c>
      <c r="G630" s="268" t="s">
        <v>1463</v>
      </c>
      <c r="H630" s="270">
        <v>7.87037037037037E-4</v>
      </c>
      <c r="I630" s="271">
        <v>44299.68402777778</v>
      </c>
      <c r="J630" s="268"/>
      <c r="K630" s="271"/>
      <c r="L630" s="271"/>
      <c r="M630" s="359" t="s">
        <v>3505</v>
      </c>
      <c r="N630" s="290"/>
      <c r="O630" s="276"/>
      <c r="P630" s="275"/>
      <c r="Q630" s="276"/>
      <c r="R630" s="278"/>
      <c r="S630" s="278"/>
      <c r="T630" s="278"/>
      <c r="U630" s="279"/>
      <c r="V630" s="279" t="s">
        <v>1738</v>
      </c>
      <c r="W630" s="280">
        <v>44313.0</v>
      </c>
      <c r="X630" s="281">
        <v>0.006944444444444444</v>
      </c>
      <c r="Y630" s="279" t="s">
        <v>1693</v>
      </c>
      <c r="Z630" s="282" t="s">
        <v>1570</v>
      </c>
      <c r="AA630" s="282">
        <v>6352413.0</v>
      </c>
      <c r="AB630" s="283">
        <v>44299.0</v>
      </c>
      <c r="AC630" s="284"/>
      <c r="AD630" s="284"/>
    </row>
    <row r="631" ht="14.25" customHeight="1">
      <c r="A631" s="265">
        <v>44298.0</v>
      </c>
      <c r="B631" s="266" t="s">
        <v>1500</v>
      </c>
      <c r="C631" s="266" t="s">
        <v>3758</v>
      </c>
      <c r="D631" s="266" t="s">
        <v>1543</v>
      </c>
      <c r="E631" s="268"/>
      <c r="F631" s="269" t="s">
        <v>3759</v>
      </c>
      <c r="G631" s="268" t="s">
        <v>1463</v>
      </c>
      <c r="H631" s="270">
        <v>0.0011226851851851851</v>
      </c>
      <c r="I631" s="271" t="s">
        <v>3760</v>
      </c>
      <c r="J631" s="268"/>
      <c r="K631" s="271">
        <v>44301.953668981485</v>
      </c>
      <c r="L631" s="271"/>
      <c r="M631" s="272" t="s">
        <v>3761</v>
      </c>
      <c r="N631" s="290"/>
      <c r="O631" s="276"/>
      <c r="P631" s="275"/>
      <c r="Q631" s="276"/>
      <c r="R631" s="278"/>
      <c r="S631" s="278"/>
      <c r="T631" s="278"/>
      <c r="U631" s="279"/>
      <c r="V631" s="279" t="s">
        <v>1738</v>
      </c>
      <c r="W631" s="280">
        <v>44313.0</v>
      </c>
      <c r="X631" s="281">
        <v>0.006944444444444444</v>
      </c>
      <c r="Y631" s="279" t="s">
        <v>1693</v>
      </c>
      <c r="Z631" s="282" t="s">
        <v>1570</v>
      </c>
      <c r="AA631" s="282">
        <v>6354216.0</v>
      </c>
      <c r="AB631" s="283">
        <v>44302.0</v>
      </c>
      <c r="AC631" s="284"/>
      <c r="AD631" s="284"/>
    </row>
    <row r="632" ht="14.25" customHeight="1">
      <c r="A632" s="265">
        <v>44298.0</v>
      </c>
      <c r="B632" s="266" t="s">
        <v>1500</v>
      </c>
      <c r="C632" s="266" t="s">
        <v>1686</v>
      </c>
      <c r="D632" s="266" t="s">
        <v>1543</v>
      </c>
      <c r="E632" s="268"/>
      <c r="F632" s="269" t="s">
        <v>3762</v>
      </c>
      <c r="G632" s="268" t="s">
        <v>1463</v>
      </c>
      <c r="H632" s="270">
        <v>0.0011689814814814816</v>
      </c>
      <c r="I632" s="271">
        <v>44299.68402777778</v>
      </c>
      <c r="J632" s="268"/>
      <c r="K632" s="271">
        <v>44305.31344907408</v>
      </c>
      <c r="L632" s="271"/>
      <c r="M632" s="272" t="s">
        <v>3763</v>
      </c>
      <c r="N632" s="290"/>
      <c r="O632" s="276"/>
      <c r="P632" s="275"/>
      <c r="Q632" s="276"/>
      <c r="R632" s="278"/>
      <c r="S632" s="278"/>
      <c r="T632" s="278"/>
      <c r="U632" s="279"/>
      <c r="V632" s="279" t="s">
        <v>1738</v>
      </c>
      <c r="W632" s="280">
        <v>44313.0</v>
      </c>
      <c r="X632" s="281">
        <v>0.006944444444444444</v>
      </c>
      <c r="Y632" s="279" t="s">
        <v>1693</v>
      </c>
      <c r="Z632" s="282" t="s">
        <v>1570</v>
      </c>
      <c r="AA632" s="282">
        <v>6354785.0</v>
      </c>
      <c r="AB632" s="283">
        <v>44306.0</v>
      </c>
      <c r="AC632" s="284"/>
      <c r="AD632" s="284"/>
    </row>
    <row r="633" ht="14.25" customHeight="1">
      <c r="A633" s="265">
        <v>44298.0</v>
      </c>
      <c r="B633" s="266" t="s">
        <v>1733</v>
      </c>
      <c r="C633" s="266"/>
      <c r="D633" s="266" t="s">
        <v>1450</v>
      </c>
      <c r="E633" s="268"/>
      <c r="F633" s="358" t="s">
        <v>3764</v>
      </c>
      <c r="G633" s="268" t="s">
        <v>2085</v>
      </c>
      <c r="H633" s="270">
        <v>0.10050925925925926</v>
      </c>
      <c r="I633" s="271">
        <v>44298.61736111111</v>
      </c>
      <c r="J633" s="268"/>
      <c r="K633" s="271">
        <v>44299.34818287037</v>
      </c>
      <c r="L633" s="271"/>
      <c r="M633" s="359" t="s">
        <v>2524</v>
      </c>
      <c r="N633" s="290"/>
      <c r="O633" s="276"/>
      <c r="P633" s="275"/>
      <c r="Q633" s="276"/>
      <c r="R633" s="278"/>
      <c r="S633" s="278"/>
      <c r="T633" s="278"/>
      <c r="U633" s="279"/>
      <c r="V633" s="279" t="s">
        <v>1733</v>
      </c>
      <c r="W633" s="280">
        <v>44299.0</v>
      </c>
      <c r="X633" s="281">
        <v>0.004861111111111111</v>
      </c>
      <c r="Y633" s="279" t="s">
        <v>1693</v>
      </c>
      <c r="Z633" s="282" t="s">
        <v>1570</v>
      </c>
      <c r="AA633" s="282" t="s">
        <v>3764</v>
      </c>
      <c r="AB633" s="283">
        <v>44298.0</v>
      </c>
      <c r="AC633" s="284"/>
      <c r="AD633" s="284"/>
    </row>
    <row r="634" ht="14.25" customHeight="1">
      <c r="A634" s="265">
        <v>44298.0</v>
      </c>
      <c r="B634" s="266" t="s">
        <v>1783</v>
      </c>
      <c r="C634" s="266"/>
      <c r="D634" s="265" t="s">
        <v>1452</v>
      </c>
      <c r="E634" s="268"/>
      <c r="F634" s="358" t="s">
        <v>3765</v>
      </c>
      <c r="G634" s="268" t="s">
        <v>2085</v>
      </c>
      <c r="H634" s="270">
        <v>0.0012037037037037038</v>
      </c>
      <c r="I634" s="271">
        <v>44298.461805555555</v>
      </c>
      <c r="J634" s="268"/>
      <c r="K634" s="271" t="s">
        <v>3766</v>
      </c>
      <c r="L634" s="271"/>
      <c r="M634" s="359" t="s">
        <v>2524</v>
      </c>
      <c r="N634" s="290"/>
      <c r="O634" s="276"/>
      <c r="P634" s="275"/>
      <c r="Q634" s="276"/>
      <c r="R634" s="278"/>
      <c r="S634" s="278"/>
      <c r="T634" s="278"/>
      <c r="U634" s="279"/>
      <c r="V634" s="279" t="s">
        <v>1783</v>
      </c>
      <c r="W634" s="280">
        <v>44298.0</v>
      </c>
      <c r="X634" s="281">
        <v>0.003472222222222222</v>
      </c>
      <c r="Y634" s="279" t="s">
        <v>1693</v>
      </c>
      <c r="Z634" s="282" t="s">
        <v>1570</v>
      </c>
      <c r="AA634" s="282" t="s">
        <v>3765</v>
      </c>
      <c r="AB634" s="283">
        <v>44298.0</v>
      </c>
      <c r="AC634" s="284"/>
      <c r="AD634" s="284"/>
    </row>
    <row r="635" ht="14.25" customHeight="1">
      <c r="A635" s="265">
        <v>44298.0</v>
      </c>
      <c r="B635" s="266" t="s">
        <v>1783</v>
      </c>
      <c r="C635" s="266"/>
      <c r="D635" s="266" t="s">
        <v>1686</v>
      </c>
      <c r="E635" s="268"/>
      <c r="F635" s="408" t="s">
        <v>3767</v>
      </c>
      <c r="G635" s="268" t="s">
        <v>2085</v>
      </c>
      <c r="H635" s="270">
        <v>0.03886574074074074</v>
      </c>
      <c r="I635" s="348">
        <v>44298.55763888889</v>
      </c>
      <c r="J635" s="268"/>
      <c r="K635" s="271" t="s">
        <v>3768</v>
      </c>
      <c r="L635" s="271"/>
      <c r="M635" s="359" t="s">
        <v>2524</v>
      </c>
      <c r="N635" s="290"/>
      <c r="O635" s="276"/>
      <c r="P635" s="275"/>
      <c r="Q635" s="276"/>
      <c r="R635" s="278"/>
      <c r="S635" s="278"/>
      <c r="T635" s="278"/>
      <c r="U635" s="279"/>
      <c r="V635" s="279" t="s">
        <v>1783</v>
      </c>
      <c r="W635" s="280">
        <v>44299.0</v>
      </c>
      <c r="X635" s="281">
        <v>0.15972222222222224</v>
      </c>
      <c r="Y635" s="279" t="s">
        <v>1693</v>
      </c>
      <c r="Z635" s="282" t="s">
        <v>1570</v>
      </c>
      <c r="AA635" s="282" t="s">
        <v>3767</v>
      </c>
      <c r="AB635" s="283">
        <v>44298.0</v>
      </c>
      <c r="AC635" s="284"/>
      <c r="AD635" s="284"/>
    </row>
    <row r="636" ht="14.25" customHeight="1">
      <c r="A636" s="265">
        <v>44298.0</v>
      </c>
      <c r="B636" s="266" t="s">
        <v>1733</v>
      </c>
      <c r="C636" s="266"/>
      <c r="D636" s="266" t="s">
        <v>1455</v>
      </c>
      <c r="E636" s="268"/>
      <c r="F636" s="358" t="s">
        <v>3769</v>
      </c>
      <c r="G636" s="268" t="s">
        <v>2085</v>
      </c>
      <c r="H636" s="270">
        <v>0.02101851851851852</v>
      </c>
      <c r="I636" s="271">
        <v>44298.915972222225</v>
      </c>
      <c r="J636" s="268"/>
      <c r="K636" s="271">
        <v>44299.27144675926</v>
      </c>
      <c r="L636" s="271"/>
      <c r="M636" s="359" t="s">
        <v>2524</v>
      </c>
      <c r="N636" s="290"/>
      <c r="O636" s="276"/>
      <c r="P636" s="275"/>
      <c r="Q636" s="276"/>
      <c r="R636" s="278"/>
      <c r="S636" s="278"/>
      <c r="T636" s="278"/>
      <c r="U636" s="279"/>
      <c r="V636" s="279" t="s">
        <v>1824</v>
      </c>
      <c r="W636" s="280">
        <v>44299.0</v>
      </c>
      <c r="X636" s="281">
        <v>0.09027777777777778</v>
      </c>
      <c r="Y636" s="279" t="s">
        <v>1693</v>
      </c>
      <c r="Z636" s="282" t="s">
        <v>1570</v>
      </c>
      <c r="AA636" s="282" t="s">
        <v>3769</v>
      </c>
      <c r="AB636" s="283">
        <v>44298.0</v>
      </c>
      <c r="AC636" s="284"/>
      <c r="AD636" s="284"/>
    </row>
    <row r="637" ht="14.25" customHeight="1">
      <c r="A637" s="265">
        <v>44299.0</v>
      </c>
      <c r="B637" s="266" t="s">
        <v>1500</v>
      </c>
      <c r="C637" s="266" t="s">
        <v>3770</v>
      </c>
      <c r="D637" s="266" t="s">
        <v>1543</v>
      </c>
      <c r="E637" s="268"/>
      <c r="F637" s="269" t="s">
        <v>3771</v>
      </c>
      <c r="G637" s="268" t="s">
        <v>1463</v>
      </c>
      <c r="H637" s="270">
        <v>7.175925925925927E-4</v>
      </c>
      <c r="I637" s="271">
        <v>44299.68402777778</v>
      </c>
      <c r="J637" s="268"/>
      <c r="K637" s="271">
        <v>44299.689467592594</v>
      </c>
      <c r="L637" s="271"/>
      <c r="M637" s="272" t="s">
        <v>3772</v>
      </c>
      <c r="N637" s="290"/>
      <c r="O637" s="276"/>
      <c r="P637" s="275"/>
      <c r="Q637" s="276"/>
      <c r="R637" s="278"/>
      <c r="S637" s="278"/>
      <c r="T637" s="278"/>
      <c r="U637" s="279"/>
      <c r="V637" s="279" t="s">
        <v>1738</v>
      </c>
      <c r="W637" s="280">
        <v>44313.0</v>
      </c>
      <c r="X637" s="281">
        <v>0.006944444444444444</v>
      </c>
      <c r="Y637" s="279" t="s">
        <v>1693</v>
      </c>
      <c r="Z637" s="282" t="s">
        <v>1570</v>
      </c>
      <c r="AA637" s="282">
        <v>6352414.0</v>
      </c>
      <c r="AB637" s="283">
        <v>44299.0</v>
      </c>
      <c r="AC637" s="284"/>
      <c r="AD637" s="284"/>
    </row>
    <row r="638" ht="14.25" customHeight="1">
      <c r="A638" s="265">
        <v>44299.0</v>
      </c>
      <c r="B638" s="266" t="s">
        <v>1500</v>
      </c>
      <c r="C638" s="266" t="s">
        <v>3758</v>
      </c>
      <c r="D638" s="266" t="s">
        <v>1543</v>
      </c>
      <c r="E638" s="268"/>
      <c r="F638" s="269" t="s">
        <v>3773</v>
      </c>
      <c r="G638" s="268" t="s">
        <v>1463</v>
      </c>
      <c r="H638" s="270">
        <v>0.007141203703703704</v>
      </c>
      <c r="I638" s="271" t="s">
        <v>3760</v>
      </c>
      <c r="J638" s="268"/>
      <c r="K638" s="271">
        <v>44301.9540625</v>
      </c>
      <c r="L638" s="271"/>
      <c r="M638" s="272" t="s">
        <v>3774</v>
      </c>
      <c r="N638" s="290"/>
      <c r="O638" s="276"/>
      <c r="P638" s="275"/>
      <c r="Q638" s="276"/>
      <c r="R638" s="278"/>
      <c r="S638" s="278"/>
      <c r="T638" s="278"/>
      <c r="U638" s="279"/>
      <c r="V638" s="279" t="s">
        <v>1738</v>
      </c>
      <c r="W638" s="280">
        <v>44313.0</v>
      </c>
      <c r="X638" s="281">
        <v>0.006944444444444444</v>
      </c>
      <c r="Y638" s="279" t="s">
        <v>1693</v>
      </c>
      <c r="Z638" s="282" t="s">
        <v>1570</v>
      </c>
      <c r="AA638" s="282">
        <v>6354217.0</v>
      </c>
      <c r="AB638" s="283">
        <v>44302.0</v>
      </c>
      <c r="AC638" s="284"/>
      <c r="AD638" s="284"/>
    </row>
    <row r="639" ht="14.25" customHeight="1">
      <c r="A639" s="265">
        <v>44299.0</v>
      </c>
      <c r="B639" s="266" t="s">
        <v>1500</v>
      </c>
      <c r="C639" s="266" t="s">
        <v>1686</v>
      </c>
      <c r="D639" s="266" t="s">
        <v>1543</v>
      </c>
      <c r="E639" s="268"/>
      <c r="F639" s="269" t="s">
        <v>3775</v>
      </c>
      <c r="G639" s="268" t="s">
        <v>1463</v>
      </c>
      <c r="H639" s="270">
        <v>0.0011111111111111111</v>
      </c>
      <c r="I639" s="271" t="s">
        <v>3760</v>
      </c>
      <c r="J639" s="268"/>
      <c r="K639" s="271">
        <v>44303.74841435185</v>
      </c>
      <c r="L639" s="271"/>
      <c r="M639" s="272" t="s">
        <v>3776</v>
      </c>
      <c r="N639" s="290"/>
      <c r="O639" s="276"/>
      <c r="P639" s="275"/>
      <c r="Q639" s="276"/>
      <c r="R639" s="278"/>
      <c r="S639" s="278"/>
      <c r="T639" s="278"/>
      <c r="U639" s="279"/>
      <c r="V639" s="279" t="s">
        <v>1738</v>
      </c>
      <c r="W639" s="280">
        <v>44313.0</v>
      </c>
      <c r="X639" s="281">
        <v>0.006944444444444444</v>
      </c>
      <c r="Y639" s="279" t="s">
        <v>1693</v>
      </c>
      <c r="Z639" s="282" t="s">
        <v>1570</v>
      </c>
      <c r="AA639" s="282">
        <v>6354786.0</v>
      </c>
      <c r="AB639" s="283">
        <v>44306.0</v>
      </c>
      <c r="AC639" s="284"/>
      <c r="AD639" s="284"/>
    </row>
    <row r="640" ht="14.25" customHeight="1">
      <c r="A640" s="265">
        <v>44299.0</v>
      </c>
      <c r="B640" s="266" t="s">
        <v>1733</v>
      </c>
      <c r="C640" s="266"/>
      <c r="D640" s="266" t="s">
        <v>1450</v>
      </c>
      <c r="E640" s="268"/>
      <c r="F640" s="358" t="s">
        <v>3777</v>
      </c>
      <c r="G640" s="268" t="s">
        <v>2085</v>
      </c>
      <c r="H640" s="270">
        <v>0.10064814814814815</v>
      </c>
      <c r="I640" s="271">
        <v>44299.67083333333</v>
      </c>
      <c r="J640" s="268"/>
      <c r="K640" s="271"/>
      <c r="L640" s="271"/>
      <c r="M640" s="307" t="s">
        <v>2808</v>
      </c>
      <c r="N640" s="351">
        <v>44299.865277777775</v>
      </c>
      <c r="O640" s="322" t="s">
        <v>3778</v>
      </c>
      <c r="P640" s="275" t="s">
        <v>3779</v>
      </c>
      <c r="Q640" s="276" t="s">
        <v>3780</v>
      </c>
      <c r="R640" s="278"/>
      <c r="S640" s="278"/>
      <c r="T640" s="278"/>
      <c r="U640" s="279"/>
      <c r="V640" s="279" t="s">
        <v>1733</v>
      </c>
      <c r="W640" s="280">
        <v>44300.0</v>
      </c>
      <c r="X640" s="281">
        <v>0.2638888888888889</v>
      </c>
      <c r="Y640" s="279"/>
      <c r="Z640" s="282" t="s">
        <v>53</v>
      </c>
      <c r="AA640" s="282" t="s">
        <v>3777</v>
      </c>
      <c r="AB640" s="283">
        <v>44300.0</v>
      </c>
      <c r="AC640" s="284"/>
      <c r="AD640" s="284"/>
    </row>
    <row r="641" ht="14.25" customHeight="1">
      <c r="A641" s="265">
        <v>44299.0</v>
      </c>
      <c r="B641" s="266" t="s">
        <v>1783</v>
      </c>
      <c r="C641" s="266"/>
      <c r="D641" s="265" t="s">
        <v>1452</v>
      </c>
      <c r="E641" s="268"/>
      <c r="F641" s="358" t="s">
        <v>3781</v>
      </c>
      <c r="G641" s="268" t="s">
        <v>2085</v>
      </c>
      <c r="H641" s="270">
        <v>0.003958333333333334</v>
      </c>
      <c r="I641" s="271">
        <v>44299.572222222225</v>
      </c>
      <c r="J641" s="268"/>
      <c r="K641" s="271">
        <v>44299.57847222222</v>
      </c>
      <c r="L641" s="271"/>
      <c r="M641" s="359" t="s">
        <v>2524</v>
      </c>
      <c r="N641" s="273"/>
      <c r="O641" s="276"/>
      <c r="P641" s="268"/>
      <c r="Q641" s="276"/>
      <c r="R641" s="277"/>
      <c r="S641" s="278"/>
      <c r="T641" s="278"/>
      <c r="U641" s="279"/>
      <c r="V641" s="279" t="s">
        <v>1783</v>
      </c>
      <c r="W641" s="280">
        <v>44299.0</v>
      </c>
      <c r="X641" s="281">
        <v>0.006944444444444444</v>
      </c>
      <c r="Y641" s="279" t="s">
        <v>1693</v>
      </c>
      <c r="Z641" s="282" t="s">
        <v>1570</v>
      </c>
      <c r="AA641" s="282" t="s">
        <v>3781</v>
      </c>
      <c r="AB641" s="283">
        <v>44299.0</v>
      </c>
      <c r="AC641" s="284"/>
      <c r="AD641" s="284"/>
    </row>
    <row r="642" ht="14.25" customHeight="1">
      <c r="A642" s="265">
        <v>44299.0</v>
      </c>
      <c r="B642" s="266" t="s">
        <v>1783</v>
      </c>
      <c r="C642" s="266"/>
      <c r="D642" s="266" t="s">
        <v>1686</v>
      </c>
      <c r="E642" s="268"/>
      <c r="F642" s="358" t="s">
        <v>3782</v>
      </c>
      <c r="G642" s="268" t="s">
        <v>2085</v>
      </c>
      <c r="H642" s="270">
        <v>0.038981481481481485</v>
      </c>
      <c r="I642" s="271">
        <v>44299.575</v>
      </c>
      <c r="J642" s="268"/>
      <c r="K642" s="271">
        <v>44299.614375</v>
      </c>
      <c r="L642" s="271"/>
      <c r="M642" s="359" t="s">
        <v>2524</v>
      </c>
      <c r="N642" s="290"/>
      <c r="O642" s="276"/>
      <c r="P642" s="275"/>
      <c r="Q642" s="276"/>
      <c r="R642" s="278"/>
      <c r="S642" s="278"/>
      <c r="T642" s="278"/>
      <c r="U642" s="279"/>
      <c r="V642" s="279" t="s">
        <v>1783</v>
      </c>
      <c r="W642" s="280">
        <v>44300.0</v>
      </c>
      <c r="X642" s="281">
        <v>0.16666666666666666</v>
      </c>
      <c r="Y642" s="279" t="s">
        <v>1693</v>
      </c>
      <c r="Z642" s="282" t="s">
        <v>1570</v>
      </c>
      <c r="AA642" s="282" t="s">
        <v>3782</v>
      </c>
      <c r="AB642" s="283">
        <v>44299.0</v>
      </c>
      <c r="AC642" s="284"/>
      <c r="AD642" s="284"/>
    </row>
    <row r="643" ht="14.25" customHeight="1">
      <c r="A643" s="265">
        <v>44299.0</v>
      </c>
      <c r="B643" s="266" t="s">
        <v>1733</v>
      </c>
      <c r="C643" s="266"/>
      <c r="D643" s="266" t="s">
        <v>1455</v>
      </c>
      <c r="E643" s="268"/>
      <c r="F643" s="358" t="s">
        <v>3783</v>
      </c>
      <c r="G643" s="268" t="s">
        <v>2085</v>
      </c>
      <c r="H643" s="270">
        <v>0.019710648148148147</v>
      </c>
      <c r="I643" s="271">
        <v>44299.913194444445</v>
      </c>
      <c r="J643" s="268"/>
      <c r="K643" s="271">
        <v>44299.92395833333</v>
      </c>
      <c r="L643" s="271"/>
      <c r="M643" s="359" t="s">
        <v>2524</v>
      </c>
      <c r="N643" s="290"/>
      <c r="O643" s="276"/>
      <c r="P643" s="275"/>
      <c r="Q643" s="276"/>
      <c r="R643" s="278"/>
      <c r="S643" s="278"/>
      <c r="T643" s="278"/>
      <c r="U643" s="279"/>
      <c r="V643" s="279" t="s">
        <v>1824</v>
      </c>
      <c r="W643" s="280">
        <v>44300.0</v>
      </c>
      <c r="X643" s="281">
        <v>0.09027777777777778</v>
      </c>
      <c r="Y643" s="279" t="s">
        <v>1693</v>
      </c>
      <c r="Z643" s="282" t="s">
        <v>1570</v>
      </c>
      <c r="AA643" s="282" t="s">
        <v>3783</v>
      </c>
      <c r="AB643" s="283">
        <v>44299.0</v>
      </c>
      <c r="AC643" s="284"/>
      <c r="AD643" s="284"/>
    </row>
    <row r="644" ht="14.25" customHeight="1">
      <c r="A644" s="265">
        <v>44300.0</v>
      </c>
      <c r="B644" s="266" t="s">
        <v>1500</v>
      </c>
      <c r="C644" s="266" t="s">
        <v>3758</v>
      </c>
      <c r="D644" s="266" t="s">
        <v>1543</v>
      </c>
      <c r="E644" s="268"/>
      <c r="F644" s="269" t="s">
        <v>3784</v>
      </c>
      <c r="G644" s="268" t="s">
        <v>1463</v>
      </c>
      <c r="H644" s="270">
        <v>0.003587962962962963</v>
      </c>
      <c r="I644" s="271">
        <v>44300.717361111114</v>
      </c>
      <c r="J644" s="268"/>
      <c r="K644" s="271">
        <v>44301.05747685185</v>
      </c>
      <c r="L644" s="271"/>
      <c r="M644" s="278" t="s">
        <v>3785</v>
      </c>
      <c r="N644" s="290"/>
      <c r="O644" s="276"/>
      <c r="P644" s="275"/>
      <c r="Q644" s="276"/>
      <c r="R644" s="278"/>
      <c r="S644" s="278"/>
      <c r="T644" s="278"/>
      <c r="U644" s="279"/>
      <c r="V644" s="279" t="s">
        <v>1824</v>
      </c>
      <c r="W644" s="280">
        <v>44320.0</v>
      </c>
      <c r="X644" s="281">
        <v>0.01238425925925926</v>
      </c>
      <c r="Y644" s="279" t="s">
        <v>1693</v>
      </c>
      <c r="Z644" s="282" t="s">
        <v>1570</v>
      </c>
      <c r="AA644" s="282">
        <v>6354218.0</v>
      </c>
      <c r="AB644" s="283">
        <v>44302.0</v>
      </c>
      <c r="AC644" s="284"/>
      <c r="AD644" s="284"/>
    </row>
    <row r="645" ht="14.25" customHeight="1">
      <c r="A645" s="265">
        <v>44300.0</v>
      </c>
      <c r="B645" s="266" t="s">
        <v>1500</v>
      </c>
      <c r="C645" s="266" t="s">
        <v>3758</v>
      </c>
      <c r="D645" s="266" t="s">
        <v>1543</v>
      </c>
      <c r="E645" s="268"/>
      <c r="F645" s="269" t="s">
        <v>3786</v>
      </c>
      <c r="G645" s="268" t="s">
        <v>1463</v>
      </c>
      <c r="H645" s="270">
        <v>6.828703703703703E-4</v>
      </c>
      <c r="I645" s="271" t="s">
        <v>3760</v>
      </c>
      <c r="J645" s="268"/>
      <c r="K645" s="271">
        <v>44301.95361111111</v>
      </c>
      <c r="L645" s="271"/>
      <c r="M645" s="272" t="s">
        <v>3787</v>
      </c>
      <c r="N645" s="290"/>
      <c r="O645" s="276"/>
      <c r="P645" s="275"/>
      <c r="Q645" s="276"/>
      <c r="R645" s="278"/>
      <c r="S645" s="278"/>
      <c r="T645" s="278"/>
      <c r="U645" s="279"/>
      <c r="V645" s="279" t="s">
        <v>1738</v>
      </c>
      <c r="W645" s="280">
        <v>44313.0</v>
      </c>
      <c r="X645" s="281">
        <v>0.006944444444444444</v>
      </c>
      <c r="Y645" s="279" t="s">
        <v>1693</v>
      </c>
      <c r="Z645" s="282" t="s">
        <v>1570</v>
      </c>
      <c r="AA645" s="282">
        <v>6354219.0</v>
      </c>
      <c r="AB645" s="283">
        <v>44302.0</v>
      </c>
      <c r="AC645" s="284"/>
      <c r="AD645" s="284"/>
    </row>
    <row r="646" ht="14.25" customHeight="1">
      <c r="A646" s="265">
        <v>44300.0</v>
      </c>
      <c r="B646" s="266" t="s">
        <v>1500</v>
      </c>
      <c r="C646" s="266" t="s">
        <v>3758</v>
      </c>
      <c r="D646" s="266" t="s">
        <v>1543</v>
      </c>
      <c r="E646" s="268"/>
      <c r="F646" s="269" t="s">
        <v>3788</v>
      </c>
      <c r="G646" s="268" t="s">
        <v>1463</v>
      </c>
      <c r="H646" s="270">
        <v>0.0018171296296296297</v>
      </c>
      <c r="I646" s="271" t="s">
        <v>3760</v>
      </c>
      <c r="J646" s="268"/>
      <c r="K646" s="271">
        <v>44303.41795138889</v>
      </c>
      <c r="L646" s="271"/>
      <c r="M646" s="307" t="s">
        <v>3789</v>
      </c>
      <c r="N646" s="273">
        <v>44305.3125</v>
      </c>
      <c r="O646" s="274" t="s">
        <v>3790</v>
      </c>
      <c r="P646" s="275" t="s">
        <v>1463</v>
      </c>
      <c r="Q646" s="276" t="s">
        <v>2570</v>
      </c>
      <c r="R646" s="277">
        <v>44306.31836805555</v>
      </c>
      <c r="S646" s="278"/>
      <c r="T646" s="278" t="s">
        <v>3791</v>
      </c>
      <c r="U646" s="279"/>
      <c r="V646" s="279" t="s">
        <v>1738</v>
      </c>
      <c r="W646" s="280">
        <v>44313.0</v>
      </c>
      <c r="X646" s="281">
        <v>0.006944444444444444</v>
      </c>
      <c r="Y646" s="279" t="s">
        <v>1693</v>
      </c>
      <c r="Z646" s="282" t="s">
        <v>53</v>
      </c>
      <c r="AA646" s="282">
        <v>6355504.0</v>
      </c>
      <c r="AB646" s="283">
        <v>44308.0</v>
      </c>
      <c r="AC646" s="284"/>
      <c r="AD646" s="284"/>
    </row>
    <row r="647" ht="14.25" customHeight="1">
      <c r="A647" s="265">
        <v>44300.0</v>
      </c>
      <c r="B647" s="266" t="s">
        <v>1500</v>
      </c>
      <c r="C647" s="266" t="s">
        <v>1501</v>
      </c>
      <c r="D647" s="266" t="s">
        <v>1502</v>
      </c>
      <c r="E647" s="268"/>
      <c r="F647" s="269" t="s">
        <v>1503</v>
      </c>
      <c r="G647" s="268" t="s">
        <v>1463</v>
      </c>
      <c r="H647" s="270">
        <v>0.03386574074074074</v>
      </c>
      <c r="I647" s="271">
        <v>44300.80287037037</v>
      </c>
      <c r="J647" s="268"/>
      <c r="K647" s="271">
        <v>44308.69478009259</v>
      </c>
      <c r="L647" s="271"/>
      <c r="M647" s="272" t="s">
        <v>1504</v>
      </c>
      <c r="N647" s="273"/>
      <c r="O647" s="274"/>
      <c r="P647" s="275"/>
      <c r="Q647" s="276"/>
      <c r="R647" s="277"/>
      <c r="S647" s="278"/>
      <c r="T647" s="278"/>
      <c r="U647" s="279"/>
      <c r="V647" s="279"/>
      <c r="W647" s="280"/>
      <c r="X647" s="281"/>
      <c r="Y647" s="279"/>
      <c r="Z647" s="282" t="s">
        <v>1505</v>
      </c>
      <c r="AA647" s="282">
        <v>6355850.0</v>
      </c>
      <c r="AB647" s="283">
        <v>44308.0</v>
      </c>
      <c r="AC647" s="284"/>
      <c r="AD647" s="284"/>
    </row>
    <row r="648" ht="14.25" customHeight="1">
      <c r="A648" s="265">
        <v>44300.0</v>
      </c>
      <c r="B648" s="266" t="s">
        <v>1500</v>
      </c>
      <c r="C648" s="266" t="s">
        <v>1501</v>
      </c>
      <c r="D648" s="266" t="s">
        <v>1502</v>
      </c>
      <c r="E648" s="268"/>
      <c r="F648" s="269" t="s">
        <v>1506</v>
      </c>
      <c r="G648" s="268" t="s">
        <v>1463</v>
      </c>
      <c r="H648" s="270">
        <v>0.04090277777777778</v>
      </c>
      <c r="I648" s="271">
        <v>44300.80287037037</v>
      </c>
      <c r="J648" s="268"/>
      <c r="K648" s="271">
        <v>44308.69478009259</v>
      </c>
      <c r="L648" s="271"/>
      <c r="M648" s="272" t="s">
        <v>1507</v>
      </c>
      <c r="N648" s="273"/>
      <c r="O648" s="274"/>
      <c r="P648" s="275"/>
      <c r="Q648" s="276"/>
      <c r="R648" s="277"/>
      <c r="S648" s="278"/>
      <c r="T648" s="278"/>
      <c r="U648" s="279"/>
      <c r="V648" s="279"/>
      <c r="W648" s="280"/>
      <c r="X648" s="281"/>
      <c r="Y648" s="279"/>
      <c r="Z648" s="282" t="s">
        <v>1505</v>
      </c>
      <c r="AA648" s="282">
        <v>6355851.0</v>
      </c>
      <c r="AB648" s="283">
        <v>44308.0</v>
      </c>
      <c r="AC648" s="284"/>
      <c r="AD648" s="284"/>
    </row>
    <row r="649" ht="14.25" customHeight="1">
      <c r="A649" s="265">
        <v>44300.0</v>
      </c>
      <c r="B649" s="266" t="s">
        <v>1500</v>
      </c>
      <c r="C649" s="266" t="s">
        <v>1501</v>
      </c>
      <c r="D649" s="266" t="s">
        <v>1502</v>
      </c>
      <c r="E649" s="268"/>
      <c r="F649" s="269" t="s">
        <v>1508</v>
      </c>
      <c r="G649" s="268" t="s">
        <v>1463</v>
      </c>
      <c r="H649" s="270">
        <v>0.040358796296296295</v>
      </c>
      <c r="I649" s="271">
        <v>44300.80287037037</v>
      </c>
      <c r="J649" s="268"/>
      <c r="K649" s="271">
        <v>44308.69478009259</v>
      </c>
      <c r="L649" s="271"/>
      <c r="M649" s="272" t="s">
        <v>1509</v>
      </c>
      <c r="N649" s="273"/>
      <c r="O649" s="274"/>
      <c r="P649" s="275"/>
      <c r="Q649" s="276"/>
      <c r="R649" s="277"/>
      <c r="S649" s="278"/>
      <c r="T649" s="278"/>
      <c r="U649" s="279"/>
      <c r="V649" s="279"/>
      <c r="W649" s="280"/>
      <c r="X649" s="281"/>
      <c r="Y649" s="279"/>
      <c r="Z649" s="282" t="s">
        <v>1505</v>
      </c>
      <c r="AA649" s="282">
        <v>6355852.0</v>
      </c>
      <c r="AB649" s="283">
        <v>44308.0</v>
      </c>
      <c r="AC649" s="284"/>
      <c r="AD649" s="284"/>
    </row>
    <row r="650" ht="14.25" customHeight="1">
      <c r="A650" s="265">
        <v>44300.0</v>
      </c>
      <c r="B650" s="266" t="s">
        <v>1500</v>
      </c>
      <c r="C650" s="266" t="s">
        <v>1501</v>
      </c>
      <c r="D650" s="266" t="s">
        <v>1502</v>
      </c>
      <c r="E650" s="268"/>
      <c r="F650" s="269" t="s">
        <v>1510</v>
      </c>
      <c r="G650" s="268" t="s">
        <v>1463</v>
      </c>
      <c r="H650" s="270">
        <v>0.03972222222222222</v>
      </c>
      <c r="I650" s="271">
        <v>44300.80287037037</v>
      </c>
      <c r="J650" s="268"/>
      <c r="K650" s="271">
        <v>44308.69478009259</v>
      </c>
      <c r="L650" s="271"/>
      <c r="M650" s="272" t="s">
        <v>1511</v>
      </c>
      <c r="N650" s="273"/>
      <c r="O650" s="274"/>
      <c r="P650" s="275"/>
      <c r="Q650" s="276"/>
      <c r="R650" s="277"/>
      <c r="S650" s="278"/>
      <c r="T650" s="278"/>
      <c r="U650" s="279"/>
      <c r="V650" s="279"/>
      <c r="W650" s="280"/>
      <c r="X650" s="281"/>
      <c r="Y650" s="279"/>
      <c r="Z650" s="282" t="s">
        <v>1505</v>
      </c>
      <c r="AA650" s="282">
        <v>6355853.0</v>
      </c>
      <c r="AB650" s="283">
        <v>44308.0</v>
      </c>
      <c r="AC650" s="284"/>
      <c r="AD650" s="284"/>
    </row>
    <row r="651" ht="14.25" customHeight="1">
      <c r="A651" s="265">
        <v>44300.0</v>
      </c>
      <c r="B651" s="266" t="s">
        <v>1500</v>
      </c>
      <c r="C651" s="266" t="s">
        <v>1501</v>
      </c>
      <c r="D651" s="266" t="s">
        <v>1502</v>
      </c>
      <c r="E651" s="268"/>
      <c r="F651" s="269" t="s">
        <v>1512</v>
      </c>
      <c r="G651" s="268" t="s">
        <v>1463</v>
      </c>
      <c r="H651" s="270">
        <v>0.034305555555555554</v>
      </c>
      <c r="I651" s="271">
        <v>44300.80287037037</v>
      </c>
      <c r="J651" s="268"/>
      <c r="K651" s="271">
        <v>44308.69478009259</v>
      </c>
      <c r="L651" s="271"/>
      <c r="M651" s="272" t="s">
        <v>1513</v>
      </c>
      <c r="N651" s="273"/>
      <c r="O651" s="274"/>
      <c r="P651" s="275"/>
      <c r="Q651" s="276"/>
      <c r="R651" s="277"/>
      <c r="S651" s="278"/>
      <c r="T651" s="278"/>
      <c r="U651" s="279"/>
      <c r="V651" s="279"/>
      <c r="W651" s="280"/>
      <c r="X651" s="281"/>
      <c r="Y651" s="279"/>
      <c r="Z651" s="282" t="s">
        <v>1505</v>
      </c>
      <c r="AA651" s="282">
        <v>6355854.0</v>
      </c>
      <c r="AB651" s="283">
        <v>44308.0</v>
      </c>
      <c r="AC651" s="284"/>
      <c r="AD651" s="284"/>
    </row>
    <row r="652" ht="14.25" customHeight="1">
      <c r="A652" s="265">
        <v>44300.0</v>
      </c>
      <c r="B652" s="266" t="s">
        <v>1500</v>
      </c>
      <c r="C652" s="266" t="s">
        <v>1501</v>
      </c>
      <c r="D652" s="266" t="s">
        <v>1502</v>
      </c>
      <c r="E652" s="268"/>
      <c r="F652" s="269" t="s">
        <v>1514</v>
      </c>
      <c r="G652" s="268" t="s">
        <v>1463</v>
      </c>
      <c r="H652" s="270">
        <v>0.040185185185185185</v>
      </c>
      <c r="I652" s="271">
        <v>44300.80287037037</v>
      </c>
      <c r="J652" s="268"/>
      <c r="K652" s="271">
        <v>44308.69478009259</v>
      </c>
      <c r="L652" s="271"/>
      <c r="M652" s="272" t="s">
        <v>1515</v>
      </c>
      <c r="N652" s="273"/>
      <c r="O652" s="274"/>
      <c r="P652" s="275"/>
      <c r="Q652" s="276"/>
      <c r="R652" s="277"/>
      <c r="S652" s="278"/>
      <c r="T652" s="278"/>
      <c r="U652" s="279"/>
      <c r="V652" s="279"/>
      <c r="W652" s="280"/>
      <c r="X652" s="281"/>
      <c r="Y652" s="279"/>
      <c r="Z652" s="282" t="s">
        <v>1505</v>
      </c>
      <c r="AA652" s="282">
        <v>6355855.0</v>
      </c>
      <c r="AB652" s="283">
        <v>44308.0</v>
      </c>
      <c r="AC652" s="284"/>
      <c r="AD652" s="284"/>
    </row>
    <row r="653" ht="14.25" customHeight="1">
      <c r="A653" s="265">
        <v>44300.0</v>
      </c>
      <c r="B653" s="266" t="s">
        <v>1500</v>
      </c>
      <c r="C653" s="266" t="s">
        <v>1686</v>
      </c>
      <c r="D653" s="266" t="s">
        <v>1543</v>
      </c>
      <c r="E653" s="409"/>
      <c r="F653" s="269" t="s">
        <v>3792</v>
      </c>
      <c r="G653" s="268" t="s">
        <v>1463</v>
      </c>
      <c r="H653" s="270">
        <v>8.217592592592592E-4</v>
      </c>
      <c r="I653" s="271">
        <v>44309.311111111114</v>
      </c>
      <c r="J653" s="268"/>
      <c r="K653" s="271">
        <v>44309.317824074074</v>
      </c>
      <c r="L653" s="271"/>
      <c r="M653" s="272" t="s">
        <v>3793</v>
      </c>
      <c r="N653" s="273"/>
      <c r="O653" s="274"/>
      <c r="P653" s="275"/>
      <c r="Q653" s="276"/>
      <c r="R653" s="277"/>
      <c r="S653" s="278"/>
      <c r="T653" s="278"/>
      <c r="U653" s="279"/>
      <c r="V653" s="279" t="s">
        <v>1738</v>
      </c>
      <c r="W653" s="280">
        <v>44313.0</v>
      </c>
      <c r="X653" s="281">
        <v>0.006944444444444444</v>
      </c>
      <c r="Y653" s="279" t="s">
        <v>1693</v>
      </c>
      <c r="Z653" s="282" t="s">
        <v>53</v>
      </c>
      <c r="AA653" s="282">
        <v>6356182.0</v>
      </c>
      <c r="AB653" s="283">
        <v>44311.0</v>
      </c>
      <c r="AC653" s="410"/>
      <c r="AD653" s="284"/>
    </row>
    <row r="654" ht="14.25" customHeight="1">
      <c r="A654" s="265">
        <v>44300.0</v>
      </c>
      <c r="B654" s="266" t="s">
        <v>1783</v>
      </c>
      <c r="C654" s="266"/>
      <c r="D654" s="265" t="s">
        <v>1452</v>
      </c>
      <c r="E654" s="409"/>
      <c r="F654" s="269" t="s">
        <v>3794</v>
      </c>
      <c r="G654" s="268"/>
      <c r="H654" s="270"/>
      <c r="I654" s="271"/>
      <c r="J654" s="268"/>
      <c r="K654" s="271"/>
      <c r="L654" s="271"/>
      <c r="M654" s="359"/>
      <c r="N654" s="290"/>
      <c r="O654" s="276"/>
      <c r="P654" s="275"/>
      <c r="Q654" s="276"/>
      <c r="R654" s="278"/>
      <c r="S654" s="278"/>
      <c r="T654" s="278"/>
      <c r="U654" s="279"/>
      <c r="V654" s="279" t="s">
        <v>28</v>
      </c>
      <c r="W654" s="280" t="s">
        <v>28</v>
      </c>
      <c r="X654" s="281" t="s">
        <v>28</v>
      </c>
      <c r="Y654" s="279" t="s">
        <v>28</v>
      </c>
      <c r="Z654" s="282" t="s">
        <v>28</v>
      </c>
      <c r="AA654" s="282" t="s">
        <v>28</v>
      </c>
      <c r="AB654" s="283" t="s">
        <v>28</v>
      </c>
      <c r="AC654" s="410"/>
      <c r="AD654" s="284"/>
    </row>
    <row r="655" ht="14.25" customHeight="1">
      <c r="A655" s="265">
        <v>44300.0</v>
      </c>
      <c r="B655" s="266" t="s">
        <v>1733</v>
      </c>
      <c r="C655" s="266"/>
      <c r="D655" s="266" t="s">
        <v>1450</v>
      </c>
      <c r="E655" s="409"/>
      <c r="F655" s="358" t="s">
        <v>3795</v>
      </c>
      <c r="G655" s="268" t="s">
        <v>2085</v>
      </c>
      <c r="H655" s="270">
        <v>0.10016203703703704</v>
      </c>
      <c r="I655" s="271">
        <v>44300.552083333336</v>
      </c>
      <c r="J655" s="268"/>
      <c r="K655" s="271">
        <v>44300.64942129629</v>
      </c>
      <c r="L655" s="271"/>
      <c r="M655" s="359" t="s">
        <v>2524</v>
      </c>
      <c r="N655" s="290"/>
      <c r="O655" s="276"/>
      <c r="P655" s="275"/>
      <c r="Q655" s="276"/>
      <c r="R655" s="278"/>
      <c r="S655" s="278"/>
      <c r="T655" s="278"/>
      <c r="U655" s="279"/>
      <c r="V655" s="279" t="s">
        <v>1733</v>
      </c>
      <c r="W655" s="280">
        <v>44301.0</v>
      </c>
      <c r="X655" s="281">
        <v>0.3125</v>
      </c>
      <c r="Y655" s="279" t="s">
        <v>1693</v>
      </c>
      <c r="Z655" s="282" t="s">
        <v>1570</v>
      </c>
      <c r="AA655" s="282" t="s">
        <v>3795</v>
      </c>
      <c r="AB655" s="283">
        <v>44300.0</v>
      </c>
      <c r="AC655" s="410"/>
      <c r="AD655" s="284"/>
    </row>
    <row r="656" ht="14.25" customHeight="1">
      <c r="A656" s="265">
        <v>44300.0</v>
      </c>
      <c r="B656" s="266" t="s">
        <v>1783</v>
      </c>
      <c r="C656" s="266"/>
      <c r="D656" s="266" t="s">
        <v>1686</v>
      </c>
      <c r="E656" s="409"/>
      <c r="F656" s="358" t="s">
        <v>3796</v>
      </c>
      <c r="G656" s="268" t="s">
        <v>2085</v>
      </c>
      <c r="H656" s="270">
        <v>0.03789351851851852</v>
      </c>
      <c r="I656" s="271">
        <v>44300.575694444444</v>
      </c>
      <c r="J656" s="268"/>
      <c r="K656" s="271" t="s">
        <v>3797</v>
      </c>
      <c r="L656" s="271"/>
      <c r="M656" s="359" t="s">
        <v>2524</v>
      </c>
      <c r="N656" s="290"/>
      <c r="O656" s="276"/>
      <c r="P656" s="275"/>
      <c r="Q656" s="276"/>
      <c r="R656" s="278"/>
      <c r="S656" s="278"/>
      <c r="T656" s="278"/>
      <c r="U656" s="279"/>
      <c r="V656" s="279" t="s">
        <v>1783</v>
      </c>
      <c r="W656" s="280" t="s">
        <v>3798</v>
      </c>
      <c r="X656" s="281">
        <v>0.16666666666666666</v>
      </c>
      <c r="Y656" s="279" t="s">
        <v>1693</v>
      </c>
      <c r="Z656" s="282" t="s">
        <v>1570</v>
      </c>
      <c r="AA656" s="282" t="s">
        <v>3796</v>
      </c>
      <c r="AB656" s="283">
        <v>44300.0</v>
      </c>
      <c r="AC656" s="410"/>
      <c r="AD656" s="284"/>
    </row>
    <row r="657" ht="14.25" customHeight="1">
      <c r="A657" s="265">
        <v>44300.0</v>
      </c>
      <c r="B657" s="266" t="s">
        <v>1733</v>
      </c>
      <c r="C657" s="266"/>
      <c r="D657" s="266" t="s">
        <v>1455</v>
      </c>
      <c r="E657" s="268"/>
      <c r="F657" s="358" t="s">
        <v>3799</v>
      </c>
      <c r="G657" s="268" t="s">
        <v>2085</v>
      </c>
      <c r="H657" s="270">
        <v>0.022037037037037036</v>
      </c>
      <c r="I657" s="271">
        <v>44301.35208333333</v>
      </c>
      <c r="J657" s="268"/>
      <c r="K657" s="271">
        <v>44301.36832175926</v>
      </c>
      <c r="L657" s="271"/>
      <c r="M657" s="359" t="s">
        <v>2524</v>
      </c>
      <c r="N657" s="290"/>
      <c r="O657" s="276"/>
      <c r="P657" s="275"/>
      <c r="Q657" s="276"/>
      <c r="R657" s="278"/>
      <c r="S657" s="278"/>
      <c r="T657" s="278"/>
      <c r="U657" s="279"/>
      <c r="V657" s="279" t="s">
        <v>1824</v>
      </c>
      <c r="W657" s="280">
        <v>44301.0</v>
      </c>
      <c r="X657" s="281">
        <v>0.09027777777777778</v>
      </c>
      <c r="Y657" s="279" t="s">
        <v>1693</v>
      </c>
      <c r="Z657" s="282" t="s">
        <v>53</v>
      </c>
      <c r="AA657" s="282" t="s">
        <v>3799</v>
      </c>
      <c r="AB657" s="283">
        <v>44301.0</v>
      </c>
      <c r="AC657" s="284"/>
      <c r="AD657" s="284"/>
    </row>
    <row r="658" ht="14.25" customHeight="1">
      <c r="A658" s="265">
        <v>44301.0</v>
      </c>
      <c r="B658" s="266" t="s">
        <v>1500</v>
      </c>
      <c r="C658" s="266" t="s">
        <v>1686</v>
      </c>
      <c r="D658" s="266" t="s">
        <v>1543</v>
      </c>
      <c r="E658" s="268"/>
      <c r="F658" s="269" t="s">
        <v>3800</v>
      </c>
      <c r="G658" s="268" t="s">
        <v>1463</v>
      </c>
      <c r="H658" s="270">
        <v>0.008518518518518519</v>
      </c>
      <c r="I658" s="271">
        <v>44305.60138888889</v>
      </c>
      <c r="J658" s="268"/>
      <c r="K658" s="271">
        <v>44305.61759259259</v>
      </c>
      <c r="L658" s="271"/>
      <c r="M658" s="272" t="s">
        <v>3801</v>
      </c>
      <c r="N658" s="411"/>
      <c r="O658" s="301"/>
      <c r="P658" s="317"/>
      <c r="Q658" s="301"/>
      <c r="R658" s="412"/>
      <c r="S658" s="362"/>
      <c r="T658" s="361"/>
      <c r="U658" s="279"/>
      <c r="V658" s="279" t="s">
        <v>1824</v>
      </c>
      <c r="W658" s="280">
        <v>44320.0</v>
      </c>
      <c r="X658" s="281">
        <v>0.03209490740740741</v>
      </c>
      <c r="Y658" s="279" t="s">
        <v>1693</v>
      </c>
      <c r="Z658" s="282" t="s">
        <v>1570</v>
      </c>
      <c r="AA658" s="282">
        <v>6354787.0</v>
      </c>
      <c r="AB658" s="283">
        <v>44306.0</v>
      </c>
      <c r="AC658" s="284"/>
      <c r="AD658" s="284"/>
    </row>
    <row r="659" ht="14.25" customHeight="1">
      <c r="A659" s="265">
        <v>44301.0</v>
      </c>
      <c r="B659" s="266" t="s">
        <v>1500</v>
      </c>
      <c r="C659" s="266" t="s">
        <v>1455</v>
      </c>
      <c r="D659" s="266" t="s">
        <v>1543</v>
      </c>
      <c r="E659" s="268"/>
      <c r="F659" s="269" t="s">
        <v>3802</v>
      </c>
      <c r="G659" s="268" t="s">
        <v>1463</v>
      </c>
      <c r="H659" s="270">
        <v>0.0017708333333333332</v>
      </c>
      <c r="I659" s="271">
        <v>44313.46875</v>
      </c>
      <c r="J659" s="268"/>
      <c r="K659" s="271">
        <v>44313.4715162037</v>
      </c>
      <c r="L659" s="271"/>
      <c r="M659" s="307" t="s">
        <v>3803</v>
      </c>
      <c r="N659" s="411"/>
      <c r="O659" s="301"/>
      <c r="P659" s="317"/>
      <c r="Q659" s="301"/>
      <c r="R659" s="412"/>
      <c r="S659" s="362"/>
      <c r="T659" s="361" t="s">
        <v>3803</v>
      </c>
      <c r="U659" s="279"/>
      <c r="V659" s="279" t="s">
        <v>1824</v>
      </c>
      <c r="W659" s="280">
        <v>44320.0</v>
      </c>
      <c r="X659" s="281">
        <v>0.012881944444444446</v>
      </c>
      <c r="Y659" s="279" t="s">
        <v>1693</v>
      </c>
      <c r="Z659" s="282" t="s">
        <v>1570</v>
      </c>
      <c r="AA659" s="282">
        <v>6357131.0</v>
      </c>
      <c r="AB659" s="283">
        <v>44314.0</v>
      </c>
      <c r="AC659" s="284"/>
      <c r="AD659" s="284"/>
    </row>
    <row r="660" ht="14.25" customHeight="1">
      <c r="A660" s="265">
        <v>44301.0</v>
      </c>
      <c r="B660" s="266" t="s">
        <v>1500</v>
      </c>
      <c r="C660" s="266" t="s">
        <v>1686</v>
      </c>
      <c r="D660" s="266" t="s">
        <v>1543</v>
      </c>
      <c r="E660" s="268"/>
      <c r="F660" s="269" t="s">
        <v>3804</v>
      </c>
      <c r="G660" s="268" t="s">
        <v>1463</v>
      </c>
      <c r="H660" s="270">
        <v>0.0026620370370370374</v>
      </c>
      <c r="I660" s="271">
        <v>44313.46875</v>
      </c>
      <c r="J660" s="268"/>
      <c r="K660" s="271">
        <v>44313.47520833334</v>
      </c>
      <c r="L660" s="271"/>
      <c r="M660" s="272" t="s">
        <v>3805</v>
      </c>
      <c r="N660" s="411"/>
      <c r="O660" s="301"/>
      <c r="P660" s="317"/>
      <c r="Q660" s="301"/>
      <c r="R660" s="412"/>
      <c r="S660" s="362"/>
      <c r="T660" s="361"/>
      <c r="U660" s="279"/>
      <c r="V660" s="279" t="s">
        <v>1824</v>
      </c>
      <c r="W660" s="280">
        <v>44320.0</v>
      </c>
      <c r="X660" s="281">
        <v>0.010671296296296297</v>
      </c>
      <c r="Y660" s="279" t="s">
        <v>1693</v>
      </c>
      <c r="Z660" s="282" t="s">
        <v>1570</v>
      </c>
      <c r="AA660" s="282">
        <v>6357132.0</v>
      </c>
      <c r="AB660" s="283">
        <v>44314.0</v>
      </c>
      <c r="AC660" s="284"/>
      <c r="AD660" s="284"/>
    </row>
    <row r="661" ht="14.25" customHeight="1">
      <c r="A661" s="265">
        <v>44301.0</v>
      </c>
      <c r="B661" s="266" t="s">
        <v>1500</v>
      </c>
      <c r="C661" s="266" t="s">
        <v>1686</v>
      </c>
      <c r="D661" s="266" t="s">
        <v>1543</v>
      </c>
      <c r="E661" s="268"/>
      <c r="F661" s="269" t="s">
        <v>3806</v>
      </c>
      <c r="G661" s="268" t="s">
        <v>1463</v>
      </c>
      <c r="H661" s="270">
        <v>9.490740740740741E-4</v>
      </c>
      <c r="I661" s="271">
        <v>44309.311111111114</v>
      </c>
      <c r="J661" s="268"/>
      <c r="K661" s="271">
        <v>44309.356307870374</v>
      </c>
      <c r="L661" s="271"/>
      <c r="M661" s="307" t="s">
        <v>3807</v>
      </c>
      <c r="N661" s="411">
        <v>44309.427777777775</v>
      </c>
      <c r="O661" s="301" t="s">
        <v>3808</v>
      </c>
      <c r="P661" s="275" t="s">
        <v>3809</v>
      </c>
      <c r="Q661" s="301" t="s">
        <v>1953</v>
      </c>
      <c r="R661" s="412"/>
      <c r="S661" s="320">
        <v>44321.327581018515</v>
      </c>
      <c r="T661" s="361" t="s">
        <v>3810</v>
      </c>
      <c r="U661" s="279"/>
      <c r="V661" s="279" t="s">
        <v>1500</v>
      </c>
      <c r="W661" s="280">
        <v>44321.0</v>
      </c>
      <c r="X661" s="281">
        <v>0.006944444444444444</v>
      </c>
      <c r="Y661" s="279" t="s">
        <v>1693</v>
      </c>
      <c r="Z661" s="282" t="s">
        <v>1570</v>
      </c>
      <c r="AA661" s="282">
        <v>6361362.0</v>
      </c>
      <c r="AB661" s="283">
        <v>44321.0</v>
      </c>
      <c r="AC661" s="284"/>
      <c r="AD661" s="284"/>
    </row>
    <row r="662" ht="14.25" customHeight="1">
      <c r="A662" s="265">
        <v>44301.0</v>
      </c>
      <c r="B662" s="266" t="s">
        <v>1783</v>
      </c>
      <c r="C662" s="266"/>
      <c r="D662" s="265" t="s">
        <v>1452</v>
      </c>
      <c r="E662" s="268"/>
      <c r="F662" s="269" t="s">
        <v>3794</v>
      </c>
      <c r="G662" s="268"/>
      <c r="H662" s="270"/>
      <c r="I662" s="271"/>
      <c r="J662" s="268"/>
      <c r="K662" s="271"/>
      <c r="L662" s="271"/>
      <c r="M662" s="307"/>
      <c r="N662" s="273"/>
      <c r="O662" s="276"/>
      <c r="P662" s="275"/>
      <c r="Q662" s="276"/>
      <c r="R662" s="273"/>
      <c r="S662" s="278"/>
      <c r="T662" s="278"/>
      <c r="U662" s="279"/>
      <c r="V662" s="279" t="s">
        <v>28</v>
      </c>
      <c r="W662" s="280" t="s">
        <v>28</v>
      </c>
      <c r="X662" s="279" t="s">
        <v>28</v>
      </c>
      <c r="Y662" s="279" t="s">
        <v>28</v>
      </c>
      <c r="Z662" s="282" t="s">
        <v>28</v>
      </c>
      <c r="AA662" s="282" t="s">
        <v>28</v>
      </c>
      <c r="AB662" s="283" t="s">
        <v>28</v>
      </c>
      <c r="AC662" s="284"/>
      <c r="AD662" s="284"/>
    </row>
    <row r="663" ht="14.25" customHeight="1">
      <c r="A663" s="265">
        <v>44301.0</v>
      </c>
      <c r="B663" s="266" t="s">
        <v>1733</v>
      </c>
      <c r="C663" s="266"/>
      <c r="D663" s="266" t="s">
        <v>1450</v>
      </c>
      <c r="E663" s="268"/>
      <c r="F663" s="358" t="s">
        <v>3811</v>
      </c>
      <c r="G663" s="268" t="s">
        <v>2085</v>
      </c>
      <c r="H663" s="270">
        <v>0.10024305555555556</v>
      </c>
      <c r="I663" s="271">
        <v>44301.54861111111</v>
      </c>
      <c r="J663" s="268"/>
      <c r="K663" s="271"/>
      <c r="L663" s="271"/>
      <c r="M663" s="307" t="s">
        <v>3482</v>
      </c>
      <c r="N663" s="404">
        <v>44301.69305555556</v>
      </c>
      <c r="O663" s="276" t="s">
        <v>3812</v>
      </c>
      <c r="P663" s="275" t="s">
        <v>3779</v>
      </c>
      <c r="Q663" s="276" t="s">
        <v>1819</v>
      </c>
      <c r="R663" s="277">
        <v>44301.748773148145</v>
      </c>
      <c r="S663" s="278"/>
      <c r="T663" s="278"/>
      <c r="U663" s="279"/>
      <c r="V663" s="279" t="s">
        <v>1733</v>
      </c>
      <c r="W663" s="280">
        <v>44302.0</v>
      </c>
      <c r="X663" s="281">
        <v>0.3125</v>
      </c>
      <c r="Y663" s="279" t="s">
        <v>1693</v>
      </c>
      <c r="Z663" s="282" t="s">
        <v>1570</v>
      </c>
      <c r="AA663" s="282" t="s">
        <v>3811</v>
      </c>
      <c r="AB663" s="283">
        <v>44301.0</v>
      </c>
      <c r="AC663" s="284"/>
      <c r="AD663" s="284"/>
    </row>
    <row r="664" ht="14.25" customHeight="1">
      <c r="A664" s="265">
        <v>44301.0</v>
      </c>
      <c r="B664" s="266" t="s">
        <v>1783</v>
      </c>
      <c r="C664" s="266"/>
      <c r="D664" s="266" t="s">
        <v>1686</v>
      </c>
      <c r="E664" s="268"/>
      <c r="F664" s="358" t="s">
        <v>3813</v>
      </c>
      <c r="G664" s="268" t="s">
        <v>2085</v>
      </c>
      <c r="H664" s="270">
        <v>0.03743055555555556</v>
      </c>
      <c r="I664" s="271">
        <v>44301.561111111114</v>
      </c>
      <c r="J664" s="268"/>
      <c r="K664" s="271"/>
      <c r="L664" s="271"/>
      <c r="M664" s="307" t="s">
        <v>3482</v>
      </c>
      <c r="N664" s="411">
        <v>44301.64027777778</v>
      </c>
      <c r="O664" s="301" t="s">
        <v>3814</v>
      </c>
      <c r="P664" s="317" t="s">
        <v>1463</v>
      </c>
      <c r="Q664" s="301" t="s">
        <v>1819</v>
      </c>
      <c r="R664" s="361">
        <v>44301.66925925926</v>
      </c>
      <c r="S664" s="362"/>
      <c r="T664" s="361"/>
      <c r="U664" s="279"/>
      <c r="V664" s="279" t="s">
        <v>1783</v>
      </c>
      <c r="W664" s="280" t="s">
        <v>3815</v>
      </c>
      <c r="X664" s="281">
        <v>0.15625</v>
      </c>
      <c r="Y664" s="279" t="s">
        <v>1693</v>
      </c>
      <c r="Z664" s="282" t="s">
        <v>1570</v>
      </c>
      <c r="AA664" s="282" t="s">
        <v>3813</v>
      </c>
      <c r="AB664" s="283">
        <v>44301.0</v>
      </c>
      <c r="AC664" s="284"/>
      <c r="AD664" s="284"/>
    </row>
    <row r="665" ht="14.25" customHeight="1">
      <c r="A665" s="265">
        <v>44301.0</v>
      </c>
      <c r="B665" s="266" t="s">
        <v>1733</v>
      </c>
      <c r="C665" s="266"/>
      <c r="D665" s="266" t="s">
        <v>1455</v>
      </c>
      <c r="E665" s="268"/>
      <c r="F665" s="358" t="s">
        <v>3816</v>
      </c>
      <c r="G665" s="268" t="s">
        <v>2085</v>
      </c>
      <c r="H665" s="270">
        <v>0.020497685185185185</v>
      </c>
      <c r="I665" s="271">
        <v>44301.92847222222</v>
      </c>
      <c r="J665" s="268"/>
      <c r="K665" s="271"/>
      <c r="L665" s="271"/>
      <c r="M665" s="307" t="s">
        <v>2808</v>
      </c>
      <c r="N665" s="411">
        <v>44302.291666666664</v>
      </c>
      <c r="O665" s="301" t="s">
        <v>3817</v>
      </c>
      <c r="P665" s="317" t="s">
        <v>1463</v>
      </c>
      <c r="Q665" s="301" t="s">
        <v>1819</v>
      </c>
      <c r="R665" s="412" t="s">
        <v>3818</v>
      </c>
      <c r="S665" s="362"/>
      <c r="T665" s="361"/>
      <c r="U665" s="279"/>
      <c r="V665" s="279" t="s">
        <v>1824</v>
      </c>
      <c r="W665" s="280">
        <v>44302.0</v>
      </c>
      <c r="X665" s="281">
        <v>0.09027777777777778</v>
      </c>
      <c r="Y665" s="279" t="s">
        <v>1693</v>
      </c>
      <c r="Z665" s="282" t="s">
        <v>1570</v>
      </c>
      <c r="AA665" s="282" t="s">
        <v>3816</v>
      </c>
      <c r="AB665" s="283">
        <v>44302.0</v>
      </c>
      <c r="AC665" s="284"/>
      <c r="AD665" s="284"/>
    </row>
    <row r="666" ht="14.25" customHeight="1">
      <c r="A666" s="265">
        <v>44302.0</v>
      </c>
      <c r="B666" s="266" t="s">
        <v>1500</v>
      </c>
      <c r="C666" s="266" t="s">
        <v>1686</v>
      </c>
      <c r="D666" s="266" t="s">
        <v>1543</v>
      </c>
      <c r="E666" s="268"/>
      <c r="F666" s="269" t="s">
        <v>3819</v>
      </c>
      <c r="G666" s="268" t="s">
        <v>1463</v>
      </c>
      <c r="H666" s="270">
        <v>0.0024305555555555556</v>
      </c>
      <c r="I666" s="271">
        <v>44305.60138888889</v>
      </c>
      <c r="J666" s="268"/>
      <c r="K666" s="271">
        <v>44305.610081018516</v>
      </c>
      <c r="L666" s="271"/>
      <c r="M666" s="272" t="s">
        <v>3820</v>
      </c>
      <c r="N666" s="351"/>
      <c r="O666" s="276"/>
      <c r="P666" s="275"/>
      <c r="Q666" s="276"/>
      <c r="R666" s="278"/>
      <c r="S666" s="278"/>
      <c r="T666" s="278"/>
      <c r="U666" s="279"/>
      <c r="V666" s="279" t="s">
        <v>1500</v>
      </c>
      <c r="W666" s="280">
        <v>44321.0</v>
      </c>
      <c r="X666" s="281">
        <v>0.006944444444444444</v>
      </c>
      <c r="Y666" s="279" t="s">
        <v>1693</v>
      </c>
      <c r="Z666" s="282" t="s">
        <v>1570</v>
      </c>
      <c r="AA666" s="282">
        <v>6354788.0</v>
      </c>
      <c r="AB666" s="283">
        <v>44306.0</v>
      </c>
      <c r="AC666" s="284"/>
      <c r="AD666" s="284"/>
    </row>
    <row r="667" ht="14.25" customHeight="1">
      <c r="A667" s="265">
        <v>44302.0</v>
      </c>
      <c r="B667" s="266" t="s">
        <v>1500</v>
      </c>
      <c r="C667" s="266" t="s">
        <v>1455</v>
      </c>
      <c r="D667" s="266" t="s">
        <v>1543</v>
      </c>
      <c r="E667" s="268"/>
      <c r="F667" s="269" t="s">
        <v>3821</v>
      </c>
      <c r="G667" s="268" t="s">
        <v>1463</v>
      </c>
      <c r="H667" s="270">
        <v>0.002523148148148148</v>
      </c>
      <c r="I667" s="271">
        <v>44305.60138888889</v>
      </c>
      <c r="J667" s="268"/>
      <c r="K667" s="271">
        <v>44305.611134259256</v>
      </c>
      <c r="L667" s="271"/>
      <c r="M667" s="272" t="s">
        <v>3822</v>
      </c>
      <c r="N667" s="351"/>
      <c r="O667" s="276"/>
      <c r="P667" s="275"/>
      <c r="Q667" s="276"/>
      <c r="R667" s="278"/>
      <c r="S667" s="278"/>
      <c r="T667" s="278"/>
      <c r="U667" s="279"/>
      <c r="V667" s="279" t="s">
        <v>1500</v>
      </c>
      <c r="W667" s="280">
        <v>44321.0</v>
      </c>
      <c r="X667" s="281">
        <v>0.006944444444444444</v>
      </c>
      <c r="Y667" s="279" t="s">
        <v>1693</v>
      </c>
      <c r="Z667" s="282" t="s">
        <v>1570</v>
      </c>
      <c r="AA667" s="282">
        <v>6354789.0</v>
      </c>
      <c r="AB667" s="283">
        <v>44306.0</v>
      </c>
      <c r="AC667" s="284"/>
      <c r="AD667" s="284"/>
    </row>
    <row r="668" ht="14.25" customHeight="1">
      <c r="A668" s="265">
        <v>44302.0</v>
      </c>
      <c r="B668" s="266" t="s">
        <v>1500</v>
      </c>
      <c r="C668" s="266" t="s">
        <v>2083</v>
      </c>
      <c r="D668" s="266" t="s">
        <v>1543</v>
      </c>
      <c r="E668" s="268"/>
      <c r="F668" s="269" t="s">
        <v>3823</v>
      </c>
      <c r="G668" s="268" t="s">
        <v>1463</v>
      </c>
      <c r="H668" s="270">
        <v>0.02170138888888889</v>
      </c>
      <c r="I668" s="271">
        <v>44305.60138888889</v>
      </c>
      <c r="J668" s="268"/>
      <c r="K668" s="271">
        <v>44305.94734953704</v>
      </c>
      <c r="L668" s="271"/>
      <c r="M668" s="272" t="s">
        <v>3824</v>
      </c>
      <c r="N668" s="351"/>
      <c r="O668" s="276"/>
      <c r="P668" s="275"/>
      <c r="Q668" s="276"/>
      <c r="R668" s="278"/>
      <c r="S668" s="278"/>
      <c r="T668" s="278"/>
      <c r="U668" s="279"/>
      <c r="V668" s="279" t="s">
        <v>1824</v>
      </c>
      <c r="W668" s="280">
        <v>44320.0</v>
      </c>
      <c r="X668" s="281">
        <v>0.003900462962962963</v>
      </c>
      <c r="Y668" s="279" t="s">
        <v>1693</v>
      </c>
      <c r="Z668" s="282" t="s">
        <v>53</v>
      </c>
      <c r="AA668" s="282">
        <v>6355505.0</v>
      </c>
      <c r="AB668" s="283">
        <v>44308.0</v>
      </c>
      <c r="AC668" s="284"/>
      <c r="AD668" s="284"/>
    </row>
    <row r="669" ht="14.25" customHeight="1">
      <c r="A669" s="265">
        <v>44302.0</v>
      </c>
      <c r="B669" s="266" t="s">
        <v>1733</v>
      </c>
      <c r="C669" s="266"/>
      <c r="D669" s="266" t="s">
        <v>1450</v>
      </c>
      <c r="E669" s="268"/>
      <c r="F669" s="358" t="s">
        <v>3825</v>
      </c>
      <c r="G669" s="268" t="s">
        <v>2085</v>
      </c>
      <c r="H669" s="270">
        <v>0.09976851851851852</v>
      </c>
      <c r="I669" s="271">
        <v>44302.89375</v>
      </c>
      <c r="J669" s="268"/>
      <c r="K669" s="271"/>
      <c r="L669" s="271"/>
      <c r="M669" s="307" t="s">
        <v>2808</v>
      </c>
      <c r="N669" s="328">
        <v>44302.950694444444</v>
      </c>
      <c r="O669" s="301" t="s">
        <v>3826</v>
      </c>
      <c r="P669" s="317" t="s">
        <v>1463</v>
      </c>
      <c r="Q669" s="301" t="s">
        <v>1819</v>
      </c>
      <c r="R669" s="361">
        <v>44302.049305555556</v>
      </c>
      <c r="S669" s="362"/>
      <c r="T669" s="272"/>
      <c r="U669" s="279"/>
      <c r="V669" s="279" t="s">
        <v>1570</v>
      </c>
      <c r="W669" s="280">
        <v>44305.0</v>
      </c>
      <c r="X669" s="281">
        <v>0.25</v>
      </c>
      <c r="Y669" s="279" t="s">
        <v>1693</v>
      </c>
      <c r="Z669" s="282" t="s">
        <v>1505</v>
      </c>
      <c r="AA669" s="282" t="s">
        <v>3825</v>
      </c>
      <c r="AB669" s="283">
        <v>44304.0</v>
      </c>
      <c r="AC669" s="284"/>
      <c r="AD669" s="284"/>
    </row>
    <row r="670" ht="14.25" customHeight="1">
      <c r="A670" s="265">
        <v>44302.0</v>
      </c>
      <c r="B670" s="266" t="s">
        <v>1783</v>
      </c>
      <c r="C670" s="266"/>
      <c r="D670" s="265" t="s">
        <v>1452</v>
      </c>
      <c r="E670" s="268"/>
      <c r="F670" s="358" t="s">
        <v>3827</v>
      </c>
      <c r="G670" s="268" t="s">
        <v>2085</v>
      </c>
      <c r="H670" s="270">
        <v>0.0023958333333333336</v>
      </c>
      <c r="I670" s="271">
        <v>44302.47638888889</v>
      </c>
      <c r="J670" s="268"/>
      <c r="K670" s="271"/>
      <c r="L670" s="271"/>
      <c r="M670" s="307" t="s">
        <v>2808</v>
      </c>
      <c r="N670" s="411">
        <v>44302.51388888889</v>
      </c>
      <c r="O670" s="301" t="s">
        <v>3817</v>
      </c>
      <c r="P670" s="317" t="s">
        <v>1463</v>
      </c>
      <c r="Q670" s="301" t="s">
        <v>1819</v>
      </c>
      <c r="R670" s="413" t="s">
        <v>3828</v>
      </c>
      <c r="S670" s="278"/>
      <c r="T670" s="278" t="s">
        <v>3829</v>
      </c>
      <c r="U670" s="279"/>
      <c r="V670" s="279" t="s">
        <v>1783</v>
      </c>
      <c r="W670" s="280">
        <v>44302.0</v>
      </c>
      <c r="X670" s="281">
        <v>0.006944444444444444</v>
      </c>
      <c r="Y670" s="279" t="s">
        <v>1693</v>
      </c>
      <c r="Z670" s="282" t="s">
        <v>1570</v>
      </c>
      <c r="AA670" s="282" t="s">
        <v>3827</v>
      </c>
      <c r="AB670" s="283">
        <v>44302.0</v>
      </c>
      <c r="AC670" s="284"/>
      <c r="AD670" s="284"/>
    </row>
    <row r="671" ht="14.25" customHeight="1">
      <c r="A671" s="265">
        <v>44302.0</v>
      </c>
      <c r="B671" s="266" t="s">
        <v>1783</v>
      </c>
      <c r="C671" s="266"/>
      <c r="D671" s="266" t="s">
        <v>1686</v>
      </c>
      <c r="E671" s="268"/>
      <c r="F671" s="358" t="s">
        <v>3830</v>
      </c>
      <c r="G671" s="268" t="s">
        <v>2085</v>
      </c>
      <c r="H671" s="270">
        <v>0.03876157407407408</v>
      </c>
      <c r="I671" s="271">
        <v>44302.57916666667</v>
      </c>
      <c r="J671" s="268"/>
      <c r="K671" s="271">
        <v>44302.61020833333</v>
      </c>
      <c r="L671" s="271"/>
      <c r="M671" s="359"/>
      <c r="N671" s="290"/>
      <c r="O671" s="276"/>
      <c r="P671" s="275"/>
      <c r="Q671" s="276"/>
      <c r="R671" s="278"/>
      <c r="S671" s="278"/>
      <c r="T671" s="278"/>
      <c r="U671" s="279"/>
      <c r="V671" s="279" t="s">
        <v>1733</v>
      </c>
      <c r="W671" s="280">
        <v>44305.0</v>
      </c>
      <c r="X671" s="281">
        <v>0.125</v>
      </c>
      <c r="Y671" s="279" t="s">
        <v>1693</v>
      </c>
      <c r="Z671" s="282" t="s">
        <v>1570</v>
      </c>
      <c r="AA671" s="282" t="s">
        <v>3830</v>
      </c>
      <c r="AB671" s="283">
        <v>44302.0</v>
      </c>
      <c r="AC671" s="284"/>
      <c r="AD671" s="284"/>
    </row>
    <row r="672" ht="14.25" customHeight="1">
      <c r="A672" s="265">
        <v>44302.0</v>
      </c>
      <c r="B672" s="266" t="s">
        <v>1733</v>
      </c>
      <c r="C672" s="266"/>
      <c r="D672" s="266" t="s">
        <v>1455</v>
      </c>
      <c r="E672" s="268"/>
      <c r="F672" s="358" t="s">
        <v>3831</v>
      </c>
      <c r="G672" s="268" t="s">
        <v>2085</v>
      </c>
      <c r="H672" s="270">
        <v>0.020162037037037037</v>
      </c>
      <c r="I672" s="271">
        <v>44302.90416666667</v>
      </c>
      <c r="J672" s="268"/>
      <c r="K672" s="271">
        <v>44302.924305555556</v>
      </c>
      <c r="L672" s="271"/>
      <c r="M672" s="307"/>
      <c r="N672" s="351"/>
      <c r="O672" s="276"/>
      <c r="P672" s="275"/>
      <c r="Q672" s="276"/>
      <c r="R672" s="278"/>
      <c r="S672" s="278"/>
      <c r="T672" s="278"/>
      <c r="U672" s="279"/>
      <c r="V672" s="279" t="s">
        <v>1824</v>
      </c>
      <c r="W672" s="280">
        <v>44305.0</v>
      </c>
      <c r="X672" s="281">
        <v>0.09027777777777778</v>
      </c>
      <c r="Y672" s="279" t="s">
        <v>1693</v>
      </c>
      <c r="Z672" s="282" t="s">
        <v>1570</v>
      </c>
      <c r="AA672" s="282" t="s">
        <v>3831</v>
      </c>
      <c r="AB672" s="283">
        <v>44302.0</v>
      </c>
      <c r="AC672" s="284"/>
      <c r="AD672" s="284"/>
    </row>
    <row r="673" ht="14.25" customHeight="1">
      <c r="A673" s="265">
        <v>44303.0</v>
      </c>
      <c r="B673" s="266" t="s">
        <v>1500</v>
      </c>
      <c r="C673" s="266" t="s">
        <v>1529</v>
      </c>
      <c r="D673" s="265" t="s">
        <v>1502</v>
      </c>
      <c r="E673" s="268"/>
      <c r="F673" s="269" t="s">
        <v>1530</v>
      </c>
      <c r="G673" s="268" t="s">
        <v>1463</v>
      </c>
      <c r="H673" s="270">
        <v>0.08108796296296296</v>
      </c>
      <c r="I673" s="271">
        <v>44303.7746875</v>
      </c>
      <c r="J673" s="268"/>
      <c r="K673" s="271">
        <v>44304.1352662037</v>
      </c>
      <c r="L673" s="268"/>
      <c r="M673" s="287" t="s">
        <v>1531</v>
      </c>
      <c r="N673" s="271"/>
      <c r="O673" s="286"/>
      <c r="P673" s="275"/>
      <c r="Q673" s="276"/>
      <c r="R673" s="277"/>
      <c r="S673" s="278"/>
      <c r="T673" s="278"/>
      <c r="U673" s="279"/>
      <c r="V673" s="279"/>
      <c r="W673" s="280"/>
      <c r="X673" s="279"/>
      <c r="Y673" s="279"/>
      <c r="Z673" s="282" t="s">
        <v>1505</v>
      </c>
      <c r="AA673" s="282">
        <v>6354694.0</v>
      </c>
      <c r="AB673" s="283">
        <v>44305.0</v>
      </c>
      <c r="AC673" s="284"/>
      <c r="AD673" s="284"/>
    </row>
    <row r="674" ht="14.25" customHeight="1">
      <c r="A674" s="265">
        <v>44303.0</v>
      </c>
      <c r="B674" s="266" t="s">
        <v>1500</v>
      </c>
      <c r="C674" s="266" t="s">
        <v>1529</v>
      </c>
      <c r="D674" s="265" t="s">
        <v>1502</v>
      </c>
      <c r="E674" s="268"/>
      <c r="F674" s="269" t="s">
        <v>1532</v>
      </c>
      <c r="G674" s="268" t="s">
        <v>1463</v>
      </c>
      <c r="H674" s="270">
        <v>0.08108796296296296</v>
      </c>
      <c r="I674" s="271">
        <v>44303.7746875</v>
      </c>
      <c r="J674" s="268"/>
      <c r="K674" s="271">
        <v>44304.1631712963</v>
      </c>
      <c r="L674" s="268"/>
      <c r="M674" s="287" t="s">
        <v>1533</v>
      </c>
      <c r="N674" s="271"/>
      <c r="O674" s="286"/>
      <c r="P674" s="275"/>
      <c r="Q674" s="276"/>
      <c r="R674" s="277"/>
      <c r="S674" s="278"/>
      <c r="T674" s="278"/>
      <c r="U674" s="279"/>
      <c r="V674" s="279"/>
      <c r="W674" s="280"/>
      <c r="X674" s="279"/>
      <c r="Y674" s="279"/>
      <c r="Z674" s="282" t="s">
        <v>1505</v>
      </c>
      <c r="AA674" s="282">
        <v>6354695.0</v>
      </c>
      <c r="AB674" s="283">
        <v>44305.0</v>
      </c>
      <c r="AC674" s="284"/>
      <c r="AD674" s="284"/>
    </row>
    <row r="675" ht="14.25" customHeight="1">
      <c r="A675" s="265">
        <v>44303.0</v>
      </c>
      <c r="B675" s="266" t="s">
        <v>1500</v>
      </c>
      <c r="C675" s="266" t="s">
        <v>1516</v>
      </c>
      <c r="D675" s="265" t="s">
        <v>1502</v>
      </c>
      <c r="E675" s="409"/>
      <c r="F675" s="269" t="s">
        <v>1517</v>
      </c>
      <c r="G675" s="268" t="s">
        <v>1463</v>
      </c>
      <c r="H675" s="270">
        <v>0.04679398148148148</v>
      </c>
      <c r="I675" s="271">
        <v>44303.6671412037</v>
      </c>
      <c r="J675" s="268"/>
      <c r="K675" s="271">
        <v>44304.04751157408</v>
      </c>
      <c r="L675" s="271"/>
      <c r="M675" s="272" t="s">
        <v>1518</v>
      </c>
      <c r="N675" s="271"/>
      <c r="O675" s="286"/>
      <c r="P675" s="275"/>
      <c r="Q675" s="276"/>
      <c r="R675" s="277"/>
      <c r="S675" s="278"/>
      <c r="T675" s="278"/>
      <c r="U675" s="279"/>
      <c r="V675" s="279"/>
      <c r="W675" s="280"/>
      <c r="X675" s="279"/>
      <c r="Y675" s="279"/>
      <c r="Z675" s="282" t="s">
        <v>1505</v>
      </c>
      <c r="AA675" s="282">
        <v>6354696.0</v>
      </c>
      <c r="AB675" s="283">
        <v>44305.0</v>
      </c>
      <c r="AC675" s="284"/>
      <c r="AD675" s="284"/>
    </row>
    <row r="676" ht="14.25" customHeight="1">
      <c r="A676" s="265">
        <v>44303.0</v>
      </c>
      <c r="B676" s="266" t="s">
        <v>1500</v>
      </c>
      <c r="C676" s="266" t="s">
        <v>1516</v>
      </c>
      <c r="D676" s="265" t="s">
        <v>1502</v>
      </c>
      <c r="E676" s="268"/>
      <c r="F676" s="269" t="s">
        <v>1519</v>
      </c>
      <c r="G676" s="268" t="s">
        <v>1463</v>
      </c>
      <c r="H676" s="270">
        <v>0.03131944444444445</v>
      </c>
      <c r="I676" s="271">
        <v>44303.6671412037</v>
      </c>
      <c r="J676" s="268"/>
      <c r="K676" s="271">
        <v>44305.866111111114</v>
      </c>
      <c r="L676" s="271"/>
      <c r="M676" s="272" t="s">
        <v>1520</v>
      </c>
      <c r="N676" s="271"/>
      <c r="O676" s="286"/>
      <c r="P676" s="275"/>
      <c r="Q676" s="276"/>
      <c r="R676" s="277"/>
      <c r="S676" s="278"/>
      <c r="T676" s="278"/>
      <c r="U676" s="279"/>
      <c r="V676" s="279"/>
      <c r="W676" s="280"/>
      <c r="X676" s="279"/>
      <c r="Y676" s="279"/>
      <c r="Z676" s="282" t="s">
        <v>1505</v>
      </c>
      <c r="AA676" s="282">
        <v>6354697.0</v>
      </c>
      <c r="AB676" s="283">
        <v>44305.0</v>
      </c>
      <c r="AC676" s="284"/>
      <c r="AD676" s="284"/>
    </row>
    <row r="677" ht="14.25" customHeight="1">
      <c r="A677" s="265">
        <v>44303.0</v>
      </c>
      <c r="B677" s="266" t="s">
        <v>1500</v>
      </c>
      <c r="C677" s="266" t="s">
        <v>1516</v>
      </c>
      <c r="D677" s="265" t="s">
        <v>1502</v>
      </c>
      <c r="E677" s="268"/>
      <c r="F677" s="269" t="s">
        <v>1521</v>
      </c>
      <c r="G677" s="268" t="s">
        <v>1463</v>
      </c>
      <c r="H677" s="270">
        <v>0.03487268518518519</v>
      </c>
      <c r="I677" s="271">
        <v>44303.6671412037</v>
      </c>
      <c r="J677" s="268"/>
      <c r="K677" s="271">
        <v>44305.87055555556</v>
      </c>
      <c r="L677" s="271"/>
      <c r="M677" s="272" t="s">
        <v>1522</v>
      </c>
      <c r="N677" s="271"/>
      <c r="O677" s="286"/>
      <c r="P677" s="275"/>
      <c r="Q677" s="276"/>
      <c r="R677" s="277"/>
      <c r="S677" s="278"/>
      <c r="T677" s="278"/>
      <c r="U677" s="279"/>
      <c r="V677" s="279"/>
      <c r="W677" s="280"/>
      <c r="X677" s="279"/>
      <c r="Y677" s="279"/>
      <c r="Z677" s="282" t="s">
        <v>1505</v>
      </c>
      <c r="AA677" s="282">
        <v>6354698.0</v>
      </c>
      <c r="AB677" s="283">
        <v>44305.0</v>
      </c>
      <c r="AC677" s="284"/>
      <c r="AD677" s="284"/>
    </row>
    <row r="678" ht="14.25" customHeight="1">
      <c r="A678" s="265">
        <v>44303.0</v>
      </c>
      <c r="B678" s="266" t="s">
        <v>1500</v>
      </c>
      <c r="C678" s="266" t="s">
        <v>1516</v>
      </c>
      <c r="D678" s="265" t="s">
        <v>1502</v>
      </c>
      <c r="E678" s="268"/>
      <c r="F678" s="269" t="s">
        <v>1523</v>
      </c>
      <c r="G678" s="268" t="s">
        <v>1463</v>
      </c>
      <c r="H678" s="270">
        <v>0.03280092592592593</v>
      </c>
      <c r="I678" s="271">
        <v>44303.6671412037</v>
      </c>
      <c r="J678" s="268"/>
      <c r="K678" s="271">
        <v>44305.87599537037</v>
      </c>
      <c r="L678" s="271"/>
      <c r="M678" s="272" t="s">
        <v>1524</v>
      </c>
      <c r="N678" s="271"/>
      <c r="O678" s="286"/>
      <c r="P678" s="275"/>
      <c r="Q678" s="276"/>
      <c r="R678" s="277"/>
      <c r="S678" s="278"/>
      <c r="T678" s="278"/>
      <c r="U678" s="279"/>
      <c r="V678" s="279"/>
      <c r="W678" s="280"/>
      <c r="X678" s="279"/>
      <c r="Y678" s="279"/>
      <c r="Z678" s="282" t="s">
        <v>1505</v>
      </c>
      <c r="AA678" s="282">
        <v>6354699.0</v>
      </c>
      <c r="AB678" s="283">
        <v>44305.0</v>
      </c>
      <c r="AC678" s="284"/>
      <c r="AD678" s="284"/>
    </row>
    <row r="679" ht="14.25" customHeight="1">
      <c r="A679" s="265">
        <v>44303.0</v>
      </c>
      <c r="B679" s="266" t="s">
        <v>1500</v>
      </c>
      <c r="C679" s="266" t="s">
        <v>1516</v>
      </c>
      <c r="D679" s="265" t="s">
        <v>1502</v>
      </c>
      <c r="E679" s="268"/>
      <c r="F679" s="269" t="s">
        <v>1525</v>
      </c>
      <c r="G679" s="268" t="s">
        <v>1463</v>
      </c>
      <c r="H679" s="270">
        <v>0.041539351851851855</v>
      </c>
      <c r="I679" s="271">
        <v>44303.6671412037</v>
      </c>
      <c r="J679" s="268"/>
      <c r="K679" s="271">
        <v>44305.89027777778</v>
      </c>
      <c r="L679" s="271"/>
      <c r="M679" s="272" t="s">
        <v>1526</v>
      </c>
      <c r="N679" s="271"/>
      <c r="O679" s="286"/>
      <c r="P679" s="275"/>
      <c r="Q679" s="276"/>
      <c r="R679" s="277"/>
      <c r="S679" s="278"/>
      <c r="T679" s="278"/>
      <c r="U679" s="279"/>
      <c r="V679" s="279"/>
      <c r="W679" s="280"/>
      <c r="X679" s="279"/>
      <c r="Y679" s="279"/>
      <c r="Z679" s="282" t="s">
        <v>1505</v>
      </c>
      <c r="AA679" s="282">
        <v>6354700.0</v>
      </c>
      <c r="AB679" s="283">
        <v>44305.0</v>
      </c>
      <c r="AC679" s="284"/>
      <c r="AD679" s="284"/>
    </row>
    <row r="680" ht="14.25" customHeight="1">
      <c r="A680" s="265">
        <v>44303.0</v>
      </c>
      <c r="B680" s="266" t="s">
        <v>1500</v>
      </c>
      <c r="C680" s="266" t="s">
        <v>1516</v>
      </c>
      <c r="D680" s="265" t="s">
        <v>1502</v>
      </c>
      <c r="E680" s="268"/>
      <c r="F680" s="269" t="s">
        <v>1527</v>
      </c>
      <c r="G680" s="268" t="s">
        <v>1463</v>
      </c>
      <c r="H680" s="270">
        <v>0.05333333333333334</v>
      </c>
      <c r="I680" s="271">
        <v>44303.6671412037</v>
      </c>
      <c r="J680" s="268"/>
      <c r="K680" s="271">
        <v>44305.8905787037</v>
      </c>
      <c r="L680" s="271"/>
      <c r="M680" s="272" t="s">
        <v>1528</v>
      </c>
      <c r="N680" s="271"/>
      <c r="O680" s="286"/>
      <c r="P680" s="275"/>
      <c r="Q680" s="276"/>
      <c r="R680" s="277"/>
      <c r="S680" s="278"/>
      <c r="T680" s="278"/>
      <c r="U680" s="279"/>
      <c r="V680" s="279"/>
      <c r="W680" s="280"/>
      <c r="X680" s="279"/>
      <c r="Y680" s="279"/>
      <c r="Z680" s="282" t="s">
        <v>1505</v>
      </c>
      <c r="AA680" s="282">
        <v>6354701.0</v>
      </c>
      <c r="AB680" s="283">
        <v>44305.0</v>
      </c>
      <c r="AC680" s="284"/>
      <c r="AD680" s="284"/>
    </row>
    <row r="681" ht="14.25" customHeight="1">
      <c r="A681" s="265">
        <v>44303.0</v>
      </c>
      <c r="B681" s="266" t="s">
        <v>1500</v>
      </c>
      <c r="C681" s="266" t="s">
        <v>1455</v>
      </c>
      <c r="D681" s="265" t="s">
        <v>1543</v>
      </c>
      <c r="E681" s="268"/>
      <c r="F681" s="269" t="s">
        <v>3832</v>
      </c>
      <c r="G681" s="268" t="s">
        <v>1463</v>
      </c>
      <c r="H681" s="270">
        <v>8.449074074074075E-4</v>
      </c>
      <c r="I681" s="271">
        <v>44305.60138888889</v>
      </c>
      <c r="J681" s="268"/>
      <c r="K681" s="271">
        <v>44305.6084375</v>
      </c>
      <c r="L681" s="271"/>
      <c r="M681" s="307" t="s">
        <v>3833</v>
      </c>
      <c r="N681" s="271">
        <v>44306.31706018518</v>
      </c>
      <c r="O681" s="286" t="s">
        <v>3832</v>
      </c>
      <c r="P681" s="275" t="s">
        <v>3809</v>
      </c>
      <c r="Q681" s="276" t="s">
        <v>1819</v>
      </c>
      <c r="R681" s="277">
        <v>44306.31706018518</v>
      </c>
      <c r="S681" s="278"/>
      <c r="T681" s="278" t="s">
        <v>3834</v>
      </c>
      <c r="U681" s="279"/>
      <c r="V681" s="279" t="s">
        <v>1500</v>
      </c>
      <c r="W681" s="280">
        <v>44321.0</v>
      </c>
      <c r="X681" s="281">
        <v>0.006944444444444444</v>
      </c>
      <c r="Y681" s="279" t="s">
        <v>1693</v>
      </c>
      <c r="Z681" s="282" t="s">
        <v>1570</v>
      </c>
      <c r="AA681" s="282">
        <v>6354790.0</v>
      </c>
      <c r="AB681" s="283">
        <v>44306.0</v>
      </c>
      <c r="AC681" s="284"/>
      <c r="AD681" s="284"/>
    </row>
    <row r="682" ht="14.25" customHeight="1">
      <c r="A682" s="265">
        <v>44303.0</v>
      </c>
      <c r="B682" s="266" t="s">
        <v>1500</v>
      </c>
      <c r="C682" s="266"/>
      <c r="D682" s="265" t="s">
        <v>1686</v>
      </c>
      <c r="E682" s="268"/>
      <c r="F682" s="358" t="s">
        <v>3835</v>
      </c>
      <c r="G682" s="268" t="s">
        <v>2085</v>
      </c>
      <c r="H682" s="270">
        <v>0.0405787037037037</v>
      </c>
      <c r="I682" s="271">
        <v>44303.63958333333</v>
      </c>
      <c r="J682" s="268"/>
      <c r="K682" s="271"/>
      <c r="L682" s="271"/>
      <c r="M682" s="307" t="s">
        <v>3482</v>
      </c>
      <c r="N682" s="351">
        <v>44303.854166666664</v>
      </c>
      <c r="O682" s="276" t="s">
        <v>3836</v>
      </c>
      <c r="P682" s="275" t="s">
        <v>3779</v>
      </c>
      <c r="Q682" s="276" t="s">
        <v>1819</v>
      </c>
      <c r="R682" s="277">
        <v>44303.95170138889</v>
      </c>
      <c r="S682" s="278"/>
      <c r="T682" s="278" t="s">
        <v>3837</v>
      </c>
      <c r="U682" s="279"/>
      <c r="V682" s="279" t="s">
        <v>1733</v>
      </c>
      <c r="W682" s="280">
        <v>44305.0</v>
      </c>
      <c r="X682" s="281">
        <v>0.10416666666666667</v>
      </c>
      <c r="Y682" s="279" t="s">
        <v>1693</v>
      </c>
      <c r="Z682" s="282" t="s">
        <v>53</v>
      </c>
      <c r="AA682" s="282" t="s">
        <v>3835</v>
      </c>
      <c r="AB682" s="283">
        <v>44305.0</v>
      </c>
      <c r="AC682" s="284"/>
      <c r="AD682" s="284"/>
    </row>
    <row r="683" ht="14.25" customHeight="1">
      <c r="A683" s="265">
        <v>44303.0</v>
      </c>
      <c r="B683" s="266" t="s">
        <v>1733</v>
      </c>
      <c r="C683" s="266"/>
      <c r="D683" s="265" t="s">
        <v>1455</v>
      </c>
      <c r="E683" s="268"/>
      <c r="F683" s="358" t="s">
        <v>3838</v>
      </c>
      <c r="G683" s="268" t="s">
        <v>2085</v>
      </c>
      <c r="H683" s="270">
        <v>0.015497685185185186</v>
      </c>
      <c r="I683" s="271">
        <v>44303.90833333333</v>
      </c>
      <c r="J683" s="268"/>
      <c r="K683" s="271">
        <v>44304.25611111111</v>
      </c>
      <c r="L683" s="271"/>
      <c r="M683" s="359" t="s">
        <v>2524</v>
      </c>
      <c r="N683" s="351"/>
      <c r="O683" s="276"/>
      <c r="P683" s="276"/>
      <c r="Q683" s="276"/>
      <c r="R683" s="278"/>
      <c r="S683" s="278"/>
      <c r="T683" s="278"/>
      <c r="U683" s="279"/>
      <c r="V683" s="279" t="s">
        <v>1824</v>
      </c>
      <c r="W683" s="280">
        <v>44305.0</v>
      </c>
      <c r="X683" s="281">
        <v>0.09027777777777778</v>
      </c>
      <c r="Y683" s="279" t="s">
        <v>1693</v>
      </c>
      <c r="Z683" s="282" t="s">
        <v>53</v>
      </c>
      <c r="AA683" s="282" t="s">
        <v>3838</v>
      </c>
      <c r="AB683" s="283">
        <v>44305.0</v>
      </c>
      <c r="AC683" s="284"/>
      <c r="AD683" s="284"/>
    </row>
    <row r="684" ht="14.25" customHeight="1">
      <c r="A684" s="265">
        <v>44304.0</v>
      </c>
      <c r="B684" s="266" t="s">
        <v>1733</v>
      </c>
      <c r="C684" s="266"/>
      <c r="D684" s="266" t="s">
        <v>3509</v>
      </c>
      <c r="E684" s="268"/>
      <c r="F684" s="358">
        <v>6349885.0</v>
      </c>
      <c r="G684" s="268" t="s">
        <v>3839</v>
      </c>
      <c r="H684" s="270">
        <v>0.06710648148148148</v>
      </c>
      <c r="I684" s="271">
        <v>44304.86666666667</v>
      </c>
      <c r="J684" s="268"/>
      <c r="K684" s="271">
        <v>44304.850694444445</v>
      </c>
      <c r="L684" s="271"/>
      <c r="M684" s="307"/>
      <c r="N684" s="351"/>
      <c r="O684" s="276"/>
      <c r="P684" s="275"/>
      <c r="Q684" s="276"/>
      <c r="R684" s="278"/>
      <c r="S684" s="278"/>
      <c r="T684" s="278" t="s">
        <v>3840</v>
      </c>
      <c r="U684" s="279"/>
      <c r="V684" s="279"/>
      <c r="W684" s="280"/>
      <c r="X684" s="281"/>
      <c r="Y684" s="279"/>
      <c r="Z684" s="282" t="s">
        <v>3559</v>
      </c>
      <c r="AA684" s="282">
        <v>6349885.0</v>
      </c>
      <c r="AB684" s="283">
        <v>44305.0</v>
      </c>
      <c r="AC684" s="284"/>
      <c r="AD684" s="284"/>
    </row>
    <row r="685" ht="14.25" customHeight="1">
      <c r="A685" s="265">
        <v>44304.0</v>
      </c>
      <c r="B685" s="266" t="s">
        <v>1733</v>
      </c>
      <c r="C685" s="266"/>
      <c r="D685" s="266" t="s">
        <v>1457</v>
      </c>
      <c r="E685" s="268"/>
      <c r="F685" s="358" t="s">
        <v>3841</v>
      </c>
      <c r="G685" s="268" t="s">
        <v>2085</v>
      </c>
      <c r="H685" s="270">
        <v>0.01767361111111111</v>
      </c>
      <c r="I685" s="271">
        <v>44304.799305555556</v>
      </c>
      <c r="J685" s="268"/>
      <c r="K685" s="271"/>
      <c r="L685" s="271"/>
      <c r="M685" s="307" t="s">
        <v>3482</v>
      </c>
      <c r="N685" s="351">
        <v>44303.85972222222</v>
      </c>
      <c r="O685" s="276" t="s">
        <v>3842</v>
      </c>
      <c r="P685" s="275" t="s">
        <v>3809</v>
      </c>
      <c r="Q685" s="276" t="s">
        <v>1819</v>
      </c>
      <c r="R685" s="277">
        <v>44303.86736111111</v>
      </c>
      <c r="S685" s="278"/>
      <c r="T685" s="278" t="s">
        <v>3843</v>
      </c>
      <c r="U685" s="279"/>
      <c r="V685" s="279" t="s">
        <v>1824</v>
      </c>
      <c r="W685" s="280">
        <v>44305.0</v>
      </c>
      <c r="X685" s="281">
        <v>0.041666666666666664</v>
      </c>
      <c r="Y685" s="279" t="s">
        <v>1693</v>
      </c>
      <c r="Z685" s="282" t="s">
        <v>53</v>
      </c>
      <c r="AA685" s="282" t="s">
        <v>3841</v>
      </c>
      <c r="AB685" s="283">
        <v>44305.0</v>
      </c>
      <c r="AC685" s="284"/>
      <c r="AD685" s="284"/>
    </row>
    <row r="686" ht="14.25" customHeight="1">
      <c r="A686" s="265">
        <v>44304.0</v>
      </c>
      <c r="B686" s="266" t="s">
        <v>1733</v>
      </c>
      <c r="C686" s="266"/>
      <c r="D686" s="266" t="s">
        <v>2829</v>
      </c>
      <c r="E686" s="268"/>
      <c r="F686" s="358" t="s">
        <v>3844</v>
      </c>
      <c r="G686" s="268" t="s">
        <v>2085</v>
      </c>
      <c r="H686" s="270">
        <v>0.018541666666666668</v>
      </c>
      <c r="I686" s="271">
        <v>44304.81458333333</v>
      </c>
      <c r="J686" s="268"/>
      <c r="K686" s="271"/>
      <c r="L686" s="271"/>
      <c r="M686" s="307" t="s">
        <v>2808</v>
      </c>
      <c r="N686" s="351">
        <v>44303.86111111111</v>
      </c>
      <c r="O686" s="276" t="s">
        <v>3845</v>
      </c>
      <c r="P686" s="275" t="s">
        <v>3809</v>
      </c>
      <c r="Q686" s="276" t="s">
        <v>1819</v>
      </c>
      <c r="R686" s="277">
        <v>44304.84027777778</v>
      </c>
      <c r="S686" s="278"/>
      <c r="T686" s="278" t="s">
        <v>3846</v>
      </c>
      <c r="U686" s="279"/>
      <c r="V686" s="279"/>
      <c r="W686" s="280"/>
      <c r="X686" s="281"/>
      <c r="Y686" s="279"/>
      <c r="Z686" s="282" t="s">
        <v>53</v>
      </c>
      <c r="AA686" s="282" t="s">
        <v>3844</v>
      </c>
      <c r="AB686" s="283">
        <v>44305.0</v>
      </c>
      <c r="AC686" s="284"/>
      <c r="AD686" s="284"/>
    </row>
    <row r="687" ht="14.25" customHeight="1">
      <c r="A687" s="265">
        <v>44305.0</v>
      </c>
      <c r="B687" s="266" t="s">
        <v>1500</v>
      </c>
      <c r="C687" s="266" t="s">
        <v>2641</v>
      </c>
      <c r="D687" s="266" t="s">
        <v>1543</v>
      </c>
      <c r="E687" s="268"/>
      <c r="F687" s="368" t="s">
        <v>3847</v>
      </c>
      <c r="G687" s="268" t="s">
        <v>1463</v>
      </c>
      <c r="H687" s="339">
        <v>0.0017708333333333332</v>
      </c>
      <c r="I687" s="271">
        <v>44314.62847222222</v>
      </c>
      <c r="J687" s="268"/>
      <c r="K687" s="271">
        <v>44314.96668981481</v>
      </c>
      <c r="L687" s="271"/>
      <c r="M687" s="272" t="s">
        <v>3848</v>
      </c>
      <c r="N687" s="290"/>
      <c r="O687" s="276"/>
      <c r="P687" s="276"/>
      <c r="Q687" s="276"/>
      <c r="R687" s="278"/>
      <c r="S687" s="278"/>
      <c r="T687" s="278"/>
      <c r="U687" s="279"/>
      <c r="V687" s="279" t="s">
        <v>1824</v>
      </c>
      <c r="W687" s="280">
        <v>44321.0</v>
      </c>
      <c r="X687" s="281">
        <v>0.010138888888888888</v>
      </c>
      <c r="Y687" s="279" t="s">
        <v>1693</v>
      </c>
      <c r="Z687" s="282" t="s">
        <v>53</v>
      </c>
      <c r="AA687" s="282">
        <v>6357529.0</v>
      </c>
      <c r="AB687" s="283">
        <v>44315.0</v>
      </c>
      <c r="AC687" s="284"/>
      <c r="AD687" s="284"/>
    </row>
    <row r="688" ht="14.25" customHeight="1">
      <c r="A688" s="265">
        <v>44305.0</v>
      </c>
      <c r="B688" s="266" t="s">
        <v>1500</v>
      </c>
      <c r="C688" s="266"/>
      <c r="D688" s="266" t="s">
        <v>2083</v>
      </c>
      <c r="E688" s="268"/>
      <c r="F688" s="269" t="s">
        <v>3849</v>
      </c>
      <c r="G688" s="268" t="s">
        <v>1463</v>
      </c>
      <c r="H688" s="288">
        <v>0.007002314814814815</v>
      </c>
      <c r="I688" s="271"/>
      <c r="J688" s="268"/>
      <c r="K688" s="271">
        <v>44316.60975694445</v>
      </c>
      <c r="L688" s="271"/>
      <c r="M688" s="278" t="s">
        <v>3850</v>
      </c>
      <c r="N688" s="290"/>
      <c r="O688" s="276"/>
      <c r="P688" s="276"/>
      <c r="Q688" s="276"/>
      <c r="R688" s="278"/>
      <c r="S688" s="278"/>
      <c r="T688" s="278"/>
      <c r="U688" s="279"/>
      <c r="V688" s="279" t="s">
        <v>3851</v>
      </c>
      <c r="W688" s="280"/>
      <c r="X688" s="281"/>
      <c r="Y688" s="279"/>
      <c r="Z688" s="282" t="s">
        <v>1570</v>
      </c>
      <c r="AA688" s="282">
        <v>6358208.0</v>
      </c>
      <c r="AB688" s="283">
        <v>44316.0</v>
      </c>
      <c r="AC688" s="284"/>
      <c r="AD688" s="284"/>
    </row>
    <row r="689" ht="14.25" customHeight="1">
      <c r="A689" s="265">
        <v>44305.0</v>
      </c>
      <c r="B689" s="266" t="s">
        <v>1783</v>
      </c>
      <c r="C689" s="266"/>
      <c r="D689" s="265" t="s">
        <v>1452</v>
      </c>
      <c r="E689" s="268"/>
      <c r="F689" s="269" t="s">
        <v>3794</v>
      </c>
      <c r="G689" s="268"/>
      <c r="H689" s="270"/>
      <c r="I689" s="271"/>
      <c r="J689" s="268"/>
      <c r="K689" s="271"/>
      <c r="L689" s="271"/>
      <c r="M689" s="359"/>
      <c r="N689" s="290"/>
      <c r="O689" s="276"/>
      <c r="P689" s="276"/>
      <c r="Q689" s="276"/>
      <c r="R689" s="278"/>
      <c r="S689" s="278"/>
      <c r="T689" s="278"/>
      <c r="U689" s="279"/>
      <c r="V689" s="279" t="s">
        <v>28</v>
      </c>
      <c r="W689" s="279" t="s">
        <v>28</v>
      </c>
      <c r="X689" s="279" t="s">
        <v>28</v>
      </c>
      <c r="Y689" s="279" t="s">
        <v>28</v>
      </c>
      <c r="Z689" s="282" t="s">
        <v>28</v>
      </c>
      <c r="AA689" s="282" t="s">
        <v>28</v>
      </c>
      <c r="AB689" s="283" t="s">
        <v>28</v>
      </c>
      <c r="AC689" s="284"/>
      <c r="AD689" s="284"/>
    </row>
    <row r="690" ht="14.25" customHeight="1">
      <c r="A690" s="265">
        <v>44305.0</v>
      </c>
      <c r="B690" s="266" t="s">
        <v>1570</v>
      </c>
      <c r="C690" s="266"/>
      <c r="D690" s="266" t="s">
        <v>1450</v>
      </c>
      <c r="E690" s="268"/>
      <c r="F690" s="358" t="s">
        <v>3852</v>
      </c>
      <c r="G690" s="268" t="s">
        <v>2085</v>
      </c>
      <c r="H690" s="270">
        <v>0.09999999999999999</v>
      </c>
      <c r="I690" s="271">
        <v>44305.59027777778</v>
      </c>
      <c r="J690" s="268"/>
      <c r="K690" s="271"/>
      <c r="L690" s="271"/>
      <c r="M690" s="307" t="s">
        <v>2808</v>
      </c>
      <c r="N690" s="351">
        <v>44305.645833333336</v>
      </c>
      <c r="O690" s="276" t="s">
        <v>3853</v>
      </c>
      <c r="P690" s="275" t="s">
        <v>3809</v>
      </c>
      <c r="Q690" s="276" t="s">
        <v>1819</v>
      </c>
      <c r="R690" s="277">
        <v>44305.69304398148</v>
      </c>
      <c r="S690" s="278"/>
      <c r="T690" s="278" t="s">
        <v>3854</v>
      </c>
      <c r="U690" s="279"/>
      <c r="V690" s="279" t="s">
        <v>1570</v>
      </c>
      <c r="W690" s="280">
        <v>44306.0</v>
      </c>
      <c r="X690" s="281">
        <v>0.25</v>
      </c>
      <c r="Y690" s="279" t="s">
        <v>1693</v>
      </c>
      <c r="Z690" s="282" t="s">
        <v>1570</v>
      </c>
      <c r="AA690" s="282" t="s">
        <v>3852</v>
      </c>
      <c r="AB690" s="283">
        <v>44305.0</v>
      </c>
      <c r="AC690" s="284"/>
      <c r="AD690" s="284"/>
    </row>
    <row r="691" ht="14.25" customHeight="1">
      <c r="A691" s="265">
        <v>44305.0</v>
      </c>
      <c r="B691" s="266" t="s">
        <v>1733</v>
      </c>
      <c r="C691" s="266"/>
      <c r="D691" s="265" t="s">
        <v>1686</v>
      </c>
      <c r="E691" s="268"/>
      <c r="F691" s="367" t="s">
        <v>3855</v>
      </c>
      <c r="G691" s="268" t="s">
        <v>2085</v>
      </c>
      <c r="H691" s="270">
        <v>0.03679398148148148</v>
      </c>
      <c r="I691" s="271">
        <v>44305.663194444445</v>
      </c>
      <c r="J691" s="268"/>
      <c r="K691" s="271">
        <v>44305.67459490741</v>
      </c>
      <c r="L691" s="271"/>
      <c r="M691" s="359"/>
      <c r="N691" s="290"/>
      <c r="O691" s="276"/>
      <c r="P691" s="276"/>
      <c r="Q691" s="276"/>
      <c r="R691" s="278"/>
      <c r="S691" s="278"/>
      <c r="T691" s="278"/>
      <c r="U691" s="279"/>
      <c r="V691" s="279" t="s">
        <v>1733</v>
      </c>
      <c r="W691" s="280">
        <v>44306.0</v>
      </c>
      <c r="X691" s="281">
        <v>0.125</v>
      </c>
      <c r="Y691" s="279" t="s">
        <v>1693</v>
      </c>
      <c r="Z691" s="282" t="s">
        <v>1570</v>
      </c>
      <c r="AA691" s="282" t="s">
        <v>3855</v>
      </c>
      <c r="AB691" s="283">
        <v>44305.0</v>
      </c>
      <c r="AC691" s="284"/>
      <c r="AD691" s="284"/>
    </row>
    <row r="692" ht="14.25" customHeight="1">
      <c r="A692" s="265">
        <v>44305.0</v>
      </c>
      <c r="B692" s="266" t="s">
        <v>1733</v>
      </c>
      <c r="C692" s="266"/>
      <c r="D692" s="266" t="s">
        <v>1455</v>
      </c>
      <c r="E692" s="268"/>
      <c r="F692" s="367" t="s">
        <v>3856</v>
      </c>
      <c r="G692" s="268" t="s">
        <v>2085</v>
      </c>
      <c r="H692" s="339">
        <v>0.019490740740740743</v>
      </c>
      <c r="I692" s="271">
        <v>44305.92013888889</v>
      </c>
      <c r="J692" s="268"/>
      <c r="K692" s="271">
        <v>44305.93645833333</v>
      </c>
      <c r="L692" s="271"/>
      <c r="M692" s="359"/>
      <c r="N692" s="290"/>
      <c r="O692" s="276"/>
      <c r="P692" s="276"/>
      <c r="Q692" s="276"/>
      <c r="R692" s="278"/>
      <c r="S692" s="278"/>
      <c r="T692" s="278"/>
      <c r="U692" s="279"/>
      <c r="V692" s="279" t="s">
        <v>1824</v>
      </c>
      <c r="W692" s="280">
        <v>44306.0</v>
      </c>
      <c r="X692" s="281">
        <v>0.09027777777777778</v>
      </c>
      <c r="Y692" s="279" t="s">
        <v>1693</v>
      </c>
      <c r="Z692" s="282" t="s">
        <v>1570</v>
      </c>
      <c r="AA692" s="282" t="s">
        <v>3856</v>
      </c>
      <c r="AB692" s="283">
        <v>44305.0</v>
      </c>
      <c r="AC692" s="284"/>
      <c r="AD692" s="284"/>
    </row>
    <row r="693" ht="14.25" customHeight="1">
      <c r="A693" s="265">
        <v>44306.0</v>
      </c>
      <c r="B693" s="266" t="s">
        <v>1500</v>
      </c>
      <c r="C693" s="266"/>
      <c r="D693" s="266" t="s">
        <v>2083</v>
      </c>
      <c r="E693" s="268"/>
      <c r="F693" s="338" t="s">
        <v>3857</v>
      </c>
      <c r="G693" s="268" t="s">
        <v>1463</v>
      </c>
      <c r="H693" s="288">
        <v>0.004513888888888889</v>
      </c>
      <c r="I693" s="271"/>
      <c r="J693" s="268"/>
      <c r="K693" s="271">
        <v>44316.610081018516</v>
      </c>
      <c r="L693" s="271"/>
      <c r="M693" s="278" t="s">
        <v>3858</v>
      </c>
      <c r="N693" s="290"/>
      <c r="O693" s="276"/>
      <c r="P693" s="276"/>
      <c r="Q693" s="276"/>
      <c r="R693" s="278"/>
      <c r="S693" s="278"/>
      <c r="T693" s="278"/>
      <c r="U693" s="279"/>
      <c r="V693" s="279" t="s">
        <v>3851</v>
      </c>
      <c r="W693" s="280"/>
      <c r="X693" s="281"/>
      <c r="Y693" s="279"/>
      <c r="Z693" s="282" t="s">
        <v>1570</v>
      </c>
      <c r="AA693" s="282">
        <v>6358209.0</v>
      </c>
      <c r="AB693" s="283">
        <v>44316.0</v>
      </c>
      <c r="AC693" s="410"/>
      <c r="AD693" s="284"/>
    </row>
    <row r="694" ht="14.25" customHeight="1">
      <c r="A694" s="265">
        <v>44306.0</v>
      </c>
      <c r="B694" s="266" t="s">
        <v>1570</v>
      </c>
      <c r="C694" s="266"/>
      <c r="D694" s="266" t="s">
        <v>1450</v>
      </c>
      <c r="E694" s="268"/>
      <c r="F694" s="367" t="s">
        <v>3859</v>
      </c>
      <c r="G694" s="268" t="s">
        <v>2085</v>
      </c>
      <c r="H694" s="339">
        <v>0.09954861111111112</v>
      </c>
      <c r="I694" s="271">
        <v>44306.0</v>
      </c>
      <c r="J694" s="268"/>
      <c r="K694" s="271"/>
      <c r="L694" s="271"/>
      <c r="M694" s="307" t="s">
        <v>2808</v>
      </c>
      <c r="N694" s="404">
        <v>44306.739583333336</v>
      </c>
      <c r="O694" s="276" t="s">
        <v>3860</v>
      </c>
      <c r="P694" s="352" t="s">
        <v>3809</v>
      </c>
      <c r="Q694" s="276" t="s">
        <v>1819</v>
      </c>
      <c r="R694" s="277">
        <v>44306.78034722222</v>
      </c>
      <c r="S694" s="278"/>
      <c r="T694" s="278" t="s">
        <v>3861</v>
      </c>
      <c r="U694" s="279"/>
      <c r="V694" s="279" t="s">
        <v>1570</v>
      </c>
      <c r="W694" s="280">
        <v>44308.0</v>
      </c>
      <c r="X694" s="281">
        <v>0.25</v>
      </c>
      <c r="Y694" s="279" t="s">
        <v>1693</v>
      </c>
      <c r="Z694" s="282" t="s">
        <v>1570</v>
      </c>
      <c r="AA694" s="282" t="s">
        <v>3859</v>
      </c>
      <c r="AB694" s="283">
        <v>44306.0</v>
      </c>
      <c r="AC694" s="410"/>
      <c r="AD694" s="284"/>
    </row>
    <row r="695" ht="14.25" customHeight="1">
      <c r="A695" s="265">
        <v>44306.0</v>
      </c>
      <c r="B695" s="266" t="s">
        <v>1783</v>
      </c>
      <c r="C695" s="266"/>
      <c r="D695" s="266" t="s">
        <v>1452</v>
      </c>
      <c r="E695" s="268"/>
      <c r="F695" s="367" t="s">
        <v>3862</v>
      </c>
      <c r="G695" s="268" t="s">
        <v>2085</v>
      </c>
      <c r="H695" s="339">
        <v>0.002534722222222222</v>
      </c>
      <c r="I695" s="271">
        <v>44306.49097222222</v>
      </c>
      <c r="J695" s="268"/>
      <c r="K695" s="271" t="s">
        <v>3863</v>
      </c>
      <c r="L695" s="271"/>
      <c r="M695" s="278"/>
      <c r="N695" s="290"/>
      <c r="O695" s="276"/>
      <c r="P695" s="276"/>
      <c r="Q695" s="276"/>
      <c r="R695" s="278"/>
      <c r="S695" s="278"/>
      <c r="T695" s="278"/>
      <c r="U695" s="279"/>
      <c r="V695" s="279" t="s">
        <v>1783</v>
      </c>
      <c r="W695" s="280">
        <v>44306.0</v>
      </c>
      <c r="X695" s="281">
        <v>0.005555555555555556</v>
      </c>
      <c r="Y695" s="279" t="s">
        <v>1693</v>
      </c>
      <c r="Z695" s="282" t="s">
        <v>1570</v>
      </c>
      <c r="AA695" s="282" t="s">
        <v>3862</v>
      </c>
      <c r="AB695" s="283">
        <v>44306.0</v>
      </c>
      <c r="AC695" s="410"/>
      <c r="AD695" s="284"/>
    </row>
    <row r="696" ht="14.25" customHeight="1">
      <c r="A696" s="265">
        <v>44306.0</v>
      </c>
      <c r="B696" s="266" t="s">
        <v>1733</v>
      </c>
      <c r="C696" s="266"/>
      <c r="D696" s="266" t="s">
        <v>1686</v>
      </c>
      <c r="E696" s="268"/>
      <c r="F696" s="367" t="s">
        <v>3864</v>
      </c>
      <c r="G696" s="268" t="s">
        <v>2085</v>
      </c>
      <c r="H696" s="339">
        <v>0.03965277777777778</v>
      </c>
      <c r="I696" s="271">
        <v>44306.748611111114</v>
      </c>
      <c r="J696" s="268"/>
      <c r="K696" s="271"/>
      <c r="L696" s="271"/>
      <c r="M696" s="307" t="s">
        <v>3482</v>
      </c>
      <c r="N696" s="404">
        <v>44306.819444444445</v>
      </c>
      <c r="O696" s="276" t="s">
        <v>3865</v>
      </c>
      <c r="P696" s="275" t="s">
        <v>3809</v>
      </c>
      <c r="Q696" s="276" t="s">
        <v>1819</v>
      </c>
      <c r="R696" s="277">
        <v>44306.91030092593</v>
      </c>
      <c r="S696" s="278"/>
      <c r="T696" s="278" t="s">
        <v>3866</v>
      </c>
      <c r="U696" s="279"/>
      <c r="V696" s="279" t="s">
        <v>1733</v>
      </c>
      <c r="W696" s="280">
        <v>44308.0</v>
      </c>
      <c r="X696" s="281">
        <v>0.1388888888888889</v>
      </c>
      <c r="Y696" s="279" t="s">
        <v>1693</v>
      </c>
      <c r="Z696" s="282" t="s">
        <v>1570</v>
      </c>
      <c r="AA696" s="282" t="s">
        <v>3864</v>
      </c>
      <c r="AB696" s="283">
        <v>44306.0</v>
      </c>
      <c r="AC696" s="410"/>
      <c r="AD696" s="284"/>
    </row>
    <row r="697" ht="14.25" customHeight="1">
      <c r="A697" s="265">
        <v>44306.0</v>
      </c>
      <c r="B697" s="266" t="s">
        <v>1733</v>
      </c>
      <c r="C697" s="266"/>
      <c r="D697" s="265" t="s">
        <v>1455</v>
      </c>
      <c r="E697" s="268"/>
      <c r="F697" s="358" t="s">
        <v>3867</v>
      </c>
      <c r="G697" s="268" t="s">
        <v>2085</v>
      </c>
      <c r="H697" s="270">
        <v>0.02021990740740741</v>
      </c>
      <c r="I697" s="271">
        <v>44306.88958333333</v>
      </c>
      <c r="J697" s="268"/>
      <c r="K697" s="271">
        <v>44306.90899305556</v>
      </c>
      <c r="L697" s="271"/>
      <c r="M697" s="359"/>
      <c r="N697" s="290"/>
      <c r="O697" s="276"/>
      <c r="P697" s="276"/>
      <c r="Q697" s="276"/>
      <c r="R697" s="278"/>
      <c r="S697" s="278"/>
      <c r="T697" s="278"/>
      <c r="U697" s="279"/>
      <c r="V697" s="279" t="s">
        <v>1824</v>
      </c>
      <c r="W697" s="280">
        <v>44308.0</v>
      </c>
      <c r="X697" s="281">
        <v>0.11486111111111112</v>
      </c>
      <c r="Y697" s="279" t="s">
        <v>1693</v>
      </c>
      <c r="Z697" s="282" t="s">
        <v>1570</v>
      </c>
      <c r="AA697" s="282" t="s">
        <v>3867</v>
      </c>
      <c r="AB697" s="283">
        <v>44306.0</v>
      </c>
      <c r="AC697" s="410"/>
      <c r="AD697" s="284"/>
    </row>
    <row r="698" ht="14.25" customHeight="1">
      <c r="A698" s="265">
        <v>44307.0</v>
      </c>
      <c r="B698" s="266" t="s">
        <v>1500</v>
      </c>
      <c r="C698" s="266"/>
      <c r="D698" s="266" t="s">
        <v>2083</v>
      </c>
      <c r="E698" s="268"/>
      <c r="F698" s="269" t="s">
        <v>3868</v>
      </c>
      <c r="G698" s="268" t="s">
        <v>1463</v>
      </c>
      <c r="H698" s="270">
        <v>0.005983796296296296</v>
      </c>
      <c r="I698" s="271"/>
      <c r="J698" s="268"/>
      <c r="K698" s="271">
        <v>44316.61032407408</v>
      </c>
      <c r="L698" s="271"/>
      <c r="M698" s="272" t="s">
        <v>3869</v>
      </c>
      <c r="N698" s="290"/>
      <c r="O698" s="276"/>
      <c r="P698" s="276"/>
      <c r="Q698" s="276"/>
      <c r="R698" s="278"/>
      <c r="S698" s="278"/>
      <c r="T698" s="278"/>
      <c r="U698" s="279"/>
      <c r="V698" s="279" t="s">
        <v>3851</v>
      </c>
      <c r="W698" s="280"/>
      <c r="X698" s="281"/>
      <c r="Y698" s="281"/>
      <c r="Z698" s="282" t="s">
        <v>1570</v>
      </c>
      <c r="AA698" s="282">
        <v>6358210.0</v>
      </c>
      <c r="AB698" s="283">
        <v>44316.0</v>
      </c>
      <c r="AC698" s="410"/>
      <c r="AD698" s="284"/>
    </row>
    <row r="699" ht="14.25" customHeight="1">
      <c r="A699" s="265">
        <v>44307.0</v>
      </c>
      <c r="B699" s="266" t="s">
        <v>1783</v>
      </c>
      <c r="C699" s="266"/>
      <c r="D699" s="265" t="s">
        <v>1450</v>
      </c>
      <c r="E699" s="268"/>
      <c r="F699" s="358" t="s">
        <v>3870</v>
      </c>
      <c r="G699" s="268" t="s">
        <v>2085</v>
      </c>
      <c r="H699" s="270">
        <v>0.09994212962962963</v>
      </c>
      <c r="I699" s="271">
        <v>44308.35208333333</v>
      </c>
      <c r="J699" s="268"/>
      <c r="K699" s="320"/>
      <c r="L699" s="271"/>
      <c r="M699" s="414" t="s">
        <v>2808</v>
      </c>
      <c r="N699" s="351">
        <v>44308.396527777775</v>
      </c>
      <c r="O699" s="276" t="s">
        <v>3871</v>
      </c>
      <c r="P699" s="275" t="s">
        <v>3809</v>
      </c>
      <c r="Q699" s="276" t="s">
        <v>1819</v>
      </c>
      <c r="R699" s="277">
        <v>44308.44230324074</v>
      </c>
      <c r="S699" s="278"/>
      <c r="T699" s="278" t="s">
        <v>3872</v>
      </c>
      <c r="U699" s="279"/>
      <c r="V699" s="279" t="s">
        <v>1570</v>
      </c>
      <c r="W699" s="280">
        <v>44309.0</v>
      </c>
      <c r="X699" s="281">
        <v>0.25</v>
      </c>
      <c r="Y699" s="279" t="s">
        <v>1693</v>
      </c>
      <c r="Z699" s="282" t="s">
        <v>53</v>
      </c>
      <c r="AA699" s="282" t="s">
        <v>3870</v>
      </c>
      <c r="AB699" s="283">
        <v>44310.0</v>
      </c>
      <c r="AC699" s="284"/>
      <c r="AD699" s="284"/>
    </row>
    <row r="700" ht="14.25" customHeight="1">
      <c r="A700" s="265">
        <v>44307.0</v>
      </c>
      <c r="B700" s="266" t="s">
        <v>1783</v>
      </c>
      <c r="C700" s="266"/>
      <c r="D700" s="265" t="s">
        <v>1452</v>
      </c>
      <c r="E700" s="268"/>
      <c r="F700" s="358" t="s">
        <v>3873</v>
      </c>
      <c r="G700" s="268" t="s">
        <v>2085</v>
      </c>
      <c r="H700" s="270">
        <v>0.0019328703703703704</v>
      </c>
      <c r="I700" s="271">
        <v>44307.45208333333</v>
      </c>
      <c r="J700" s="268"/>
      <c r="K700" s="271" t="s">
        <v>3874</v>
      </c>
      <c r="L700" s="271"/>
      <c r="M700" s="272"/>
      <c r="N700" s="290"/>
      <c r="O700" s="276"/>
      <c r="P700" s="276"/>
      <c r="Q700" s="276"/>
      <c r="R700" s="278"/>
      <c r="S700" s="278"/>
      <c r="T700" s="278"/>
      <c r="U700" s="279"/>
      <c r="V700" s="279" t="s">
        <v>1783</v>
      </c>
      <c r="W700" s="280">
        <v>44307.0</v>
      </c>
      <c r="X700" s="281">
        <v>0.0062499999999999995</v>
      </c>
      <c r="Y700" s="279" t="s">
        <v>1693</v>
      </c>
      <c r="Z700" s="282" t="s">
        <v>53</v>
      </c>
      <c r="AA700" s="282" t="s">
        <v>3873</v>
      </c>
      <c r="AB700" s="283">
        <v>44308.0</v>
      </c>
      <c r="AC700" s="284"/>
      <c r="AD700" s="284"/>
    </row>
    <row r="701" ht="14.25" customHeight="1">
      <c r="A701" s="265">
        <v>44307.0</v>
      </c>
      <c r="B701" s="266" t="s">
        <v>1783</v>
      </c>
      <c r="C701" s="266"/>
      <c r="D701" s="265" t="s">
        <v>1686</v>
      </c>
      <c r="E701" s="268"/>
      <c r="F701" s="358" t="s">
        <v>3875</v>
      </c>
      <c r="G701" s="268" t="s">
        <v>2085</v>
      </c>
      <c r="H701" s="270">
        <v>0.03737268518518519</v>
      </c>
      <c r="I701" s="271">
        <v>44307.35555555556</v>
      </c>
      <c r="J701" s="268"/>
      <c r="K701" s="271">
        <v>44308.380949074075</v>
      </c>
      <c r="L701" s="271"/>
      <c r="M701" s="272"/>
      <c r="N701" s="290"/>
      <c r="O701" s="276"/>
      <c r="P701" s="276"/>
      <c r="Q701" s="276"/>
      <c r="R701" s="278"/>
      <c r="S701" s="278"/>
      <c r="T701" s="278"/>
      <c r="U701" s="279"/>
      <c r="V701" s="279" t="s">
        <v>1733</v>
      </c>
      <c r="W701" s="280">
        <v>44307.0</v>
      </c>
      <c r="X701" s="281">
        <v>0.125</v>
      </c>
      <c r="Y701" s="279" t="s">
        <v>1693</v>
      </c>
      <c r="Z701" s="282" t="s">
        <v>53</v>
      </c>
      <c r="AA701" s="282" t="s">
        <v>3875</v>
      </c>
      <c r="AB701" s="283">
        <v>44308.0</v>
      </c>
      <c r="AC701" s="284"/>
      <c r="AD701" s="284"/>
    </row>
    <row r="702" ht="14.25" customHeight="1">
      <c r="A702" s="265">
        <v>44307.0</v>
      </c>
      <c r="B702" s="266" t="s">
        <v>3677</v>
      </c>
      <c r="C702" s="266"/>
      <c r="D702" s="266" t="s">
        <v>1455</v>
      </c>
      <c r="E702" s="268"/>
      <c r="F702" s="358" t="s">
        <v>3876</v>
      </c>
      <c r="G702" s="268" t="s">
        <v>2085</v>
      </c>
      <c r="H702" s="270">
        <v>0.019930555555555556</v>
      </c>
      <c r="I702" s="271">
        <v>44308.356944444444</v>
      </c>
      <c r="J702" s="268"/>
      <c r="K702" s="271"/>
      <c r="L702" s="271"/>
      <c r="M702" s="307" t="s">
        <v>2808</v>
      </c>
      <c r="N702" s="351">
        <v>44308.399305555555</v>
      </c>
      <c r="O702" s="276" t="s">
        <v>3877</v>
      </c>
      <c r="P702" s="275" t="s">
        <v>3809</v>
      </c>
      <c r="Q702" s="276" t="s">
        <v>1819</v>
      </c>
      <c r="R702" s="277">
        <v>44308.40972222222</v>
      </c>
      <c r="S702" s="278"/>
      <c r="T702" s="278" t="s">
        <v>3878</v>
      </c>
      <c r="U702" s="279"/>
      <c r="V702" s="279" t="s">
        <v>1824</v>
      </c>
      <c r="W702" s="280">
        <v>44308.0</v>
      </c>
      <c r="X702" s="281">
        <v>0.09027777777777778</v>
      </c>
      <c r="Y702" s="279" t="s">
        <v>1693</v>
      </c>
      <c r="Z702" s="282" t="s">
        <v>1570</v>
      </c>
      <c r="AA702" s="282" t="s">
        <v>3876</v>
      </c>
      <c r="AB702" s="283">
        <v>44308.0</v>
      </c>
      <c r="AC702" s="284"/>
      <c r="AD702" s="284"/>
    </row>
    <row r="703" ht="14.25" customHeight="1">
      <c r="A703" s="265">
        <v>44308.0</v>
      </c>
      <c r="B703" s="266" t="s">
        <v>1824</v>
      </c>
      <c r="C703" s="266" t="s">
        <v>3472</v>
      </c>
      <c r="D703" s="265" t="s">
        <v>1455</v>
      </c>
      <c r="E703" s="268"/>
      <c r="F703" s="269" t="s">
        <v>3879</v>
      </c>
      <c r="G703" s="268" t="s">
        <v>2085</v>
      </c>
      <c r="H703" s="270">
        <v>0.0021296296296296298</v>
      </c>
      <c r="I703" s="271">
        <v>44308.68472222222</v>
      </c>
      <c r="J703" s="268"/>
      <c r="K703" s="271">
        <v>44308.68819444445</v>
      </c>
      <c r="L703" s="271"/>
      <c r="M703" s="272" t="s">
        <v>3880</v>
      </c>
      <c r="N703" s="351"/>
      <c r="O703" s="276"/>
      <c r="P703" s="275"/>
      <c r="Q703" s="276"/>
      <c r="R703" s="277"/>
      <c r="S703" s="278"/>
      <c r="T703" s="278"/>
      <c r="U703" s="279"/>
      <c r="V703" s="279" t="s">
        <v>1824</v>
      </c>
      <c r="W703" s="280">
        <v>44309.0</v>
      </c>
      <c r="X703" s="281">
        <v>0.001967592592592593</v>
      </c>
      <c r="Y703" s="279" t="s">
        <v>1693</v>
      </c>
      <c r="Z703" s="282" t="s">
        <v>53</v>
      </c>
      <c r="AA703" s="282">
        <v>6356183.0</v>
      </c>
      <c r="AB703" s="283">
        <v>44311.0</v>
      </c>
      <c r="AC703" s="284"/>
      <c r="AD703" s="284"/>
    </row>
    <row r="704" ht="14.25" customHeight="1">
      <c r="A704" s="265">
        <v>44308.0</v>
      </c>
      <c r="B704" s="266" t="s">
        <v>1500</v>
      </c>
      <c r="C704" s="266" t="s">
        <v>1455</v>
      </c>
      <c r="D704" s="266" t="s">
        <v>1543</v>
      </c>
      <c r="E704" s="268"/>
      <c r="F704" s="269" t="s">
        <v>3881</v>
      </c>
      <c r="G704" s="268" t="s">
        <v>1463</v>
      </c>
      <c r="H704" s="270">
        <v>0.0014583333333333334</v>
      </c>
      <c r="I704" s="271">
        <v>44309.427777777775</v>
      </c>
      <c r="J704" s="268"/>
      <c r="K704" s="271">
        <v>44309.855775462966</v>
      </c>
      <c r="L704" s="271"/>
      <c r="M704" s="278" t="s">
        <v>3882</v>
      </c>
      <c r="N704" s="290"/>
      <c r="O704" s="276"/>
      <c r="P704" s="276"/>
      <c r="Q704" s="276"/>
      <c r="R704" s="278"/>
      <c r="S704" s="278"/>
      <c r="T704" s="278"/>
      <c r="U704" s="279"/>
      <c r="V704" s="279" t="s">
        <v>1500</v>
      </c>
      <c r="W704" s="280">
        <v>44321.0</v>
      </c>
      <c r="X704" s="281">
        <v>0.006944444444444444</v>
      </c>
      <c r="Y704" s="279" t="s">
        <v>1693</v>
      </c>
      <c r="Z704" s="282" t="s">
        <v>1570</v>
      </c>
      <c r="AA704" s="282">
        <v>6357037.0</v>
      </c>
      <c r="AB704" s="283">
        <v>44313.0</v>
      </c>
      <c r="AC704" s="284"/>
      <c r="AD704" s="284"/>
    </row>
    <row r="705" ht="14.25" customHeight="1">
      <c r="A705" s="265">
        <v>44308.0</v>
      </c>
      <c r="B705" s="266" t="s">
        <v>1500</v>
      </c>
      <c r="C705" s="266" t="s">
        <v>1696</v>
      </c>
      <c r="D705" s="266" t="s">
        <v>1543</v>
      </c>
      <c r="E705" s="268"/>
      <c r="F705" s="269" t="s">
        <v>3883</v>
      </c>
      <c r="G705" s="268" t="s">
        <v>1463</v>
      </c>
      <c r="H705" s="270">
        <v>0.0024537037037037036</v>
      </c>
      <c r="I705" s="271">
        <v>44309.427777777775</v>
      </c>
      <c r="J705" s="268"/>
      <c r="K705" s="271">
        <v>44309.85564814815</v>
      </c>
      <c r="L705" s="271"/>
      <c r="M705" s="278" t="s">
        <v>3884</v>
      </c>
      <c r="N705" s="290"/>
      <c r="O705" s="276"/>
      <c r="P705" s="276"/>
      <c r="Q705" s="276"/>
      <c r="R705" s="278"/>
      <c r="S705" s="278"/>
      <c r="T705" s="278"/>
      <c r="U705" s="279"/>
      <c r="V705" s="279" t="s">
        <v>1500</v>
      </c>
      <c r="W705" s="280">
        <v>44321.0</v>
      </c>
      <c r="X705" s="281">
        <v>0.006944444444444444</v>
      </c>
      <c r="Y705" s="279" t="s">
        <v>1693</v>
      </c>
      <c r="Z705" s="282" t="s">
        <v>1570</v>
      </c>
      <c r="AA705" s="282">
        <v>6357038.0</v>
      </c>
      <c r="AB705" s="283">
        <v>44313.0</v>
      </c>
      <c r="AC705" s="284"/>
      <c r="AD705" s="284"/>
    </row>
    <row r="706" ht="14.25" customHeight="1">
      <c r="A706" s="265">
        <v>44308.0</v>
      </c>
      <c r="B706" s="266" t="s">
        <v>1500</v>
      </c>
      <c r="C706" s="266" t="s">
        <v>1686</v>
      </c>
      <c r="D706" s="266" t="s">
        <v>1543</v>
      </c>
      <c r="E706" s="268"/>
      <c r="F706" s="269" t="s">
        <v>3885</v>
      </c>
      <c r="G706" s="268" t="s">
        <v>1463</v>
      </c>
      <c r="H706" s="270">
        <v>0.0015624999999999999</v>
      </c>
      <c r="I706" s="271">
        <v>44309.625</v>
      </c>
      <c r="J706" s="268"/>
      <c r="K706" s="271">
        <v>44309.97</v>
      </c>
      <c r="L706" s="271"/>
      <c r="M706" s="278" t="s">
        <v>3886</v>
      </c>
      <c r="N706" s="290"/>
      <c r="O706" s="276"/>
      <c r="P706" s="276"/>
      <c r="Q706" s="276"/>
      <c r="R706" s="278"/>
      <c r="S706" s="278"/>
      <c r="T706" s="278"/>
      <c r="U706" s="279"/>
      <c r="V706" s="279" t="s">
        <v>1824</v>
      </c>
      <c r="W706" s="280">
        <v>44321.0</v>
      </c>
      <c r="X706" s="281">
        <v>0.010949074074074075</v>
      </c>
      <c r="Y706" s="279" t="s">
        <v>1693</v>
      </c>
      <c r="Z706" s="282" t="s">
        <v>1570</v>
      </c>
      <c r="AA706" s="282">
        <v>6357039.0</v>
      </c>
      <c r="AB706" s="283">
        <v>44313.0</v>
      </c>
      <c r="AC706" s="284"/>
      <c r="AD706" s="284"/>
    </row>
    <row r="707" ht="14.25" customHeight="1">
      <c r="A707" s="265">
        <v>44308.0</v>
      </c>
      <c r="B707" s="266" t="s">
        <v>1500</v>
      </c>
      <c r="C707" s="266" t="s">
        <v>1686</v>
      </c>
      <c r="D707" s="266" t="s">
        <v>1543</v>
      </c>
      <c r="E707" s="268"/>
      <c r="F707" s="269" t="s">
        <v>3887</v>
      </c>
      <c r="G707" s="268" t="s">
        <v>1463</v>
      </c>
      <c r="H707" s="270">
        <v>8.217592592592592E-4</v>
      </c>
      <c r="I707" s="271">
        <v>44309.625</v>
      </c>
      <c r="J707" s="268"/>
      <c r="K707" s="271">
        <v>44309.96853009259</v>
      </c>
      <c r="L707" s="271"/>
      <c r="M707" s="278" t="s">
        <v>3888</v>
      </c>
      <c r="N707" s="290"/>
      <c r="O707" s="276"/>
      <c r="P707" s="276"/>
      <c r="Q707" s="276"/>
      <c r="R707" s="278"/>
      <c r="S707" s="278"/>
      <c r="T707" s="278"/>
      <c r="U707" s="279"/>
      <c r="V707" s="279" t="s">
        <v>1824</v>
      </c>
      <c r="W707" s="280">
        <v>44321.0</v>
      </c>
      <c r="X707" s="281">
        <v>0.0071643518518518514</v>
      </c>
      <c r="Y707" s="279" t="s">
        <v>1693</v>
      </c>
      <c r="Z707" s="282" t="s">
        <v>1570</v>
      </c>
      <c r="AA707" s="282">
        <v>6357040.0</v>
      </c>
      <c r="AB707" s="283">
        <v>44313.0</v>
      </c>
      <c r="AC707" s="284"/>
      <c r="AD707" s="284"/>
    </row>
    <row r="708" ht="14.25" customHeight="1">
      <c r="A708" s="265">
        <v>44308.0</v>
      </c>
      <c r="B708" s="266" t="s">
        <v>1500</v>
      </c>
      <c r="C708" s="266" t="s">
        <v>1686</v>
      </c>
      <c r="D708" s="266" t="s">
        <v>1543</v>
      </c>
      <c r="E708" s="268"/>
      <c r="F708" s="269" t="s">
        <v>3889</v>
      </c>
      <c r="G708" s="268" t="s">
        <v>1463</v>
      </c>
      <c r="H708" s="270">
        <v>0.003344907407407407</v>
      </c>
      <c r="I708" s="271">
        <v>44309.625</v>
      </c>
      <c r="J708" s="268"/>
      <c r="K708" s="271">
        <v>44309.677719907406</v>
      </c>
      <c r="L708" s="271"/>
      <c r="M708" s="307" t="s">
        <v>3890</v>
      </c>
      <c r="N708" s="404">
        <v>44312.45</v>
      </c>
      <c r="O708" s="276" t="s">
        <v>3891</v>
      </c>
      <c r="P708" s="275" t="s">
        <v>3809</v>
      </c>
      <c r="Q708" s="276" t="s">
        <v>1819</v>
      </c>
      <c r="R708" s="277">
        <v>44313.51664351852</v>
      </c>
      <c r="S708" s="278"/>
      <c r="T708" s="278" t="s">
        <v>3892</v>
      </c>
      <c r="U708" s="279"/>
      <c r="V708" s="279" t="s">
        <v>1824</v>
      </c>
      <c r="W708" s="280">
        <v>44321.0</v>
      </c>
      <c r="X708" s="281">
        <v>0.00866898148148148</v>
      </c>
      <c r="Y708" s="279" t="s">
        <v>1693</v>
      </c>
      <c r="Z708" s="282" t="s">
        <v>1570</v>
      </c>
      <c r="AA708" s="282">
        <v>6357133.0</v>
      </c>
      <c r="AB708" s="283">
        <v>44314.0</v>
      </c>
      <c r="AC708" s="284"/>
      <c r="AD708" s="284"/>
    </row>
    <row r="709" ht="14.25" customHeight="1">
      <c r="A709" s="265">
        <v>44308.0</v>
      </c>
      <c r="B709" s="266" t="s">
        <v>1500</v>
      </c>
      <c r="C709" s="266" t="s">
        <v>1450</v>
      </c>
      <c r="D709" s="266" t="s">
        <v>1543</v>
      </c>
      <c r="E709" s="268"/>
      <c r="F709" s="269" t="s">
        <v>3893</v>
      </c>
      <c r="G709" s="268" t="s">
        <v>1463</v>
      </c>
      <c r="H709" s="270">
        <v>0.0026504629629629625</v>
      </c>
      <c r="I709" s="271">
        <v>44313.46875</v>
      </c>
      <c r="J709" s="268"/>
      <c r="K709" s="271">
        <v>44313.473287037035</v>
      </c>
      <c r="L709" s="271"/>
      <c r="M709" s="272" t="s">
        <v>3894</v>
      </c>
      <c r="N709" s="404"/>
      <c r="O709" s="276"/>
      <c r="P709" s="275"/>
      <c r="Q709" s="276"/>
      <c r="R709" s="278"/>
      <c r="S709" s="278"/>
      <c r="T709" s="278"/>
      <c r="U709" s="279"/>
      <c r="V709" s="279" t="s">
        <v>1824</v>
      </c>
      <c r="W709" s="280">
        <v>44321.0</v>
      </c>
      <c r="X709" s="281">
        <v>0.008472222222222221</v>
      </c>
      <c r="Y709" s="279" t="s">
        <v>1693</v>
      </c>
      <c r="Z709" s="282" t="s">
        <v>1570</v>
      </c>
      <c r="AA709" s="282">
        <v>6357134.0</v>
      </c>
      <c r="AB709" s="283">
        <v>44314.0</v>
      </c>
      <c r="AC709" s="284"/>
      <c r="AD709" s="284"/>
    </row>
    <row r="710" ht="14.25" customHeight="1">
      <c r="A710" s="265">
        <v>44308.0</v>
      </c>
      <c r="B710" s="266" t="s">
        <v>1783</v>
      </c>
      <c r="C710" s="266"/>
      <c r="D710" s="266" t="s">
        <v>1450</v>
      </c>
      <c r="E710" s="268"/>
      <c r="F710" s="269" t="s">
        <v>3895</v>
      </c>
      <c r="G710" s="268" t="s">
        <v>3742</v>
      </c>
      <c r="H710" s="270"/>
      <c r="I710" s="271"/>
      <c r="J710" s="268"/>
      <c r="K710" s="268"/>
      <c r="L710" s="271"/>
      <c r="M710" s="307"/>
      <c r="N710" s="351"/>
      <c r="O710" s="276"/>
      <c r="P710" s="275"/>
      <c r="Q710" s="276"/>
      <c r="R710" s="277"/>
      <c r="S710" s="278"/>
      <c r="T710" s="278"/>
      <c r="U710" s="279"/>
      <c r="V710" s="279" t="s">
        <v>28</v>
      </c>
      <c r="W710" s="279"/>
      <c r="X710" s="279"/>
      <c r="Y710" s="279"/>
      <c r="Z710" s="282" t="s">
        <v>28</v>
      </c>
      <c r="AA710" s="282" t="s">
        <v>28</v>
      </c>
      <c r="AB710" s="283" t="s">
        <v>28</v>
      </c>
      <c r="AC710" s="284"/>
      <c r="AD710" s="284"/>
    </row>
    <row r="711" ht="14.25" customHeight="1">
      <c r="A711" s="265">
        <v>44308.0</v>
      </c>
      <c r="B711" s="266" t="s">
        <v>1570</v>
      </c>
      <c r="C711" s="266"/>
      <c r="D711" s="266" t="s">
        <v>1450</v>
      </c>
      <c r="E711" s="268"/>
      <c r="F711" s="358" t="s">
        <v>3896</v>
      </c>
      <c r="G711" s="268" t="s">
        <v>2085</v>
      </c>
      <c r="H711" s="270">
        <v>0.1003587962962963</v>
      </c>
      <c r="I711" s="271">
        <v>44308.58194444444</v>
      </c>
      <c r="J711" s="268"/>
      <c r="K711" s="268"/>
      <c r="L711" s="271"/>
      <c r="M711" s="307" t="s">
        <v>2808</v>
      </c>
      <c r="N711" s="351">
        <v>44308.66805555556</v>
      </c>
      <c r="O711" s="276" t="s">
        <v>3897</v>
      </c>
      <c r="P711" s="275" t="s">
        <v>3809</v>
      </c>
      <c r="Q711" s="276" t="s">
        <v>1819</v>
      </c>
      <c r="R711" s="277">
        <v>44308.72015046296</v>
      </c>
      <c r="S711" s="278"/>
      <c r="T711" s="278" t="s">
        <v>3898</v>
      </c>
      <c r="U711" s="279"/>
      <c r="V711" s="279" t="s">
        <v>1783</v>
      </c>
      <c r="W711" s="415" t="s">
        <v>3899</v>
      </c>
      <c r="X711" s="281">
        <v>0.34375</v>
      </c>
      <c r="Y711" s="279" t="s">
        <v>1693</v>
      </c>
      <c r="Z711" s="282" t="s">
        <v>1570</v>
      </c>
      <c r="AA711" s="282" t="s">
        <v>3896</v>
      </c>
      <c r="AB711" s="283">
        <v>44308.0</v>
      </c>
      <c r="AC711" s="284"/>
      <c r="AD711" s="284"/>
    </row>
    <row r="712" ht="14.25" customHeight="1">
      <c r="A712" s="265">
        <v>44308.0</v>
      </c>
      <c r="B712" s="266" t="s">
        <v>1783</v>
      </c>
      <c r="C712" s="266"/>
      <c r="D712" s="266" t="s">
        <v>1452</v>
      </c>
      <c r="E712" s="268"/>
      <c r="F712" s="358" t="s">
        <v>3900</v>
      </c>
      <c r="G712" s="268" t="s">
        <v>2085</v>
      </c>
      <c r="H712" s="270">
        <v>0.0015046296296296294</v>
      </c>
      <c r="I712" s="271">
        <v>44308.44583333333</v>
      </c>
      <c r="J712" s="268"/>
      <c r="K712" s="271" t="s">
        <v>3901</v>
      </c>
      <c r="L712" s="271"/>
      <c r="M712" s="359"/>
      <c r="N712" s="290"/>
      <c r="O712" s="276"/>
      <c r="P712" s="276"/>
      <c r="Q712" s="276"/>
      <c r="R712" s="278"/>
      <c r="S712" s="278"/>
      <c r="T712" s="278"/>
      <c r="U712" s="279"/>
      <c r="V712" s="279" t="s">
        <v>1783</v>
      </c>
      <c r="W712" s="280">
        <v>44308.0</v>
      </c>
      <c r="X712" s="281">
        <v>0.0062499999999999995</v>
      </c>
      <c r="Y712" s="279" t="s">
        <v>1693</v>
      </c>
      <c r="Z712" s="282" t="s">
        <v>1570</v>
      </c>
      <c r="AA712" s="282" t="s">
        <v>3900</v>
      </c>
      <c r="AB712" s="283">
        <v>44308.0</v>
      </c>
      <c r="AC712" s="284"/>
      <c r="AD712" s="284"/>
    </row>
    <row r="713" ht="14.25" customHeight="1">
      <c r="A713" s="265">
        <v>44308.0</v>
      </c>
      <c r="B713" s="266" t="s">
        <v>1733</v>
      </c>
      <c r="C713" s="266"/>
      <c r="D713" s="265" t="s">
        <v>1686</v>
      </c>
      <c r="E713" s="268"/>
      <c r="F713" s="358" t="s">
        <v>3902</v>
      </c>
      <c r="G713" s="268" t="s">
        <v>2085</v>
      </c>
      <c r="H713" s="270">
        <v>0.0383912037037037</v>
      </c>
      <c r="I713" s="271">
        <v>44308.59166666667</v>
      </c>
      <c r="J713" s="268"/>
      <c r="K713" s="268"/>
      <c r="L713" s="271"/>
      <c r="M713" s="307" t="s">
        <v>3482</v>
      </c>
      <c r="N713" s="351">
        <v>44308.66875</v>
      </c>
      <c r="O713" s="276" t="s">
        <v>3903</v>
      </c>
      <c r="P713" s="275" t="s">
        <v>3809</v>
      </c>
      <c r="Q713" s="276" t="s">
        <v>1819</v>
      </c>
      <c r="R713" s="277">
        <v>44308.69263888889</v>
      </c>
      <c r="S713" s="278"/>
      <c r="T713" s="278" t="s">
        <v>3904</v>
      </c>
      <c r="U713" s="279"/>
      <c r="V713" s="279" t="s">
        <v>1733</v>
      </c>
      <c r="W713" s="280">
        <v>44309.0</v>
      </c>
      <c r="X713" s="281">
        <v>0.1388888888888889</v>
      </c>
      <c r="Y713" s="279" t="s">
        <v>1693</v>
      </c>
      <c r="Z713" s="282" t="s">
        <v>1570</v>
      </c>
      <c r="AA713" s="282" t="s">
        <v>3902</v>
      </c>
      <c r="AB713" s="283">
        <v>44308.0</v>
      </c>
      <c r="AC713" s="284"/>
      <c r="AD713" s="284"/>
    </row>
    <row r="714" ht="14.25" customHeight="1">
      <c r="A714" s="265">
        <v>44308.0</v>
      </c>
      <c r="B714" s="266" t="s">
        <v>3677</v>
      </c>
      <c r="C714" s="266"/>
      <c r="D714" s="266" t="s">
        <v>1455</v>
      </c>
      <c r="E714" s="268"/>
      <c r="F714" s="358" t="s">
        <v>3905</v>
      </c>
      <c r="G714" s="268" t="s">
        <v>2085</v>
      </c>
      <c r="H714" s="270">
        <v>0.020162037037037037</v>
      </c>
      <c r="I714" s="271">
        <v>44309.34930555556</v>
      </c>
      <c r="J714" s="268"/>
      <c r="K714" s="271">
        <v>44309.36436342593</v>
      </c>
      <c r="L714" s="271"/>
      <c r="M714" s="278"/>
      <c r="N714" s="290"/>
      <c r="O714" s="276"/>
      <c r="P714" s="276"/>
      <c r="Q714" s="276"/>
      <c r="R714" s="278"/>
      <c r="S714" s="278"/>
      <c r="T714" s="278"/>
      <c r="U714" s="279"/>
      <c r="V714" s="279" t="s">
        <v>1824</v>
      </c>
      <c r="W714" s="280">
        <v>44309.0</v>
      </c>
      <c r="X714" s="281">
        <v>0.09027777777777778</v>
      </c>
      <c r="Y714" s="279" t="s">
        <v>1693</v>
      </c>
      <c r="Z714" s="282" t="s">
        <v>53</v>
      </c>
      <c r="AA714" s="282" t="s">
        <v>3905</v>
      </c>
      <c r="AB714" s="283">
        <v>44310.0</v>
      </c>
      <c r="AC714" s="284"/>
      <c r="AD714" s="284"/>
    </row>
    <row r="715" ht="14.25" customHeight="1">
      <c r="A715" s="265">
        <v>44309.0</v>
      </c>
      <c r="B715" s="266" t="s">
        <v>1500</v>
      </c>
      <c r="C715" s="266" t="s">
        <v>1686</v>
      </c>
      <c r="D715" s="266" t="s">
        <v>1543</v>
      </c>
      <c r="E715" s="268"/>
      <c r="F715" s="291" t="s">
        <v>3906</v>
      </c>
      <c r="G715" s="268" t="s">
        <v>1463</v>
      </c>
      <c r="H715" s="270">
        <v>9.953703703703704E-4</v>
      </c>
      <c r="I715" s="271">
        <v>44309.625</v>
      </c>
      <c r="J715" s="268"/>
      <c r="K715" s="271">
        <v>44309.97001157407</v>
      </c>
      <c r="L715" s="271"/>
      <c r="M715" s="278" t="s">
        <v>3907</v>
      </c>
      <c r="N715" s="290"/>
      <c r="O715" s="276"/>
      <c r="P715" s="276"/>
      <c r="Q715" s="276"/>
      <c r="R715" s="278"/>
      <c r="S715" s="278"/>
      <c r="T715" s="278"/>
      <c r="U715" s="279"/>
      <c r="V715" s="279" t="s">
        <v>1824</v>
      </c>
      <c r="W715" s="280">
        <v>44321.0</v>
      </c>
      <c r="X715" s="281">
        <v>0.002372685185185185</v>
      </c>
      <c r="Y715" s="279" t="s">
        <v>1693</v>
      </c>
      <c r="Z715" s="282" t="s">
        <v>1570</v>
      </c>
      <c r="AA715" s="282">
        <v>6357041.0</v>
      </c>
      <c r="AB715" s="283">
        <v>44313.0</v>
      </c>
      <c r="AC715" s="284"/>
      <c r="AD715" s="284"/>
    </row>
    <row r="716" ht="14.25" customHeight="1">
      <c r="A716" s="265">
        <v>44309.0</v>
      </c>
      <c r="B716" s="266" t="s">
        <v>1500</v>
      </c>
      <c r="C716" s="266" t="s">
        <v>1686</v>
      </c>
      <c r="D716" s="266" t="s">
        <v>1543</v>
      </c>
      <c r="E716" s="268"/>
      <c r="F716" s="291" t="s">
        <v>3908</v>
      </c>
      <c r="G716" s="268" t="s">
        <v>1463</v>
      </c>
      <c r="H716" s="270">
        <v>0.0016435185185185183</v>
      </c>
      <c r="I716" s="271">
        <v>44309.65625</v>
      </c>
      <c r="J716" s="268"/>
      <c r="K716" s="271">
        <v>44309.992314814815</v>
      </c>
      <c r="L716" s="271"/>
      <c r="M716" s="278" t="s">
        <v>3909</v>
      </c>
      <c r="N716" s="290"/>
      <c r="O716" s="276"/>
      <c r="P716" s="276"/>
      <c r="Q716" s="276"/>
      <c r="R716" s="278"/>
      <c r="S716" s="278"/>
      <c r="T716" s="278"/>
      <c r="U716" s="279"/>
      <c r="V716" s="279" t="s">
        <v>1824</v>
      </c>
      <c r="W716" s="280">
        <v>44327.0</v>
      </c>
      <c r="X716" s="281">
        <v>0.010949074074074075</v>
      </c>
      <c r="Y716" s="279" t="s">
        <v>1693</v>
      </c>
      <c r="Z716" s="282" t="s">
        <v>1570</v>
      </c>
      <c r="AA716" s="282">
        <v>6357042.0</v>
      </c>
      <c r="AB716" s="283">
        <v>44313.0</v>
      </c>
      <c r="AC716" s="284"/>
      <c r="AD716" s="284"/>
    </row>
    <row r="717" ht="14.25" customHeight="1">
      <c r="A717" s="265">
        <v>44309.0</v>
      </c>
      <c r="B717" s="266" t="s">
        <v>1746</v>
      </c>
      <c r="C717" s="266" t="s">
        <v>2158</v>
      </c>
      <c r="D717" s="266" t="s">
        <v>1450</v>
      </c>
      <c r="E717" s="378"/>
      <c r="F717" s="278" t="s">
        <v>3910</v>
      </c>
      <c r="G717" s="268" t="s">
        <v>1463</v>
      </c>
      <c r="H717" s="270">
        <v>0.0035416666666666665</v>
      </c>
      <c r="I717" s="271">
        <v>44313.91736111111</v>
      </c>
      <c r="J717" s="278"/>
      <c r="K717" s="271">
        <v>44313.919444444444</v>
      </c>
      <c r="L717" s="278"/>
      <c r="M717" s="278" t="s">
        <v>3911</v>
      </c>
      <c r="N717" s="351">
        <v>44313.94027777778</v>
      </c>
      <c r="O717" s="278"/>
      <c r="P717" s="278"/>
      <c r="Q717" s="278"/>
      <c r="R717" s="278"/>
      <c r="S717" s="278"/>
      <c r="T717" s="278"/>
      <c r="U717" s="279"/>
      <c r="V717" s="279" t="s">
        <v>1746</v>
      </c>
      <c r="W717" s="280">
        <v>44313.0</v>
      </c>
      <c r="X717" s="279"/>
      <c r="Y717" s="279"/>
      <c r="Z717" s="283" t="s">
        <v>53</v>
      </c>
      <c r="AA717" s="282">
        <v>6357427.0</v>
      </c>
      <c r="AB717" s="283">
        <v>44315.0</v>
      </c>
      <c r="AC717" s="378"/>
      <c r="AD717" s="284"/>
    </row>
    <row r="718" ht="14.25" customHeight="1">
      <c r="A718" s="265">
        <v>44309.0</v>
      </c>
      <c r="B718" s="266" t="s">
        <v>1500</v>
      </c>
      <c r="C718" s="266" t="s">
        <v>1686</v>
      </c>
      <c r="D718" s="266" t="s">
        <v>1543</v>
      </c>
      <c r="E718" s="268"/>
      <c r="F718" s="291" t="s">
        <v>3912</v>
      </c>
      <c r="G718" s="268" t="s">
        <v>1463</v>
      </c>
      <c r="H718" s="270">
        <v>0.0022453703703703702</v>
      </c>
      <c r="I718" s="271">
        <v>44314.62847222222</v>
      </c>
      <c r="J718" s="268"/>
      <c r="K718" s="271">
        <v>44314.966898148145</v>
      </c>
      <c r="L718" s="271"/>
      <c r="M718" s="278" t="s">
        <v>3913</v>
      </c>
      <c r="N718" s="290"/>
      <c r="O718" s="276"/>
      <c r="P718" s="276"/>
      <c r="Q718" s="276"/>
      <c r="R718" s="278"/>
      <c r="S718" s="278"/>
      <c r="T718" s="278"/>
      <c r="U718" s="279"/>
      <c r="V718" s="279" t="s">
        <v>1824</v>
      </c>
      <c r="W718" s="280">
        <v>44327.0</v>
      </c>
      <c r="X718" s="281">
        <v>0.013796296296296298</v>
      </c>
      <c r="Y718" s="279" t="s">
        <v>1693</v>
      </c>
      <c r="Z718" s="282" t="s">
        <v>53</v>
      </c>
      <c r="AA718" s="282">
        <v>6357528.0</v>
      </c>
      <c r="AB718" s="283">
        <v>44315.0</v>
      </c>
      <c r="AC718" s="284"/>
      <c r="AD718" s="284"/>
    </row>
    <row r="719" ht="14.25" customHeight="1">
      <c r="A719" s="265">
        <v>44309.0</v>
      </c>
      <c r="B719" s="266" t="s">
        <v>1746</v>
      </c>
      <c r="C719" s="266" t="s">
        <v>2158</v>
      </c>
      <c r="D719" s="266" t="s">
        <v>1450</v>
      </c>
      <c r="E719" s="378"/>
      <c r="F719" s="307" t="s">
        <v>3914</v>
      </c>
      <c r="G719" s="268" t="s">
        <v>3742</v>
      </c>
      <c r="H719" s="278"/>
      <c r="I719" s="278"/>
      <c r="J719" s="278"/>
      <c r="K719" s="278"/>
      <c r="L719" s="278"/>
      <c r="M719" s="278" t="s">
        <v>3915</v>
      </c>
      <c r="N719" s="278"/>
      <c r="O719" s="278"/>
      <c r="P719" s="278"/>
      <c r="Q719" s="278"/>
      <c r="R719" s="278"/>
      <c r="S719" s="278"/>
      <c r="T719" s="278" t="s">
        <v>3915</v>
      </c>
      <c r="U719" s="279"/>
      <c r="V719" s="308" t="s">
        <v>28</v>
      </c>
      <c r="W719" s="279" t="s">
        <v>28</v>
      </c>
      <c r="X719" s="279" t="s">
        <v>28</v>
      </c>
      <c r="Y719" s="279" t="s">
        <v>28</v>
      </c>
      <c r="Z719" s="282" t="s">
        <v>28</v>
      </c>
      <c r="AA719" s="282" t="s">
        <v>28</v>
      </c>
      <c r="AB719" s="282" t="s">
        <v>28</v>
      </c>
      <c r="AC719" s="378"/>
      <c r="AD719" s="284"/>
    </row>
    <row r="720" ht="14.25" customHeight="1">
      <c r="A720" s="265">
        <v>44309.0</v>
      </c>
      <c r="B720" s="266" t="s">
        <v>1746</v>
      </c>
      <c r="C720" s="266" t="s">
        <v>2158</v>
      </c>
      <c r="D720" s="266" t="s">
        <v>1450</v>
      </c>
      <c r="E720" s="378"/>
      <c r="F720" s="307" t="s">
        <v>3916</v>
      </c>
      <c r="G720" s="268" t="s">
        <v>3742</v>
      </c>
      <c r="H720" s="278"/>
      <c r="I720" s="278"/>
      <c r="J720" s="278"/>
      <c r="K720" s="278"/>
      <c r="L720" s="278"/>
      <c r="M720" s="278" t="s">
        <v>3915</v>
      </c>
      <c r="N720" s="278"/>
      <c r="O720" s="278"/>
      <c r="P720" s="278"/>
      <c r="Q720" s="278"/>
      <c r="R720" s="278"/>
      <c r="S720" s="278"/>
      <c r="T720" s="278" t="s">
        <v>3915</v>
      </c>
      <c r="U720" s="279"/>
      <c r="V720" s="308" t="s">
        <v>28</v>
      </c>
      <c r="W720" s="279" t="s">
        <v>28</v>
      </c>
      <c r="X720" s="279" t="s">
        <v>28</v>
      </c>
      <c r="Y720" s="279" t="s">
        <v>28</v>
      </c>
      <c r="Z720" s="283" t="s">
        <v>28</v>
      </c>
      <c r="AA720" s="283" t="s">
        <v>28</v>
      </c>
      <c r="AB720" s="283" t="s">
        <v>28</v>
      </c>
      <c r="AC720" s="378"/>
      <c r="AD720" s="284"/>
    </row>
    <row r="721" ht="14.25" customHeight="1">
      <c r="A721" s="265">
        <v>44309.0</v>
      </c>
      <c r="B721" s="266" t="s">
        <v>1746</v>
      </c>
      <c r="C721" s="266" t="s">
        <v>2158</v>
      </c>
      <c r="D721" s="266" t="s">
        <v>1450</v>
      </c>
      <c r="E721" s="378"/>
      <c r="F721" s="307" t="s">
        <v>3917</v>
      </c>
      <c r="G721" s="268" t="s">
        <v>3742</v>
      </c>
      <c r="H721" s="278"/>
      <c r="I721" s="278"/>
      <c r="J721" s="278"/>
      <c r="K721" s="278"/>
      <c r="L721" s="278"/>
      <c r="M721" s="278" t="s">
        <v>3915</v>
      </c>
      <c r="N721" s="278"/>
      <c r="O721" s="278"/>
      <c r="P721" s="278"/>
      <c r="Q721" s="278"/>
      <c r="R721" s="278"/>
      <c r="S721" s="278"/>
      <c r="T721" s="278" t="s">
        <v>3915</v>
      </c>
      <c r="U721" s="279"/>
      <c r="V721" s="308" t="s">
        <v>28</v>
      </c>
      <c r="W721" s="279" t="s">
        <v>28</v>
      </c>
      <c r="X721" s="279" t="s">
        <v>28</v>
      </c>
      <c r="Y721" s="279" t="s">
        <v>28</v>
      </c>
      <c r="Z721" s="283" t="s">
        <v>28</v>
      </c>
      <c r="AA721" s="283" t="s">
        <v>28</v>
      </c>
      <c r="AB721" s="283" t="s">
        <v>28</v>
      </c>
      <c r="AC721" s="378"/>
      <c r="AD721" s="284"/>
    </row>
    <row r="722" ht="14.25" customHeight="1">
      <c r="A722" s="265">
        <v>44309.0</v>
      </c>
      <c r="B722" s="266" t="s">
        <v>1783</v>
      </c>
      <c r="C722" s="266"/>
      <c r="D722" s="266" t="s">
        <v>1452</v>
      </c>
      <c r="E722" s="268"/>
      <c r="F722" s="269" t="s">
        <v>3918</v>
      </c>
      <c r="G722" s="268"/>
      <c r="H722" s="270"/>
      <c r="I722" s="271"/>
      <c r="J722" s="268"/>
      <c r="K722" s="268"/>
      <c r="L722" s="271"/>
      <c r="M722" s="278"/>
      <c r="N722" s="290"/>
      <c r="O722" s="276"/>
      <c r="P722" s="276"/>
      <c r="Q722" s="276"/>
      <c r="R722" s="278"/>
      <c r="S722" s="278"/>
      <c r="T722" s="278"/>
      <c r="U722" s="279"/>
      <c r="V722" s="308" t="s">
        <v>28</v>
      </c>
      <c r="W722" s="279" t="s">
        <v>28</v>
      </c>
      <c r="X722" s="279" t="s">
        <v>28</v>
      </c>
      <c r="Y722" s="279" t="s">
        <v>28</v>
      </c>
      <c r="Z722" s="282" t="s">
        <v>28</v>
      </c>
      <c r="AA722" s="282" t="s">
        <v>28</v>
      </c>
      <c r="AB722" s="282" t="s">
        <v>28</v>
      </c>
      <c r="AC722" s="284"/>
      <c r="AD722" s="284"/>
    </row>
    <row r="723" ht="14.25" customHeight="1">
      <c r="A723" s="265">
        <v>44309.0</v>
      </c>
      <c r="B723" s="266" t="s">
        <v>1570</v>
      </c>
      <c r="C723" s="266"/>
      <c r="D723" s="266" t="s">
        <v>1450</v>
      </c>
      <c r="E723" s="268"/>
      <c r="F723" s="358" t="s">
        <v>3919</v>
      </c>
      <c r="G723" s="268" t="s">
        <v>2085</v>
      </c>
      <c r="H723" s="270">
        <v>0.0983101851851852</v>
      </c>
      <c r="I723" s="271">
        <v>44309.59861111111</v>
      </c>
      <c r="J723" s="268"/>
      <c r="K723" s="268"/>
      <c r="L723" s="271"/>
      <c r="M723" s="307" t="s">
        <v>2808</v>
      </c>
      <c r="N723" s="351">
        <v>44309.89513888889</v>
      </c>
      <c r="O723" s="276" t="s">
        <v>3920</v>
      </c>
      <c r="P723" s="275" t="s">
        <v>3809</v>
      </c>
      <c r="Q723" s="276" t="s">
        <v>1819</v>
      </c>
      <c r="R723" s="277">
        <v>44309.966678240744</v>
      </c>
      <c r="S723" s="278"/>
      <c r="T723" s="278" t="s">
        <v>3921</v>
      </c>
      <c r="U723" s="279"/>
      <c r="V723" s="279" t="s">
        <v>1746</v>
      </c>
      <c r="W723" s="280">
        <v>44312.0</v>
      </c>
      <c r="X723" s="281">
        <v>0.375</v>
      </c>
      <c r="Y723" s="279" t="s">
        <v>1693</v>
      </c>
      <c r="Z723" s="282" t="s">
        <v>53</v>
      </c>
      <c r="AA723" s="282" t="s">
        <v>3919</v>
      </c>
      <c r="AB723" s="283">
        <v>44310.0</v>
      </c>
      <c r="AC723" s="284"/>
      <c r="AD723" s="284"/>
    </row>
    <row r="724" ht="14.25" customHeight="1">
      <c r="A724" s="265">
        <v>44309.0</v>
      </c>
      <c r="B724" s="266" t="s">
        <v>1733</v>
      </c>
      <c r="C724" s="266"/>
      <c r="D724" s="265" t="s">
        <v>1686</v>
      </c>
      <c r="E724" s="268"/>
      <c r="F724" s="358" t="s">
        <v>3922</v>
      </c>
      <c r="G724" s="268" t="s">
        <v>2085</v>
      </c>
      <c r="H724" s="270">
        <v>0.036944444444444446</v>
      </c>
      <c r="I724" s="271">
        <v>44309.60833333333</v>
      </c>
      <c r="J724" s="268"/>
      <c r="K724" s="268"/>
      <c r="L724" s="271"/>
      <c r="M724" s="307" t="s">
        <v>2808</v>
      </c>
      <c r="N724" s="351">
        <v>44309.895833333336</v>
      </c>
      <c r="O724" s="276" t="s">
        <v>3923</v>
      </c>
      <c r="P724" s="275" t="s">
        <v>3809</v>
      </c>
      <c r="Q724" s="276" t="s">
        <v>1819</v>
      </c>
      <c r="R724" s="277">
        <v>44309.9669212963</v>
      </c>
      <c r="S724" s="278"/>
      <c r="T724" s="278" t="s">
        <v>3924</v>
      </c>
      <c r="U724" s="279"/>
      <c r="V724" s="279" t="s">
        <v>1685</v>
      </c>
      <c r="W724" s="280">
        <v>44312.0</v>
      </c>
      <c r="X724" s="281">
        <v>0.16666666666666666</v>
      </c>
      <c r="Y724" s="279" t="s">
        <v>1693</v>
      </c>
      <c r="Z724" s="282" t="s">
        <v>53</v>
      </c>
      <c r="AA724" s="282" t="s">
        <v>3922</v>
      </c>
      <c r="AB724" s="283">
        <v>44310.0</v>
      </c>
      <c r="AC724" s="284"/>
      <c r="AD724" s="284"/>
    </row>
    <row r="725" ht="14.25" customHeight="1">
      <c r="A725" s="265">
        <v>44309.0</v>
      </c>
      <c r="B725" s="266" t="s">
        <v>1746</v>
      </c>
      <c r="C725" s="266"/>
      <c r="D725" s="266" t="s">
        <v>1455</v>
      </c>
      <c r="E725" s="268"/>
      <c r="F725" s="358" t="s">
        <v>3925</v>
      </c>
      <c r="G725" s="268" t="s">
        <v>2085</v>
      </c>
      <c r="H725" s="270">
        <v>0.022673611111111113</v>
      </c>
      <c r="I725" s="271">
        <v>44310.038194444445</v>
      </c>
      <c r="J725" s="268"/>
      <c r="K725" s="271">
        <v>44310.05113425926</v>
      </c>
      <c r="L725" s="271"/>
      <c r="M725" s="278"/>
      <c r="N725" s="290"/>
      <c r="O725" s="276"/>
      <c r="P725" s="276"/>
      <c r="Q725" s="276"/>
      <c r="R725" s="278"/>
      <c r="S725" s="278"/>
      <c r="T725" s="278"/>
      <c r="U725" s="279"/>
      <c r="V725" s="279" t="s">
        <v>1824</v>
      </c>
      <c r="W725" s="280">
        <v>44312.0</v>
      </c>
      <c r="X725" s="281">
        <v>0.11780092592592593</v>
      </c>
      <c r="Y725" s="279" t="s">
        <v>1693</v>
      </c>
      <c r="Z725" s="282" t="s">
        <v>53</v>
      </c>
      <c r="AA725" s="282" t="s">
        <v>3925</v>
      </c>
      <c r="AB725" s="283">
        <v>44310.0</v>
      </c>
      <c r="AC725" s="284"/>
      <c r="AD725" s="284"/>
    </row>
    <row r="726" ht="14.25" customHeight="1">
      <c r="A726" s="265">
        <v>44310.0</v>
      </c>
      <c r="B726" s="266" t="s">
        <v>1570</v>
      </c>
      <c r="C726" s="266"/>
      <c r="D726" s="265" t="s">
        <v>1686</v>
      </c>
      <c r="E726" s="268"/>
      <c r="F726" s="358" t="s">
        <v>3926</v>
      </c>
      <c r="G726" s="268" t="s">
        <v>2085</v>
      </c>
      <c r="H726" s="270">
        <v>0.038078703703703705</v>
      </c>
      <c r="I726" s="271">
        <v>44310.90277777778</v>
      </c>
      <c r="J726" s="268"/>
      <c r="K726" s="271">
        <v>44310.92554398148</v>
      </c>
      <c r="L726" s="288" t="str">
        <f t="shared" ref="L726:L822" si="1">IFERROR(IF(OR(I726="",K726=""),"",K726-I726),"")</f>
        <v>12:32:47 AM</v>
      </c>
      <c r="M726" s="278"/>
      <c r="N726" s="290"/>
      <c r="O726" s="276"/>
      <c r="P726" s="276"/>
      <c r="Q726" s="276"/>
      <c r="R726" s="278"/>
      <c r="S726" s="278"/>
      <c r="T726" s="278"/>
      <c r="U726" s="279"/>
      <c r="V726" s="279" t="s">
        <v>1685</v>
      </c>
      <c r="W726" s="280" t="s">
        <v>3927</v>
      </c>
      <c r="X726" s="281">
        <v>0.16666666666666666</v>
      </c>
      <c r="Y726" s="279" t="s">
        <v>1693</v>
      </c>
      <c r="Z726" s="282" t="s">
        <v>53</v>
      </c>
      <c r="AA726" s="282" t="s">
        <v>3926</v>
      </c>
      <c r="AB726" s="283">
        <v>44311.0</v>
      </c>
      <c r="AC726" s="284"/>
      <c r="AD726" s="284"/>
    </row>
    <row r="727" ht="14.25" customHeight="1">
      <c r="A727" s="265">
        <v>44310.0</v>
      </c>
      <c r="B727" s="266" t="s">
        <v>1733</v>
      </c>
      <c r="C727" s="266"/>
      <c r="D727" s="266" t="s">
        <v>1455</v>
      </c>
      <c r="E727" s="268"/>
      <c r="F727" s="358" t="s">
        <v>3928</v>
      </c>
      <c r="G727" s="268" t="s">
        <v>2085</v>
      </c>
      <c r="H727" s="270">
        <v>0.01611111111111111</v>
      </c>
      <c r="I727" s="271">
        <v>44310.910416666666</v>
      </c>
      <c r="J727" s="268"/>
      <c r="K727" s="271">
        <v>44310.92613425926</v>
      </c>
      <c r="L727" s="288" t="str">
        <f t="shared" si="1"/>
        <v>12:22:38 AM</v>
      </c>
      <c r="M727" s="278"/>
      <c r="N727" s="290"/>
      <c r="O727" s="276"/>
      <c r="P727" s="276"/>
      <c r="Q727" s="276"/>
      <c r="R727" s="278"/>
      <c r="S727" s="278"/>
      <c r="T727" s="278"/>
      <c r="U727" s="279"/>
      <c r="V727" s="279" t="s">
        <v>1824</v>
      </c>
      <c r="W727" s="280">
        <v>44312.0</v>
      </c>
      <c r="X727" s="281">
        <v>0.10416666666666667</v>
      </c>
      <c r="Y727" s="279" t="s">
        <v>1693</v>
      </c>
      <c r="Z727" s="282" t="s">
        <v>53</v>
      </c>
      <c r="AA727" s="282" t="s">
        <v>3928</v>
      </c>
      <c r="AB727" s="283">
        <v>44311.0</v>
      </c>
      <c r="AC727" s="284"/>
      <c r="AD727" s="284"/>
    </row>
    <row r="728" ht="14.25" customHeight="1">
      <c r="A728" s="265">
        <v>44311.0</v>
      </c>
      <c r="B728" s="266" t="s">
        <v>1733</v>
      </c>
      <c r="C728" s="266"/>
      <c r="D728" s="266" t="s">
        <v>3509</v>
      </c>
      <c r="E728" s="268"/>
      <c r="F728" s="358">
        <v>6352684.0</v>
      </c>
      <c r="G728" s="268" t="s">
        <v>3839</v>
      </c>
      <c r="H728" s="270">
        <v>0.02988425925925926</v>
      </c>
      <c r="I728" s="271">
        <v>44312.98819444444</v>
      </c>
      <c r="J728" s="268"/>
      <c r="K728" s="271">
        <v>44312.990277777775</v>
      </c>
      <c r="L728" s="288" t="str">
        <f t="shared" si="1"/>
        <v>12:03:00 AM</v>
      </c>
      <c r="M728" s="278"/>
      <c r="N728" s="290"/>
      <c r="O728" s="276"/>
      <c r="P728" s="276"/>
      <c r="Q728" s="276"/>
      <c r="R728" s="278"/>
      <c r="S728" s="278"/>
      <c r="T728" s="278" t="s">
        <v>3929</v>
      </c>
      <c r="U728" s="279"/>
      <c r="V728" s="279"/>
      <c r="W728" s="280"/>
      <c r="X728" s="279"/>
      <c r="Y728" s="279"/>
      <c r="Z728" s="282" t="s">
        <v>3559</v>
      </c>
      <c r="AA728" s="282">
        <v>6352684.0</v>
      </c>
      <c r="AB728" s="283">
        <v>44313.0</v>
      </c>
      <c r="AC728" s="284"/>
      <c r="AD728" s="284"/>
    </row>
    <row r="729" ht="14.25" customHeight="1">
      <c r="A729" s="265">
        <v>44311.0</v>
      </c>
      <c r="B729" s="266" t="s">
        <v>1500</v>
      </c>
      <c r="C729" s="266" t="s">
        <v>1450</v>
      </c>
      <c r="D729" s="266" t="s">
        <v>1543</v>
      </c>
      <c r="E729" s="268"/>
      <c r="F729" s="269" t="s">
        <v>3930</v>
      </c>
      <c r="G729" s="268" t="s">
        <v>1463</v>
      </c>
      <c r="H729" s="270">
        <v>6.36574074074074E-4</v>
      </c>
      <c r="I729" s="271">
        <v>44313.708333333336</v>
      </c>
      <c r="J729" s="268"/>
      <c r="K729" s="271">
        <v>44313.93994212963</v>
      </c>
      <c r="L729" s="288" t="str">
        <f t="shared" si="1"/>
        <v>5:33:31 AM</v>
      </c>
      <c r="M729" s="272" t="s">
        <v>3931</v>
      </c>
      <c r="N729" s="351"/>
      <c r="O729" s="276"/>
      <c r="P729" s="275"/>
      <c r="Q729" s="276"/>
      <c r="R729" s="277"/>
      <c r="S729" s="278"/>
      <c r="T729" s="278"/>
      <c r="U729" s="279"/>
      <c r="V729" s="279" t="s">
        <v>1824</v>
      </c>
      <c r="W729" s="280">
        <v>44328.0</v>
      </c>
      <c r="X729" s="281">
        <v>0.008773148148148148</v>
      </c>
      <c r="Y729" s="279" t="s">
        <v>1693</v>
      </c>
      <c r="Z729" s="282" t="s">
        <v>53</v>
      </c>
      <c r="AA729" s="282">
        <v>6357428.0</v>
      </c>
      <c r="AB729" s="283">
        <v>44315.0</v>
      </c>
      <c r="AC729" s="284"/>
      <c r="AD729" s="284"/>
    </row>
    <row r="730" ht="14.25" customHeight="1">
      <c r="A730" s="265">
        <v>44311.0</v>
      </c>
      <c r="B730" s="266" t="s">
        <v>1500</v>
      </c>
      <c r="C730" s="266" t="s">
        <v>1686</v>
      </c>
      <c r="D730" s="266" t="s">
        <v>1543</v>
      </c>
      <c r="E730" s="268"/>
      <c r="F730" s="269" t="s">
        <v>3932</v>
      </c>
      <c r="G730" s="268" t="s">
        <v>1463</v>
      </c>
      <c r="H730" s="270">
        <v>0.003321759259259259</v>
      </c>
      <c r="I730" s="271">
        <v>44314.62847222222</v>
      </c>
      <c r="J730" s="268"/>
      <c r="K730" s="271">
        <v>44314.96908564815</v>
      </c>
      <c r="L730" s="288" t="str">
        <f t="shared" si="1"/>
        <v>8:10:29 AM</v>
      </c>
      <c r="M730" s="272" t="s">
        <v>3933</v>
      </c>
      <c r="N730" s="351"/>
      <c r="O730" s="276"/>
      <c r="P730" s="275"/>
      <c r="Q730" s="276"/>
      <c r="R730" s="277"/>
      <c r="S730" s="278"/>
      <c r="T730" s="278"/>
      <c r="U730" s="279"/>
      <c r="V730" s="279" t="s">
        <v>1824</v>
      </c>
      <c r="W730" s="280">
        <v>44328.0</v>
      </c>
      <c r="X730" s="281">
        <v>0.015949074074074074</v>
      </c>
      <c r="Y730" s="279" t="s">
        <v>1693</v>
      </c>
      <c r="Z730" s="282" t="s">
        <v>53</v>
      </c>
      <c r="AA730" s="282">
        <v>6357527.0</v>
      </c>
      <c r="AB730" s="283">
        <v>44315.0</v>
      </c>
      <c r="AC730" s="284"/>
      <c r="AD730" s="284"/>
    </row>
    <row r="731" ht="14.25" customHeight="1">
      <c r="A731" s="265">
        <v>44311.0</v>
      </c>
      <c r="B731" s="266" t="s">
        <v>1733</v>
      </c>
      <c r="C731" s="266"/>
      <c r="D731" s="266" t="s">
        <v>1457</v>
      </c>
      <c r="E731" s="268"/>
      <c r="F731" s="358" t="s">
        <v>3934</v>
      </c>
      <c r="G731" s="268" t="s">
        <v>2085</v>
      </c>
      <c r="H731" s="270">
        <v>0.017592592592592594</v>
      </c>
      <c r="I731" s="271">
        <v>44312.96326388889</v>
      </c>
      <c r="J731" s="268"/>
      <c r="K731" s="271">
        <v>44312.96326388889</v>
      </c>
      <c r="L731" s="288" t="str">
        <f t="shared" si="1"/>
        <v>12:00:00 AM</v>
      </c>
      <c r="M731" s="278"/>
      <c r="N731" s="290"/>
      <c r="O731" s="276"/>
      <c r="P731" s="276"/>
      <c r="Q731" s="276"/>
      <c r="R731" s="278"/>
      <c r="S731" s="278"/>
      <c r="T731" s="278"/>
      <c r="U731" s="279"/>
      <c r="V731" s="279" t="s">
        <v>1824</v>
      </c>
      <c r="W731" s="280">
        <v>44313.0</v>
      </c>
      <c r="X731" s="281">
        <v>0.03534722222222222</v>
      </c>
      <c r="Y731" s="279" t="s">
        <v>1693</v>
      </c>
      <c r="Z731" s="282" t="s">
        <v>1570</v>
      </c>
      <c r="AA731" s="282" t="s">
        <v>3934</v>
      </c>
      <c r="AB731" s="283">
        <v>44312.0</v>
      </c>
      <c r="AC731" s="284"/>
      <c r="AD731" s="284"/>
    </row>
    <row r="732" ht="14.25" customHeight="1">
      <c r="A732" s="265">
        <v>44311.0</v>
      </c>
      <c r="B732" s="266" t="s">
        <v>1733</v>
      </c>
      <c r="C732" s="266"/>
      <c r="D732" s="266" t="s">
        <v>2829</v>
      </c>
      <c r="E732" s="268"/>
      <c r="F732" s="358" t="s">
        <v>3935</v>
      </c>
      <c r="G732" s="268" t="s">
        <v>2085</v>
      </c>
      <c r="H732" s="270">
        <v>0.01875</v>
      </c>
      <c r="I732" s="271">
        <v>44312.96597222222</v>
      </c>
      <c r="J732" s="268"/>
      <c r="K732" s="268"/>
      <c r="L732" s="288" t="str">
        <f t="shared" si="1"/>
        <v/>
      </c>
      <c r="M732" s="307" t="s">
        <v>2808</v>
      </c>
      <c r="N732" s="351">
        <v>44312.96875</v>
      </c>
      <c r="O732" s="276" t="s">
        <v>3936</v>
      </c>
      <c r="P732" s="275" t="s">
        <v>3809</v>
      </c>
      <c r="Q732" s="276" t="s">
        <v>1819</v>
      </c>
      <c r="R732" s="277">
        <v>44312.97659722222</v>
      </c>
      <c r="S732" s="278"/>
      <c r="T732" s="278" t="s">
        <v>3937</v>
      </c>
      <c r="U732" s="279"/>
      <c r="V732" s="279"/>
      <c r="W732" s="279"/>
      <c r="X732" s="279"/>
      <c r="Y732" s="279"/>
      <c r="Z732" s="282" t="s">
        <v>1570</v>
      </c>
      <c r="AA732" s="282" t="s">
        <v>3935</v>
      </c>
      <c r="AB732" s="283">
        <v>44313.0</v>
      </c>
      <c r="AC732" s="284"/>
      <c r="AD732" s="284"/>
    </row>
    <row r="733" ht="14.25" customHeight="1">
      <c r="A733" s="265">
        <v>44312.0</v>
      </c>
      <c r="B733" s="266" t="s">
        <v>1783</v>
      </c>
      <c r="C733" s="266"/>
      <c r="D733" s="266" t="s">
        <v>1452</v>
      </c>
      <c r="E733" s="268"/>
      <c r="F733" s="269" t="s">
        <v>3918</v>
      </c>
      <c r="G733" s="268"/>
      <c r="H733" s="268"/>
      <c r="I733" s="271">
        <v>44314.62847222222</v>
      </c>
      <c r="J733" s="268"/>
      <c r="K733" s="268"/>
      <c r="L733" s="288" t="str">
        <f t="shared" si="1"/>
        <v/>
      </c>
      <c r="M733" s="278"/>
      <c r="N733" s="290"/>
      <c r="O733" s="276"/>
      <c r="P733" s="276"/>
      <c r="Q733" s="276"/>
      <c r="R733" s="278"/>
      <c r="S733" s="278"/>
      <c r="T733" s="278"/>
      <c r="U733" s="279"/>
      <c r="V733" s="279" t="s">
        <v>1685</v>
      </c>
      <c r="W733" s="280">
        <v>44313.0</v>
      </c>
      <c r="X733" s="281">
        <v>0.16666666666666666</v>
      </c>
      <c r="Y733" s="279" t="s">
        <v>1693</v>
      </c>
      <c r="Z733" s="282" t="s">
        <v>28</v>
      </c>
      <c r="AA733" s="282" t="s">
        <v>28</v>
      </c>
      <c r="AB733" s="283" t="s">
        <v>28</v>
      </c>
      <c r="AC733" s="284"/>
      <c r="AD733" s="284"/>
    </row>
    <row r="734" ht="14.25" customHeight="1">
      <c r="A734" s="265">
        <v>44312.0</v>
      </c>
      <c r="B734" s="266" t="s">
        <v>1746</v>
      </c>
      <c r="C734" s="266"/>
      <c r="D734" s="266" t="s">
        <v>1450</v>
      </c>
      <c r="E734" s="268"/>
      <c r="F734" s="358" t="s">
        <v>3938</v>
      </c>
      <c r="G734" s="268" t="s">
        <v>2085</v>
      </c>
      <c r="H734" s="270">
        <v>0.09986111111111111</v>
      </c>
      <c r="I734" s="271">
        <v>44312.83125</v>
      </c>
      <c r="J734" s="268"/>
      <c r="K734" s="268"/>
      <c r="L734" s="288" t="str">
        <f t="shared" si="1"/>
        <v/>
      </c>
      <c r="M734" s="307" t="s">
        <v>2808</v>
      </c>
      <c r="N734" s="351">
        <v>44312.941666666666</v>
      </c>
      <c r="O734" s="276" t="s">
        <v>3939</v>
      </c>
      <c r="P734" s="275" t="s">
        <v>3809</v>
      </c>
      <c r="Q734" s="276" t="s">
        <v>3940</v>
      </c>
      <c r="R734" s="277">
        <v>44312.99346064815</v>
      </c>
      <c r="S734" s="278"/>
      <c r="T734" s="278" t="s">
        <v>3941</v>
      </c>
      <c r="U734" s="279"/>
      <c r="V734" s="279" t="s">
        <v>1746</v>
      </c>
      <c r="W734" s="280">
        <v>44313.0</v>
      </c>
      <c r="X734" s="281">
        <v>0.375</v>
      </c>
      <c r="Y734" s="279" t="s">
        <v>1693</v>
      </c>
      <c r="Z734" s="282" t="s">
        <v>53</v>
      </c>
      <c r="AA734" s="282" t="s">
        <v>3938</v>
      </c>
      <c r="AB734" s="283">
        <v>44313.0</v>
      </c>
      <c r="AC734" s="284"/>
      <c r="AD734" s="284"/>
    </row>
    <row r="735" ht="14.25" customHeight="1">
      <c r="A735" s="265">
        <v>44312.0</v>
      </c>
      <c r="B735" s="266" t="s">
        <v>1685</v>
      </c>
      <c r="C735" s="266"/>
      <c r="D735" s="265" t="s">
        <v>1686</v>
      </c>
      <c r="E735" s="268"/>
      <c r="F735" s="358" t="s">
        <v>3942</v>
      </c>
      <c r="G735" s="268" t="s">
        <v>2085</v>
      </c>
      <c r="H735" s="270">
        <v>0.037395833333333336</v>
      </c>
      <c r="I735" s="271">
        <v>44312.833333333336</v>
      </c>
      <c r="J735" s="268"/>
      <c r="K735" s="271">
        <v>44312.86096064815</v>
      </c>
      <c r="L735" s="288" t="str">
        <f t="shared" si="1"/>
        <v>12:39:47 AM</v>
      </c>
      <c r="M735" s="278"/>
      <c r="N735" s="290"/>
      <c r="O735" s="276"/>
      <c r="P735" s="276"/>
      <c r="Q735" s="276"/>
      <c r="R735" s="278"/>
      <c r="S735" s="278"/>
      <c r="T735" s="278"/>
      <c r="U735" s="279"/>
      <c r="V735" s="279" t="s">
        <v>1685</v>
      </c>
      <c r="W735" s="280">
        <v>44313.0</v>
      </c>
      <c r="X735" s="281">
        <v>0.16666666666666666</v>
      </c>
      <c r="Y735" s="279" t="s">
        <v>1693</v>
      </c>
      <c r="Z735" s="282" t="s">
        <v>1570</v>
      </c>
      <c r="AA735" s="282" t="s">
        <v>3942</v>
      </c>
      <c r="AB735" s="283">
        <v>44312.0</v>
      </c>
      <c r="AC735" s="284"/>
      <c r="AD735" s="284"/>
    </row>
    <row r="736" ht="14.25" customHeight="1">
      <c r="A736" s="265">
        <v>44312.0</v>
      </c>
      <c r="B736" s="266" t="s">
        <v>3677</v>
      </c>
      <c r="C736" s="266"/>
      <c r="D736" s="266" t="s">
        <v>1455</v>
      </c>
      <c r="E736" s="268"/>
      <c r="F736" s="358" t="s">
        <v>3943</v>
      </c>
      <c r="G736" s="268" t="s">
        <v>2085</v>
      </c>
      <c r="H736" s="270">
        <v>0.02164351851851852</v>
      </c>
      <c r="I736" s="271">
        <v>44312.96875</v>
      </c>
      <c r="J736" s="268"/>
      <c r="K736" s="271">
        <v>44312.98685185185</v>
      </c>
      <c r="L736" s="288" t="str">
        <f t="shared" si="1"/>
        <v>12:26:04 AM</v>
      </c>
      <c r="M736" s="278"/>
      <c r="N736" s="290"/>
      <c r="O736" s="276"/>
      <c r="P736" s="276"/>
      <c r="Q736" s="276"/>
      <c r="R736" s="278"/>
      <c r="S736" s="278"/>
      <c r="T736" s="278"/>
      <c r="U736" s="279"/>
      <c r="V736" s="279" t="s">
        <v>1824</v>
      </c>
      <c r="W736" s="280">
        <v>44313.0</v>
      </c>
      <c r="X736" s="281">
        <v>0.0994675925925926</v>
      </c>
      <c r="Y736" s="279" t="s">
        <v>1693</v>
      </c>
      <c r="Z736" s="282" t="s">
        <v>53</v>
      </c>
      <c r="AA736" s="282" t="s">
        <v>3943</v>
      </c>
      <c r="AB736" s="283">
        <v>44313.0</v>
      </c>
      <c r="AC736" s="284"/>
      <c r="AD736" s="284"/>
    </row>
    <row r="737" ht="14.25" customHeight="1">
      <c r="A737" s="265">
        <v>44313.0</v>
      </c>
      <c r="B737" s="266" t="s">
        <v>1500</v>
      </c>
      <c r="C737" s="266" t="s">
        <v>2083</v>
      </c>
      <c r="D737" s="266" t="s">
        <v>1543</v>
      </c>
      <c r="E737" s="268"/>
      <c r="F737" s="269" t="s">
        <v>3944</v>
      </c>
      <c r="G737" s="268" t="s">
        <v>1463</v>
      </c>
      <c r="H737" s="270">
        <v>0.0022685185185185182</v>
      </c>
      <c r="I737" s="271">
        <v>44314.541666666664</v>
      </c>
      <c r="J737" s="268"/>
      <c r="K737" s="271">
        <v>44314.55167824074</v>
      </c>
      <c r="L737" s="288" t="str">
        <f t="shared" si="1"/>
        <v>12:14:25 AM</v>
      </c>
      <c r="M737" s="278" t="s">
        <v>3945</v>
      </c>
      <c r="N737" s="290"/>
      <c r="O737" s="276"/>
      <c r="P737" s="276"/>
      <c r="Q737" s="276"/>
      <c r="R737" s="278"/>
      <c r="S737" s="278"/>
      <c r="T737" s="278"/>
      <c r="U737" s="279"/>
      <c r="V737" s="279" t="s">
        <v>1824</v>
      </c>
      <c r="W737" s="280">
        <v>44328.0</v>
      </c>
      <c r="X737" s="281">
        <v>0.008726851851851852</v>
      </c>
      <c r="Y737" s="279" t="s">
        <v>1693</v>
      </c>
      <c r="Z737" s="282" t="s">
        <v>53</v>
      </c>
      <c r="AA737" s="282">
        <v>6357429.0</v>
      </c>
      <c r="AB737" s="283">
        <v>44315.0</v>
      </c>
      <c r="AC737" s="284"/>
      <c r="AD737" s="284"/>
    </row>
    <row r="738" ht="14.25" customHeight="1">
      <c r="A738" s="265">
        <v>44313.0</v>
      </c>
      <c r="B738" s="266" t="s">
        <v>1500</v>
      </c>
      <c r="C738" s="266" t="s">
        <v>1450</v>
      </c>
      <c r="D738" s="266" t="s">
        <v>1543</v>
      </c>
      <c r="E738" s="268"/>
      <c r="F738" s="269" t="s">
        <v>3946</v>
      </c>
      <c r="G738" s="268" t="s">
        <v>1463</v>
      </c>
      <c r="H738" s="270">
        <v>0.0018518518518518517</v>
      </c>
      <c r="I738" s="271">
        <v>44313.708333333336</v>
      </c>
      <c r="J738" s="268"/>
      <c r="K738" s="271">
        <v>44314.55094907407</v>
      </c>
      <c r="L738" s="288" t="str">
        <f t="shared" si="1"/>
        <v>8:13:22 PM</v>
      </c>
      <c r="M738" s="278" t="s">
        <v>3947</v>
      </c>
      <c r="N738" s="290"/>
      <c r="O738" s="276"/>
      <c r="P738" s="276"/>
      <c r="Q738" s="276"/>
      <c r="R738" s="278"/>
      <c r="S738" s="278"/>
      <c r="T738" s="278"/>
      <c r="U738" s="279"/>
      <c r="V738" s="279" t="s">
        <v>1824</v>
      </c>
      <c r="W738" s="280">
        <v>44328.0</v>
      </c>
      <c r="X738" s="281">
        <v>0.0050347222222222225</v>
      </c>
      <c r="Y738" s="279" t="s">
        <v>1693</v>
      </c>
      <c r="Z738" s="282" t="s">
        <v>53</v>
      </c>
      <c r="AA738" s="282">
        <v>6357430.0</v>
      </c>
      <c r="AB738" s="283">
        <v>44315.0</v>
      </c>
      <c r="AC738" s="284"/>
      <c r="AD738" s="284"/>
    </row>
    <row r="739" ht="14.25" customHeight="1">
      <c r="A739" s="265">
        <v>44313.0</v>
      </c>
      <c r="B739" s="266" t="s">
        <v>1500</v>
      </c>
      <c r="C739" s="266" t="s">
        <v>1686</v>
      </c>
      <c r="D739" s="266" t="s">
        <v>1543</v>
      </c>
      <c r="E739" s="268"/>
      <c r="F739" s="269" t="s">
        <v>3948</v>
      </c>
      <c r="G739" s="268" t="s">
        <v>1463</v>
      </c>
      <c r="H739" s="270">
        <v>0.0022106481481481478</v>
      </c>
      <c r="I739" s="271">
        <v>44314.62847222222</v>
      </c>
      <c r="J739" s="268"/>
      <c r="K739" s="271">
        <v>44314.9675462963</v>
      </c>
      <c r="L739" s="288" t="str">
        <f t="shared" si="1"/>
        <v>8:08:16 AM</v>
      </c>
      <c r="M739" s="278" t="s">
        <v>3949</v>
      </c>
      <c r="N739" s="290"/>
      <c r="O739" s="276"/>
      <c r="P739" s="276"/>
      <c r="Q739" s="276"/>
      <c r="R739" s="278"/>
      <c r="S739" s="278"/>
      <c r="T739" s="278"/>
      <c r="U739" s="279"/>
      <c r="V739" s="279" t="s">
        <v>3950</v>
      </c>
      <c r="W739" s="280">
        <v>44328.0</v>
      </c>
      <c r="X739" s="281">
        <v>0.01258101851851852</v>
      </c>
      <c r="Y739" s="279" t="s">
        <v>1693</v>
      </c>
      <c r="Z739" s="282" t="s">
        <v>53</v>
      </c>
      <c r="AA739" s="282">
        <v>6357525.0</v>
      </c>
      <c r="AB739" s="283">
        <v>44315.0</v>
      </c>
      <c r="AC739" s="284"/>
      <c r="AD739" s="284"/>
    </row>
    <row r="740" ht="14.25" customHeight="1">
      <c r="A740" s="265">
        <v>44313.0</v>
      </c>
      <c r="B740" s="266" t="s">
        <v>1500</v>
      </c>
      <c r="C740" s="266" t="s">
        <v>1686</v>
      </c>
      <c r="D740" s="266" t="s">
        <v>1543</v>
      </c>
      <c r="E740" s="268"/>
      <c r="F740" s="269" t="s">
        <v>3951</v>
      </c>
      <c r="G740" s="268" t="s">
        <v>1463</v>
      </c>
      <c r="H740" s="270">
        <v>0.0027083333333333334</v>
      </c>
      <c r="I740" s="271">
        <v>44314.62847222222</v>
      </c>
      <c r="J740" s="268"/>
      <c r="K740" s="271">
        <v>44315.447916666664</v>
      </c>
      <c r="L740" s="288" t="str">
        <f t="shared" si="1"/>
        <v>7:40:00 PM</v>
      </c>
      <c r="M740" s="278" t="s">
        <v>3952</v>
      </c>
      <c r="N740" s="290"/>
      <c r="O740" s="276"/>
      <c r="P740" s="276"/>
      <c r="Q740" s="276"/>
      <c r="R740" s="278"/>
      <c r="S740" s="278"/>
      <c r="T740" s="278"/>
      <c r="U740" s="279"/>
      <c r="V740" s="279" t="s">
        <v>1824</v>
      </c>
      <c r="W740" s="280">
        <v>44328.0</v>
      </c>
      <c r="X740" s="281">
        <v>0.01064814814814815</v>
      </c>
      <c r="Y740" s="279" t="s">
        <v>1693</v>
      </c>
      <c r="Z740" s="282" t="s">
        <v>53</v>
      </c>
      <c r="AA740" s="282">
        <v>6357526.0</v>
      </c>
      <c r="AB740" s="283">
        <v>44315.0</v>
      </c>
      <c r="AC740" s="284"/>
      <c r="AD740" s="284"/>
    </row>
    <row r="741" ht="14.25" customHeight="1">
      <c r="A741" s="265">
        <v>44313.0</v>
      </c>
      <c r="B741" s="266" t="s">
        <v>1746</v>
      </c>
      <c r="C741" s="266" t="s">
        <v>2158</v>
      </c>
      <c r="D741" s="266" t="s">
        <v>1450</v>
      </c>
      <c r="E741" s="378"/>
      <c r="F741" s="291" t="s">
        <v>3953</v>
      </c>
      <c r="G741" s="268" t="s">
        <v>1463</v>
      </c>
      <c r="H741" s="270">
        <v>0.0018981481481481482</v>
      </c>
      <c r="I741" s="271">
        <v>44316.75069444445</v>
      </c>
      <c r="J741" s="268"/>
      <c r="K741" s="271">
        <v>44316.756944444445</v>
      </c>
      <c r="L741" s="288" t="str">
        <f t="shared" si="1"/>
        <v>12:09:00 AM</v>
      </c>
      <c r="M741" s="278" t="s">
        <v>3954</v>
      </c>
      <c r="N741" s="290"/>
      <c r="O741" s="276"/>
      <c r="P741" s="276"/>
      <c r="Q741" s="276"/>
      <c r="R741" s="278"/>
      <c r="S741" s="278"/>
      <c r="T741" s="278"/>
      <c r="U741" s="279"/>
      <c r="V741" s="279" t="s">
        <v>1746</v>
      </c>
      <c r="W741" s="280">
        <v>44316.0</v>
      </c>
      <c r="X741" s="279"/>
      <c r="Y741" s="279"/>
      <c r="Z741" s="282" t="s">
        <v>53</v>
      </c>
      <c r="AA741" s="282">
        <v>6358570.0</v>
      </c>
      <c r="AB741" s="283">
        <v>44319.0</v>
      </c>
      <c r="AC741" s="284"/>
      <c r="AD741" s="284"/>
    </row>
    <row r="742" ht="14.25" customHeight="1">
      <c r="A742" s="265">
        <v>44313.0</v>
      </c>
      <c r="B742" s="266" t="s">
        <v>3677</v>
      </c>
      <c r="C742" s="266"/>
      <c r="D742" s="266" t="s">
        <v>1450</v>
      </c>
      <c r="E742" s="268"/>
      <c r="F742" s="358" t="s">
        <v>3955</v>
      </c>
      <c r="G742" s="268" t="s">
        <v>2085</v>
      </c>
      <c r="H742" s="270">
        <v>0.09931712962962963</v>
      </c>
      <c r="I742" s="271">
        <v>44313.85972222222</v>
      </c>
      <c r="J742" s="268"/>
      <c r="K742" s="268"/>
      <c r="L742" s="288" t="str">
        <f t="shared" si="1"/>
        <v/>
      </c>
      <c r="M742" s="307" t="s">
        <v>2808</v>
      </c>
      <c r="N742" s="351">
        <v>44313.899305555555</v>
      </c>
      <c r="O742" s="276" t="s">
        <v>3956</v>
      </c>
      <c r="P742" s="275" t="s">
        <v>3809</v>
      </c>
      <c r="Q742" s="276" t="s">
        <v>1819</v>
      </c>
      <c r="R742" s="277">
        <v>44313.95023148148</v>
      </c>
      <c r="S742" s="278"/>
      <c r="T742" s="278" t="s">
        <v>3957</v>
      </c>
      <c r="U742" s="279"/>
      <c r="V742" s="279" t="s">
        <v>1746</v>
      </c>
      <c r="W742" s="280">
        <v>44314.0</v>
      </c>
      <c r="X742" s="281">
        <v>0.375</v>
      </c>
      <c r="Y742" s="279" t="s">
        <v>1693</v>
      </c>
      <c r="Z742" s="282" t="s">
        <v>1570</v>
      </c>
      <c r="AA742" s="282" t="s">
        <v>3955</v>
      </c>
      <c r="AB742" s="283">
        <v>44314.0</v>
      </c>
      <c r="AC742" s="284"/>
      <c r="AD742" s="284"/>
    </row>
    <row r="743" ht="14.25" customHeight="1">
      <c r="A743" s="265">
        <v>44313.0</v>
      </c>
      <c r="B743" s="266" t="s">
        <v>1783</v>
      </c>
      <c r="C743" s="266"/>
      <c r="D743" s="266" t="s">
        <v>1452</v>
      </c>
      <c r="E743" s="268"/>
      <c r="F743" s="358" t="s">
        <v>3958</v>
      </c>
      <c r="G743" s="268" t="s">
        <v>2085</v>
      </c>
      <c r="H743" s="270">
        <v>0.0031249999999999997</v>
      </c>
      <c r="I743" s="271">
        <v>44313.475694444445</v>
      </c>
      <c r="J743" s="268"/>
      <c r="K743" s="271">
        <v>44313.48122685185</v>
      </c>
      <c r="L743" s="288" t="str">
        <f t="shared" si="1"/>
        <v>12:07:58 AM</v>
      </c>
      <c r="M743" s="278"/>
      <c r="N743" s="290"/>
      <c r="O743" s="276"/>
      <c r="P743" s="276"/>
      <c r="Q743" s="276"/>
      <c r="R743" s="278"/>
      <c r="S743" s="278"/>
      <c r="T743" s="278"/>
      <c r="U743" s="279"/>
      <c r="V743" s="279" t="s">
        <v>1783</v>
      </c>
      <c r="W743" s="280">
        <v>44313.0</v>
      </c>
      <c r="X743" s="281">
        <v>0.006944444444444444</v>
      </c>
      <c r="Y743" s="279" t="s">
        <v>1693</v>
      </c>
      <c r="Z743" s="282" t="s">
        <v>1570</v>
      </c>
      <c r="AA743" s="282" t="s">
        <v>3958</v>
      </c>
      <c r="AB743" s="283">
        <v>44313.0</v>
      </c>
      <c r="AC743" s="284"/>
      <c r="AD743" s="284"/>
    </row>
    <row r="744" ht="14.25" customHeight="1">
      <c r="A744" s="265">
        <v>44313.0</v>
      </c>
      <c r="B744" s="266" t="s">
        <v>1685</v>
      </c>
      <c r="C744" s="266"/>
      <c r="D744" s="265" t="s">
        <v>1686</v>
      </c>
      <c r="E744" s="268"/>
      <c r="F744" s="358" t="s">
        <v>3959</v>
      </c>
      <c r="G744" s="268" t="s">
        <v>2085</v>
      </c>
      <c r="H744" s="270">
        <v>0.0362037037037037</v>
      </c>
      <c r="I744" s="271">
        <v>44313.86111111111</v>
      </c>
      <c r="J744" s="268"/>
      <c r="K744" s="271">
        <v>44313.89166666667</v>
      </c>
      <c r="L744" s="288" t="str">
        <f t="shared" si="1"/>
        <v>12:44:00 AM</v>
      </c>
      <c r="M744" s="278"/>
      <c r="N744" s="290"/>
      <c r="O744" s="276"/>
      <c r="P744" s="276"/>
      <c r="Q744" s="276"/>
      <c r="R744" s="278"/>
      <c r="S744" s="278"/>
      <c r="T744" s="278"/>
      <c r="U744" s="279"/>
      <c r="V744" s="279" t="s">
        <v>1685</v>
      </c>
      <c r="W744" s="280">
        <v>44314.0</v>
      </c>
      <c r="X744" s="281">
        <v>0.16666666666666666</v>
      </c>
      <c r="Y744" s="279"/>
      <c r="Z744" s="282" t="s">
        <v>1570</v>
      </c>
      <c r="AA744" s="282" t="s">
        <v>3959</v>
      </c>
      <c r="AB744" s="283">
        <v>44313.0</v>
      </c>
      <c r="AC744" s="284"/>
      <c r="AD744" s="284"/>
    </row>
    <row r="745" ht="14.25" customHeight="1">
      <c r="A745" s="265">
        <v>44313.0</v>
      </c>
      <c r="B745" s="266" t="s">
        <v>3677</v>
      </c>
      <c r="C745" s="266"/>
      <c r="D745" s="266" t="s">
        <v>1455</v>
      </c>
      <c r="E745" s="268"/>
      <c r="F745" s="358" t="s">
        <v>3960</v>
      </c>
      <c r="G745" s="268" t="s">
        <v>2085</v>
      </c>
      <c r="H745" s="270">
        <v>0.02056712962962963</v>
      </c>
      <c r="I745" s="271">
        <v>44313.90347222222</v>
      </c>
      <c r="J745" s="268"/>
      <c r="K745" s="271">
        <v>44313.91563657407</v>
      </c>
      <c r="L745" s="288" t="str">
        <f t="shared" si="1"/>
        <v>12:17:31 AM</v>
      </c>
      <c r="M745" s="278"/>
      <c r="N745" s="290"/>
      <c r="O745" s="276"/>
      <c r="P745" s="276"/>
      <c r="Q745" s="276"/>
      <c r="R745" s="278"/>
      <c r="S745" s="278"/>
      <c r="T745" s="278"/>
      <c r="U745" s="279"/>
      <c r="V745" s="279" t="s">
        <v>1824</v>
      </c>
      <c r="W745" s="280">
        <v>44314.0</v>
      </c>
      <c r="X745" s="281">
        <v>0.10416666666666667</v>
      </c>
      <c r="Y745" s="279" t="s">
        <v>1693</v>
      </c>
      <c r="Z745" s="282" t="s">
        <v>1570</v>
      </c>
      <c r="AA745" s="282" t="s">
        <v>3960</v>
      </c>
      <c r="AB745" s="283">
        <v>44313.0</v>
      </c>
      <c r="AC745" s="284"/>
      <c r="AD745" s="284"/>
    </row>
    <row r="746" ht="14.25" customHeight="1">
      <c r="A746" s="265">
        <v>44314.0</v>
      </c>
      <c r="B746" s="266" t="s">
        <v>3677</v>
      </c>
      <c r="C746" s="266"/>
      <c r="D746" s="266" t="s">
        <v>1450</v>
      </c>
      <c r="E746" s="268"/>
      <c r="F746" s="358" t="s">
        <v>3961</v>
      </c>
      <c r="G746" s="268" t="s">
        <v>2085</v>
      </c>
      <c r="H746" s="270">
        <v>0.09947916666666667</v>
      </c>
      <c r="I746" s="271">
        <v>44314.73263888889</v>
      </c>
      <c r="J746" s="268"/>
      <c r="K746" s="268"/>
      <c r="L746" s="288" t="str">
        <f t="shared" si="1"/>
        <v/>
      </c>
      <c r="M746" s="307" t="s">
        <v>2808</v>
      </c>
      <c r="N746" s="404">
        <v>44314.79861111111</v>
      </c>
      <c r="O746" s="276" t="s">
        <v>3962</v>
      </c>
      <c r="P746" s="275" t="s">
        <v>3809</v>
      </c>
      <c r="Q746" s="276" t="s">
        <v>1819</v>
      </c>
      <c r="R746" s="277">
        <v>44314.86167824074</v>
      </c>
      <c r="S746" s="278"/>
      <c r="T746" s="278" t="s">
        <v>3963</v>
      </c>
      <c r="U746" s="279"/>
      <c r="V746" s="279" t="s">
        <v>1685</v>
      </c>
      <c r="W746" s="280">
        <v>44320.0</v>
      </c>
      <c r="X746" s="281"/>
      <c r="Y746" s="279" t="s">
        <v>1693</v>
      </c>
      <c r="Z746" s="282" t="s">
        <v>1570</v>
      </c>
      <c r="AA746" s="282" t="s">
        <v>3961</v>
      </c>
      <c r="AB746" s="283">
        <v>44314.0</v>
      </c>
      <c r="AC746" s="284"/>
      <c r="AD746" s="284"/>
    </row>
    <row r="747" ht="14.25" customHeight="1">
      <c r="A747" s="265">
        <v>44314.0</v>
      </c>
      <c r="B747" s="266" t="s">
        <v>1783</v>
      </c>
      <c r="C747" s="266"/>
      <c r="D747" s="266" t="s">
        <v>1452</v>
      </c>
      <c r="E747" s="268"/>
      <c r="F747" s="358" t="s">
        <v>3964</v>
      </c>
      <c r="G747" s="268" t="s">
        <v>2085</v>
      </c>
      <c r="H747" s="270">
        <v>8.912037037037036E-4</v>
      </c>
      <c r="I747" s="271">
        <v>44314.47083333333</v>
      </c>
      <c r="J747" s="268"/>
      <c r="K747" s="271">
        <v>44314.47298611111</v>
      </c>
      <c r="L747" s="288" t="str">
        <f t="shared" si="1"/>
        <v>12:03:06 AM</v>
      </c>
      <c r="M747" s="278"/>
      <c r="N747" s="290"/>
      <c r="O747" s="276"/>
      <c r="P747" s="276"/>
      <c r="Q747" s="276"/>
      <c r="R747" s="278"/>
      <c r="S747" s="278"/>
      <c r="T747" s="278"/>
      <c r="U747" s="279"/>
      <c r="V747" s="279" t="s">
        <v>1783</v>
      </c>
      <c r="W747" s="280">
        <v>44314.0</v>
      </c>
      <c r="X747" s="281">
        <v>0.002777777777777778</v>
      </c>
      <c r="Y747" s="279" t="s">
        <v>1693</v>
      </c>
      <c r="Z747" s="282" t="s">
        <v>1570</v>
      </c>
      <c r="AA747" s="282" t="s">
        <v>3964</v>
      </c>
      <c r="AB747" s="283">
        <v>44314.0</v>
      </c>
      <c r="AC747" s="284"/>
      <c r="AD747" s="284"/>
    </row>
    <row r="748" ht="14.25" customHeight="1">
      <c r="A748" s="265">
        <v>44314.0</v>
      </c>
      <c r="B748" s="266" t="s">
        <v>1685</v>
      </c>
      <c r="C748" s="266"/>
      <c r="D748" s="265" t="s">
        <v>1686</v>
      </c>
      <c r="E748" s="268"/>
      <c r="F748" s="358" t="s">
        <v>3965</v>
      </c>
      <c r="G748" s="268" t="s">
        <v>2085</v>
      </c>
      <c r="H748" s="270">
        <v>0.037800925925925925</v>
      </c>
      <c r="I748" s="271">
        <v>44314.80416666667</v>
      </c>
      <c r="J748" s="268"/>
      <c r="K748" s="271">
        <v>44314.837789351855</v>
      </c>
      <c r="L748" s="288" t="str">
        <f t="shared" si="1"/>
        <v>12:48:25 AM</v>
      </c>
      <c r="M748" s="278"/>
      <c r="N748" s="290"/>
      <c r="O748" s="276"/>
      <c r="P748" s="276"/>
      <c r="Q748" s="276"/>
      <c r="R748" s="278"/>
      <c r="S748" s="278"/>
      <c r="T748" s="278"/>
      <c r="U748" s="279"/>
      <c r="V748" s="279" t="s">
        <v>1685</v>
      </c>
      <c r="W748" s="280">
        <v>44315.0</v>
      </c>
      <c r="X748" s="279"/>
      <c r="Y748" s="279" t="s">
        <v>1693</v>
      </c>
      <c r="Z748" s="282" t="s">
        <v>1570</v>
      </c>
      <c r="AA748" s="282" t="s">
        <v>3965</v>
      </c>
      <c r="AB748" s="283">
        <v>44314.0</v>
      </c>
      <c r="AC748" s="284"/>
      <c r="AD748" s="284"/>
    </row>
    <row r="749" ht="14.25" customHeight="1">
      <c r="A749" s="265">
        <v>44314.0</v>
      </c>
      <c r="B749" s="266" t="s">
        <v>3677</v>
      </c>
      <c r="C749" s="266"/>
      <c r="D749" s="266" t="s">
        <v>1455</v>
      </c>
      <c r="E749" s="268"/>
      <c r="F749" s="358" t="s">
        <v>3966</v>
      </c>
      <c r="G749" s="268" t="s">
        <v>2085</v>
      </c>
      <c r="H749" s="270">
        <v>0.019837962962962963</v>
      </c>
      <c r="I749" s="271">
        <v>44315.01527777778</v>
      </c>
      <c r="J749" s="268"/>
      <c r="K749" s="271">
        <v>44315.036840277775</v>
      </c>
      <c r="L749" s="288" t="str">
        <f t="shared" si="1"/>
        <v>12:31:03 AM</v>
      </c>
      <c r="M749" s="278"/>
      <c r="N749" s="290"/>
      <c r="O749" s="276"/>
      <c r="P749" s="276"/>
      <c r="Q749" s="276"/>
      <c r="R749" s="278"/>
      <c r="S749" s="278"/>
      <c r="T749" s="278"/>
      <c r="U749" s="279"/>
      <c r="V749" s="279" t="s">
        <v>1824</v>
      </c>
      <c r="W749" s="280">
        <v>44316.0</v>
      </c>
      <c r="X749" s="281">
        <v>0.10416666666666667</v>
      </c>
      <c r="Y749" s="279" t="s">
        <v>1693</v>
      </c>
      <c r="Z749" s="282" t="s">
        <v>53</v>
      </c>
      <c r="AA749" s="282" t="s">
        <v>3966</v>
      </c>
      <c r="AB749" s="283">
        <v>44315.0</v>
      </c>
      <c r="AC749" s="284"/>
      <c r="AD749" s="284"/>
    </row>
    <row r="750" ht="14.25" customHeight="1">
      <c r="A750" s="265">
        <v>44315.0</v>
      </c>
      <c r="B750" s="266" t="s">
        <v>1500</v>
      </c>
      <c r="C750" s="266" t="s">
        <v>1534</v>
      </c>
      <c r="D750" s="266" t="s">
        <v>1502</v>
      </c>
      <c r="E750" s="268"/>
      <c r="F750" s="269" t="s">
        <v>1535</v>
      </c>
      <c r="G750" s="268" t="s">
        <v>1463</v>
      </c>
      <c r="H750" s="270">
        <v>0.03386574074074074</v>
      </c>
      <c r="I750" s="271">
        <v>44314.729166666664</v>
      </c>
      <c r="J750" s="268"/>
      <c r="K750" s="271">
        <v>44316.88125</v>
      </c>
      <c r="L750" s="288" t="str">
        <f t="shared" si="1"/>
        <v>3:39:00 AM</v>
      </c>
      <c r="M750" s="272" t="s">
        <v>1536</v>
      </c>
      <c r="N750" s="273"/>
      <c r="O750" s="274"/>
      <c r="P750" s="275"/>
      <c r="Q750" s="276"/>
      <c r="R750" s="277"/>
      <c r="S750" s="278"/>
      <c r="T750" s="278"/>
      <c r="U750" s="279"/>
      <c r="V750" s="279"/>
      <c r="W750" s="280"/>
      <c r="X750" s="281"/>
      <c r="Y750" s="279"/>
      <c r="Z750" s="282" t="s">
        <v>1505</v>
      </c>
      <c r="AA750" s="282">
        <v>6358195.0</v>
      </c>
      <c r="AB750" s="283">
        <v>44316.0</v>
      </c>
      <c r="AC750" s="416"/>
      <c r="AD750" s="284"/>
    </row>
    <row r="751" ht="14.25" customHeight="1">
      <c r="A751" s="265">
        <v>44315.0</v>
      </c>
      <c r="B751" s="266" t="s">
        <v>1500</v>
      </c>
      <c r="C751" s="266" t="s">
        <v>1534</v>
      </c>
      <c r="D751" s="266" t="s">
        <v>1502</v>
      </c>
      <c r="E751" s="268"/>
      <c r="F751" s="269" t="s">
        <v>1506</v>
      </c>
      <c r="G751" s="268" t="s">
        <v>1463</v>
      </c>
      <c r="H751" s="270">
        <v>0.04090277777777778</v>
      </c>
      <c r="I751" s="271">
        <v>44314.729166666664</v>
      </c>
      <c r="J751" s="268"/>
      <c r="K751" s="271">
        <v>44316.88125</v>
      </c>
      <c r="L751" s="288" t="str">
        <f t="shared" si="1"/>
        <v>3:39:00 AM</v>
      </c>
      <c r="M751" s="272" t="s">
        <v>1537</v>
      </c>
      <c r="N751" s="273"/>
      <c r="O751" s="274"/>
      <c r="P751" s="275"/>
      <c r="Q751" s="276"/>
      <c r="R751" s="277"/>
      <c r="S751" s="278"/>
      <c r="T751" s="278"/>
      <c r="U751" s="279"/>
      <c r="V751" s="279"/>
      <c r="W751" s="280"/>
      <c r="X751" s="281"/>
      <c r="Y751" s="279"/>
      <c r="Z751" s="282" t="s">
        <v>1505</v>
      </c>
      <c r="AA751" s="282">
        <v>6358196.0</v>
      </c>
      <c r="AB751" s="283">
        <v>44316.0</v>
      </c>
      <c r="AC751" s="416"/>
      <c r="AD751" s="284"/>
    </row>
    <row r="752" ht="14.25" customHeight="1">
      <c r="A752" s="265">
        <v>44315.0</v>
      </c>
      <c r="B752" s="266" t="s">
        <v>1500</v>
      </c>
      <c r="C752" s="266" t="s">
        <v>1534</v>
      </c>
      <c r="D752" s="266" t="s">
        <v>1502</v>
      </c>
      <c r="E752" s="268"/>
      <c r="F752" s="269" t="s">
        <v>1508</v>
      </c>
      <c r="G752" s="268" t="s">
        <v>1463</v>
      </c>
      <c r="H752" s="270">
        <v>0.040358796296296295</v>
      </c>
      <c r="I752" s="271">
        <v>44314.729166666664</v>
      </c>
      <c r="J752" s="268"/>
      <c r="K752" s="271">
        <v>44316.88125</v>
      </c>
      <c r="L752" s="288" t="str">
        <f t="shared" si="1"/>
        <v>3:39:00 AM</v>
      </c>
      <c r="M752" s="272" t="s">
        <v>1538</v>
      </c>
      <c r="N752" s="273"/>
      <c r="O752" s="274"/>
      <c r="P752" s="275"/>
      <c r="Q752" s="276"/>
      <c r="R752" s="277"/>
      <c r="S752" s="278"/>
      <c r="T752" s="278"/>
      <c r="U752" s="279"/>
      <c r="V752" s="279"/>
      <c r="W752" s="280"/>
      <c r="X752" s="281"/>
      <c r="Y752" s="279"/>
      <c r="Z752" s="282" t="s">
        <v>1505</v>
      </c>
      <c r="AA752" s="282">
        <v>6358197.0</v>
      </c>
      <c r="AB752" s="283">
        <v>44316.0</v>
      </c>
      <c r="AC752" s="416"/>
      <c r="AD752" s="284"/>
    </row>
    <row r="753" ht="14.25" customHeight="1">
      <c r="A753" s="265">
        <v>44315.0</v>
      </c>
      <c r="B753" s="266" t="s">
        <v>1500</v>
      </c>
      <c r="C753" s="266" t="s">
        <v>1534</v>
      </c>
      <c r="D753" s="266" t="s">
        <v>1502</v>
      </c>
      <c r="E753" s="268"/>
      <c r="F753" s="269" t="s">
        <v>1510</v>
      </c>
      <c r="G753" s="268" t="s">
        <v>1463</v>
      </c>
      <c r="H753" s="270">
        <v>0.03972222222222222</v>
      </c>
      <c r="I753" s="271">
        <v>44314.729166666664</v>
      </c>
      <c r="J753" s="268"/>
      <c r="K753" s="271">
        <v>44316.88125</v>
      </c>
      <c r="L753" s="288" t="str">
        <f t="shared" si="1"/>
        <v>3:39:00 AM</v>
      </c>
      <c r="M753" s="272" t="s">
        <v>1539</v>
      </c>
      <c r="N753" s="273"/>
      <c r="O753" s="274"/>
      <c r="P753" s="275"/>
      <c r="Q753" s="276"/>
      <c r="R753" s="277"/>
      <c r="S753" s="278"/>
      <c r="T753" s="278"/>
      <c r="U753" s="279"/>
      <c r="V753" s="279"/>
      <c r="W753" s="280"/>
      <c r="X753" s="281"/>
      <c r="Y753" s="279"/>
      <c r="Z753" s="282" t="s">
        <v>1505</v>
      </c>
      <c r="AA753" s="282">
        <v>6358198.0</v>
      </c>
      <c r="AB753" s="283">
        <v>44316.0</v>
      </c>
      <c r="AC753" s="416"/>
      <c r="AD753" s="284"/>
    </row>
    <row r="754" ht="14.25" customHeight="1">
      <c r="A754" s="265">
        <v>44315.0</v>
      </c>
      <c r="B754" s="266" t="s">
        <v>1500</v>
      </c>
      <c r="C754" s="266" t="s">
        <v>1534</v>
      </c>
      <c r="D754" s="266" t="s">
        <v>1502</v>
      </c>
      <c r="E754" s="268"/>
      <c r="F754" s="269" t="s">
        <v>1512</v>
      </c>
      <c r="G754" s="268" t="s">
        <v>1463</v>
      </c>
      <c r="H754" s="270">
        <v>0.034305555555555554</v>
      </c>
      <c r="I754" s="271">
        <v>44314.729166666664</v>
      </c>
      <c r="J754" s="268"/>
      <c r="K754" s="271">
        <v>44316.88125</v>
      </c>
      <c r="L754" s="288" t="str">
        <f t="shared" si="1"/>
        <v>3:39:00 AM</v>
      </c>
      <c r="M754" s="272" t="s">
        <v>1540</v>
      </c>
      <c r="N754" s="273"/>
      <c r="O754" s="274"/>
      <c r="P754" s="275"/>
      <c r="Q754" s="276"/>
      <c r="R754" s="277"/>
      <c r="S754" s="278"/>
      <c r="T754" s="278"/>
      <c r="U754" s="279"/>
      <c r="V754" s="279"/>
      <c r="W754" s="280"/>
      <c r="X754" s="281"/>
      <c r="Y754" s="279"/>
      <c r="Z754" s="282" t="s">
        <v>1505</v>
      </c>
      <c r="AA754" s="282">
        <v>6358199.0</v>
      </c>
      <c r="AB754" s="283">
        <v>44316.0</v>
      </c>
      <c r="AC754" s="416"/>
      <c r="AD754" s="284"/>
    </row>
    <row r="755" ht="14.25" customHeight="1">
      <c r="A755" s="265">
        <v>44315.0</v>
      </c>
      <c r="B755" s="266" t="s">
        <v>1500</v>
      </c>
      <c r="C755" s="266" t="s">
        <v>1534</v>
      </c>
      <c r="D755" s="266" t="s">
        <v>1502</v>
      </c>
      <c r="E755" s="268"/>
      <c r="F755" s="269" t="s">
        <v>1514</v>
      </c>
      <c r="G755" s="268" t="s">
        <v>1463</v>
      </c>
      <c r="H755" s="270">
        <v>0.040185185185185185</v>
      </c>
      <c r="I755" s="271">
        <v>44314.729166666664</v>
      </c>
      <c r="J755" s="268"/>
      <c r="K755" s="271">
        <v>44316.88125</v>
      </c>
      <c r="L755" s="288" t="str">
        <f t="shared" si="1"/>
        <v>3:39:00 AM</v>
      </c>
      <c r="M755" s="272" t="s">
        <v>1541</v>
      </c>
      <c r="N755" s="273"/>
      <c r="O755" s="274"/>
      <c r="P755" s="275"/>
      <c r="Q755" s="276"/>
      <c r="R755" s="277"/>
      <c r="S755" s="278"/>
      <c r="T755" s="278"/>
      <c r="U755" s="279"/>
      <c r="V755" s="279"/>
      <c r="W755" s="280"/>
      <c r="X755" s="281"/>
      <c r="Y755" s="279"/>
      <c r="Z755" s="282" t="s">
        <v>1505</v>
      </c>
      <c r="AA755" s="282">
        <v>6358200.0</v>
      </c>
      <c r="AB755" s="283">
        <v>44316.0</v>
      </c>
      <c r="AC755" s="416"/>
      <c r="AD755" s="284"/>
    </row>
    <row r="756" ht="14.25" customHeight="1">
      <c r="A756" s="265">
        <v>44315.0</v>
      </c>
      <c r="B756" s="266" t="s">
        <v>1500</v>
      </c>
      <c r="C756" s="266" t="s">
        <v>2471</v>
      </c>
      <c r="D756" s="266" t="s">
        <v>1543</v>
      </c>
      <c r="E756" s="268"/>
      <c r="F756" s="269" t="s">
        <v>3967</v>
      </c>
      <c r="G756" s="268" t="s">
        <v>1463</v>
      </c>
      <c r="H756" s="270">
        <v>0.0020833333333333333</v>
      </c>
      <c r="I756" s="271">
        <v>44316.572916666664</v>
      </c>
      <c r="J756" s="268"/>
      <c r="K756" s="271"/>
      <c r="L756" s="288" t="str">
        <f t="shared" si="1"/>
        <v/>
      </c>
      <c r="M756" s="359" t="s">
        <v>3505</v>
      </c>
      <c r="N756" s="290"/>
      <c r="O756" s="276"/>
      <c r="P756" s="276"/>
      <c r="Q756" s="276"/>
      <c r="R756" s="278"/>
      <c r="S756" s="278"/>
      <c r="T756" s="278"/>
      <c r="U756" s="279"/>
      <c r="V756" s="279" t="s">
        <v>2030</v>
      </c>
      <c r="W756" s="280">
        <v>44328.0</v>
      </c>
      <c r="X756" s="281">
        <v>0.006944444444444444</v>
      </c>
      <c r="Y756" s="279" t="s">
        <v>1693</v>
      </c>
      <c r="Z756" s="282" t="s">
        <v>1570</v>
      </c>
      <c r="AA756" s="282">
        <v>6358211.0</v>
      </c>
      <c r="AB756" s="283">
        <v>44316.0</v>
      </c>
      <c r="AC756" s="284"/>
      <c r="AD756" s="284"/>
    </row>
    <row r="757" ht="14.25" customHeight="1">
      <c r="A757" s="265">
        <v>44315.0</v>
      </c>
      <c r="B757" s="266" t="s">
        <v>1500</v>
      </c>
      <c r="C757" s="266" t="s">
        <v>1450</v>
      </c>
      <c r="D757" s="266" t="s">
        <v>1543</v>
      </c>
      <c r="E757" s="268"/>
      <c r="F757" s="269" t="s">
        <v>3968</v>
      </c>
      <c r="G757" s="268" t="s">
        <v>1463</v>
      </c>
      <c r="H757" s="270">
        <v>9.722222222222221E-4</v>
      </c>
      <c r="I757" s="271">
        <v>44316.572916666664</v>
      </c>
      <c r="J757" s="268"/>
      <c r="K757" s="271"/>
      <c r="L757" s="288" t="str">
        <f t="shared" si="1"/>
        <v/>
      </c>
      <c r="M757" s="359" t="s">
        <v>3505</v>
      </c>
      <c r="N757" s="290"/>
      <c r="O757" s="276"/>
      <c r="P757" s="276"/>
      <c r="Q757" s="276"/>
      <c r="R757" s="278"/>
      <c r="S757" s="278"/>
      <c r="T757" s="278"/>
      <c r="U757" s="279"/>
      <c r="V757" s="279" t="s">
        <v>2030</v>
      </c>
      <c r="W757" s="280">
        <v>44328.0</v>
      </c>
      <c r="X757" s="281">
        <v>0.0020833333333333333</v>
      </c>
      <c r="Y757" s="279" t="s">
        <v>1693</v>
      </c>
      <c r="Z757" s="282" t="s">
        <v>1570</v>
      </c>
      <c r="AA757" s="282">
        <v>6358212.0</v>
      </c>
      <c r="AB757" s="283">
        <v>44316.0</v>
      </c>
      <c r="AC757" s="284"/>
      <c r="AD757" s="284"/>
    </row>
    <row r="758" ht="14.25" customHeight="1">
      <c r="A758" s="265">
        <v>44315.0</v>
      </c>
      <c r="B758" s="266" t="s">
        <v>3677</v>
      </c>
      <c r="C758" s="266"/>
      <c r="D758" s="266" t="s">
        <v>1450</v>
      </c>
      <c r="E758" s="268"/>
      <c r="F758" s="358" t="s">
        <v>3969</v>
      </c>
      <c r="G758" s="268" t="s">
        <v>2085</v>
      </c>
      <c r="H758" s="270">
        <v>0.09927083333333332</v>
      </c>
      <c r="I758" s="271">
        <v>44315.74375</v>
      </c>
      <c r="J758" s="268"/>
      <c r="K758" s="268"/>
      <c r="L758" s="288" t="str">
        <f t="shared" si="1"/>
        <v/>
      </c>
      <c r="M758" s="307" t="s">
        <v>2808</v>
      </c>
      <c r="N758" s="404">
        <v>44315.799305555556</v>
      </c>
      <c r="O758" s="276" t="s">
        <v>3970</v>
      </c>
      <c r="P758" s="275" t="s">
        <v>3809</v>
      </c>
      <c r="Q758" s="276" t="s">
        <v>1819</v>
      </c>
      <c r="R758" s="277">
        <v>44315.85309027778</v>
      </c>
      <c r="S758" s="278"/>
      <c r="T758" s="278" t="s">
        <v>3971</v>
      </c>
      <c r="U758" s="279"/>
      <c r="V758" s="279" t="s">
        <v>1746</v>
      </c>
      <c r="W758" s="280">
        <v>44315.0</v>
      </c>
      <c r="X758" s="281">
        <v>0.375</v>
      </c>
      <c r="Y758" s="279"/>
      <c r="Z758" s="282" t="s">
        <v>1570</v>
      </c>
      <c r="AA758" s="282" t="s">
        <v>3969</v>
      </c>
      <c r="AB758" s="283">
        <v>44315.0</v>
      </c>
      <c r="AC758" s="284"/>
      <c r="AD758" s="284"/>
    </row>
    <row r="759" ht="14.25" customHeight="1">
      <c r="A759" s="265">
        <v>44315.0</v>
      </c>
      <c r="B759" s="266" t="s">
        <v>1783</v>
      </c>
      <c r="C759" s="266"/>
      <c r="D759" s="266" t="s">
        <v>1452</v>
      </c>
      <c r="E759" s="268"/>
      <c r="F759" s="358" t="s">
        <v>3972</v>
      </c>
      <c r="G759" s="268" t="s">
        <v>2085</v>
      </c>
      <c r="H759" s="270">
        <v>0.0013310185185185185</v>
      </c>
      <c r="I759" s="271">
        <v>44315.470138888886</v>
      </c>
      <c r="J759" s="268"/>
      <c r="K759" s="271">
        <v>44315.47325231481</v>
      </c>
      <c r="L759" s="288" t="str">
        <f t="shared" si="1"/>
        <v>12:04:29 AM</v>
      </c>
      <c r="M759" s="278"/>
      <c r="N759" s="290"/>
      <c r="O759" s="276"/>
      <c r="P759" s="276"/>
      <c r="Q759" s="276"/>
      <c r="R759" s="278"/>
      <c r="S759" s="278"/>
      <c r="T759" s="278"/>
      <c r="U759" s="279"/>
      <c r="V759" s="279" t="s">
        <v>1783</v>
      </c>
      <c r="W759" s="280">
        <v>44315.0</v>
      </c>
      <c r="X759" s="281">
        <v>0.002777777777777778</v>
      </c>
      <c r="Y759" s="279" t="s">
        <v>1693</v>
      </c>
      <c r="Z759" s="282" t="s">
        <v>53</v>
      </c>
      <c r="AA759" s="282" t="s">
        <v>3972</v>
      </c>
      <c r="AB759" s="283">
        <v>44315.0</v>
      </c>
      <c r="AC759" s="284"/>
      <c r="AD759" s="284"/>
    </row>
    <row r="760" ht="14.25" customHeight="1">
      <c r="A760" s="265">
        <v>44315.0</v>
      </c>
      <c r="B760" s="266" t="s">
        <v>1685</v>
      </c>
      <c r="C760" s="266"/>
      <c r="D760" s="265" t="s">
        <v>1686</v>
      </c>
      <c r="E760" s="268"/>
      <c r="F760" s="358" t="s">
        <v>3973</v>
      </c>
      <c r="G760" s="268" t="s">
        <v>2085</v>
      </c>
      <c r="H760" s="270">
        <v>0.03679398148148148</v>
      </c>
      <c r="I760" s="271">
        <v>44315.79861111111</v>
      </c>
      <c r="J760" s="268"/>
      <c r="K760" s="271">
        <v>44315.82494212963</v>
      </c>
      <c r="L760" s="288" t="str">
        <f t="shared" si="1"/>
        <v>12:37:55 AM</v>
      </c>
      <c r="M760" s="278"/>
      <c r="N760" s="290"/>
      <c r="O760" s="276"/>
      <c r="P760" s="276"/>
      <c r="Q760" s="276"/>
      <c r="R760" s="278"/>
      <c r="S760" s="278"/>
      <c r="T760" s="278"/>
      <c r="U760" s="279"/>
      <c r="V760" s="279" t="s">
        <v>1685</v>
      </c>
      <c r="W760" s="280">
        <v>44316.0</v>
      </c>
      <c r="X760" s="281">
        <v>0.16666666666666666</v>
      </c>
      <c r="Y760" s="279" t="s">
        <v>1693</v>
      </c>
      <c r="Z760" s="282" t="s">
        <v>1570</v>
      </c>
      <c r="AA760" s="282" t="s">
        <v>3973</v>
      </c>
      <c r="AB760" s="283">
        <v>44315.0</v>
      </c>
      <c r="AC760" s="284"/>
      <c r="AD760" s="284"/>
    </row>
    <row r="761" ht="14.25" customHeight="1">
      <c r="A761" s="265">
        <v>44315.0</v>
      </c>
      <c r="B761" s="266" t="s">
        <v>3677</v>
      </c>
      <c r="C761" s="266"/>
      <c r="D761" s="266" t="s">
        <v>1455</v>
      </c>
      <c r="E761" s="268"/>
      <c r="F761" s="358" t="s">
        <v>3974</v>
      </c>
      <c r="G761" s="268" t="s">
        <v>2085</v>
      </c>
      <c r="H761" s="270">
        <v>0.019398148148148147</v>
      </c>
      <c r="I761" s="271">
        <v>44316.0</v>
      </c>
      <c r="J761" s="268"/>
      <c r="K761" s="271">
        <v>44316.01773148148</v>
      </c>
      <c r="L761" s="288" t="str">
        <f t="shared" si="1"/>
        <v>12:25:32 AM</v>
      </c>
      <c r="M761" s="278"/>
      <c r="N761" s="290"/>
      <c r="O761" s="276"/>
      <c r="P761" s="276"/>
      <c r="Q761" s="276"/>
      <c r="R761" s="278"/>
      <c r="S761" s="278"/>
      <c r="T761" s="278"/>
      <c r="U761" s="279"/>
      <c r="V761" s="279" t="s">
        <v>1824</v>
      </c>
      <c r="W761" s="280">
        <v>44316.0</v>
      </c>
      <c r="X761" s="281">
        <v>0.10416666666666667</v>
      </c>
      <c r="Y761" s="279" t="s">
        <v>1693</v>
      </c>
      <c r="Z761" s="282" t="s">
        <v>53</v>
      </c>
      <c r="AA761" s="282" t="s">
        <v>3974</v>
      </c>
      <c r="AB761" s="283">
        <v>44316.0</v>
      </c>
      <c r="AC761" s="284"/>
      <c r="AD761" s="284"/>
    </row>
    <row r="762" ht="14.25" customHeight="1">
      <c r="A762" s="265">
        <v>44316.0</v>
      </c>
      <c r="B762" s="266" t="s">
        <v>1783</v>
      </c>
      <c r="C762" s="266" t="s">
        <v>1831</v>
      </c>
      <c r="D762" s="265" t="s">
        <v>1686</v>
      </c>
      <c r="E762" s="268"/>
      <c r="F762" s="358" t="s">
        <v>3975</v>
      </c>
      <c r="G762" s="268" t="s">
        <v>1463</v>
      </c>
      <c r="H762" s="270">
        <v>0.002731481481481482</v>
      </c>
      <c r="I762" s="271">
        <v>44316.638194444444</v>
      </c>
      <c r="J762" s="268"/>
      <c r="K762" s="268" t="s">
        <v>3976</v>
      </c>
      <c r="L762" s="288" t="str">
        <f t="shared" si="1"/>
        <v/>
      </c>
      <c r="M762" s="278"/>
      <c r="N762" s="290"/>
      <c r="O762" s="276"/>
      <c r="P762" s="276"/>
      <c r="Q762" s="276"/>
      <c r="R762" s="278"/>
      <c r="S762" s="278"/>
      <c r="T762" s="278"/>
      <c r="U762" s="279"/>
      <c r="V762" s="279" t="s">
        <v>1783</v>
      </c>
      <c r="W762" s="280">
        <v>44319.0</v>
      </c>
      <c r="X762" s="281">
        <v>0.002777777777777778</v>
      </c>
      <c r="Y762" s="279" t="s">
        <v>1693</v>
      </c>
      <c r="Z762" s="282" t="s">
        <v>1570</v>
      </c>
      <c r="AA762" s="282">
        <v>6358213.0</v>
      </c>
      <c r="AB762" s="283">
        <v>44316.0</v>
      </c>
      <c r="AC762" s="284"/>
      <c r="AD762" s="284"/>
    </row>
    <row r="763" ht="14.25" customHeight="1">
      <c r="A763" s="265">
        <v>44316.0</v>
      </c>
      <c r="B763" s="266" t="s">
        <v>1500</v>
      </c>
      <c r="C763" s="266" t="s">
        <v>1455</v>
      </c>
      <c r="D763" s="266" t="s">
        <v>1543</v>
      </c>
      <c r="E763" s="268"/>
      <c r="F763" s="291" t="s">
        <v>3977</v>
      </c>
      <c r="G763" s="268" t="s">
        <v>1463</v>
      </c>
      <c r="H763" s="270">
        <v>0.0025925925925925925</v>
      </c>
      <c r="I763" s="271">
        <v>44316.572916666664</v>
      </c>
      <c r="J763" s="268"/>
      <c r="K763" s="268"/>
      <c r="L763" s="288" t="str">
        <f t="shared" si="1"/>
        <v/>
      </c>
      <c r="M763" s="359" t="s">
        <v>3505</v>
      </c>
      <c r="N763" s="290"/>
      <c r="O763" s="276"/>
      <c r="P763" s="276"/>
      <c r="Q763" s="276"/>
      <c r="R763" s="278"/>
      <c r="S763" s="278"/>
      <c r="T763" s="278"/>
      <c r="U763" s="279"/>
      <c r="V763" s="279" t="s">
        <v>2030</v>
      </c>
      <c r="W763" s="280">
        <v>44328.0</v>
      </c>
      <c r="X763" s="281">
        <v>0.010416666666666666</v>
      </c>
      <c r="Y763" s="279" t="s">
        <v>3978</v>
      </c>
      <c r="Z763" s="282" t="s">
        <v>1570</v>
      </c>
      <c r="AA763" s="282">
        <v>6359997.0</v>
      </c>
      <c r="AB763" s="283">
        <v>44319.0</v>
      </c>
      <c r="AC763" s="284"/>
      <c r="AD763" s="284"/>
    </row>
    <row r="764" ht="14.25" customHeight="1">
      <c r="A764" s="265">
        <v>44316.0</v>
      </c>
      <c r="B764" s="266" t="s">
        <v>3677</v>
      </c>
      <c r="C764" s="266"/>
      <c r="D764" s="266" t="s">
        <v>1450</v>
      </c>
      <c r="E764" s="268"/>
      <c r="F764" s="358" t="s">
        <v>3979</v>
      </c>
      <c r="G764" s="268" t="s">
        <v>2085</v>
      </c>
      <c r="H764" s="270">
        <v>0.09846064814814814</v>
      </c>
      <c r="I764" s="271">
        <v>44316.770833333336</v>
      </c>
      <c r="J764" s="268"/>
      <c r="K764" s="268"/>
      <c r="L764" s="288" t="str">
        <f t="shared" si="1"/>
        <v/>
      </c>
      <c r="M764" s="307" t="s">
        <v>2808</v>
      </c>
      <c r="N764" s="351">
        <v>44315.95694444444</v>
      </c>
      <c r="O764" s="276" t="s">
        <v>3980</v>
      </c>
      <c r="P764" s="275" t="s">
        <v>3809</v>
      </c>
      <c r="Q764" s="276" t="s">
        <v>1819</v>
      </c>
      <c r="R764" s="277">
        <v>44317.0077662037</v>
      </c>
      <c r="S764" s="278"/>
      <c r="T764" s="278" t="s">
        <v>3981</v>
      </c>
      <c r="U764" s="279"/>
      <c r="V764" s="279" t="s">
        <v>1685</v>
      </c>
      <c r="W764" s="280">
        <v>44289.0</v>
      </c>
      <c r="X764" s="281">
        <v>0.3125</v>
      </c>
      <c r="Y764" s="279" t="s">
        <v>1693</v>
      </c>
      <c r="Z764" s="282" t="s">
        <v>1570</v>
      </c>
      <c r="AA764" s="282" t="s">
        <v>3979</v>
      </c>
      <c r="AB764" s="283">
        <v>44319.0</v>
      </c>
      <c r="AC764" s="284"/>
      <c r="AD764" s="284"/>
    </row>
    <row r="765" ht="14.25" customHeight="1">
      <c r="A765" s="265">
        <v>44316.0</v>
      </c>
      <c r="B765" s="266" t="s">
        <v>1783</v>
      </c>
      <c r="C765" s="266"/>
      <c r="D765" s="266" t="s">
        <v>1452</v>
      </c>
      <c r="E765" s="268"/>
      <c r="F765" s="358" t="s">
        <v>3982</v>
      </c>
      <c r="G765" s="268" t="s">
        <v>2085</v>
      </c>
      <c r="H765" s="270">
        <v>0.002800925925925926</v>
      </c>
      <c r="I765" s="271">
        <v>44316.56805555556</v>
      </c>
      <c r="J765" s="268"/>
      <c r="K765" s="271">
        <v>44316.57208333333</v>
      </c>
      <c r="L765" s="288" t="str">
        <f t="shared" si="1"/>
        <v>12:05:48 AM</v>
      </c>
      <c r="M765" s="278"/>
      <c r="N765" s="290"/>
      <c r="O765" s="276"/>
      <c r="P765" s="276"/>
      <c r="Q765" s="276"/>
      <c r="R765" s="278"/>
      <c r="S765" s="278"/>
      <c r="T765" s="278"/>
      <c r="U765" s="279"/>
      <c r="V765" s="279" t="s">
        <v>1783</v>
      </c>
      <c r="W765" s="280">
        <v>44316.0</v>
      </c>
      <c r="X765" s="281">
        <v>0.0062499999999999995</v>
      </c>
      <c r="Y765" s="279" t="s">
        <v>1693</v>
      </c>
      <c r="Z765" s="282" t="s">
        <v>1570</v>
      </c>
      <c r="AA765" s="282" t="s">
        <v>3982</v>
      </c>
      <c r="AB765" s="283">
        <v>44316.0</v>
      </c>
      <c r="AC765" s="284"/>
      <c r="AD765" s="284"/>
    </row>
    <row r="766" ht="14.25" customHeight="1">
      <c r="A766" s="265">
        <v>44316.0</v>
      </c>
      <c r="B766" s="266" t="s">
        <v>1685</v>
      </c>
      <c r="C766" s="266"/>
      <c r="D766" s="265" t="s">
        <v>1686</v>
      </c>
      <c r="E766" s="268"/>
      <c r="F766" s="358" t="s">
        <v>3983</v>
      </c>
      <c r="G766" s="268" t="s">
        <v>2085</v>
      </c>
      <c r="H766" s="270">
        <v>0.03767361111111111</v>
      </c>
      <c r="I766" s="271">
        <v>44316.76875</v>
      </c>
      <c r="J766" s="268"/>
      <c r="K766" s="268"/>
      <c r="L766" s="288" t="str">
        <f t="shared" si="1"/>
        <v/>
      </c>
      <c r="M766" s="307" t="s">
        <v>2808</v>
      </c>
      <c r="N766" s="351">
        <v>44315.8125</v>
      </c>
      <c r="O766" s="276" t="s">
        <v>3984</v>
      </c>
      <c r="P766" s="275" t="s">
        <v>3809</v>
      </c>
      <c r="Q766" s="276" t="s">
        <v>1819</v>
      </c>
      <c r="R766" s="277">
        <v>44316.83368055556</v>
      </c>
      <c r="S766" s="278"/>
      <c r="T766" s="278" t="s">
        <v>3985</v>
      </c>
      <c r="U766" s="279"/>
      <c r="V766" s="279" t="s">
        <v>1783</v>
      </c>
      <c r="W766" s="280">
        <v>44319.0</v>
      </c>
      <c r="X766" s="281">
        <v>0.16666666666666666</v>
      </c>
      <c r="Y766" s="279" t="s">
        <v>1693</v>
      </c>
      <c r="Z766" s="282" t="s">
        <v>1570</v>
      </c>
      <c r="AA766" s="282" t="s">
        <v>3983</v>
      </c>
      <c r="AB766" s="283">
        <v>44316.0</v>
      </c>
      <c r="AC766" s="284"/>
      <c r="AD766" s="284"/>
    </row>
    <row r="767" ht="14.25" customHeight="1">
      <c r="A767" s="265">
        <v>44316.0</v>
      </c>
      <c r="B767" s="266" t="s">
        <v>3677</v>
      </c>
      <c r="C767" s="266"/>
      <c r="D767" s="266" t="s">
        <v>1455</v>
      </c>
      <c r="E767" s="268"/>
      <c r="F767" s="358" t="s">
        <v>3986</v>
      </c>
      <c r="G767" s="268" t="s">
        <v>2085</v>
      </c>
      <c r="H767" s="270">
        <v>0.02039351851851852</v>
      </c>
      <c r="I767" s="271">
        <v>44316.9375</v>
      </c>
      <c r="J767" s="268"/>
      <c r="K767" s="271">
        <v>44316.95421296296</v>
      </c>
      <c r="L767" s="288" t="str">
        <f t="shared" si="1"/>
        <v>12:24:04 AM</v>
      </c>
      <c r="M767" s="278"/>
      <c r="N767" s="290"/>
      <c r="O767" s="276"/>
      <c r="P767" s="276"/>
      <c r="Q767" s="276"/>
      <c r="R767" s="278"/>
      <c r="S767" s="278"/>
      <c r="T767" s="278"/>
      <c r="U767" s="279"/>
      <c r="V767" s="279" t="s">
        <v>1824</v>
      </c>
      <c r="W767" s="280">
        <v>44319.0</v>
      </c>
      <c r="X767" s="281">
        <v>0.10416666666666667</v>
      </c>
      <c r="Y767" s="279" t="s">
        <v>1693</v>
      </c>
      <c r="Z767" s="282" t="s">
        <v>53</v>
      </c>
      <c r="AA767" s="282" t="s">
        <v>3986</v>
      </c>
      <c r="AB767" s="283">
        <v>44319.0</v>
      </c>
      <c r="AC767" s="284"/>
      <c r="AD767" s="284"/>
    </row>
    <row r="768" ht="14.25" customHeight="1">
      <c r="A768" s="265">
        <v>44317.0</v>
      </c>
      <c r="B768" s="266" t="s">
        <v>1738</v>
      </c>
      <c r="C768" s="266"/>
      <c r="D768" s="265" t="s">
        <v>1686</v>
      </c>
      <c r="E768" s="268"/>
      <c r="F768" s="358" t="s">
        <v>3987</v>
      </c>
      <c r="G768" s="268" t="s">
        <v>2085</v>
      </c>
      <c r="H768" s="270">
        <v>0.03945601851851852</v>
      </c>
      <c r="I768" s="271">
        <v>44317.822222222225</v>
      </c>
      <c r="J768" s="268"/>
      <c r="K768" s="271">
        <v>44318.19496527778</v>
      </c>
      <c r="L768" s="288" t="str">
        <f t="shared" si="1"/>
        <v>8:56:45 AM</v>
      </c>
      <c r="M768" s="278"/>
      <c r="N768" s="290"/>
      <c r="O768" s="276"/>
      <c r="P768" s="276"/>
      <c r="Q768" s="276"/>
      <c r="R768" s="278"/>
      <c r="S768" s="278"/>
      <c r="T768" s="278"/>
      <c r="U768" s="279"/>
      <c r="V768" s="279" t="s">
        <v>1783</v>
      </c>
      <c r="W768" s="280">
        <v>44320.0</v>
      </c>
      <c r="X768" s="281">
        <v>0.16666666666666666</v>
      </c>
      <c r="Y768" s="279" t="s">
        <v>1693</v>
      </c>
      <c r="Z768" s="282" t="s">
        <v>53</v>
      </c>
      <c r="AA768" s="282" t="s">
        <v>3987</v>
      </c>
      <c r="AB768" s="283">
        <v>44319.0</v>
      </c>
      <c r="AC768" s="284"/>
      <c r="AD768" s="284"/>
    </row>
    <row r="769" ht="14.25" customHeight="1">
      <c r="A769" s="265">
        <v>44317.0</v>
      </c>
      <c r="B769" s="266" t="s">
        <v>1746</v>
      </c>
      <c r="C769" s="266"/>
      <c r="D769" s="266" t="s">
        <v>1455</v>
      </c>
      <c r="E769" s="268"/>
      <c r="F769" s="358" t="s">
        <v>3988</v>
      </c>
      <c r="G769" s="268" t="s">
        <v>2085</v>
      </c>
      <c r="H769" s="270">
        <v>0.01851851851851852</v>
      </c>
      <c r="I769" s="271">
        <v>44319.41458333333</v>
      </c>
      <c r="J769" s="268"/>
      <c r="K769" s="271">
        <v>44319.42649305556</v>
      </c>
      <c r="L769" s="288" t="str">
        <f t="shared" si="1"/>
        <v>12:17:09 AM</v>
      </c>
      <c r="M769" s="278"/>
      <c r="N769" s="290"/>
      <c r="O769" s="276"/>
      <c r="P769" s="276"/>
      <c r="Q769" s="276"/>
      <c r="R769" s="278"/>
      <c r="S769" s="278"/>
      <c r="T769" s="278"/>
      <c r="U769" s="279"/>
      <c r="V769" s="279" t="s">
        <v>1824</v>
      </c>
      <c r="W769" s="280">
        <v>44320.0</v>
      </c>
      <c r="X769" s="281">
        <v>0.09377314814814815</v>
      </c>
      <c r="Y769" s="279" t="s">
        <v>1693</v>
      </c>
      <c r="Z769" s="282" t="s">
        <v>53</v>
      </c>
      <c r="AA769" s="282" t="s">
        <v>3988</v>
      </c>
      <c r="AB769" s="283">
        <v>44319.0</v>
      </c>
      <c r="AC769" s="284"/>
      <c r="AD769" s="284"/>
    </row>
    <row r="770" ht="14.25" customHeight="1">
      <c r="A770" s="265">
        <v>44318.0</v>
      </c>
      <c r="B770" s="266" t="s">
        <v>1733</v>
      </c>
      <c r="C770" s="266"/>
      <c r="D770" s="266" t="s">
        <v>3509</v>
      </c>
      <c r="E770" s="268"/>
      <c r="F770" s="358">
        <v>6356232.0</v>
      </c>
      <c r="G770" s="268" t="s">
        <v>3839</v>
      </c>
      <c r="H770" s="270">
        <v>0.07957175925925926</v>
      </c>
      <c r="I770" s="271">
        <v>44319.479166666664</v>
      </c>
      <c r="J770" s="268"/>
      <c r="K770" s="271">
        <v>44319.50902777778</v>
      </c>
      <c r="L770" s="288" t="str">
        <f t="shared" si="1"/>
        <v>12:43:00 AM</v>
      </c>
      <c r="M770" s="278"/>
      <c r="N770" s="290"/>
      <c r="O770" s="276"/>
      <c r="P770" s="276"/>
      <c r="Q770" s="276"/>
      <c r="R770" s="278"/>
      <c r="S770" s="278"/>
      <c r="T770" s="278" t="s">
        <v>3989</v>
      </c>
      <c r="U770" s="279"/>
      <c r="V770" s="279"/>
      <c r="W770" s="279"/>
      <c r="X770" s="279"/>
      <c r="Y770" s="279"/>
      <c r="Z770" s="282" t="s">
        <v>3559</v>
      </c>
      <c r="AA770" s="282">
        <v>6356232.0</v>
      </c>
      <c r="AB770" s="283">
        <v>44319.0</v>
      </c>
      <c r="AC770" s="284"/>
      <c r="AD770" s="284"/>
    </row>
    <row r="771" ht="14.25" customHeight="1">
      <c r="A771" s="265">
        <v>44318.0</v>
      </c>
      <c r="B771" s="266" t="s">
        <v>1500</v>
      </c>
      <c r="C771" s="266" t="s">
        <v>1450</v>
      </c>
      <c r="D771" s="266" t="s">
        <v>1543</v>
      </c>
      <c r="E771" s="268"/>
      <c r="F771" s="269" t="s">
        <v>3990</v>
      </c>
      <c r="G771" s="268" t="s">
        <v>1463</v>
      </c>
      <c r="H771" s="270">
        <v>0.003310185185185185</v>
      </c>
      <c r="I771" s="271">
        <v>44320.634722222225</v>
      </c>
      <c r="J771" s="268"/>
      <c r="K771" s="271">
        <v>44320.97511574074</v>
      </c>
      <c r="L771" s="288" t="str">
        <f t="shared" si="1"/>
        <v>8:10:10 AM</v>
      </c>
      <c r="M771" s="278" t="s">
        <v>3991</v>
      </c>
      <c r="N771" s="290"/>
      <c r="O771" s="276"/>
      <c r="P771" s="276"/>
      <c r="Q771" s="276"/>
      <c r="R771" s="278"/>
      <c r="S771" s="278"/>
      <c r="T771" s="278"/>
      <c r="U771" s="279"/>
      <c r="V771" s="279" t="s">
        <v>1824</v>
      </c>
      <c r="W771" s="280">
        <v>44329.0</v>
      </c>
      <c r="X771" s="281">
        <v>0.009317129629629628</v>
      </c>
      <c r="Y771" s="279" t="s">
        <v>1693</v>
      </c>
      <c r="Z771" s="282" t="s">
        <v>1570</v>
      </c>
      <c r="AA771" s="282">
        <v>6361363.0</v>
      </c>
      <c r="AB771" s="283">
        <v>44321.0</v>
      </c>
      <c r="AC771" s="284"/>
      <c r="AD771" s="284"/>
    </row>
    <row r="772" ht="14.25" customHeight="1">
      <c r="A772" s="265">
        <v>44318.0</v>
      </c>
      <c r="B772" s="266" t="s">
        <v>1500</v>
      </c>
      <c r="C772" s="266" t="s">
        <v>1450</v>
      </c>
      <c r="D772" s="266" t="s">
        <v>1543</v>
      </c>
      <c r="E772" s="268"/>
      <c r="F772" s="269" t="s">
        <v>3992</v>
      </c>
      <c r="G772" s="268" t="s">
        <v>1463</v>
      </c>
      <c r="H772" s="270">
        <v>0.002013888888888889</v>
      </c>
      <c r="I772" s="271">
        <v>44320.634722222225</v>
      </c>
      <c r="J772" s="268"/>
      <c r="K772" s="271">
        <v>44320.67980324074</v>
      </c>
      <c r="L772" s="288" t="str">
        <f t="shared" si="1"/>
        <v>1:04:55 AM</v>
      </c>
      <c r="M772" s="307" t="s">
        <v>3993</v>
      </c>
      <c r="N772" s="351">
        <v>44321.31805555556</v>
      </c>
      <c r="O772" s="276" t="s">
        <v>3994</v>
      </c>
      <c r="P772" s="275" t="s">
        <v>3809</v>
      </c>
      <c r="Q772" s="276" t="s">
        <v>1819</v>
      </c>
      <c r="R772" s="278"/>
      <c r="S772" s="278"/>
      <c r="T772" s="278" t="s">
        <v>3995</v>
      </c>
      <c r="U772" s="279"/>
      <c r="V772" s="279" t="s">
        <v>1824</v>
      </c>
      <c r="W772" s="280">
        <v>44329.0</v>
      </c>
      <c r="X772" s="281">
        <v>0.013819444444444445</v>
      </c>
      <c r="Y772" s="279" t="s">
        <v>1693</v>
      </c>
      <c r="Z772" s="282" t="s">
        <v>1570</v>
      </c>
      <c r="AA772" s="282">
        <v>6361364.0</v>
      </c>
      <c r="AB772" s="283">
        <v>44321.0</v>
      </c>
      <c r="AC772" s="284"/>
      <c r="AD772" s="284"/>
    </row>
    <row r="773" ht="14.25" customHeight="1">
      <c r="A773" s="265">
        <v>44318.0</v>
      </c>
      <c r="B773" s="266" t="s">
        <v>1500</v>
      </c>
      <c r="C773" s="266" t="s">
        <v>1450</v>
      </c>
      <c r="D773" s="266" t="s">
        <v>1543</v>
      </c>
      <c r="E773" s="268"/>
      <c r="F773" s="269" t="s">
        <v>3996</v>
      </c>
      <c r="G773" s="268" t="s">
        <v>1463</v>
      </c>
      <c r="H773" s="270">
        <v>0.001400462962962963</v>
      </c>
      <c r="I773" s="271">
        <v>44320.634722222225</v>
      </c>
      <c r="J773" s="268"/>
      <c r="K773" s="271">
        <v>44320.97217592593</v>
      </c>
      <c r="L773" s="288" t="str">
        <f t="shared" si="1"/>
        <v>8:05:56 AM</v>
      </c>
      <c r="M773" s="278" t="s">
        <v>3997</v>
      </c>
      <c r="N773" s="290"/>
      <c r="O773" s="276"/>
      <c r="P773" s="276"/>
      <c r="Q773" s="276"/>
      <c r="R773" s="278"/>
      <c r="S773" s="278"/>
      <c r="T773" s="278"/>
      <c r="U773" s="279"/>
      <c r="V773" s="279" t="s">
        <v>1824</v>
      </c>
      <c r="W773" s="280">
        <v>44329.0</v>
      </c>
      <c r="X773" s="281">
        <v>0.006053240740740741</v>
      </c>
      <c r="Y773" s="279" t="s">
        <v>1693</v>
      </c>
      <c r="Z773" s="282" t="s">
        <v>1570</v>
      </c>
      <c r="AA773" s="282">
        <v>6361365.0</v>
      </c>
      <c r="AB773" s="283">
        <v>44321.0</v>
      </c>
      <c r="AC773" s="284"/>
      <c r="AD773" s="284"/>
    </row>
    <row r="774" ht="14.25" customHeight="1">
      <c r="A774" s="265">
        <v>44318.0</v>
      </c>
      <c r="B774" s="266" t="s">
        <v>1500</v>
      </c>
      <c r="C774" s="266" t="s">
        <v>1450</v>
      </c>
      <c r="D774" s="266" t="s">
        <v>1543</v>
      </c>
      <c r="E774" s="268"/>
      <c r="F774" s="269" t="s">
        <v>3998</v>
      </c>
      <c r="G774" s="268" t="s">
        <v>1463</v>
      </c>
      <c r="H774" s="270">
        <v>0.002002314814814815</v>
      </c>
      <c r="I774" s="271">
        <v>44320.634722222225</v>
      </c>
      <c r="J774" s="268"/>
      <c r="K774" s="271">
        <v>44320.9718287037</v>
      </c>
      <c r="L774" s="288" t="str">
        <f t="shared" si="1"/>
        <v>8:05:26 AM</v>
      </c>
      <c r="M774" s="278" t="s">
        <v>3999</v>
      </c>
      <c r="N774" s="290"/>
      <c r="O774" s="276"/>
      <c r="P774" s="276"/>
      <c r="Q774" s="276"/>
      <c r="R774" s="278"/>
      <c r="S774" s="278"/>
      <c r="T774" s="278"/>
      <c r="U774" s="279"/>
      <c r="V774" s="279" t="s">
        <v>3950</v>
      </c>
      <c r="W774" s="280">
        <v>44330.0</v>
      </c>
      <c r="X774" s="281">
        <v>0.01017361111111111</v>
      </c>
      <c r="Y774" s="279" t="s">
        <v>1693</v>
      </c>
      <c r="Z774" s="282" t="s">
        <v>1570</v>
      </c>
      <c r="AA774" s="282">
        <v>6361366.0</v>
      </c>
      <c r="AB774" s="283">
        <v>44321.0</v>
      </c>
      <c r="AC774" s="284"/>
      <c r="AD774" s="284"/>
    </row>
    <row r="775" ht="14.25" customHeight="1">
      <c r="A775" s="265">
        <v>44318.0</v>
      </c>
      <c r="B775" s="266" t="s">
        <v>3512</v>
      </c>
      <c r="C775" s="266"/>
      <c r="D775" s="266" t="s">
        <v>1457</v>
      </c>
      <c r="E775" s="268"/>
      <c r="F775" s="358" t="s">
        <v>4000</v>
      </c>
      <c r="G775" s="268" t="s">
        <v>2085</v>
      </c>
      <c r="H775" s="270">
        <v>0.017511574074074072</v>
      </c>
      <c r="I775" s="271">
        <v>44319.42152777778</v>
      </c>
      <c r="J775" s="268"/>
      <c r="K775" s="271">
        <v>44319.43682870371</v>
      </c>
      <c r="L775" s="288" t="str">
        <f t="shared" si="1"/>
        <v>12:22:02 AM</v>
      </c>
      <c r="M775" s="278"/>
      <c r="N775" s="290"/>
      <c r="O775" s="276"/>
      <c r="P775" s="276"/>
      <c r="Q775" s="276"/>
      <c r="R775" s="278"/>
      <c r="S775" s="278"/>
      <c r="T775" s="278"/>
      <c r="U775" s="279"/>
      <c r="V775" s="279" t="s">
        <v>1824</v>
      </c>
      <c r="W775" s="280">
        <v>44323.0</v>
      </c>
      <c r="X775" s="281">
        <v>0.041666666666666664</v>
      </c>
      <c r="Y775" s="279" t="s">
        <v>1693</v>
      </c>
      <c r="Z775" s="282" t="s">
        <v>53</v>
      </c>
      <c r="AA775" s="282" t="s">
        <v>4000</v>
      </c>
      <c r="AB775" s="283">
        <v>44319.0</v>
      </c>
      <c r="AC775" s="284"/>
      <c r="AD775" s="284"/>
    </row>
    <row r="776" ht="14.25" customHeight="1">
      <c r="A776" s="265">
        <v>44318.0</v>
      </c>
      <c r="B776" s="266" t="s">
        <v>3512</v>
      </c>
      <c r="C776" s="266"/>
      <c r="D776" s="266" t="s">
        <v>2829</v>
      </c>
      <c r="E776" s="268"/>
      <c r="F776" s="358" t="s">
        <v>4001</v>
      </c>
      <c r="G776" s="268" t="s">
        <v>2085</v>
      </c>
      <c r="H776" s="270">
        <v>0.01871527777777778</v>
      </c>
      <c r="I776" s="271">
        <v>44319.43194444444</v>
      </c>
      <c r="J776" s="268"/>
      <c r="K776" s="268"/>
      <c r="L776" s="288" t="str">
        <f t="shared" si="1"/>
        <v/>
      </c>
      <c r="M776" s="307" t="s">
        <v>2808</v>
      </c>
      <c r="N776" s="351">
        <v>44319.48541666667</v>
      </c>
      <c r="O776" s="276" t="s">
        <v>4002</v>
      </c>
      <c r="P776" s="275" t="s">
        <v>3809</v>
      </c>
      <c r="Q776" s="276" t="s">
        <v>1819</v>
      </c>
      <c r="R776" s="277">
        <v>44319.498611111114</v>
      </c>
      <c r="S776" s="278"/>
      <c r="T776" s="278" t="s">
        <v>4003</v>
      </c>
      <c r="U776" s="279"/>
      <c r="V776" s="279"/>
      <c r="W776" s="279"/>
      <c r="X776" s="279"/>
      <c r="Y776" s="279"/>
      <c r="Z776" s="282" t="s">
        <v>1570</v>
      </c>
      <c r="AA776" s="282" t="s">
        <v>4001</v>
      </c>
      <c r="AB776" s="283">
        <v>44319.0</v>
      </c>
      <c r="AC776" s="284"/>
      <c r="AD776" s="284"/>
    </row>
    <row r="777" ht="14.25" customHeight="1">
      <c r="A777" s="265">
        <v>44319.0</v>
      </c>
      <c r="B777" s="266" t="s">
        <v>1500</v>
      </c>
      <c r="C777" s="266" t="s">
        <v>1686</v>
      </c>
      <c r="D777" s="266" t="s">
        <v>1543</v>
      </c>
      <c r="E777" s="268"/>
      <c r="F777" s="269" t="s">
        <v>4004</v>
      </c>
      <c r="G777" s="268" t="s">
        <v>1463</v>
      </c>
      <c r="H777" s="270">
        <v>0.0022800925925925927</v>
      </c>
      <c r="I777" s="271">
        <v>44320.634722222225</v>
      </c>
      <c r="J777" s="268"/>
      <c r="K777" s="271">
        <v>44320.97311342593</v>
      </c>
      <c r="L777" s="288" t="str">
        <f t="shared" si="1"/>
        <v>8:07:17 AM</v>
      </c>
      <c r="M777" s="272" t="s">
        <v>4005</v>
      </c>
      <c r="N777" s="404"/>
      <c r="O777" s="276"/>
      <c r="P777" s="275"/>
      <c r="Q777" s="276"/>
      <c r="R777" s="277"/>
      <c r="S777" s="278"/>
      <c r="T777" s="278"/>
      <c r="U777" s="279"/>
      <c r="V777" s="279" t="s">
        <v>2030</v>
      </c>
      <c r="W777" s="280">
        <v>44330.0</v>
      </c>
      <c r="X777" s="281">
        <v>0.004166666666666667</v>
      </c>
      <c r="Y777" s="279" t="s">
        <v>1693</v>
      </c>
      <c r="Z777" s="282" t="s">
        <v>1570</v>
      </c>
      <c r="AA777" s="282">
        <v>6361367.0</v>
      </c>
      <c r="AB777" s="283">
        <v>44321.0</v>
      </c>
      <c r="AC777" s="284"/>
      <c r="AD777" s="284"/>
    </row>
    <row r="778" ht="14.25" customHeight="1">
      <c r="A778" s="265">
        <v>44319.0</v>
      </c>
      <c r="B778" s="266" t="s">
        <v>1500</v>
      </c>
      <c r="C778" s="266" t="s">
        <v>1686</v>
      </c>
      <c r="D778" s="266" t="s">
        <v>1543</v>
      </c>
      <c r="E778" s="268"/>
      <c r="F778" s="269" t="s">
        <v>4006</v>
      </c>
      <c r="G778" s="268" t="s">
        <v>1463</v>
      </c>
      <c r="H778" s="270">
        <v>0.0010879629629629629</v>
      </c>
      <c r="I778" s="271">
        <v>44320.634722222225</v>
      </c>
      <c r="J778" s="268"/>
      <c r="K778" s="271">
        <v>44321.3172337963</v>
      </c>
      <c r="L778" s="288" t="str">
        <f t="shared" si="1"/>
        <v>4:22:49 PM</v>
      </c>
      <c r="M778" s="272" t="s">
        <v>4007</v>
      </c>
      <c r="N778" s="404"/>
      <c r="O778" s="276"/>
      <c r="P778" s="275"/>
      <c r="Q778" s="276"/>
      <c r="R778" s="277"/>
      <c r="S778" s="278"/>
      <c r="T778" s="278"/>
      <c r="U778" s="279"/>
      <c r="V778" s="279" t="s">
        <v>2030</v>
      </c>
      <c r="W778" s="280">
        <v>44330.0</v>
      </c>
      <c r="X778" s="281">
        <v>0.0020833333333333333</v>
      </c>
      <c r="Y778" s="279" t="s">
        <v>1693</v>
      </c>
      <c r="Z778" s="282" t="s">
        <v>1570</v>
      </c>
      <c r="AA778" s="282">
        <v>6361368.0</v>
      </c>
      <c r="AB778" s="283">
        <v>44321.0</v>
      </c>
      <c r="AC778" s="284"/>
      <c r="AD778" s="284"/>
    </row>
    <row r="779" ht="14.25" customHeight="1">
      <c r="A779" s="265">
        <v>44319.0</v>
      </c>
      <c r="B779" s="266" t="s">
        <v>1500</v>
      </c>
      <c r="C779" s="266" t="s">
        <v>1455</v>
      </c>
      <c r="D779" s="266" t="s">
        <v>1543</v>
      </c>
      <c r="E779" s="268"/>
      <c r="F779" s="269" t="s">
        <v>4008</v>
      </c>
      <c r="G779" s="268" t="s">
        <v>1463</v>
      </c>
      <c r="H779" s="270">
        <v>0.0018634259259259261</v>
      </c>
      <c r="I779" s="271">
        <v>44321.59375</v>
      </c>
      <c r="J779" s="268"/>
      <c r="K779" s="271">
        <v>44328.24762731481</v>
      </c>
      <c r="L779" s="288" t="str">
        <f t="shared" si="1"/>
        <v>3:41:35 PM</v>
      </c>
      <c r="M779" s="272" t="s">
        <v>4009</v>
      </c>
      <c r="N779" s="404"/>
      <c r="O779" s="276"/>
      <c r="P779" s="275"/>
      <c r="Q779" s="276"/>
      <c r="R779" s="277"/>
      <c r="S779" s="278"/>
      <c r="T779" s="278"/>
      <c r="U779" s="279"/>
      <c r="V779" s="279" t="s">
        <v>2030</v>
      </c>
      <c r="W779" s="280">
        <v>44330.0</v>
      </c>
      <c r="X779" s="281">
        <v>0.006944444444444444</v>
      </c>
      <c r="Y779" s="279" t="s">
        <v>1693</v>
      </c>
      <c r="Z779" s="282" t="s">
        <v>53</v>
      </c>
      <c r="AA779" s="282">
        <v>6362921.0</v>
      </c>
      <c r="AB779" s="283">
        <v>44328.0</v>
      </c>
      <c r="AC779" s="284"/>
      <c r="AD779" s="284"/>
    </row>
    <row r="780" ht="14.25" customHeight="1">
      <c r="A780" s="265">
        <v>44319.0</v>
      </c>
      <c r="B780" s="266" t="s">
        <v>1685</v>
      </c>
      <c r="C780" s="266"/>
      <c r="D780" s="266" t="s">
        <v>1450</v>
      </c>
      <c r="E780" s="268"/>
      <c r="F780" s="358" t="s">
        <v>4010</v>
      </c>
      <c r="G780" s="268" t="s">
        <v>2085</v>
      </c>
      <c r="H780" s="270">
        <v>0.09947916666666667</v>
      </c>
      <c r="I780" s="271">
        <v>44319.532638888886</v>
      </c>
      <c r="J780" s="268"/>
      <c r="K780" s="268"/>
      <c r="L780" s="288" t="str">
        <f t="shared" si="1"/>
        <v/>
      </c>
      <c r="M780" s="307" t="s">
        <v>2808</v>
      </c>
      <c r="N780" s="351">
        <v>44319.63888888889</v>
      </c>
      <c r="O780" s="276" t="s">
        <v>4011</v>
      </c>
      <c r="P780" s="275" t="s">
        <v>3809</v>
      </c>
      <c r="Q780" s="276" t="s">
        <v>1819</v>
      </c>
      <c r="R780" s="277">
        <v>44319.68402777778</v>
      </c>
      <c r="S780" s="278"/>
      <c r="T780" s="278" t="s">
        <v>4012</v>
      </c>
      <c r="U780" s="279"/>
      <c r="V780" s="279" t="s">
        <v>1685</v>
      </c>
      <c r="W780" s="280">
        <v>44321.0</v>
      </c>
      <c r="X780" s="281">
        <v>0.2916666666666667</v>
      </c>
      <c r="Y780" s="279" t="s">
        <v>1693</v>
      </c>
      <c r="Z780" s="282" t="s">
        <v>1570</v>
      </c>
      <c r="AA780" s="282" t="s">
        <v>4010</v>
      </c>
      <c r="AB780" s="283">
        <v>44319.0</v>
      </c>
      <c r="AC780" s="284"/>
      <c r="AD780" s="284"/>
    </row>
    <row r="781" ht="14.25" customHeight="1">
      <c r="A781" s="265">
        <v>44319.0</v>
      </c>
      <c r="B781" s="266" t="s">
        <v>1783</v>
      </c>
      <c r="C781" s="266"/>
      <c r="D781" s="266" t="s">
        <v>1452</v>
      </c>
      <c r="E781" s="268"/>
      <c r="F781" s="358" t="s">
        <v>4013</v>
      </c>
      <c r="G781" s="268" t="s">
        <v>2085</v>
      </c>
      <c r="H781" s="270">
        <v>0.0037962962962962963</v>
      </c>
      <c r="I781" s="271">
        <v>44319.49444444444</v>
      </c>
      <c r="J781" s="268"/>
      <c r="K781" s="271">
        <v>44319.502118055556</v>
      </c>
      <c r="L781" s="288" t="str">
        <f t="shared" si="1"/>
        <v>12:11:03 AM</v>
      </c>
      <c r="M781" s="278"/>
      <c r="N781" s="290"/>
      <c r="O781" s="276"/>
      <c r="P781" s="276"/>
      <c r="Q781" s="276"/>
      <c r="R781" s="278"/>
      <c r="S781" s="278"/>
      <c r="T781" s="278"/>
      <c r="U781" s="279"/>
      <c r="V781" s="279" t="s">
        <v>1783</v>
      </c>
      <c r="W781" s="280">
        <v>44319.0</v>
      </c>
      <c r="X781" s="281">
        <v>0.006944444444444444</v>
      </c>
      <c r="Y781" s="279" t="s">
        <v>1693</v>
      </c>
      <c r="Z781" s="282" t="s">
        <v>1570</v>
      </c>
      <c r="AA781" s="282" t="s">
        <v>4013</v>
      </c>
      <c r="AB781" s="283">
        <v>44319.0</v>
      </c>
      <c r="AC781" s="284"/>
      <c r="AD781" s="284"/>
    </row>
    <row r="782" ht="14.25" customHeight="1">
      <c r="A782" s="265">
        <v>44319.0</v>
      </c>
      <c r="B782" s="266" t="s">
        <v>1783</v>
      </c>
      <c r="C782" s="266"/>
      <c r="D782" s="265" t="s">
        <v>1686</v>
      </c>
      <c r="E782" s="268"/>
      <c r="F782" s="358" t="s">
        <v>4014</v>
      </c>
      <c r="G782" s="268" t="s">
        <v>2085</v>
      </c>
      <c r="H782" s="270">
        <v>0.03945601851851852</v>
      </c>
      <c r="I782" s="271">
        <v>44320.37569444445</v>
      </c>
      <c r="J782" s="268"/>
      <c r="K782" s="268"/>
      <c r="L782" s="288" t="str">
        <f t="shared" si="1"/>
        <v/>
      </c>
      <c r="M782" s="307" t="s">
        <v>2808</v>
      </c>
      <c r="N782" s="351">
        <v>44320.430555555555</v>
      </c>
      <c r="O782" s="276" t="s">
        <v>4015</v>
      </c>
      <c r="P782" s="275" t="s">
        <v>4016</v>
      </c>
      <c r="Q782" s="276" t="s">
        <v>1819</v>
      </c>
      <c r="R782" s="277">
        <v>44320.50408564815</v>
      </c>
      <c r="S782" s="278"/>
      <c r="T782" s="278" t="s">
        <v>4017</v>
      </c>
      <c r="U782" s="279"/>
      <c r="V782" s="279" t="s">
        <v>1783</v>
      </c>
      <c r="W782" s="280" t="s">
        <v>4018</v>
      </c>
      <c r="X782" s="281">
        <v>0.16666666666666666</v>
      </c>
      <c r="Y782" s="279" t="s">
        <v>1693</v>
      </c>
      <c r="Z782" s="282" t="s">
        <v>1570</v>
      </c>
      <c r="AA782" s="282" t="s">
        <v>4014</v>
      </c>
      <c r="AB782" s="283">
        <v>44320.0</v>
      </c>
      <c r="AC782" s="284"/>
      <c r="AD782" s="284"/>
    </row>
    <row r="783" ht="14.25" customHeight="1">
      <c r="A783" s="265">
        <v>44319.0</v>
      </c>
      <c r="B783" s="266" t="s">
        <v>1733</v>
      </c>
      <c r="C783" s="266"/>
      <c r="D783" s="266" t="s">
        <v>1455</v>
      </c>
      <c r="E783" s="268"/>
      <c r="F783" s="358" t="s">
        <v>4019</v>
      </c>
      <c r="G783" s="268" t="s">
        <v>2085</v>
      </c>
      <c r="H783" s="270">
        <v>0.021215277777777777</v>
      </c>
      <c r="I783" s="271">
        <v>44320.384722222225</v>
      </c>
      <c r="J783" s="268"/>
      <c r="K783" s="268"/>
      <c r="L783" s="288" t="str">
        <f t="shared" si="1"/>
        <v/>
      </c>
      <c r="M783" s="307" t="s">
        <v>2808</v>
      </c>
      <c r="N783" s="404">
        <v>44320.45625</v>
      </c>
      <c r="O783" s="276" t="s">
        <v>4020</v>
      </c>
      <c r="P783" s="275" t="s">
        <v>3809</v>
      </c>
      <c r="Q783" s="276" t="s">
        <v>1819</v>
      </c>
      <c r="R783" s="277">
        <v>44320.47153935185</v>
      </c>
      <c r="S783" s="278"/>
      <c r="T783" s="278" t="s">
        <v>4021</v>
      </c>
      <c r="U783" s="279"/>
      <c r="V783" s="279" t="s">
        <v>1824</v>
      </c>
      <c r="W783" s="280">
        <v>44321.0</v>
      </c>
      <c r="X783" s="281">
        <v>0.09722222222222222</v>
      </c>
      <c r="Y783" s="279" t="s">
        <v>1693</v>
      </c>
      <c r="Z783" s="282" t="s">
        <v>1570</v>
      </c>
      <c r="AA783" s="282" t="s">
        <v>4019</v>
      </c>
      <c r="AB783" s="283">
        <v>44320.0</v>
      </c>
      <c r="AC783" s="284"/>
      <c r="AD783" s="284"/>
    </row>
    <row r="784" ht="14.25" customHeight="1">
      <c r="A784" s="265">
        <v>44320.0</v>
      </c>
      <c r="B784" s="266" t="s">
        <v>1500</v>
      </c>
      <c r="C784" s="266" t="s">
        <v>1686</v>
      </c>
      <c r="D784" s="266" t="s">
        <v>1543</v>
      </c>
      <c r="E784" s="268"/>
      <c r="F784" s="269" t="s">
        <v>4022</v>
      </c>
      <c r="G784" s="268" t="s">
        <v>1463</v>
      </c>
      <c r="H784" s="270">
        <v>0.001550925925925926</v>
      </c>
      <c r="I784" s="271">
        <v>44321.59375</v>
      </c>
      <c r="J784" s="268"/>
      <c r="K784" s="271"/>
      <c r="L784" s="288" t="str">
        <f t="shared" si="1"/>
        <v/>
      </c>
      <c r="M784" s="359" t="s">
        <v>3505</v>
      </c>
      <c r="N784" s="290"/>
      <c r="O784" s="276"/>
      <c r="P784" s="276"/>
      <c r="Q784" s="276"/>
      <c r="R784" s="278"/>
      <c r="S784" s="278"/>
      <c r="T784" s="278"/>
      <c r="U784" s="279"/>
      <c r="V784" s="279" t="s">
        <v>2030</v>
      </c>
      <c r="W784" s="280">
        <v>44330.0</v>
      </c>
      <c r="X784" s="281">
        <v>0.003472222222222222</v>
      </c>
      <c r="Y784" s="279" t="s">
        <v>1693</v>
      </c>
      <c r="Z784" s="282" t="s">
        <v>1570</v>
      </c>
      <c r="AA784" s="282">
        <v>6361369.0</v>
      </c>
      <c r="AB784" s="283">
        <v>44321.0</v>
      </c>
      <c r="AC784" s="284"/>
      <c r="AD784" s="284"/>
    </row>
    <row r="785" ht="14.25" customHeight="1">
      <c r="A785" s="265">
        <v>44320.0</v>
      </c>
      <c r="B785" s="266" t="s">
        <v>1500</v>
      </c>
      <c r="C785" s="266" t="s">
        <v>1450</v>
      </c>
      <c r="D785" s="266" t="s">
        <v>1543</v>
      </c>
      <c r="E785" s="268"/>
      <c r="F785" s="269" t="s">
        <v>4023</v>
      </c>
      <c r="G785" s="268" t="s">
        <v>1463</v>
      </c>
      <c r="H785" s="270">
        <v>0.0010648148148148147</v>
      </c>
      <c r="I785" s="271">
        <v>44326.270833333336</v>
      </c>
      <c r="J785" s="268"/>
      <c r="K785" s="271">
        <v>44326.28042824074</v>
      </c>
      <c r="L785" s="288" t="str">
        <f t="shared" si="1"/>
        <v>12:13:49 AM</v>
      </c>
      <c r="M785" s="278" t="s">
        <v>4024</v>
      </c>
      <c r="N785" s="290"/>
      <c r="O785" s="276"/>
      <c r="P785" s="276"/>
      <c r="Q785" s="276"/>
      <c r="R785" s="278"/>
      <c r="S785" s="278"/>
      <c r="T785" s="278"/>
      <c r="U785" s="279"/>
      <c r="V785" s="279" t="s">
        <v>2030</v>
      </c>
      <c r="W785" s="280">
        <v>44330.0</v>
      </c>
      <c r="X785" s="281">
        <v>0.003472222222222222</v>
      </c>
      <c r="Y785" s="279" t="s">
        <v>1693</v>
      </c>
      <c r="Z785" s="282" t="s">
        <v>53</v>
      </c>
      <c r="AA785" s="282">
        <v>6362526.0</v>
      </c>
      <c r="AB785" s="283">
        <v>44327.0</v>
      </c>
      <c r="AC785" s="284"/>
      <c r="AD785" s="284"/>
    </row>
    <row r="786" ht="14.25" customHeight="1">
      <c r="A786" s="265">
        <v>44320.0</v>
      </c>
      <c r="B786" s="266" t="s">
        <v>1685</v>
      </c>
      <c r="C786" s="266"/>
      <c r="D786" s="266" t="s">
        <v>1450</v>
      </c>
      <c r="E786" s="268"/>
      <c r="F786" s="358" t="s">
        <v>4025</v>
      </c>
      <c r="G786" s="268" t="s">
        <v>2085</v>
      </c>
      <c r="H786" s="270">
        <v>0.0992013888888889</v>
      </c>
      <c r="I786" s="271">
        <v>44320.58472222222</v>
      </c>
      <c r="J786" s="268"/>
      <c r="K786" s="268"/>
      <c r="L786" s="288" t="str">
        <f t="shared" si="1"/>
        <v/>
      </c>
      <c r="M786" s="307" t="s">
        <v>2808</v>
      </c>
      <c r="N786" s="351">
        <v>44320.63680555556</v>
      </c>
      <c r="O786" s="276" t="s">
        <v>4026</v>
      </c>
      <c r="P786" s="275" t="s">
        <v>3809</v>
      </c>
      <c r="Q786" s="276" t="s">
        <v>1819</v>
      </c>
      <c r="R786" s="277">
        <v>44320.687685185185</v>
      </c>
      <c r="S786" s="278"/>
      <c r="T786" s="278" t="s">
        <v>4027</v>
      </c>
      <c r="U786" s="279"/>
      <c r="V786" s="279" t="s">
        <v>1685</v>
      </c>
      <c r="W786" s="280">
        <v>44322.0</v>
      </c>
      <c r="X786" s="281">
        <v>0.2916666666666667</v>
      </c>
      <c r="Y786" s="279" t="s">
        <v>1693</v>
      </c>
      <c r="Z786" s="282" t="s">
        <v>1570</v>
      </c>
      <c r="AA786" s="282" t="s">
        <v>4025</v>
      </c>
      <c r="AB786" s="283">
        <v>44320.0</v>
      </c>
      <c r="AC786" s="284"/>
      <c r="AD786" s="284"/>
    </row>
    <row r="787" ht="14.25" customHeight="1">
      <c r="A787" s="265">
        <v>44320.0</v>
      </c>
      <c r="B787" s="266" t="s">
        <v>1783</v>
      </c>
      <c r="C787" s="266"/>
      <c r="D787" s="266" t="s">
        <v>1452</v>
      </c>
      <c r="E787" s="268"/>
      <c r="F787" s="358" t="s">
        <v>4028</v>
      </c>
      <c r="G787" s="268" t="s">
        <v>2085</v>
      </c>
      <c r="H787" s="270">
        <v>0.0024189814814814816</v>
      </c>
      <c r="I787" s="271">
        <v>44320.45486111111</v>
      </c>
      <c r="J787" s="268"/>
      <c r="K787" s="271">
        <v>44320.45890046296</v>
      </c>
      <c r="L787" s="288" t="str">
        <f t="shared" si="1"/>
        <v>12:05:49 AM</v>
      </c>
      <c r="M787" s="278"/>
      <c r="N787" s="290"/>
      <c r="O787" s="276"/>
      <c r="P787" s="276"/>
      <c r="Q787" s="276"/>
      <c r="R787" s="278"/>
      <c r="S787" s="278"/>
      <c r="T787" s="278"/>
      <c r="U787" s="279"/>
      <c r="V787" s="279" t="s">
        <v>1783</v>
      </c>
      <c r="W787" s="280">
        <v>44321.0</v>
      </c>
      <c r="X787" s="281">
        <v>0.004861111111111111</v>
      </c>
      <c r="Y787" s="279" t="s">
        <v>1693</v>
      </c>
      <c r="Z787" s="282" t="s">
        <v>53</v>
      </c>
      <c r="AA787" s="282" t="s">
        <v>4028</v>
      </c>
      <c r="AB787" s="283">
        <v>44320.0</v>
      </c>
      <c r="AC787" s="284"/>
      <c r="AD787" s="284"/>
    </row>
    <row r="788" ht="14.25" customHeight="1">
      <c r="A788" s="265">
        <v>44320.0</v>
      </c>
      <c r="B788" s="266" t="s">
        <v>1783</v>
      </c>
      <c r="C788" s="266"/>
      <c r="D788" s="265" t="s">
        <v>1686</v>
      </c>
      <c r="E788" s="268"/>
      <c r="F788" s="358" t="s">
        <v>4029</v>
      </c>
      <c r="G788" s="268" t="s">
        <v>2085</v>
      </c>
      <c r="H788" s="270">
        <v>0.03857638888888889</v>
      </c>
      <c r="I788" s="271">
        <v>44320.57638888889</v>
      </c>
      <c r="J788" s="268"/>
      <c r="K788" s="271">
        <v>44320.61736111111</v>
      </c>
      <c r="L788" s="288" t="str">
        <f t="shared" si="1"/>
        <v>12:59:00 AM</v>
      </c>
      <c r="M788" s="278"/>
      <c r="N788" s="290"/>
      <c r="O788" s="276"/>
      <c r="P788" s="276"/>
      <c r="Q788" s="276"/>
      <c r="R788" s="278"/>
      <c r="S788" s="278"/>
      <c r="T788" s="278"/>
      <c r="U788" s="279"/>
      <c r="V788" s="279" t="s">
        <v>1783</v>
      </c>
      <c r="W788" s="280">
        <v>44321.0</v>
      </c>
      <c r="X788" s="281">
        <v>0.15277777777777776</v>
      </c>
      <c r="Y788" s="279" t="s">
        <v>1693</v>
      </c>
      <c r="Z788" s="282" t="s">
        <v>1570</v>
      </c>
      <c r="AA788" s="282" t="s">
        <v>4029</v>
      </c>
      <c r="AB788" s="283">
        <v>44320.0</v>
      </c>
      <c r="AC788" s="284"/>
      <c r="AD788" s="284"/>
    </row>
    <row r="789" ht="14.25" customHeight="1">
      <c r="A789" s="265">
        <v>44320.0</v>
      </c>
      <c r="B789" s="266" t="s">
        <v>3677</v>
      </c>
      <c r="C789" s="266"/>
      <c r="D789" s="266" t="s">
        <v>1455</v>
      </c>
      <c r="E789" s="268"/>
      <c r="F789" s="358" t="s">
        <v>4030</v>
      </c>
      <c r="G789" s="268" t="s">
        <v>2085</v>
      </c>
      <c r="H789" s="270">
        <v>0.020127314814814817</v>
      </c>
      <c r="I789" s="271">
        <v>44321.38680555556</v>
      </c>
      <c r="J789" s="268"/>
      <c r="K789" s="271">
        <v>44321.41709490741</v>
      </c>
      <c r="L789" s="288" t="str">
        <f t="shared" si="1"/>
        <v>12:43:37 AM</v>
      </c>
      <c r="M789" s="278"/>
      <c r="N789" s="290"/>
      <c r="O789" s="276"/>
      <c r="P789" s="276"/>
      <c r="Q789" s="276"/>
      <c r="R789" s="278"/>
      <c r="S789" s="278"/>
      <c r="T789" s="278"/>
      <c r="U789" s="279"/>
      <c r="V789" s="279" t="s">
        <v>1824</v>
      </c>
      <c r="W789" s="280">
        <v>44321.0</v>
      </c>
      <c r="X789" s="281">
        <v>0.09465277777777777</v>
      </c>
      <c r="Y789" s="279" t="s">
        <v>1693</v>
      </c>
      <c r="Z789" s="282" t="s">
        <v>1570</v>
      </c>
      <c r="AA789" s="282" t="s">
        <v>4030</v>
      </c>
      <c r="AB789" s="283">
        <v>44321.0</v>
      </c>
      <c r="AC789" s="284"/>
      <c r="AD789" s="284"/>
    </row>
    <row r="790" ht="14.25" customHeight="1">
      <c r="A790" s="265">
        <v>44321.0</v>
      </c>
      <c r="B790" s="266" t="s">
        <v>1500</v>
      </c>
      <c r="C790" s="266" t="s">
        <v>1686</v>
      </c>
      <c r="D790" s="266" t="s">
        <v>1543</v>
      </c>
      <c r="E790" s="268"/>
      <c r="F790" s="269" t="s">
        <v>4031</v>
      </c>
      <c r="G790" s="268" t="s">
        <v>1463</v>
      </c>
      <c r="H790" s="270">
        <v>0.001712962962962963</v>
      </c>
      <c r="I790" s="271">
        <v>44323.75</v>
      </c>
      <c r="J790" s="268"/>
      <c r="K790" s="268"/>
      <c r="L790" s="288" t="str">
        <f t="shared" si="1"/>
        <v/>
      </c>
      <c r="M790" s="359" t="s">
        <v>3505</v>
      </c>
      <c r="N790" s="273"/>
      <c r="O790" s="276"/>
      <c r="P790" s="275"/>
      <c r="Q790" s="276"/>
      <c r="R790" s="277"/>
      <c r="S790" s="278"/>
      <c r="T790" s="278"/>
      <c r="U790" s="279"/>
      <c r="V790" s="279" t="s">
        <v>2030</v>
      </c>
      <c r="W790" s="280">
        <v>44330.0</v>
      </c>
      <c r="X790" s="281">
        <v>0.004166666666666667</v>
      </c>
      <c r="Y790" s="279" t="s">
        <v>1693</v>
      </c>
      <c r="Z790" s="282" t="s">
        <v>1570</v>
      </c>
      <c r="AA790" s="282">
        <v>6362113.0</v>
      </c>
      <c r="AB790" s="283">
        <v>44323.0</v>
      </c>
      <c r="AC790" s="284"/>
      <c r="AD790" s="284"/>
    </row>
    <row r="791" ht="14.25" customHeight="1">
      <c r="A791" s="265">
        <v>44321.0</v>
      </c>
      <c r="B791" s="266" t="s">
        <v>1500</v>
      </c>
      <c r="C791" s="266" t="s">
        <v>1696</v>
      </c>
      <c r="D791" s="266" t="s">
        <v>1543</v>
      </c>
      <c r="E791" s="268"/>
      <c r="F791" s="269" t="s">
        <v>4032</v>
      </c>
      <c r="G791" s="268" t="s">
        <v>1463</v>
      </c>
      <c r="H791" s="270">
        <v>0.001412037037037037</v>
      </c>
      <c r="I791" s="271">
        <v>44326.270833333336</v>
      </c>
      <c r="J791" s="268"/>
      <c r="K791" s="271">
        <v>44326.2796875</v>
      </c>
      <c r="L791" s="288" t="str">
        <f t="shared" si="1"/>
        <v>12:12:45 AM</v>
      </c>
      <c r="M791" s="272" t="s">
        <v>4033</v>
      </c>
      <c r="N791" s="273"/>
      <c r="O791" s="276"/>
      <c r="P791" s="275"/>
      <c r="Q791" s="276"/>
      <c r="R791" s="277"/>
      <c r="S791" s="278"/>
      <c r="T791" s="278"/>
      <c r="U791" s="279"/>
      <c r="V791" s="279" t="s">
        <v>1824</v>
      </c>
      <c r="W791" s="280">
        <v>44330.0</v>
      </c>
      <c r="X791" s="281">
        <v>0.00832175925925926</v>
      </c>
      <c r="Y791" s="279" t="s">
        <v>1693</v>
      </c>
      <c r="Z791" s="282" t="s">
        <v>53</v>
      </c>
      <c r="AA791" s="282">
        <v>6362527.0</v>
      </c>
      <c r="AB791" s="283">
        <v>44327.0</v>
      </c>
      <c r="AC791" s="284"/>
      <c r="AD791" s="284"/>
    </row>
    <row r="792" ht="14.25" customHeight="1">
      <c r="A792" s="265">
        <v>44321.0</v>
      </c>
      <c r="B792" s="266" t="s">
        <v>1500</v>
      </c>
      <c r="C792" s="266" t="s">
        <v>1686</v>
      </c>
      <c r="D792" s="266" t="s">
        <v>1543</v>
      </c>
      <c r="E792" s="268"/>
      <c r="F792" s="269" t="s">
        <v>4034</v>
      </c>
      <c r="G792" s="268" t="s">
        <v>1463</v>
      </c>
      <c r="H792" s="270">
        <v>0.0010763888888888889</v>
      </c>
      <c r="I792" s="271">
        <v>44323.75</v>
      </c>
      <c r="J792" s="268"/>
      <c r="K792" s="268"/>
      <c r="L792" s="288" t="str">
        <f t="shared" si="1"/>
        <v/>
      </c>
      <c r="M792" s="272" t="s">
        <v>4035</v>
      </c>
      <c r="N792" s="273"/>
      <c r="O792" s="276"/>
      <c r="P792" s="275"/>
      <c r="Q792" s="276"/>
      <c r="R792" s="277"/>
      <c r="S792" s="278"/>
      <c r="T792" s="278"/>
      <c r="U792" s="279"/>
      <c r="V792" s="279" t="s">
        <v>1824</v>
      </c>
      <c r="W792" s="280">
        <v>44330.0</v>
      </c>
      <c r="X792" s="281">
        <v>0.004525462962962963</v>
      </c>
      <c r="Y792" s="279" t="s">
        <v>1693</v>
      </c>
      <c r="Z792" s="282" t="s">
        <v>53</v>
      </c>
      <c r="AA792" s="282">
        <v>6362922.0</v>
      </c>
      <c r="AB792" s="283">
        <v>44328.0</v>
      </c>
      <c r="AC792" s="284"/>
      <c r="AD792" s="284"/>
    </row>
    <row r="793" ht="14.25" customHeight="1">
      <c r="A793" s="265">
        <v>44321.0</v>
      </c>
      <c r="B793" s="266" t="s">
        <v>1783</v>
      </c>
      <c r="C793" s="266"/>
      <c r="D793" s="266" t="s">
        <v>1452</v>
      </c>
      <c r="E793" s="268"/>
      <c r="F793" s="291" t="s">
        <v>4036</v>
      </c>
      <c r="G793" s="268"/>
      <c r="H793" s="268"/>
      <c r="I793" s="268"/>
      <c r="J793" s="268"/>
      <c r="K793" s="268"/>
      <c r="L793" s="288" t="str">
        <f t="shared" si="1"/>
        <v/>
      </c>
      <c r="M793" s="278"/>
      <c r="N793" s="290"/>
      <c r="O793" s="276"/>
      <c r="P793" s="276"/>
      <c r="Q793" s="276"/>
      <c r="R793" s="278"/>
      <c r="S793" s="278"/>
      <c r="T793" s="278"/>
      <c r="U793" s="279"/>
      <c r="V793" s="279" t="s">
        <v>28</v>
      </c>
      <c r="W793" s="279" t="s">
        <v>28</v>
      </c>
      <c r="X793" s="279" t="s">
        <v>28</v>
      </c>
      <c r="Y793" s="279" t="s">
        <v>28</v>
      </c>
      <c r="Z793" s="282" t="s">
        <v>28</v>
      </c>
      <c r="AA793" s="282" t="s">
        <v>28</v>
      </c>
      <c r="AB793" s="282" t="s">
        <v>28</v>
      </c>
      <c r="AC793" s="284"/>
      <c r="AD793" s="284"/>
    </row>
    <row r="794" ht="14.25" customHeight="1">
      <c r="A794" s="265">
        <v>44321.0</v>
      </c>
      <c r="B794" s="266" t="s">
        <v>1685</v>
      </c>
      <c r="C794" s="266"/>
      <c r="D794" s="266" t="s">
        <v>1450</v>
      </c>
      <c r="E794" s="268"/>
      <c r="F794" s="358" t="s">
        <v>4037</v>
      </c>
      <c r="G794" s="268" t="s">
        <v>2085</v>
      </c>
      <c r="H794" s="270">
        <v>0.09959490740740741</v>
      </c>
      <c r="I794" s="271">
        <v>44321.51458333333</v>
      </c>
      <c r="J794" s="268"/>
      <c r="K794" s="268"/>
      <c r="L794" s="288" t="str">
        <f t="shared" si="1"/>
        <v/>
      </c>
      <c r="M794" s="307" t="s">
        <v>2808</v>
      </c>
      <c r="N794" s="351">
        <v>44321.60625</v>
      </c>
      <c r="O794" s="276" t="s">
        <v>4038</v>
      </c>
      <c r="P794" s="352" t="s">
        <v>3809</v>
      </c>
      <c r="Q794" s="276" t="s">
        <v>1819</v>
      </c>
      <c r="R794" s="277">
        <v>44321.66446759259</v>
      </c>
      <c r="S794" s="278"/>
      <c r="T794" s="278" t="s">
        <v>4039</v>
      </c>
      <c r="U794" s="279"/>
      <c r="V794" s="279" t="s">
        <v>1685</v>
      </c>
      <c r="W794" s="280">
        <v>44323.0</v>
      </c>
      <c r="X794" s="281">
        <v>0.2916666666666667</v>
      </c>
      <c r="Y794" s="279" t="s">
        <v>1693</v>
      </c>
      <c r="Z794" s="282" t="s">
        <v>1570</v>
      </c>
      <c r="AA794" s="282" t="s">
        <v>4037</v>
      </c>
      <c r="AB794" s="283">
        <v>44322.0</v>
      </c>
      <c r="AC794" s="284"/>
      <c r="AD794" s="284"/>
    </row>
    <row r="795" ht="14.25" customHeight="1">
      <c r="A795" s="265">
        <v>44321.0</v>
      </c>
      <c r="B795" s="266" t="s">
        <v>1783</v>
      </c>
      <c r="C795" s="266"/>
      <c r="D795" s="265" t="s">
        <v>1686</v>
      </c>
      <c r="E795" s="268"/>
      <c r="F795" s="358" t="s">
        <v>4040</v>
      </c>
      <c r="G795" s="268" t="s">
        <v>2085</v>
      </c>
      <c r="H795" s="270">
        <v>0.03899305555555555</v>
      </c>
      <c r="I795" s="271">
        <v>44321.60833333333</v>
      </c>
      <c r="J795" s="268"/>
      <c r="K795" s="271">
        <v>44321.63077546296</v>
      </c>
      <c r="L795" s="288" t="str">
        <f t="shared" si="1"/>
        <v>12:32:19 AM</v>
      </c>
      <c r="M795" s="278"/>
      <c r="N795" s="290"/>
      <c r="O795" s="276"/>
      <c r="P795" s="276"/>
      <c r="Q795" s="276"/>
      <c r="R795" s="278"/>
      <c r="S795" s="278"/>
      <c r="T795" s="278"/>
      <c r="U795" s="279"/>
      <c r="V795" s="279" t="s">
        <v>1783</v>
      </c>
      <c r="W795" s="280" t="s">
        <v>4041</v>
      </c>
      <c r="X795" s="281">
        <v>0.1388888888888889</v>
      </c>
      <c r="Y795" s="279" t="s">
        <v>1693</v>
      </c>
      <c r="Z795" s="282" t="s">
        <v>1570</v>
      </c>
      <c r="AA795" s="282" t="s">
        <v>4040</v>
      </c>
      <c r="AB795" s="283">
        <v>44321.0</v>
      </c>
      <c r="AC795" s="284"/>
      <c r="AD795" s="284"/>
    </row>
    <row r="796" ht="14.25" customHeight="1">
      <c r="A796" s="265">
        <v>44321.0</v>
      </c>
      <c r="B796" s="266" t="s">
        <v>2030</v>
      </c>
      <c r="C796" s="266"/>
      <c r="D796" s="266" t="s">
        <v>1455</v>
      </c>
      <c r="E796" s="268"/>
      <c r="F796" s="358" t="s">
        <v>4042</v>
      </c>
      <c r="G796" s="268" t="s">
        <v>2085</v>
      </c>
      <c r="H796" s="270">
        <v>0.019988425925925927</v>
      </c>
      <c r="I796" s="271">
        <v>44322.3875</v>
      </c>
      <c r="J796" s="268"/>
      <c r="K796" s="268"/>
      <c r="L796" s="288" t="str">
        <f t="shared" si="1"/>
        <v/>
      </c>
      <c r="M796" s="307" t="s">
        <v>2808</v>
      </c>
      <c r="N796" s="273">
        <v>44322.42291666667</v>
      </c>
      <c r="O796" s="276" t="s">
        <v>4043</v>
      </c>
      <c r="P796" s="275" t="s">
        <v>3809</v>
      </c>
      <c r="Q796" s="276" t="s">
        <v>1819</v>
      </c>
      <c r="R796" s="277">
        <v>44322.44567129629</v>
      </c>
      <c r="S796" s="278"/>
      <c r="T796" s="278" t="s">
        <v>4044</v>
      </c>
      <c r="U796" s="279"/>
      <c r="V796" s="279" t="s">
        <v>1824</v>
      </c>
      <c r="W796" s="280">
        <v>44323.0</v>
      </c>
      <c r="X796" s="281">
        <v>0.10416666666666667</v>
      </c>
      <c r="Y796" s="279" t="s">
        <v>1693</v>
      </c>
      <c r="Z796" s="282" t="s">
        <v>1570</v>
      </c>
      <c r="AA796" s="282" t="s">
        <v>4042</v>
      </c>
      <c r="AB796" s="283">
        <v>44323.0</v>
      </c>
      <c r="AC796" s="284"/>
      <c r="AD796" s="284"/>
    </row>
    <row r="797" ht="14.25" customHeight="1">
      <c r="A797" s="265">
        <v>44322.0</v>
      </c>
      <c r="B797" s="266" t="s">
        <v>1500</v>
      </c>
      <c r="C797" s="266" t="s">
        <v>1696</v>
      </c>
      <c r="D797" s="266" t="s">
        <v>1543</v>
      </c>
      <c r="E797" s="268"/>
      <c r="F797" s="269" t="s">
        <v>4045</v>
      </c>
      <c r="G797" s="268" t="s">
        <v>1463</v>
      </c>
      <c r="H797" s="270">
        <v>0.0031249999999999997</v>
      </c>
      <c r="I797" s="271">
        <v>44326.270833333336</v>
      </c>
      <c r="J797" s="268"/>
      <c r="K797" s="271">
        <v>44326.28189814815</v>
      </c>
      <c r="L797" s="288" t="str">
        <f t="shared" si="1"/>
        <v>12:15:56 AM</v>
      </c>
      <c r="M797" s="278" t="s">
        <v>4046</v>
      </c>
      <c r="N797" s="290"/>
      <c r="O797" s="276"/>
      <c r="P797" s="276"/>
      <c r="Q797" s="276"/>
      <c r="R797" s="278"/>
      <c r="S797" s="278"/>
      <c r="T797" s="278"/>
      <c r="U797" s="279"/>
      <c r="V797" s="279" t="s">
        <v>1824</v>
      </c>
      <c r="W797" s="280">
        <v>44330.0</v>
      </c>
      <c r="X797" s="281">
        <v>0.00863425925925926</v>
      </c>
      <c r="Y797" s="279" t="s">
        <v>1693</v>
      </c>
      <c r="Z797" s="282" t="s">
        <v>53</v>
      </c>
      <c r="AA797" s="282">
        <v>6362528.0</v>
      </c>
      <c r="AB797" s="283">
        <v>44327.0</v>
      </c>
      <c r="AC797" s="284"/>
      <c r="AD797" s="284"/>
    </row>
    <row r="798" ht="14.25" customHeight="1">
      <c r="A798" s="265">
        <v>44322.0</v>
      </c>
      <c r="B798" s="266" t="s">
        <v>1500</v>
      </c>
      <c r="C798" s="266" t="s">
        <v>2471</v>
      </c>
      <c r="D798" s="266" t="s">
        <v>1543</v>
      </c>
      <c r="E798" s="268"/>
      <c r="F798" s="269" t="s">
        <v>4047</v>
      </c>
      <c r="G798" s="268" t="s">
        <v>1463</v>
      </c>
      <c r="H798" s="270">
        <v>0.0023958333333333336</v>
      </c>
      <c r="I798" s="271">
        <v>44326.270833333336</v>
      </c>
      <c r="J798" s="268"/>
      <c r="K798" s="271">
        <v>44326.28270833333</v>
      </c>
      <c r="L798" s="288" t="str">
        <f t="shared" si="1"/>
        <v>12:17:06 AM</v>
      </c>
      <c r="M798" s="278" t="s">
        <v>4048</v>
      </c>
      <c r="N798" s="290"/>
      <c r="O798" s="276"/>
      <c r="P798" s="276"/>
      <c r="Q798" s="276"/>
      <c r="R798" s="278"/>
      <c r="S798" s="278"/>
      <c r="T798" s="278"/>
      <c r="U798" s="279"/>
      <c r="V798" s="279" t="s">
        <v>1824</v>
      </c>
      <c r="W798" s="280">
        <v>44330.0</v>
      </c>
      <c r="X798" s="281">
        <v>0.0051504629629629635</v>
      </c>
      <c r="Y798" s="279" t="s">
        <v>1693</v>
      </c>
      <c r="Z798" s="282" t="s">
        <v>53</v>
      </c>
      <c r="AA798" s="282">
        <v>6362529.0</v>
      </c>
      <c r="AB798" s="283">
        <v>44327.0</v>
      </c>
      <c r="AC798" s="284"/>
      <c r="AD798" s="284"/>
    </row>
    <row r="799" ht="14.25" customHeight="1">
      <c r="A799" s="265">
        <v>44322.0</v>
      </c>
      <c r="B799" s="266" t="s">
        <v>1783</v>
      </c>
      <c r="C799" s="266"/>
      <c r="D799" s="266" t="s">
        <v>1452</v>
      </c>
      <c r="E799" s="268"/>
      <c r="F799" s="291" t="s">
        <v>4036</v>
      </c>
      <c r="G799" s="268"/>
      <c r="H799" s="268"/>
      <c r="I799" s="268"/>
      <c r="J799" s="268"/>
      <c r="K799" s="268"/>
      <c r="L799" s="288" t="str">
        <f t="shared" si="1"/>
        <v/>
      </c>
      <c r="M799" s="278"/>
      <c r="N799" s="290"/>
      <c r="O799" s="276"/>
      <c r="P799" s="276"/>
      <c r="Q799" s="276"/>
      <c r="R799" s="278"/>
      <c r="S799" s="278"/>
      <c r="T799" s="278"/>
      <c r="U799" s="279"/>
      <c r="V799" s="279" t="s">
        <v>28</v>
      </c>
      <c r="W799" s="279" t="s">
        <v>28</v>
      </c>
      <c r="X799" s="279" t="s">
        <v>28</v>
      </c>
      <c r="Y799" s="279" t="s">
        <v>28</v>
      </c>
      <c r="Z799" s="282" t="s">
        <v>28</v>
      </c>
      <c r="AA799" s="282" t="s">
        <v>28</v>
      </c>
      <c r="AB799" s="282" t="s">
        <v>28</v>
      </c>
      <c r="AC799" s="284"/>
      <c r="AD799" s="284"/>
    </row>
    <row r="800" ht="14.25" customHeight="1">
      <c r="A800" s="265">
        <v>44322.0</v>
      </c>
      <c r="B800" s="266" t="s">
        <v>1685</v>
      </c>
      <c r="C800" s="266"/>
      <c r="D800" s="266" t="s">
        <v>1450</v>
      </c>
      <c r="E800" s="268"/>
      <c r="F800" s="358" t="s">
        <v>4049</v>
      </c>
      <c r="G800" s="268" t="s">
        <v>2085</v>
      </c>
      <c r="H800" s="270">
        <v>0.09989583333333334</v>
      </c>
      <c r="I800" s="271">
        <v>44322.51388888889</v>
      </c>
      <c r="J800" s="268"/>
      <c r="K800" s="268"/>
      <c r="L800" s="288" t="str">
        <f t="shared" si="1"/>
        <v/>
      </c>
      <c r="M800" s="307" t="s">
        <v>2808</v>
      </c>
      <c r="N800" s="273">
        <v>44323.62013888889</v>
      </c>
      <c r="O800" s="276" t="s">
        <v>4050</v>
      </c>
      <c r="P800" s="275" t="s">
        <v>3809</v>
      </c>
      <c r="Q800" s="276" t="s">
        <v>1819</v>
      </c>
      <c r="R800" s="277">
        <v>44323.6775</v>
      </c>
      <c r="S800" s="278"/>
      <c r="T800" s="278" t="s">
        <v>4051</v>
      </c>
      <c r="U800" s="279"/>
      <c r="V800" s="279" t="s">
        <v>1783</v>
      </c>
      <c r="W800" s="280" t="s">
        <v>4052</v>
      </c>
      <c r="X800" s="281">
        <v>0.3333333333333333</v>
      </c>
      <c r="Y800" s="279" t="s">
        <v>1693</v>
      </c>
      <c r="Z800" s="282" t="s">
        <v>1570</v>
      </c>
      <c r="AA800" s="282" t="s">
        <v>4049</v>
      </c>
      <c r="AB800" s="283">
        <v>44323.0</v>
      </c>
      <c r="AC800" s="284"/>
      <c r="AD800" s="284"/>
    </row>
    <row r="801" ht="14.25" customHeight="1">
      <c r="A801" s="265">
        <v>44322.0</v>
      </c>
      <c r="B801" s="266" t="s">
        <v>1783</v>
      </c>
      <c r="C801" s="266"/>
      <c r="D801" s="265" t="s">
        <v>1686</v>
      </c>
      <c r="E801" s="268"/>
      <c r="F801" s="358" t="s">
        <v>4053</v>
      </c>
      <c r="G801" s="268" t="s">
        <v>2085</v>
      </c>
      <c r="H801" s="270">
        <v>0.036828703703703704</v>
      </c>
      <c r="I801" s="271">
        <v>44322.62569444445</v>
      </c>
      <c r="J801" s="268"/>
      <c r="K801" s="268"/>
      <c r="L801" s="288" t="str">
        <f t="shared" si="1"/>
        <v/>
      </c>
      <c r="M801" s="307" t="s">
        <v>2808</v>
      </c>
      <c r="N801" s="273">
        <v>44322.66111111111</v>
      </c>
      <c r="O801" s="276" t="s">
        <v>4054</v>
      </c>
      <c r="P801" s="275" t="s">
        <v>3809</v>
      </c>
      <c r="Q801" s="276" t="s">
        <v>1819</v>
      </c>
      <c r="R801" s="413" t="s">
        <v>4055</v>
      </c>
      <c r="S801" s="278"/>
      <c r="T801" s="278" t="s">
        <v>4056</v>
      </c>
      <c r="U801" s="279"/>
      <c r="V801" s="279" t="s">
        <v>1783</v>
      </c>
      <c r="W801" s="280">
        <v>44322.0</v>
      </c>
      <c r="X801" s="281">
        <v>0.1423611111111111</v>
      </c>
      <c r="Y801" s="279" t="s">
        <v>1693</v>
      </c>
      <c r="Z801" s="282" t="s">
        <v>1570</v>
      </c>
      <c r="AA801" s="282" t="s">
        <v>4053</v>
      </c>
      <c r="AB801" s="283">
        <v>44323.0</v>
      </c>
      <c r="AC801" s="284"/>
      <c r="AD801" s="284"/>
    </row>
    <row r="802" ht="14.25" customHeight="1">
      <c r="A802" s="265">
        <v>44322.0</v>
      </c>
      <c r="B802" s="266" t="s">
        <v>3677</v>
      </c>
      <c r="C802" s="266"/>
      <c r="D802" s="266" t="s">
        <v>1455</v>
      </c>
      <c r="E802" s="268"/>
      <c r="F802" s="358" t="s">
        <v>4057</v>
      </c>
      <c r="G802" s="268" t="s">
        <v>2085</v>
      </c>
      <c r="H802" s="270">
        <v>0.020925925925925928</v>
      </c>
      <c r="I802" s="271">
        <v>44323.39166666667</v>
      </c>
      <c r="J802" s="268"/>
      <c r="K802" s="271">
        <v>44323.40840277778</v>
      </c>
      <c r="L802" s="288" t="str">
        <f t="shared" si="1"/>
        <v>12:24:06 AM</v>
      </c>
      <c r="M802" s="278"/>
      <c r="N802" s="290"/>
      <c r="O802" s="276"/>
      <c r="P802" s="276"/>
      <c r="Q802" s="276"/>
      <c r="R802" s="278"/>
      <c r="S802" s="278"/>
      <c r="T802" s="278"/>
      <c r="U802" s="279"/>
      <c r="V802" s="279" t="s">
        <v>1824</v>
      </c>
      <c r="W802" s="280">
        <v>44323.0</v>
      </c>
      <c r="X802" s="281">
        <v>0.10416666666666667</v>
      </c>
      <c r="Y802" s="279" t="s">
        <v>1693</v>
      </c>
      <c r="Z802" s="282" t="s">
        <v>1570</v>
      </c>
      <c r="AA802" s="282" t="s">
        <v>4057</v>
      </c>
      <c r="AB802" s="283">
        <v>44323.0</v>
      </c>
      <c r="AC802" s="284"/>
      <c r="AD802" s="284"/>
    </row>
    <row r="803" ht="14.25" customHeight="1">
      <c r="A803" s="265">
        <v>44323.0</v>
      </c>
      <c r="B803" s="266" t="s">
        <v>1500</v>
      </c>
      <c r="C803" s="266" t="s">
        <v>1455</v>
      </c>
      <c r="D803" s="266" t="s">
        <v>1543</v>
      </c>
      <c r="E803" s="268"/>
      <c r="F803" s="269" t="s">
        <v>4058</v>
      </c>
      <c r="G803" s="268" t="s">
        <v>1463</v>
      </c>
      <c r="H803" s="270">
        <v>0.003148148148148148</v>
      </c>
      <c r="I803" s="271">
        <v>44328.51736111111</v>
      </c>
      <c r="J803" s="268"/>
      <c r="K803" s="271">
        <v>44328.85634259259</v>
      </c>
      <c r="L803" s="288" t="str">
        <f t="shared" si="1"/>
        <v>8:08:08 AM</v>
      </c>
      <c r="M803" s="278" t="s">
        <v>4059</v>
      </c>
      <c r="N803" s="290"/>
      <c r="O803" s="276"/>
      <c r="P803" s="276"/>
      <c r="Q803" s="276"/>
      <c r="R803" s="278"/>
      <c r="S803" s="278"/>
      <c r="T803" s="278"/>
      <c r="U803" s="279"/>
      <c r="V803" s="279" t="s">
        <v>1824</v>
      </c>
      <c r="W803" s="280">
        <v>44330.0</v>
      </c>
      <c r="X803" s="281">
        <v>0.005590277777777778</v>
      </c>
      <c r="Y803" s="279" t="s">
        <v>1693</v>
      </c>
      <c r="Z803" s="282" t="s">
        <v>1570</v>
      </c>
      <c r="AA803" s="282">
        <v>6362103.0</v>
      </c>
      <c r="AB803" s="283">
        <v>44330.0</v>
      </c>
      <c r="AC803" s="284"/>
      <c r="AD803" s="284"/>
    </row>
    <row r="804" ht="14.25" customHeight="1">
      <c r="A804" s="265">
        <v>44323.0</v>
      </c>
      <c r="B804" s="266" t="s">
        <v>1500</v>
      </c>
      <c r="C804" s="266" t="s">
        <v>1457</v>
      </c>
      <c r="D804" s="266" t="s">
        <v>1543</v>
      </c>
      <c r="E804" s="268"/>
      <c r="F804" s="269" t="s">
        <v>4060</v>
      </c>
      <c r="G804" s="268" t="s">
        <v>1463</v>
      </c>
      <c r="H804" s="270">
        <v>0.0038425925925925923</v>
      </c>
      <c r="I804" s="271">
        <v>44331.354166666664</v>
      </c>
      <c r="J804" s="268"/>
      <c r="K804" s="271">
        <v>44331.36430555556</v>
      </c>
      <c r="L804" s="288" t="str">
        <f t="shared" si="1"/>
        <v>12:14:36 AM</v>
      </c>
      <c r="M804" s="278" t="s">
        <v>4061</v>
      </c>
      <c r="N804" s="290"/>
      <c r="O804" s="276"/>
      <c r="P804" s="276"/>
      <c r="Q804" s="276"/>
      <c r="R804" s="278"/>
      <c r="S804" s="278"/>
      <c r="T804" s="278"/>
      <c r="U804" s="279"/>
      <c r="V804" s="279" t="s">
        <v>1824</v>
      </c>
      <c r="W804" s="280">
        <v>44333.0</v>
      </c>
      <c r="X804" s="281">
        <v>0.008564814814814815</v>
      </c>
      <c r="Y804" s="279" t="s">
        <v>1693</v>
      </c>
      <c r="Z804" s="282" t="s">
        <v>1570</v>
      </c>
      <c r="AA804" s="282">
        <v>6364778.0</v>
      </c>
      <c r="AB804" s="283">
        <v>44333.0</v>
      </c>
      <c r="AC804" s="284"/>
      <c r="AD804" s="284"/>
    </row>
    <row r="805" ht="14.25" customHeight="1">
      <c r="A805" s="265">
        <v>44323.0</v>
      </c>
      <c r="B805" s="266" t="s">
        <v>1783</v>
      </c>
      <c r="C805" s="266" t="s">
        <v>2158</v>
      </c>
      <c r="D805" s="266" t="s">
        <v>1450</v>
      </c>
      <c r="E805" s="268"/>
      <c r="F805" s="286" t="s">
        <v>4062</v>
      </c>
      <c r="G805" s="268" t="s">
        <v>3742</v>
      </c>
      <c r="H805" s="270"/>
      <c r="I805" s="271"/>
      <c r="J805" s="268"/>
      <c r="K805" s="268"/>
      <c r="L805" s="288" t="str">
        <f t="shared" si="1"/>
        <v/>
      </c>
      <c r="M805" s="307"/>
      <c r="N805" s="273"/>
      <c r="O805" s="276"/>
      <c r="P805" s="275"/>
      <c r="Q805" s="276"/>
      <c r="R805" s="277"/>
      <c r="S805" s="278"/>
      <c r="T805" s="278"/>
      <c r="U805" s="279"/>
      <c r="V805" s="279" t="s">
        <v>28</v>
      </c>
      <c r="W805" s="280"/>
      <c r="X805" s="279"/>
      <c r="Y805" s="279"/>
      <c r="Z805" s="282" t="s">
        <v>28</v>
      </c>
      <c r="AA805" s="282" t="s">
        <v>28</v>
      </c>
      <c r="AB805" s="283" t="s">
        <v>28</v>
      </c>
      <c r="AC805" s="284"/>
      <c r="AD805" s="284"/>
    </row>
    <row r="806" ht="14.25" customHeight="1">
      <c r="A806" s="265">
        <v>44323.0</v>
      </c>
      <c r="B806" s="266" t="s">
        <v>1783</v>
      </c>
      <c r="C806" s="266" t="s">
        <v>2158</v>
      </c>
      <c r="D806" s="266" t="s">
        <v>1450</v>
      </c>
      <c r="E806" s="268"/>
      <c r="F806" s="286" t="s">
        <v>4063</v>
      </c>
      <c r="G806" s="268" t="s">
        <v>3742</v>
      </c>
      <c r="H806" s="270"/>
      <c r="I806" s="271"/>
      <c r="J806" s="268"/>
      <c r="K806" s="268"/>
      <c r="L806" s="288" t="str">
        <f t="shared" si="1"/>
        <v/>
      </c>
      <c r="M806" s="307"/>
      <c r="N806" s="273"/>
      <c r="O806" s="276"/>
      <c r="P806" s="275"/>
      <c r="Q806" s="276"/>
      <c r="R806" s="277"/>
      <c r="S806" s="278"/>
      <c r="T806" s="278"/>
      <c r="U806" s="279"/>
      <c r="V806" s="279" t="s">
        <v>28</v>
      </c>
      <c r="W806" s="280"/>
      <c r="X806" s="279"/>
      <c r="Y806" s="279"/>
      <c r="Z806" s="282" t="s">
        <v>28</v>
      </c>
      <c r="AA806" s="282" t="s">
        <v>28</v>
      </c>
      <c r="AB806" s="283" t="s">
        <v>28</v>
      </c>
      <c r="AC806" s="284"/>
      <c r="AD806" s="284"/>
    </row>
    <row r="807" ht="14.25" customHeight="1">
      <c r="A807" s="265">
        <v>44323.0</v>
      </c>
      <c r="B807" s="266" t="s">
        <v>1783</v>
      </c>
      <c r="C807" s="266" t="s">
        <v>2158</v>
      </c>
      <c r="D807" s="266" t="s">
        <v>1450</v>
      </c>
      <c r="E807" s="268"/>
      <c r="F807" s="286" t="s">
        <v>4064</v>
      </c>
      <c r="G807" s="268" t="s">
        <v>3742</v>
      </c>
      <c r="H807" s="270"/>
      <c r="I807" s="271"/>
      <c r="J807" s="268"/>
      <c r="K807" s="268"/>
      <c r="L807" s="288" t="str">
        <f t="shared" si="1"/>
        <v/>
      </c>
      <c r="M807" s="307"/>
      <c r="N807" s="273"/>
      <c r="O807" s="276"/>
      <c r="P807" s="275"/>
      <c r="Q807" s="276"/>
      <c r="R807" s="277"/>
      <c r="S807" s="278"/>
      <c r="T807" s="278"/>
      <c r="U807" s="279"/>
      <c r="V807" s="279" t="s">
        <v>28</v>
      </c>
      <c r="W807" s="280"/>
      <c r="X807" s="279"/>
      <c r="Y807" s="279"/>
      <c r="Z807" s="282" t="s">
        <v>28</v>
      </c>
      <c r="AA807" s="282" t="s">
        <v>28</v>
      </c>
      <c r="AB807" s="283" t="s">
        <v>28</v>
      </c>
      <c r="AC807" s="284"/>
      <c r="AD807" s="284"/>
    </row>
    <row r="808" ht="14.25" customHeight="1">
      <c r="A808" s="265">
        <v>44323.0</v>
      </c>
      <c r="B808" s="266" t="s">
        <v>2030</v>
      </c>
      <c r="C808" s="266" t="s">
        <v>1455</v>
      </c>
      <c r="D808" s="266" t="s">
        <v>1455</v>
      </c>
      <c r="E808" s="268"/>
      <c r="F808" s="286" t="s">
        <v>4065</v>
      </c>
      <c r="G808" s="268" t="s">
        <v>3742</v>
      </c>
      <c r="H808" s="270"/>
      <c r="I808" s="271"/>
      <c r="J808" s="268"/>
      <c r="K808" s="271"/>
      <c r="L808" s="288" t="str">
        <f t="shared" si="1"/>
        <v/>
      </c>
      <c r="M808" s="278"/>
      <c r="N808" s="290"/>
      <c r="O808" s="276"/>
      <c r="P808" s="276"/>
      <c r="Q808" s="276"/>
      <c r="R808" s="278"/>
      <c r="S808" s="278"/>
      <c r="T808" s="278"/>
      <c r="U808" s="279"/>
      <c r="V808" s="279" t="s">
        <v>28</v>
      </c>
      <c r="W808" s="280"/>
      <c r="X808" s="281"/>
      <c r="Y808" s="279"/>
      <c r="Z808" s="282" t="s">
        <v>28</v>
      </c>
      <c r="AA808" s="282" t="s">
        <v>28</v>
      </c>
      <c r="AB808" s="283" t="s">
        <v>28</v>
      </c>
      <c r="AC808" s="284"/>
      <c r="AD808" s="284"/>
    </row>
    <row r="809" ht="14.25" customHeight="1">
      <c r="A809" s="265">
        <v>44323.0</v>
      </c>
      <c r="B809" s="266" t="s">
        <v>1685</v>
      </c>
      <c r="C809" s="266"/>
      <c r="D809" s="266" t="s">
        <v>1450</v>
      </c>
      <c r="E809" s="268"/>
      <c r="F809" s="358" t="s">
        <v>4066</v>
      </c>
      <c r="G809" s="268" t="s">
        <v>2085</v>
      </c>
      <c r="H809" s="270">
        <v>0.09883101851851851</v>
      </c>
      <c r="I809" s="271">
        <v>44323.510416666664</v>
      </c>
      <c r="J809" s="268"/>
      <c r="K809" s="268"/>
      <c r="L809" s="288" t="str">
        <f t="shared" si="1"/>
        <v/>
      </c>
      <c r="M809" s="307" t="s">
        <v>2808</v>
      </c>
      <c r="N809" s="273">
        <v>44323.535416666666</v>
      </c>
      <c r="O809" s="276" t="s">
        <v>4067</v>
      </c>
      <c r="P809" s="275" t="s">
        <v>3809</v>
      </c>
      <c r="Q809" s="276" t="s">
        <v>1819</v>
      </c>
      <c r="R809" s="277">
        <v>44323.59386574074</v>
      </c>
      <c r="S809" s="278"/>
      <c r="T809" s="278" t="s">
        <v>4068</v>
      </c>
      <c r="U809" s="279"/>
      <c r="V809" s="279" t="s">
        <v>1783</v>
      </c>
      <c r="W809" s="280" t="s">
        <v>4069</v>
      </c>
      <c r="X809" s="281">
        <v>0.2916666666666667</v>
      </c>
      <c r="Y809" s="279" t="s">
        <v>1693</v>
      </c>
      <c r="Z809" s="282" t="s">
        <v>1570</v>
      </c>
      <c r="AA809" s="282" t="s">
        <v>4066</v>
      </c>
      <c r="AB809" s="283">
        <v>44323.0</v>
      </c>
      <c r="AC809" s="284"/>
      <c r="AD809" s="284"/>
    </row>
    <row r="810" ht="14.25" customHeight="1">
      <c r="A810" s="265">
        <v>44323.0</v>
      </c>
      <c r="B810" s="266" t="s">
        <v>1783</v>
      </c>
      <c r="C810" s="266"/>
      <c r="D810" s="266" t="s">
        <v>1452</v>
      </c>
      <c r="E810" s="268"/>
      <c r="F810" s="358" t="s">
        <v>4070</v>
      </c>
      <c r="G810" s="268" t="s">
        <v>2085</v>
      </c>
      <c r="H810" s="270">
        <v>0.001365740740740741</v>
      </c>
      <c r="I810" s="271">
        <v>44323.61111111111</v>
      </c>
      <c r="J810" s="268"/>
      <c r="K810" s="271">
        <v>44323.613344907404</v>
      </c>
      <c r="L810" s="288" t="str">
        <f t="shared" si="1"/>
        <v>12:03:13 AM</v>
      </c>
      <c r="M810" s="278"/>
      <c r="N810" s="290"/>
      <c r="O810" s="276"/>
      <c r="P810" s="276"/>
      <c r="Q810" s="276"/>
      <c r="R810" s="278"/>
      <c r="S810" s="278"/>
      <c r="T810" s="278"/>
      <c r="U810" s="279"/>
      <c r="V810" s="279" t="s">
        <v>2030</v>
      </c>
      <c r="W810" s="280">
        <v>44326.0</v>
      </c>
      <c r="X810" s="281">
        <v>0.020833333333333332</v>
      </c>
      <c r="Y810" s="279" t="s">
        <v>1693</v>
      </c>
      <c r="Z810" s="282" t="s">
        <v>1570</v>
      </c>
      <c r="AA810" s="282" t="s">
        <v>4070</v>
      </c>
      <c r="AB810" s="283">
        <v>44323.0</v>
      </c>
      <c r="AC810" s="284"/>
      <c r="AD810" s="284"/>
    </row>
    <row r="811" ht="14.25" customHeight="1">
      <c r="A811" s="265">
        <v>44323.0</v>
      </c>
      <c r="B811" s="266" t="s">
        <v>1783</v>
      </c>
      <c r="C811" s="266"/>
      <c r="D811" s="265" t="s">
        <v>1686</v>
      </c>
      <c r="E811" s="268"/>
      <c r="F811" s="358" t="s">
        <v>4071</v>
      </c>
      <c r="G811" s="268" t="s">
        <v>2085</v>
      </c>
      <c r="H811" s="270">
        <v>0.037800925925925925</v>
      </c>
      <c r="I811" s="271">
        <v>44323.60902777778</v>
      </c>
      <c r="J811" s="268"/>
      <c r="K811" s="268"/>
      <c r="L811" s="288" t="str">
        <f t="shared" si="1"/>
        <v/>
      </c>
      <c r="M811" s="307" t="s">
        <v>3482</v>
      </c>
      <c r="N811" s="273">
        <v>44323.64513888889</v>
      </c>
      <c r="O811" s="276" t="s">
        <v>4072</v>
      </c>
      <c r="P811" s="275" t="s">
        <v>3809</v>
      </c>
      <c r="Q811" s="276" t="s">
        <v>1819</v>
      </c>
      <c r="R811" s="277">
        <v>44323.66685185185</v>
      </c>
      <c r="S811" s="278"/>
      <c r="T811" s="278" t="s">
        <v>4073</v>
      </c>
      <c r="U811" s="279"/>
      <c r="V811" s="279" t="s">
        <v>1685</v>
      </c>
      <c r="W811" s="280">
        <v>44326.0</v>
      </c>
      <c r="X811" s="281">
        <v>0.16666666666666666</v>
      </c>
      <c r="Y811" s="279" t="s">
        <v>1693</v>
      </c>
      <c r="Z811" s="282" t="s">
        <v>1570</v>
      </c>
      <c r="AA811" s="282" t="s">
        <v>4071</v>
      </c>
      <c r="AB811" s="283">
        <v>44323.0</v>
      </c>
      <c r="AC811" s="284"/>
      <c r="AD811" s="284"/>
    </row>
    <row r="812" ht="14.25" customHeight="1">
      <c r="A812" s="265">
        <v>44323.0</v>
      </c>
      <c r="B812" s="266" t="s">
        <v>3677</v>
      </c>
      <c r="C812" s="266"/>
      <c r="D812" s="266" t="s">
        <v>1455</v>
      </c>
      <c r="E812" s="268"/>
      <c r="F812" s="358" t="s">
        <v>4074</v>
      </c>
      <c r="G812" s="268" t="s">
        <v>2085</v>
      </c>
      <c r="H812" s="270">
        <v>0.020949074074074075</v>
      </c>
      <c r="I812" s="271">
        <v>44325.73541666667</v>
      </c>
      <c r="J812" s="268"/>
      <c r="K812" s="271">
        <v>44325.76645833333</v>
      </c>
      <c r="L812" s="288" t="str">
        <f t="shared" si="1"/>
        <v>12:44:42 AM</v>
      </c>
      <c r="M812" s="278"/>
      <c r="N812" s="290"/>
      <c r="O812" s="276"/>
      <c r="P812" s="276"/>
      <c r="Q812" s="276"/>
      <c r="R812" s="278"/>
      <c r="S812" s="278"/>
      <c r="T812" s="278"/>
      <c r="U812" s="279"/>
      <c r="V812" s="279" t="s">
        <v>2030</v>
      </c>
      <c r="W812" s="280">
        <v>44326.0</v>
      </c>
      <c r="X812" s="281">
        <v>0.10416666666666667</v>
      </c>
      <c r="Y812" s="279"/>
      <c r="Z812" s="282" t="s">
        <v>53</v>
      </c>
      <c r="AA812" s="282" t="s">
        <v>4074</v>
      </c>
      <c r="AB812" s="283">
        <v>44326.0</v>
      </c>
      <c r="AC812" s="284"/>
      <c r="AD812" s="284"/>
    </row>
    <row r="813" ht="14.25" customHeight="1">
      <c r="A813" s="265">
        <v>44324.0</v>
      </c>
      <c r="B813" s="266" t="s">
        <v>2030</v>
      </c>
      <c r="C813" s="266"/>
      <c r="D813" s="265" t="s">
        <v>1686</v>
      </c>
      <c r="E813" s="268"/>
      <c r="F813" s="358" t="s">
        <v>4075</v>
      </c>
      <c r="G813" s="268" t="s">
        <v>2085</v>
      </c>
      <c r="H813" s="270">
        <v>0.03863425925925926</v>
      </c>
      <c r="I813" s="271">
        <v>44325.73611111111</v>
      </c>
      <c r="J813" s="268"/>
      <c r="K813" s="271">
        <v>44325.77247685185</v>
      </c>
      <c r="L813" s="288" t="str">
        <f t="shared" si="1"/>
        <v>12:52:22 AM</v>
      </c>
      <c r="M813" s="278"/>
      <c r="N813" s="290"/>
      <c r="O813" s="276"/>
      <c r="P813" s="276"/>
      <c r="Q813" s="276"/>
      <c r="R813" s="278"/>
      <c r="S813" s="278"/>
      <c r="T813" s="278"/>
      <c r="U813" s="279"/>
      <c r="V813" s="279" t="s">
        <v>1685</v>
      </c>
      <c r="W813" s="280">
        <v>44326.0</v>
      </c>
      <c r="X813" s="279"/>
      <c r="Y813" s="279" t="s">
        <v>1693</v>
      </c>
      <c r="Z813" s="282" t="s">
        <v>53</v>
      </c>
      <c r="AA813" s="282" t="s">
        <v>4075</v>
      </c>
      <c r="AB813" s="283">
        <v>44326.0</v>
      </c>
      <c r="AC813" s="284"/>
      <c r="AD813" s="284"/>
    </row>
    <row r="814" ht="14.25" customHeight="1">
      <c r="A814" s="265">
        <v>44324.0</v>
      </c>
      <c r="B814" s="266" t="s">
        <v>1733</v>
      </c>
      <c r="C814" s="266"/>
      <c r="D814" s="266" t="s">
        <v>1455</v>
      </c>
      <c r="E814" s="268"/>
      <c r="F814" s="358" t="s">
        <v>4076</v>
      </c>
      <c r="G814" s="268" t="s">
        <v>2085</v>
      </c>
      <c r="H814" s="270">
        <v>0.016238425925925924</v>
      </c>
      <c r="I814" s="271">
        <v>44325.748611111114</v>
      </c>
      <c r="J814" s="268"/>
      <c r="K814" s="271">
        <v>44325.774675925924</v>
      </c>
      <c r="L814" s="288" t="str">
        <f t="shared" si="1"/>
        <v>12:37:32 AM</v>
      </c>
      <c r="M814" s="278"/>
      <c r="N814" s="290"/>
      <c r="O814" s="276"/>
      <c r="P814" s="276"/>
      <c r="Q814" s="276"/>
      <c r="R814" s="278"/>
      <c r="S814" s="278"/>
      <c r="T814" s="278"/>
      <c r="U814" s="279"/>
      <c r="V814" s="279" t="s">
        <v>2030</v>
      </c>
      <c r="W814" s="280">
        <v>44327.0</v>
      </c>
      <c r="X814" s="281">
        <v>0.10416666666666667</v>
      </c>
      <c r="Y814" s="279" t="s">
        <v>1693</v>
      </c>
      <c r="Z814" s="282" t="s">
        <v>53</v>
      </c>
      <c r="AA814" s="282" t="s">
        <v>4076</v>
      </c>
      <c r="AB814" s="283">
        <v>44326.0</v>
      </c>
      <c r="AC814" s="284"/>
      <c r="AD814" s="284"/>
    </row>
    <row r="815" ht="14.25" customHeight="1">
      <c r="A815" s="265">
        <v>44325.0</v>
      </c>
      <c r="B815" s="266" t="s">
        <v>1733</v>
      </c>
      <c r="C815" s="266"/>
      <c r="D815" s="266" t="s">
        <v>3509</v>
      </c>
      <c r="E815" s="268"/>
      <c r="F815" s="358">
        <v>6358304.0</v>
      </c>
      <c r="G815" s="268" t="s">
        <v>3839</v>
      </c>
      <c r="H815" s="270">
        <v>0.05201388888888889</v>
      </c>
      <c r="I815" s="271">
        <v>44325.819444444445</v>
      </c>
      <c r="J815" s="268"/>
      <c r="K815" s="271">
        <v>44325.81805555556</v>
      </c>
      <c r="L815" s="288" t="str">
        <f t="shared" si="1"/>
        <v>11:58:00 PM</v>
      </c>
      <c r="M815" s="278"/>
      <c r="N815" s="290"/>
      <c r="O815" s="276"/>
      <c r="P815" s="276"/>
      <c r="Q815" s="276"/>
      <c r="R815" s="278"/>
      <c r="S815" s="278"/>
      <c r="T815" s="278"/>
      <c r="U815" s="279"/>
      <c r="V815" s="279"/>
      <c r="W815" s="279"/>
      <c r="X815" s="279"/>
      <c r="Y815" s="279"/>
      <c r="Z815" s="282" t="s">
        <v>3559</v>
      </c>
      <c r="AA815" s="282">
        <v>6358304.0</v>
      </c>
      <c r="AB815" s="283">
        <v>44326.0</v>
      </c>
      <c r="AC815" s="284"/>
      <c r="AD815" s="284"/>
    </row>
    <row r="816" ht="14.25" customHeight="1">
      <c r="A816" s="265">
        <v>44325.0</v>
      </c>
      <c r="B816" s="266" t="s">
        <v>1733</v>
      </c>
      <c r="C816" s="266"/>
      <c r="D816" s="266" t="s">
        <v>1457</v>
      </c>
      <c r="E816" s="268"/>
      <c r="F816" s="358" t="s">
        <v>4077</v>
      </c>
      <c r="G816" s="268" t="s">
        <v>2085</v>
      </c>
      <c r="H816" s="270">
        <v>0.01765046296296296</v>
      </c>
      <c r="I816" s="271">
        <v>44325.75833333333</v>
      </c>
      <c r="J816" s="268"/>
      <c r="K816" s="271">
        <v>44325.774305555555</v>
      </c>
      <c r="L816" s="288" t="str">
        <f t="shared" si="1"/>
        <v>12:23:00 AM</v>
      </c>
      <c r="M816" s="278"/>
      <c r="N816" s="290"/>
      <c r="O816" s="276"/>
      <c r="P816" s="276"/>
      <c r="Q816" s="276"/>
      <c r="R816" s="278"/>
      <c r="S816" s="278"/>
      <c r="T816" s="278"/>
      <c r="U816" s="279"/>
      <c r="V816" s="279" t="s">
        <v>1824</v>
      </c>
      <c r="W816" s="280">
        <v>44326.0</v>
      </c>
      <c r="X816" s="281">
        <v>0.03453703703703704</v>
      </c>
      <c r="Y816" s="279" t="s">
        <v>1693</v>
      </c>
      <c r="Z816" s="282" t="s">
        <v>53</v>
      </c>
      <c r="AA816" s="282" t="s">
        <v>4077</v>
      </c>
      <c r="AB816" s="283">
        <v>44326.0</v>
      </c>
      <c r="AC816" s="284"/>
      <c r="AD816" s="284"/>
    </row>
    <row r="817" ht="14.25" customHeight="1">
      <c r="A817" s="265">
        <v>44325.0</v>
      </c>
      <c r="B817" s="266" t="s">
        <v>1733</v>
      </c>
      <c r="C817" s="266"/>
      <c r="D817" s="266" t="s">
        <v>2829</v>
      </c>
      <c r="E817" s="268"/>
      <c r="F817" s="358" t="s">
        <v>4078</v>
      </c>
      <c r="G817" s="268" t="s">
        <v>2085</v>
      </c>
      <c r="H817" s="270">
        <v>0.01877314814814815</v>
      </c>
      <c r="I817" s="271">
        <v>44325.770833333336</v>
      </c>
      <c r="J817" s="268"/>
      <c r="K817" s="268"/>
      <c r="L817" s="288" t="str">
        <f t="shared" si="1"/>
        <v/>
      </c>
      <c r="M817" s="307" t="s">
        <v>2808</v>
      </c>
      <c r="N817" s="273">
        <v>44325.79583333333</v>
      </c>
      <c r="O817" s="276" t="s">
        <v>4079</v>
      </c>
      <c r="P817" s="275" t="s">
        <v>3809</v>
      </c>
      <c r="Q817" s="276" t="s">
        <v>1819</v>
      </c>
      <c r="R817" s="277">
        <v>44325.80800925926</v>
      </c>
      <c r="S817" s="278"/>
      <c r="T817" s="278" t="s">
        <v>4080</v>
      </c>
      <c r="U817" s="279"/>
      <c r="V817" s="279"/>
      <c r="W817" s="279"/>
      <c r="X817" s="279"/>
      <c r="Y817" s="279"/>
      <c r="Z817" s="282" t="s">
        <v>1570</v>
      </c>
      <c r="AA817" s="282" t="s">
        <v>4078</v>
      </c>
      <c r="AB817" s="283">
        <v>44326.0</v>
      </c>
      <c r="AC817" s="284"/>
      <c r="AD817" s="284"/>
    </row>
    <row r="818" ht="14.25" customHeight="1">
      <c r="A818" s="265">
        <v>44326.0</v>
      </c>
      <c r="B818" s="266" t="s">
        <v>1783</v>
      </c>
      <c r="C818" s="266"/>
      <c r="D818" s="265" t="s">
        <v>1450</v>
      </c>
      <c r="E818" s="268"/>
      <c r="F818" s="358" t="s">
        <v>4081</v>
      </c>
      <c r="G818" s="268" t="s">
        <v>2085</v>
      </c>
      <c r="H818" s="270">
        <v>0.09758101851851853</v>
      </c>
      <c r="I818" s="271">
        <v>44326.725694444445</v>
      </c>
      <c r="J818" s="268"/>
      <c r="K818" s="268"/>
      <c r="L818" s="288" t="str">
        <f t="shared" si="1"/>
        <v/>
      </c>
      <c r="M818" s="307" t="s">
        <v>3482</v>
      </c>
      <c r="N818" s="273">
        <v>44327.0</v>
      </c>
      <c r="O818" s="276" t="s">
        <v>4082</v>
      </c>
      <c r="P818" s="275" t="s">
        <v>3809</v>
      </c>
      <c r="Q818" s="276" t="s">
        <v>1819</v>
      </c>
      <c r="R818" s="277">
        <v>44327.02427083333</v>
      </c>
      <c r="S818" s="278"/>
      <c r="T818" s="278" t="s">
        <v>4083</v>
      </c>
      <c r="U818" s="279"/>
      <c r="V818" s="279" t="s">
        <v>1783</v>
      </c>
      <c r="W818" s="280" t="s">
        <v>4084</v>
      </c>
      <c r="X818" s="281">
        <v>0.3194444444444445</v>
      </c>
      <c r="Y818" s="279" t="s">
        <v>1693</v>
      </c>
      <c r="Z818" s="282" t="s">
        <v>53</v>
      </c>
      <c r="AA818" s="282" t="s">
        <v>4081</v>
      </c>
      <c r="AB818" s="283">
        <v>44327.0</v>
      </c>
      <c r="AC818" s="284"/>
      <c r="AD818" s="284"/>
    </row>
    <row r="819" ht="14.25" customHeight="1">
      <c r="A819" s="265">
        <v>44326.0</v>
      </c>
      <c r="B819" s="266" t="s">
        <v>2030</v>
      </c>
      <c r="C819" s="266"/>
      <c r="D819" s="266" t="s">
        <v>1452</v>
      </c>
      <c r="E819" s="268"/>
      <c r="F819" s="358" t="s">
        <v>4085</v>
      </c>
      <c r="G819" s="268" t="s">
        <v>2085</v>
      </c>
      <c r="H819" s="270">
        <v>0.004398148148148148</v>
      </c>
      <c r="I819" s="271">
        <v>43961.61875</v>
      </c>
      <c r="J819" s="268"/>
      <c r="K819" s="271">
        <v>44326.624131944445</v>
      </c>
      <c r="L819" s="288" t="str">
        <f t="shared" si="1"/>
        <v>12:07:45 AM</v>
      </c>
      <c r="M819" s="278"/>
      <c r="N819" s="290"/>
      <c r="O819" s="276"/>
      <c r="P819" s="276"/>
      <c r="Q819" s="276"/>
      <c r="R819" s="278"/>
      <c r="S819" s="278"/>
      <c r="T819" s="278"/>
      <c r="U819" s="279"/>
      <c r="V819" s="279" t="s">
        <v>2030</v>
      </c>
      <c r="W819" s="280">
        <v>44328.0</v>
      </c>
      <c r="X819" s="281">
        <v>0.013888888888888888</v>
      </c>
      <c r="Y819" s="279" t="s">
        <v>1693</v>
      </c>
      <c r="Z819" s="282" t="s">
        <v>1570</v>
      </c>
      <c r="AA819" s="282" t="s">
        <v>4085</v>
      </c>
      <c r="AB819" s="283">
        <v>44326.0</v>
      </c>
      <c r="AC819" s="284"/>
      <c r="AD819" s="284"/>
    </row>
    <row r="820" ht="14.25" customHeight="1">
      <c r="A820" s="265">
        <v>44326.0</v>
      </c>
      <c r="B820" s="266" t="s">
        <v>1685</v>
      </c>
      <c r="C820" s="266"/>
      <c r="D820" s="266" t="s">
        <v>1686</v>
      </c>
      <c r="E820" s="268"/>
      <c r="F820" s="358" t="s">
        <v>4086</v>
      </c>
      <c r="G820" s="268" t="s">
        <v>2085</v>
      </c>
      <c r="H820" s="270">
        <v>0.03871527777777778</v>
      </c>
      <c r="I820" s="271">
        <v>44326.76291666667</v>
      </c>
      <c r="J820" s="268"/>
      <c r="K820" s="271">
        <v>44326.97702546296</v>
      </c>
      <c r="L820" s="288" t="str">
        <f t="shared" si="1"/>
        <v>5:08:19 AM</v>
      </c>
      <c r="M820" s="278"/>
      <c r="N820" s="290"/>
      <c r="O820" s="276"/>
      <c r="P820" s="276"/>
      <c r="Q820" s="276"/>
      <c r="R820" s="278"/>
      <c r="S820" s="278"/>
      <c r="T820" s="278"/>
      <c r="U820" s="279"/>
      <c r="V820" s="279" t="s">
        <v>1685</v>
      </c>
      <c r="W820" s="280">
        <v>44327.0</v>
      </c>
      <c r="X820" s="279"/>
      <c r="Y820" s="279" t="s">
        <v>1693</v>
      </c>
      <c r="Z820" s="282" t="s">
        <v>1570</v>
      </c>
      <c r="AA820" s="282" t="s">
        <v>4086</v>
      </c>
      <c r="AB820" s="283">
        <v>44326.0</v>
      </c>
      <c r="AC820" s="284"/>
      <c r="AD820" s="284"/>
    </row>
    <row r="821" ht="14.25" customHeight="1">
      <c r="A821" s="265">
        <v>44326.0</v>
      </c>
      <c r="B821" s="266" t="s">
        <v>3677</v>
      </c>
      <c r="C821" s="266"/>
      <c r="D821" s="266" t="s">
        <v>1455</v>
      </c>
      <c r="E821" s="268"/>
      <c r="F821" s="358" t="s">
        <v>4087</v>
      </c>
      <c r="G821" s="268" t="s">
        <v>2085</v>
      </c>
      <c r="H821" s="270">
        <v>0.02011574074074074</v>
      </c>
      <c r="I821" s="271">
        <v>44326.949953703705</v>
      </c>
      <c r="J821" s="268"/>
      <c r="K821" s="271">
        <v>44326.95512731482</v>
      </c>
      <c r="L821" s="288" t="str">
        <f t="shared" si="1"/>
        <v>12:07:27 AM</v>
      </c>
      <c r="M821" s="278"/>
      <c r="N821" s="290"/>
      <c r="O821" s="276"/>
      <c r="P821" s="276"/>
      <c r="Q821" s="276"/>
      <c r="R821" s="278"/>
      <c r="S821" s="278"/>
      <c r="T821" s="278"/>
      <c r="U821" s="279"/>
      <c r="V821" s="279" t="s">
        <v>2030</v>
      </c>
      <c r="W821" s="280">
        <v>44327.0</v>
      </c>
      <c r="X821" s="281">
        <v>0.08333333333333333</v>
      </c>
      <c r="Y821" s="279" t="s">
        <v>1693</v>
      </c>
      <c r="Z821" s="282" t="s">
        <v>1570</v>
      </c>
      <c r="AA821" s="282" t="s">
        <v>4087</v>
      </c>
      <c r="AB821" s="283">
        <v>44326.0</v>
      </c>
      <c r="AC821" s="284"/>
      <c r="AD821" s="284"/>
    </row>
    <row r="822" ht="14.25" customHeight="1">
      <c r="A822" s="265">
        <v>44327.0</v>
      </c>
      <c r="B822" s="266" t="s">
        <v>1500</v>
      </c>
      <c r="C822" s="266" t="s">
        <v>3758</v>
      </c>
      <c r="D822" s="266" t="s">
        <v>1543</v>
      </c>
      <c r="E822" s="268"/>
      <c r="F822" s="269" t="s">
        <v>4088</v>
      </c>
      <c r="G822" s="268" t="s">
        <v>1463</v>
      </c>
      <c r="H822" s="270">
        <v>0.004340277777777778</v>
      </c>
      <c r="I822" s="271">
        <v>44334.302083333336</v>
      </c>
      <c r="J822" s="268"/>
      <c r="K822" s="271">
        <v>44334.30708333333</v>
      </c>
      <c r="L822" s="288" t="str">
        <f t="shared" si="1"/>
        <v>12:07:12 AM</v>
      </c>
      <c r="M822" s="278" t="s">
        <v>4089</v>
      </c>
      <c r="N822" s="290"/>
      <c r="O822" s="276"/>
      <c r="P822" s="276"/>
      <c r="Q822" s="276"/>
      <c r="R822" s="278"/>
      <c r="S822" s="278"/>
      <c r="T822" s="278"/>
      <c r="U822" s="279"/>
      <c r="V822" s="279" t="s">
        <v>1824</v>
      </c>
      <c r="W822" s="280">
        <v>44334.0</v>
      </c>
      <c r="X822" s="281">
        <v>0.009594907407407408</v>
      </c>
      <c r="Y822" s="279" t="s">
        <v>1693</v>
      </c>
      <c r="Z822" s="282" t="s">
        <v>53</v>
      </c>
      <c r="AA822" s="282">
        <v>6365123.0</v>
      </c>
      <c r="AB822" s="283">
        <v>44335.0</v>
      </c>
      <c r="AC822" s="284"/>
      <c r="AD822" s="284"/>
    </row>
    <row r="823" ht="14.25" customHeight="1">
      <c r="A823" s="265">
        <v>44327.0</v>
      </c>
      <c r="B823" s="266" t="s">
        <v>1500</v>
      </c>
      <c r="C823" s="266" t="s">
        <v>2888</v>
      </c>
      <c r="D823" s="266" t="s">
        <v>1543</v>
      </c>
      <c r="E823" s="268"/>
      <c r="F823" s="269" t="s">
        <v>4090</v>
      </c>
      <c r="G823" s="268" t="s">
        <v>1463</v>
      </c>
      <c r="H823" s="270">
        <v>0.003252314814814815</v>
      </c>
      <c r="I823" s="271">
        <v>44361.538194444445</v>
      </c>
      <c r="J823" s="268"/>
      <c r="K823" s="271">
        <v>44361.548680555556</v>
      </c>
      <c r="L823" s="288"/>
      <c r="M823" s="278" t="s">
        <v>4091</v>
      </c>
      <c r="N823" s="290"/>
      <c r="O823" s="276"/>
      <c r="P823" s="276"/>
      <c r="Q823" s="276"/>
      <c r="R823" s="278"/>
      <c r="S823" s="278"/>
      <c r="T823" s="278"/>
      <c r="U823" s="279"/>
      <c r="V823" s="279" t="s">
        <v>1824</v>
      </c>
      <c r="W823" s="280">
        <v>44362.0</v>
      </c>
      <c r="X823" s="281">
        <v>0.011111111111111112</v>
      </c>
      <c r="Y823" s="279" t="s">
        <v>1693</v>
      </c>
      <c r="Z823" s="282" t="s">
        <v>53</v>
      </c>
      <c r="AA823" s="282">
        <v>6375015.0</v>
      </c>
      <c r="AB823" s="283">
        <v>44362.0</v>
      </c>
      <c r="AC823" s="284"/>
      <c r="AD823" s="284"/>
    </row>
    <row r="824" ht="14.25" customHeight="1">
      <c r="A824" s="265">
        <v>44327.0</v>
      </c>
      <c r="B824" s="266" t="s">
        <v>1783</v>
      </c>
      <c r="C824" s="266" t="s">
        <v>2158</v>
      </c>
      <c r="D824" s="266" t="s">
        <v>1450</v>
      </c>
      <c r="E824" s="268"/>
      <c r="F824" s="286" t="s">
        <v>4092</v>
      </c>
      <c r="G824" s="268" t="s">
        <v>3742</v>
      </c>
      <c r="H824" s="270"/>
      <c r="I824" s="271"/>
      <c r="J824" s="268"/>
      <c r="K824" s="271"/>
      <c r="L824" s="288" t="str">
        <f t="shared" ref="L824:L957" si="2">IFERROR(IF(OR(I824="",K824=""),"",K824-I824),"")</f>
        <v/>
      </c>
      <c r="M824" s="307" t="s">
        <v>3915</v>
      </c>
      <c r="N824" s="273"/>
      <c r="O824" s="276"/>
      <c r="P824" s="275"/>
      <c r="Q824" s="276"/>
      <c r="R824" s="278"/>
      <c r="S824" s="278"/>
      <c r="T824" s="278" t="s">
        <v>3915</v>
      </c>
      <c r="U824" s="279"/>
      <c r="V824" s="279" t="s">
        <v>28</v>
      </c>
      <c r="W824" s="280"/>
      <c r="X824" s="279"/>
      <c r="Y824" s="279"/>
      <c r="Z824" s="282" t="s">
        <v>28</v>
      </c>
      <c r="AA824" s="282" t="s">
        <v>28</v>
      </c>
      <c r="AB824" s="283" t="s">
        <v>28</v>
      </c>
      <c r="AC824" s="284"/>
      <c r="AD824" s="284"/>
    </row>
    <row r="825" ht="14.25" customHeight="1">
      <c r="A825" s="265">
        <v>44327.0</v>
      </c>
      <c r="B825" s="266" t="s">
        <v>1783</v>
      </c>
      <c r="C825" s="266"/>
      <c r="D825" s="266" t="s">
        <v>1450</v>
      </c>
      <c r="E825" s="268"/>
      <c r="F825" s="358" t="s">
        <v>4093</v>
      </c>
      <c r="G825" s="268" t="s">
        <v>2085</v>
      </c>
      <c r="H825" s="270">
        <v>0.09924768518518519</v>
      </c>
      <c r="I825" s="271">
        <v>44327.524305555555</v>
      </c>
      <c r="J825" s="268"/>
      <c r="K825" s="271">
        <v>44327.6412037037</v>
      </c>
      <c r="L825" s="288" t="str">
        <f t="shared" si="2"/>
        <v>2:48:20 AM</v>
      </c>
      <c r="M825" s="307"/>
      <c r="N825" s="273"/>
      <c r="O825" s="276"/>
      <c r="P825" s="275"/>
      <c r="Q825" s="276"/>
      <c r="R825" s="278"/>
      <c r="S825" s="278"/>
      <c r="T825" s="278"/>
      <c r="U825" s="279"/>
      <c r="V825" s="279" t="s">
        <v>1783</v>
      </c>
      <c r="W825" s="280" t="s">
        <v>4094</v>
      </c>
      <c r="X825" s="281">
        <v>0.2708333333333333</v>
      </c>
      <c r="Y825" s="279" t="s">
        <v>1693</v>
      </c>
      <c r="Z825" s="282" t="s">
        <v>1570</v>
      </c>
      <c r="AA825" s="282" t="s">
        <v>4093</v>
      </c>
      <c r="AB825" s="283">
        <v>44327.0</v>
      </c>
      <c r="AC825" s="284"/>
      <c r="AD825" s="284"/>
    </row>
    <row r="826" ht="14.25" customHeight="1">
      <c r="A826" s="265">
        <v>44327.0</v>
      </c>
      <c r="B826" s="266" t="s">
        <v>2030</v>
      </c>
      <c r="C826" s="266"/>
      <c r="D826" s="266" t="s">
        <v>1452</v>
      </c>
      <c r="E826" s="268"/>
      <c r="F826" s="358" t="s">
        <v>4095</v>
      </c>
      <c r="G826" s="268" t="s">
        <v>2085</v>
      </c>
      <c r="H826" s="270">
        <v>0.0034953703703703705</v>
      </c>
      <c r="I826" s="271">
        <v>44327.631944444445</v>
      </c>
      <c r="J826" s="268"/>
      <c r="K826" s="271">
        <v>44327.638194444444</v>
      </c>
      <c r="L826" s="288" t="str">
        <f t="shared" si="2"/>
        <v>12:09:00 AM</v>
      </c>
      <c r="M826" s="278"/>
      <c r="N826" s="290"/>
      <c r="O826" s="276"/>
      <c r="P826" s="276"/>
      <c r="Q826" s="276"/>
      <c r="R826" s="278"/>
      <c r="S826" s="278"/>
      <c r="T826" s="278"/>
      <c r="U826" s="279"/>
      <c r="V826" s="279" t="s">
        <v>2030</v>
      </c>
      <c r="W826" s="280">
        <v>44328.0</v>
      </c>
      <c r="X826" s="281">
        <v>0.013888888888888888</v>
      </c>
      <c r="Y826" s="279" t="s">
        <v>1693</v>
      </c>
      <c r="Z826" s="282" t="s">
        <v>1570</v>
      </c>
      <c r="AA826" s="282" t="s">
        <v>4095</v>
      </c>
      <c r="AB826" s="283">
        <v>44327.0</v>
      </c>
      <c r="AC826" s="284"/>
      <c r="AD826" s="284"/>
    </row>
    <row r="827" ht="14.25" customHeight="1">
      <c r="A827" s="265">
        <v>44327.0</v>
      </c>
      <c r="B827" s="266" t="s">
        <v>1685</v>
      </c>
      <c r="C827" s="266"/>
      <c r="D827" s="266" t="s">
        <v>1686</v>
      </c>
      <c r="E827" s="268"/>
      <c r="F827" s="358" t="s">
        <v>4096</v>
      </c>
      <c r="G827" s="268" t="s">
        <v>2085</v>
      </c>
      <c r="H827" s="270">
        <v>0.037905092592592594</v>
      </c>
      <c r="I827" s="271">
        <v>44327.70208333333</v>
      </c>
      <c r="J827" s="268"/>
      <c r="K827" s="268"/>
      <c r="L827" s="288" t="str">
        <f t="shared" si="2"/>
        <v/>
      </c>
      <c r="M827" s="307" t="s">
        <v>2808</v>
      </c>
      <c r="N827" s="273">
        <v>44327.89375</v>
      </c>
      <c r="O827" s="276" t="s">
        <v>4097</v>
      </c>
      <c r="P827" s="275" t="s">
        <v>3809</v>
      </c>
      <c r="Q827" s="276" t="s">
        <v>1819</v>
      </c>
      <c r="R827" s="277">
        <v>44327.91585648148</v>
      </c>
      <c r="S827" s="278"/>
      <c r="T827" s="278" t="s">
        <v>4098</v>
      </c>
      <c r="U827" s="279"/>
      <c r="V827" s="279" t="s">
        <v>1685</v>
      </c>
      <c r="W827" s="280">
        <v>44328.0</v>
      </c>
      <c r="X827" s="279"/>
      <c r="Y827" s="279" t="s">
        <v>1693</v>
      </c>
      <c r="Z827" s="282" t="s">
        <v>1570</v>
      </c>
      <c r="AA827" s="282" t="s">
        <v>4096</v>
      </c>
      <c r="AB827" s="283">
        <v>44327.0</v>
      </c>
      <c r="AC827" s="284"/>
      <c r="AD827" s="284"/>
    </row>
    <row r="828" ht="14.25" customHeight="1">
      <c r="A828" s="265">
        <v>44327.0</v>
      </c>
      <c r="B828" s="266" t="s">
        <v>3677</v>
      </c>
      <c r="C828" s="266"/>
      <c r="D828" s="266" t="s">
        <v>1455</v>
      </c>
      <c r="E828" s="268"/>
      <c r="F828" s="358" t="s">
        <v>4099</v>
      </c>
      <c r="G828" s="268" t="s">
        <v>2085</v>
      </c>
      <c r="H828" s="270">
        <v>0.020949074074074075</v>
      </c>
      <c r="I828" s="271">
        <v>44327.979166666664</v>
      </c>
      <c r="J828" s="268"/>
      <c r="K828" s="271">
        <v>44327.991956018515</v>
      </c>
      <c r="L828" s="288" t="str">
        <f t="shared" si="2"/>
        <v>12:18:25 AM</v>
      </c>
      <c r="M828" s="278"/>
      <c r="N828" s="290"/>
      <c r="O828" s="276"/>
      <c r="P828" s="276"/>
      <c r="Q828" s="276"/>
      <c r="R828" s="278"/>
      <c r="S828" s="278"/>
      <c r="T828" s="278"/>
      <c r="U828" s="279"/>
      <c r="V828" s="279" t="s">
        <v>2030</v>
      </c>
      <c r="W828" s="280">
        <v>44328.0</v>
      </c>
      <c r="X828" s="281">
        <v>0.08333333333333333</v>
      </c>
      <c r="Y828" s="279" t="s">
        <v>1693</v>
      </c>
      <c r="Z828" s="282" t="s">
        <v>1570</v>
      </c>
      <c r="AA828" s="282" t="s">
        <v>4099</v>
      </c>
      <c r="AB828" s="283">
        <v>44327.0</v>
      </c>
      <c r="AC828" s="284"/>
      <c r="AD828" s="284"/>
    </row>
    <row r="829" ht="14.25" customHeight="1">
      <c r="A829" s="265">
        <v>44328.0</v>
      </c>
      <c r="B829" s="266" t="s">
        <v>1500</v>
      </c>
      <c r="C829" s="266" t="s">
        <v>1696</v>
      </c>
      <c r="D829" s="266" t="s">
        <v>1543</v>
      </c>
      <c r="E829" s="268"/>
      <c r="F829" s="291" t="s">
        <v>4100</v>
      </c>
      <c r="G829" s="268" t="s">
        <v>1463</v>
      </c>
      <c r="H829" s="270">
        <v>0.0033912037037037036</v>
      </c>
      <c r="I829" s="271">
        <v>44331.72222222222</v>
      </c>
      <c r="J829" s="268"/>
      <c r="K829" s="271">
        <v>44333.47586805555</v>
      </c>
      <c r="L829" s="288" t="str">
        <f t="shared" si="2"/>
        <v>6:05:15 PM</v>
      </c>
      <c r="M829" s="278" t="s">
        <v>4101</v>
      </c>
      <c r="N829" s="290"/>
      <c r="O829" s="276"/>
      <c r="P829" s="276"/>
      <c r="Q829" s="276"/>
      <c r="R829" s="278"/>
      <c r="S829" s="278"/>
      <c r="T829" s="278"/>
      <c r="U829" s="279"/>
      <c r="V829" s="279" t="s">
        <v>1824</v>
      </c>
      <c r="W829" s="280">
        <v>44333.0</v>
      </c>
      <c r="X829" s="281">
        <v>0.01074074074074074</v>
      </c>
      <c r="Y829" s="279" t="s">
        <v>1693</v>
      </c>
      <c r="Z829" s="282" t="s">
        <v>1570</v>
      </c>
      <c r="AA829" s="282">
        <v>6362211.0</v>
      </c>
      <c r="AB829" s="283">
        <v>44333.0</v>
      </c>
      <c r="AC829" s="284"/>
      <c r="AD829" s="284"/>
    </row>
    <row r="830" ht="14.25" customHeight="1">
      <c r="A830" s="265">
        <v>44328.0</v>
      </c>
      <c r="B830" s="266" t="s">
        <v>1500</v>
      </c>
      <c r="C830" s="266" t="s">
        <v>2083</v>
      </c>
      <c r="D830" s="266" t="s">
        <v>1543</v>
      </c>
      <c r="E830" s="268"/>
      <c r="F830" s="291" t="s">
        <v>4102</v>
      </c>
      <c r="G830" s="268" t="s">
        <v>1463</v>
      </c>
      <c r="H830" s="270">
        <v>0.0010185185185185186</v>
      </c>
      <c r="I830" s="271">
        <v>44331.72222222222</v>
      </c>
      <c r="J830" s="268"/>
      <c r="K830" s="271">
        <v>44333.61145833333</v>
      </c>
      <c r="L830" s="288" t="str">
        <f t="shared" si="2"/>
        <v>9:20:30 PM</v>
      </c>
      <c r="M830" s="307" t="s">
        <v>2808</v>
      </c>
      <c r="N830" s="290"/>
      <c r="O830" s="276"/>
      <c r="P830" s="276"/>
      <c r="Q830" s="276"/>
      <c r="R830" s="278"/>
      <c r="S830" s="278"/>
      <c r="T830" s="278"/>
      <c r="U830" s="279"/>
      <c r="V830" s="279" t="s">
        <v>1824</v>
      </c>
      <c r="W830" s="280">
        <v>44336.0</v>
      </c>
      <c r="X830" s="281">
        <v>0.007685185185185185</v>
      </c>
      <c r="Y830" s="279" t="s">
        <v>1693</v>
      </c>
      <c r="Z830" s="282" t="s">
        <v>1570</v>
      </c>
      <c r="AA830" s="282">
        <v>6365480.0</v>
      </c>
      <c r="AB830" s="283">
        <v>44335.0</v>
      </c>
      <c r="AC830" s="284"/>
      <c r="AD830" s="284"/>
    </row>
    <row r="831" ht="14.25" customHeight="1">
      <c r="A831" s="265">
        <v>44328.0</v>
      </c>
      <c r="B831" s="266" t="s">
        <v>1783</v>
      </c>
      <c r="C831" s="266"/>
      <c r="D831" s="266" t="s">
        <v>1450</v>
      </c>
      <c r="E831" s="268"/>
      <c r="F831" s="358" t="s">
        <v>4103</v>
      </c>
      <c r="G831" s="268" t="s">
        <v>2085</v>
      </c>
      <c r="H831" s="270">
        <v>0.09890046296296295</v>
      </c>
      <c r="I831" s="271">
        <v>44328.790972222225</v>
      </c>
      <c r="J831" s="268"/>
      <c r="K831" s="271">
        <v>44328.89673611111</v>
      </c>
      <c r="L831" s="288" t="str">
        <f t="shared" si="2"/>
        <v>2:32:18 AM</v>
      </c>
      <c r="M831" s="278"/>
      <c r="N831" s="290"/>
      <c r="O831" s="276"/>
      <c r="P831" s="276"/>
      <c r="Q831" s="276"/>
      <c r="R831" s="278"/>
      <c r="S831" s="278"/>
      <c r="T831" s="278"/>
      <c r="U831" s="279"/>
      <c r="V831" s="279" t="s">
        <v>1783</v>
      </c>
      <c r="W831" s="279" t="s">
        <v>4104</v>
      </c>
      <c r="X831" s="281">
        <v>0.25</v>
      </c>
      <c r="Y831" s="279" t="s">
        <v>1693</v>
      </c>
      <c r="Z831" s="282" t="s">
        <v>1570</v>
      </c>
      <c r="AA831" s="282" t="s">
        <v>4103</v>
      </c>
      <c r="AB831" s="283">
        <v>44328.0</v>
      </c>
      <c r="AC831" s="284"/>
      <c r="AD831" s="284"/>
    </row>
    <row r="832" ht="14.25" customHeight="1">
      <c r="A832" s="265">
        <v>44328.0</v>
      </c>
      <c r="B832" s="266" t="s">
        <v>2030</v>
      </c>
      <c r="C832" s="266"/>
      <c r="D832" s="266" t="s">
        <v>1452</v>
      </c>
      <c r="E832" s="268"/>
      <c r="F832" s="358" t="s">
        <v>4105</v>
      </c>
      <c r="G832" s="268" t="s">
        <v>2085</v>
      </c>
      <c r="H832" s="270">
        <v>0.0020949074074074073</v>
      </c>
      <c r="I832" s="271">
        <v>44328.79305555556</v>
      </c>
      <c r="J832" s="268"/>
      <c r="K832" s="271">
        <v>44328.79607638889</v>
      </c>
      <c r="L832" s="288" t="str">
        <f t="shared" si="2"/>
        <v>12:04:21 AM</v>
      </c>
      <c r="M832" s="278"/>
      <c r="N832" s="290"/>
      <c r="O832" s="276"/>
      <c r="P832" s="276"/>
      <c r="Q832" s="276"/>
      <c r="R832" s="278"/>
      <c r="S832" s="278"/>
      <c r="T832" s="278"/>
      <c r="U832" s="279"/>
      <c r="V832" s="279" t="s">
        <v>2030</v>
      </c>
      <c r="W832" s="280">
        <v>44330.0</v>
      </c>
      <c r="X832" s="281">
        <v>0.006944444444444444</v>
      </c>
      <c r="Y832" s="279" t="s">
        <v>1693</v>
      </c>
      <c r="Z832" s="282" t="s">
        <v>1570</v>
      </c>
      <c r="AA832" s="282" t="s">
        <v>4105</v>
      </c>
      <c r="AB832" s="283">
        <v>44328.0</v>
      </c>
      <c r="AC832" s="284"/>
      <c r="AD832" s="284"/>
    </row>
    <row r="833" ht="14.25" customHeight="1">
      <c r="A833" s="265">
        <v>44328.0</v>
      </c>
      <c r="B833" s="266" t="s">
        <v>1685</v>
      </c>
      <c r="C833" s="266"/>
      <c r="D833" s="266" t="s">
        <v>1686</v>
      </c>
      <c r="E833" s="268"/>
      <c r="F833" s="358" t="s">
        <v>4106</v>
      </c>
      <c r="G833" s="268" t="s">
        <v>2085</v>
      </c>
      <c r="H833" s="270">
        <v>0.03791666666666667</v>
      </c>
      <c r="I833" s="271">
        <v>44328.794444444444</v>
      </c>
      <c r="J833" s="268"/>
      <c r="K833" s="271">
        <v>44328.83152777778</v>
      </c>
      <c r="L833" s="288" t="str">
        <f t="shared" si="2"/>
        <v>12:53:24 AM</v>
      </c>
      <c r="M833" s="278"/>
      <c r="N833" s="290"/>
      <c r="O833" s="276"/>
      <c r="P833" s="276"/>
      <c r="Q833" s="276"/>
      <c r="R833" s="278"/>
      <c r="S833" s="278"/>
      <c r="T833" s="278"/>
      <c r="U833" s="279"/>
      <c r="V833" s="279" t="s">
        <v>1685</v>
      </c>
      <c r="W833" s="280">
        <v>44329.0</v>
      </c>
      <c r="X833" s="281">
        <v>0.1388888888888889</v>
      </c>
      <c r="Y833" s="279" t="s">
        <v>1693</v>
      </c>
      <c r="Z833" s="282" t="s">
        <v>1570</v>
      </c>
      <c r="AA833" s="282" t="s">
        <v>4106</v>
      </c>
      <c r="AB833" s="283">
        <v>44328.0</v>
      </c>
      <c r="AC833" s="284"/>
      <c r="AD833" s="284"/>
    </row>
    <row r="834" ht="14.25" customHeight="1">
      <c r="A834" s="265">
        <v>44328.0</v>
      </c>
      <c r="B834" s="266" t="s">
        <v>3677</v>
      </c>
      <c r="C834" s="266"/>
      <c r="D834" s="266" t="s">
        <v>1455</v>
      </c>
      <c r="E834" s="268"/>
      <c r="F834" s="358" t="s">
        <v>4107</v>
      </c>
      <c r="G834" s="268" t="s">
        <v>2085</v>
      </c>
      <c r="H834" s="270">
        <v>0.02372685185185185</v>
      </c>
      <c r="I834" s="271">
        <v>44328.91180555556</v>
      </c>
      <c r="J834" s="268"/>
      <c r="K834" s="271">
        <v>44328.93267361111</v>
      </c>
      <c r="L834" s="288" t="str">
        <f t="shared" si="2"/>
        <v>12:30:03 AM</v>
      </c>
      <c r="M834" s="278"/>
      <c r="N834" s="290"/>
      <c r="O834" s="276"/>
      <c r="P834" s="276"/>
      <c r="Q834" s="276"/>
      <c r="R834" s="278"/>
      <c r="S834" s="278"/>
      <c r="T834" s="278"/>
      <c r="U834" s="279"/>
      <c r="V834" s="279" t="s">
        <v>2030</v>
      </c>
      <c r="W834" s="280">
        <v>44329.0</v>
      </c>
      <c r="X834" s="281">
        <v>0.08333333333333333</v>
      </c>
      <c r="Y834" s="279" t="s">
        <v>1693</v>
      </c>
      <c r="Z834" s="282" t="s">
        <v>1570</v>
      </c>
      <c r="AA834" s="282" t="s">
        <v>4107</v>
      </c>
      <c r="AB834" s="283">
        <v>44328.0</v>
      </c>
      <c r="AC834" s="284"/>
      <c r="AD834" s="284"/>
    </row>
    <row r="835" ht="14.25" customHeight="1">
      <c r="A835" s="265">
        <v>44329.0</v>
      </c>
      <c r="B835" s="266" t="s">
        <v>1500</v>
      </c>
      <c r="C835" s="266" t="s">
        <v>2083</v>
      </c>
      <c r="D835" s="266" t="s">
        <v>1543</v>
      </c>
      <c r="E835" s="268"/>
      <c r="F835" s="291" t="s">
        <v>4108</v>
      </c>
      <c r="G835" s="268" t="s">
        <v>1463</v>
      </c>
      <c r="H835" s="270">
        <v>0.0014699074074074074</v>
      </c>
      <c r="I835" s="271">
        <v>44331.72222222222</v>
      </c>
      <c r="J835" s="268"/>
      <c r="K835" s="271">
        <v>44333.48920138889</v>
      </c>
      <c r="L835" s="288" t="str">
        <f t="shared" si="2"/>
        <v>6:24:27 PM</v>
      </c>
      <c r="M835" s="278" t="s">
        <v>4109</v>
      </c>
      <c r="N835" s="290"/>
      <c r="O835" s="276"/>
      <c r="P835" s="276"/>
      <c r="Q835" s="276"/>
      <c r="R835" s="278"/>
      <c r="S835" s="278"/>
      <c r="T835" s="278"/>
      <c r="U835" s="279"/>
      <c r="V835" s="279" t="s">
        <v>1824</v>
      </c>
      <c r="W835" s="280">
        <v>44333.0</v>
      </c>
      <c r="X835" s="281">
        <v>0.008703703703703703</v>
      </c>
      <c r="Y835" s="279" t="s">
        <v>1693</v>
      </c>
      <c r="Z835" s="282" t="s">
        <v>53</v>
      </c>
      <c r="AA835" s="282">
        <v>6365124.0</v>
      </c>
      <c r="AB835" s="283">
        <v>44335.0</v>
      </c>
      <c r="AC835" s="284"/>
      <c r="AD835" s="284"/>
    </row>
    <row r="836" ht="14.25" customHeight="1">
      <c r="A836" s="265">
        <v>44329.0</v>
      </c>
      <c r="B836" s="266" t="s">
        <v>1500</v>
      </c>
      <c r="C836" s="266" t="s">
        <v>1696</v>
      </c>
      <c r="D836" s="266" t="s">
        <v>1543</v>
      </c>
      <c r="E836" s="268"/>
      <c r="F836" s="291" t="s">
        <v>4110</v>
      </c>
      <c r="G836" s="268" t="s">
        <v>1463</v>
      </c>
      <c r="H836" s="270">
        <v>0.002673611111111111</v>
      </c>
      <c r="I836" s="271">
        <v>44331.72222222222</v>
      </c>
      <c r="J836" s="268"/>
      <c r="K836" s="271">
        <v>44333.61146990741</v>
      </c>
      <c r="L836" s="288" t="str">
        <f t="shared" si="2"/>
        <v>9:20:31 PM</v>
      </c>
      <c r="M836" s="307" t="s">
        <v>2808</v>
      </c>
      <c r="N836" s="290"/>
      <c r="O836" s="276"/>
      <c r="P836" s="276"/>
      <c r="Q836" s="276"/>
      <c r="R836" s="278"/>
      <c r="S836" s="278"/>
      <c r="T836" s="278" t="s">
        <v>4111</v>
      </c>
      <c r="U836" s="279"/>
      <c r="V836" s="279" t="s">
        <v>1824</v>
      </c>
      <c r="W836" s="280">
        <v>44335.0</v>
      </c>
      <c r="X836" s="281">
        <v>0.007743055555555556</v>
      </c>
      <c r="Y836" s="279" t="s">
        <v>1693</v>
      </c>
      <c r="Z836" s="282" t="s">
        <v>53</v>
      </c>
      <c r="AA836" s="282">
        <v>6365286.0</v>
      </c>
      <c r="AB836" s="283">
        <v>44335.0</v>
      </c>
      <c r="AC836" s="284"/>
      <c r="AD836" s="284"/>
    </row>
    <row r="837" ht="14.25" customHeight="1">
      <c r="A837" s="265">
        <v>44329.0</v>
      </c>
      <c r="B837" s="266" t="s">
        <v>1500</v>
      </c>
      <c r="C837" s="266" t="s">
        <v>1696</v>
      </c>
      <c r="D837" s="266" t="s">
        <v>1543</v>
      </c>
      <c r="E837" s="268"/>
      <c r="F837" s="291" t="s">
        <v>4112</v>
      </c>
      <c r="G837" s="268" t="s">
        <v>1463</v>
      </c>
      <c r="H837" s="270">
        <v>0.005138888888888889</v>
      </c>
      <c r="I837" s="271">
        <v>44331.72222222222</v>
      </c>
      <c r="J837" s="268"/>
      <c r="K837" s="271">
        <v>44334.322233796294</v>
      </c>
      <c r="L837" s="288" t="str">
        <f t="shared" si="2"/>
        <v>2:24:01 PM</v>
      </c>
      <c r="M837" s="278" t="s">
        <v>4113</v>
      </c>
      <c r="N837" s="290"/>
      <c r="O837" s="276"/>
      <c r="P837" s="276"/>
      <c r="Q837" s="276"/>
      <c r="R837" s="278"/>
      <c r="S837" s="278"/>
      <c r="T837" s="278"/>
      <c r="U837" s="279"/>
      <c r="V837" s="279" t="s">
        <v>1824</v>
      </c>
      <c r="W837" s="280">
        <v>44335.0</v>
      </c>
      <c r="X837" s="281">
        <v>0.01709490740740741</v>
      </c>
      <c r="Y837" s="279" t="s">
        <v>1693</v>
      </c>
      <c r="Z837" s="282" t="s">
        <v>53</v>
      </c>
      <c r="AA837" s="282">
        <v>6365287.0</v>
      </c>
      <c r="AB837" s="283">
        <v>44335.0</v>
      </c>
      <c r="AC837" s="284"/>
      <c r="AD837" s="284"/>
    </row>
    <row r="838" ht="14.25" customHeight="1">
      <c r="A838" s="265">
        <v>44329.0</v>
      </c>
      <c r="B838" s="266" t="s">
        <v>2030</v>
      </c>
      <c r="C838" s="266"/>
      <c r="D838" s="266" t="s">
        <v>1452</v>
      </c>
      <c r="E838" s="268"/>
      <c r="F838" s="291" t="s">
        <v>4036</v>
      </c>
      <c r="G838" s="268"/>
      <c r="H838" s="268"/>
      <c r="I838" s="268"/>
      <c r="J838" s="268"/>
      <c r="K838" s="268"/>
      <c r="L838" s="288" t="str">
        <f t="shared" si="2"/>
        <v/>
      </c>
      <c r="M838" s="278"/>
      <c r="N838" s="290"/>
      <c r="O838" s="276"/>
      <c r="P838" s="276"/>
      <c r="Q838" s="276"/>
      <c r="R838" s="278"/>
      <c r="S838" s="278"/>
      <c r="T838" s="278"/>
      <c r="U838" s="279"/>
      <c r="V838" s="279" t="s">
        <v>28</v>
      </c>
      <c r="W838" s="279" t="s">
        <v>28</v>
      </c>
      <c r="X838" s="279" t="s">
        <v>28</v>
      </c>
      <c r="Y838" s="279" t="s">
        <v>28</v>
      </c>
      <c r="Z838" s="282" t="s">
        <v>28</v>
      </c>
      <c r="AA838" s="282" t="s">
        <v>28</v>
      </c>
      <c r="AB838" s="282" t="s">
        <v>28</v>
      </c>
      <c r="AC838" s="284"/>
      <c r="AD838" s="284"/>
    </row>
    <row r="839" ht="14.25" customHeight="1">
      <c r="A839" s="265">
        <v>44329.0</v>
      </c>
      <c r="B839" s="266" t="s">
        <v>1500</v>
      </c>
      <c r="C839" s="266"/>
      <c r="D839" s="266" t="s">
        <v>2083</v>
      </c>
      <c r="E839" s="268"/>
      <c r="F839" s="291" t="s">
        <v>4114</v>
      </c>
      <c r="G839" s="323" t="s">
        <v>3742</v>
      </c>
      <c r="H839" s="270"/>
      <c r="I839" s="271"/>
      <c r="J839" s="268"/>
      <c r="K839" s="271"/>
      <c r="L839" s="288" t="str">
        <f t="shared" si="2"/>
        <v/>
      </c>
      <c r="M839" s="307" t="s">
        <v>3915</v>
      </c>
      <c r="N839" s="290"/>
      <c r="O839" s="276"/>
      <c r="P839" s="276"/>
      <c r="Q839" s="276"/>
      <c r="R839" s="278"/>
      <c r="S839" s="278"/>
      <c r="T839" s="307" t="s">
        <v>3915</v>
      </c>
      <c r="U839" s="279"/>
      <c r="V839" s="279" t="s">
        <v>28</v>
      </c>
      <c r="W839" s="280"/>
      <c r="X839" s="281"/>
      <c r="Y839" s="279"/>
      <c r="Z839" s="282" t="s">
        <v>28</v>
      </c>
      <c r="AA839" s="282" t="s">
        <v>28</v>
      </c>
      <c r="AB839" s="283" t="s">
        <v>28</v>
      </c>
      <c r="AC839" s="284"/>
      <c r="AD839" s="284"/>
    </row>
    <row r="840" ht="14.25" customHeight="1">
      <c r="A840" s="265">
        <v>44329.0</v>
      </c>
      <c r="B840" s="266" t="s">
        <v>1783</v>
      </c>
      <c r="C840" s="266"/>
      <c r="D840" s="266" t="s">
        <v>1450</v>
      </c>
      <c r="E840" s="268"/>
      <c r="F840" s="358" t="s">
        <v>4115</v>
      </c>
      <c r="G840" s="268" t="s">
        <v>2085</v>
      </c>
      <c r="H840" s="270">
        <v>0.09795138888888888</v>
      </c>
      <c r="I840" s="271">
        <v>44329.72222222222</v>
      </c>
      <c r="J840" s="268"/>
      <c r="K840" s="271">
        <v>44329.79405092593</v>
      </c>
      <c r="L840" s="288" t="str">
        <f t="shared" si="2"/>
        <v>1:43:26 AM</v>
      </c>
      <c r="M840" s="278"/>
      <c r="N840" s="290"/>
      <c r="O840" s="276"/>
      <c r="P840" s="276"/>
      <c r="Q840" s="276"/>
      <c r="R840" s="278"/>
      <c r="S840" s="278"/>
      <c r="T840" s="278"/>
      <c r="U840" s="279"/>
      <c r="V840" s="279" t="s">
        <v>1824</v>
      </c>
      <c r="W840" s="280" t="s">
        <v>4116</v>
      </c>
      <c r="X840" s="281">
        <v>0.29974537037037036</v>
      </c>
      <c r="Y840" s="279" t="s">
        <v>1693</v>
      </c>
      <c r="Z840" s="282" t="s">
        <v>1570</v>
      </c>
      <c r="AA840" s="282" t="s">
        <v>4115</v>
      </c>
      <c r="AB840" s="283">
        <v>44329.0</v>
      </c>
      <c r="AC840" s="284"/>
      <c r="AD840" s="284"/>
    </row>
    <row r="841" ht="14.25" customHeight="1">
      <c r="A841" s="265">
        <v>44329.0</v>
      </c>
      <c r="B841" s="266" t="s">
        <v>1685</v>
      </c>
      <c r="C841" s="266"/>
      <c r="D841" s="266" t="s">
        <v>1686</v>
      </c>
      <c r="E841" s="268"/>
      <c r="F841" s="358" t="s">
        <v>4117</v>
      </c>
      <c r="G841" s="268" t="s">
        <v>2085</v>
      </c>
      <c r="H841" s="270">
        <v>0.03733796296296296</v>
      </c>
      <c r="I841" s="271">
        <v>44329.72777777778</v>
      </c>
      <c r="J841" s="268"/>
      <c r="K841" s="271">
        <v>44329.74592592593</v>
      </c>
      <c r="L841" s="288" t="str">
        <f t="shared" si="2"/>
        <v>12:26:08 AM</v>
      </c>
      <c r="M841" s="278"/>
      <c r="N841" s="290"/>
      <c r="O841" s="276"/>
      <c r="P841" s="276"/>
      <c r="Q841" s="276"/>
      <c r="R841" s="278"/>
      <c r="S841" s="278"/>
      <c r="T841" s="278"/>
      <c r="U841" s="279"/>
      <c r="V841" s="279" t="s">
        <v>1685</v>
      </c>
      <c r="W841" s="279" t="s">
        <v>4118</v>
      </c>
      <c r="X841" s="279"/>
      <c r="Y841" s="279" t="s">
        <v>1693</v>
      </c>
      <c r="Z841" s="282" t="s">
        <v>1570</v>
      </c>
      <c r="AA841" s="282" t="s">
        <v>4117</v>
      </c>
      <c r="AB841" s="283">
        <v>44329.0</v>
      </c>
      <c r="AC841" s="284"/>
      <c r="AD841" s="284"/>
    </row>
    <row r="842" ht="14.25" customHeight="1">
      <c r="A842" s="265">
        <v>44329.0</v>
      </c>
      <c r="B842" s="266" t="s">
        <v>3677</v>
      </c>
      <c r="C842" s="266"/>
      <c r="D842" s="266" t="s">
        <v>1455</v>
      </c>
      <c r="E842" s="268"/>
      <c r="F842" s="358" t="s">
        <v>4119</v>
      </c>
      <c r="G842" s="268" t="s">
        <v>2085</v>
      </c>
      <c r="H842" s="270">
        <v>0.021261574074074075</v>
      </c>
      <c r="I842" s="271">
        <v>44330.06875</v>
      </c>
      <c r="J842" s="268"/>
      <c r="K842" s="271">
        <v>44330.080034722225</v>
      </c>
      <c r="L842" s="288" t="str">
        <f t="shared" si="2"/>
        <v>12:16:15 AM</v>
      </c>
      <c r="M842" s="278"/>
      <c r="N842" s="290"/>
      <c r="O842" s="276"/>
      <c r="P842" s="276"/>
      <c r="Q842" s="276"/>
      <c r="R842" s="278"/>
      <c r="S842" s="278"/>
      <c r="T842" s="278"/>
      <c r="U842" s="279"/>
      <c r="V842" s="279" t="s">
        <v>2030</v>
      </c>
      <c r="W842" s="280">
        <v>44330.0</v>
      </c>
      <c r="X842" s="281">
        <v>0.0763888888888889</v>
      </c>
      <c r="Y842" s="279" t="s">
        <v>1693</v>
      </c>
      <c r="Z842" s="282" t="s">
        <v>53</v>
      </c>
      <c r="AA842" s="282" t="s">
        <v>4119</v>
      </c>
      <c r="AB842" s="283">
        <v>44330.0</v>
      </c>
      <c r="AC842" s="284"/>
      <c r="AD842" s="284"/>
    </row>
    <row r="843" ht="14.25" customHeight="1">
      <c r="A843" s="265">
        <v>44330.0</v>
      </c>
      <c r="B843" s="266" t="s">
        <v>1500</v>
      </c>
      <c r="C843" s="266" t="s">
        <v>2641</v>
      </c>
      <c r="D843" s="266" t="s">
        <v>1543</v>
      </c>
      <c r="E843" s="268"/>
      <c r="F843" s="269" t="s">
        <v>4120</v>
      </c>
      <c r="G843" s="268" t="s">
        <v>1463</v>
      </c>
      <c r="H843" s="270">
        <v>0.0044444444444444444</v>
      </c>
      <c r="I843" s="271">
        <v>44335.59027777778</v>
      </c>
      <c r="J843" s="268"/>
      <c r="K843" s="271"/>
      <c r="L843" s="288" t="str">
        <f t="shared" si="2"/>
        <v/>
      </c>
      <c r="M843" s="359" t="s">
        <v>3505</v>
      </c>
      <c r="N843" s="290"/>
      <c r="O843" s="276"/>
      <c r="P843" s="276"/>
      <c r="Q843" s="276"/>
      <c r="R843" s="278"/>
      <c r="S843" s="278"/>
      <c r="T843" s="278"/>
      <c r="U843" s="279"/>
      <c r="V843" s="279" t="s">
        <v>1824</v>
      </c>
      <c r="W843" s="280">
        <v>44335.0</v>
      </c>
      <c r="X843" s="281">
        <v>0.018657407407407407</v>
      </c>
      <c r="Y843" s="279" t="s">
        <v>1693</v>
      </c>
      <c r="Z843" s="282" t="s">
        <v>1570</v>
      </c>
      <c r="AA843" s="282">
        <v>6365481.0</v>
      </c>
      <c r="AB843" s="283">
        <v>44335.0</v>
      </c>
      <c r="AC843" s="284"/>
      <c r="AD843" s="284"/>
    </row>
    <row r="844" ht="14.25" customHeight="1">
      <c r="A844" s="265">
        <v>44330.0</v>
      </c>
      <c r="B844" s="266" t="s">
        <v>1733</v>
      </c>
      <c r="C844" s="266" t="s">
        <v>2158</v>
      </c>
      <c r="D844" s="266" t="s">
        <v>1450</v>
      </c>
      <c r="E844" s="268"/>
      <c r="F844" s="286" t="s">
        <v>4121</v>
      </c>
      <c r="G844" s="268" t="s">
        <v>3742</v>
      </c>
      <c r="H844" s="270"/>
      <c r="I844" s="271"/>
      <c r="J844" s="268"/>
      <c r="K844" s="271"/>
      <c r="L844" s="288" t="str">
        <f t="shared" si="2"/>
        <v/>
      </c>
      <c r="M844" s="307" t="s">
        <v>3915</v>
      </c>
      <c r="N844" s="290"/>
      <c r="O844" s="276"/>
      <c r="P844" s="276"/>
      <c r="Q844" s="276"/>
      <c r="R844" s="278"/>
      <c r="S844" s="278"/>
      <c r="T844" s="307" t="s">
        <v>3915</v>
      </c>
      <c r="U844" s="279"/>
      <c r="V844" s="279" t="s">
        <v>28</v>
      </c>
      <c r="W844" s="279"/>
      <c r="X844" s="279"/>
      <c r="Y844" s="279"/>
      <c r="Z844" s="282" t="s">
        <v>28</v>
      </c>
      <c r="AA844" s="282" t="s">
        <v>28</v>
      </c>
      <c r="AB844" s="283" t="s">
        <v>28</v>
      </c>
      <c r="AC844" s="284"/>
      <c r="AD844" s="284"/>
    </row>
    <row r="845" ht="14.25" customHeight="1">
      <c r="A845" s="265">
        <v>44330.0</v>
      </c>
      <c r="B845" s="266" t="s">
        <v>1733</v>
      </c>
      <c r="C845" s="266" t="s">
        <v>2158</v>
      </c>
      <c r="D845" s="266" t="s">
        <v>1450</v>
      </c>
      <c r="E845" s="268"/>
      <c r="F845" s="286" t="s">
        <v>4122</v>
      </c>
      <c r="G845" s="268" t="s">
        <v>3742</v>
      </c>
      <c r="H845" s="270"/>
      <c r="I845" s="271"/>
      <c r="J845" s="268"/>
      <c r="K845" s="271"/>
      <c r="L845" s="288" t="str">
        <f t="shared" si="2"/>
        <v/>
      </c>
      <c r="M845" s="307" t="s">
        <v>3915</v>
      </c>
      <c r="N845" s="290"/>
      <c r="O845" s="276"/>
      <c r="P845" s="276"/>
      <c r="Q845" s="276"/>
      <c r="R845" s="278"/>
      <c r="S845" s="278"/>
      <c r="T845" s="307" t="s">
        <v>3915</v>
      </c>
      <c r="U845" s="279"/>
      <c r="V845" s="279" t="s">
        <v>28</v>
      </c>
      <c r="W845" s="279"/>
      <c r="X845" s="279"/>
      <c r="Y845" s="279"/>
      <c r="Z845" s="282" t="s">
        <v>28</v>
      </c>
      <c r="AA845" s="282" t="s">
        <v>28</v>
      </c>
      <c r="AB845" s="283" t="s">
        <v>28</v>
      </c>
      <c r="AC845" s="284"/>
      <c r="AD845" s="284"/>
    </row>
    <row r="846" ht="14.25" customHeight="1">
      <c r="A846" s="265">
        <v>44330.0</v>
      </c>
      <c r="B846" s="266" t="s">
        <v>1783</v>
      </c>
      <c r="C846" s="266"/>
      <c r="D846" s="266" t="s">
        <v>1450</v>
      </c>
      <c r="E846" s="268"/>
      <c r="F846" s="358" t="s">
        <v>4123</v>
      </c>
      <c r="G846" s="268" t="s">
        <v>2085</v>
      </c>
      <c r="H846" s="270">
        <v>0.09917824074074073</v>
      </c>
      <c r="I846" s="271">
        <v>44330.6375</v>
      </c>
      <c r="J846" s="268"/>
      <c r="K846" s="271">
        <v>44330.690567129626</v>
      </c>
      <c r="L846" s="288" t="str">
        <f t="shared" si="2"/>
        <v>1:16:25 AM</v>
      </c>
      <c r="M846" s="278"/>
      <c r="N846" s="290"/>
      <c r="O846" s="276"/>
      <c r="P846" s="276"/>
      <c r="Q846" s="276"/>
      <c r="R846" s="278"/>
      <c r="S846" s="278"/>
      <c r="T846" s="278"/>
      <c r="U846" s="279"/>
      <c r="V846" s="279" t="s">
        <v>1733</v>
      </c>
      <c r="W846" s="280">
        <v>44333.0</v>
      </c>
      <c r="X846" s="281">
        <v>0.004861111111111111</v>
      </c>
      <c r="Y846" s="279" t="s">
        <v>1693</v>
      </c>
      <c r="Z846" s="282" t="s">
        <v>1570</v>
      </c>
      <c r="AA846" s="282" t="s">
        <v>4123</v>
      </c>
      <c r="AB846" s="283">
        <v>44330.0</v>
      </c>
      <c r="AC846" s="284"/>
      <c r="AD846" s="284"/>
    </row>
    <row r="847" ht="14.25" customHeight="1">
      <c r="A847" s="265">
        <v>44330.0</v>
      </c>
      <c r="B847" s="266" t="s">
        <v>2030</v>
      </c>
      <c r="C847" s="266"/>
      <c r="D847" s="266" t="s">
        <v>1452</v>
      </c>
      <c r="E847" s="268"/>
      <c r="F847" s="358" t="s">
        <v>4124</v>
      </c>
      <c r="G847" s="268" t="s">
        <v>2085</v>
      </c>
      <c r="H847" s="270">
        <v>0.003310185185185185</v>
      </c>
      <c r="I847" s="271">
        <v>44330.63888888889</v>
      </c>
      <c r="J847" s="268"/>
      <c r="K847" s="271">
        <v>44330.644166666665</v>
      </c>
      <c r="L847" s="288" t="str">
        <f t="shared" si="2"/>
        <v>12:07:36 AM</v>
      </c>
      <c r="M847" s="278"/>
      <c r="N847" s="290"/>
      <c r="O847" s="276"/>
      <c r="P847" s="276"/>
      <c r="Q847" s="276"/>
      <c r="R847" s="278"/>
      <c r="S847" s="278"/>
      <c r="T847" s="278"/>
      <c r="U847" s="279"/>
      <c r="V847" s="279" t="s">
        <v>1783</v>
      </c>
      <c r="W847" s="280">
        <v>44335.0</v>
      </c>
      <c r="X847" s="281">
        <v>0.005555555555555556</v>
      </c>
      <c r="Y847" s="279" t="s">
        <v>1693</v>
      </c>
      <c r="Z847" s="282" t="s">
        <v>1570</v>
      </c>
      <c r="AA847" s="282" t="s">
        <v>4124</v>
      </c>
      <c r="AB847" s="283">
        <v>44330.0</v>
      </c>
      <c r="AC847" s="284"/>
      <c r="AD847" s="284"/>
    </row>
    <row r="848" ht="14.25" customHeight="1">
      <c r="A848" s="265">
        <v>44330.0</v>
      </c>
      <c r="B848" s="266" t="s">
        <v>1685</v>
      </c>
      <c r="C848" s="266"/>
      <c r="D848" s="266" t="s">
        <v>1686</v>
      </c>
      <c r="E848" s="268"/>
      <c r="F848" s="358" t="s">
        <v>4125</v>
      </c>
      <c r="G848" s="268" t="s">
        <v>2085</v>
      </c>
      <c r="H848" s="270">
        <v>0.037488425925925925</v>
      </c>
      <c r="I848" s="271">
        <v>44330.6875</v>
      </c>
      <c r="J848" s="268"/>
      <c r="K848" s="271">
        <v>44330.726331018515</v>
      </c>
      <c r="L848" s="288" t="str">
        <f t="shared" si="2"/>
        <v>12:55:55 AM</v>
      </c>
      <c r="M848" s="278"/>
      <c r="N848" s="290"/>
      <c r="O848" s="276"/>
      <c r="P848" s="276"/>
      <c r="Q848" s="276"/>
      <c r="R848" s="278"/>
      <c r="S848" s="278"/>
      <c r="T848" s="278"/>
      <c r="U848" s="279"/>
      <c r="V848" s="279" t="s">
        <v>1685</v>
      </c>
      <c r="W848" s="280">
        <v>44333.0</v>
      </c>
      <c r="X848" s="281">
        <v>0.16666666666666666</v>
      </c>
      <c r="Y848" s="279" t="s">
        <v>1693</v>
      </c>
      <c r="Z848" s="282" t="s">
        <v>1570</v>
      </c>
      <c r="AA848" s="282" t="s">
        <v>4125</v>
      </c>
      <c r="AB848" s="283">
        <v>44330.0</v>
      </c>
      <c r="AC848" s="284"/>
      <c r="AD848" s="284"/>
    </row>
    <row r="849" ht="14.25" customHeight="1">
      <c r="A849" s="265">
        <v>44330.0</v>
      </c>
      <c r="B849" s="266" t="s">
        <v>3677</v>
      </c>
      <c r="C849" s="266"/>
      <c r="D849" s="266" t="s">
        <v>1455</v>
      </c>
      <c r="E849" s="268"/>
      <c r="F849" s="358" t="s">
        <v>4126</v>
      </c>
      <c r="G849" s="268" t="s">
        <v>2085</v>
      </c>
      <c r="H849" s="270">
        <v>0.02172453703703704</v>
      </c>
      <c r="I849" s="271">
        <v>44330.915972222225</v>
      </c>
      <c r="J849" s="268"/>
      <c r="K849" s="271">
        <v>44330.9346875</v>
      </c>
      <c r="L849" s="288" t="str">
        <f t="shared" si="2"/>
        <v>12:26:57 AM</v>
      </c>
      <c r="M849" s="278"/>
      <c r="N849" s="290"/>
      <c r="O849" s="276"/>
      <c r="P849" s="276"/>
      <c r="Q849" s="276"/>
      <c r="R849" s="278"/>
      <c r="S849" s="278"/>
      <c r="T849" s="278"/>
      <c r="U849" s="279"/>
      <c r="V849" s="279" t="s">
        <v>1783</v>
      </c>
      <c r="W849" s="280">
        <v>44333.0</v>
      </c>
      <c r="X849" s="281">
        <v>0.08333333333333333</v>
      </c>
      <c r="Y849" s="279" t="s">
        <v>1693</v>
      </c>
      <c r="Z849" s="282" t="s">
        <v>1570</v>
      </c>
      <c r="AA849" s="282" t="s">
        <v>4126</v>
      </c>
      <c r="AB849" s="283">
        <v>44330.0</v>
      </c>
      <c r="AC849" s="284"/>
      <c r="AD849" s="284"/>
    </row>
    <row r="850" ht="14.25" customHeight="1">
      <c r="A850" s="265">
        <v>44331.0</v>
      </c>
      <c r="B850" s="266" t="s">
        <v>1500</v>
      </c>
      <c r="C850" s="266" t="s">
        <v>4127</v>
      </c>
      <c r="D850" s="266" t="s">
        <v>1543</v>
      </c>
      <c r="E850" s="268"/>
      <c r="F850" s="269" t="s">
        <v>4128</v>
      </c>
      <c r="G850" s="268" t="s">
        <v>1463</v>
      </c>
      <c r="H850" s="270">
        <v>8.449074074074075E-4</v>
      </c>
      <c r="I850" s="271">
        <v>44334.57152777778</v>
      </c>
      <c r="J850" s="268"/>
      <c r="K850" s="271">
        <v>44334.583032407405</v>
      </c>
      <c r="L850" s="288" t="str">
        <f t="shared" si="2"/>
        <v>12:16:34 AM</v>
      </c>
      <c r="M850" s="278" t="s">
        <v>4129</v>
      </c>
      <c r="N850" s="290"/>
      <c r="O850" s="276"/>
      <c r="P850" s="276"/>
      <c r="Q850" s="276"/>
      <c r="R850" s="278"/>
      <c r="S850" s="278"/>
      <c r="T850" s="278"/>
      <c r="U850" s="279"/>
      <c r="V850" s="279" t="s">
        <v>1824</v>
      </c>
      <c r="W850" s="280">
        <v>44335.0</v>
      </c>
      <c r="X850" s="281">
        <v>0.008657407407407407</v>
      </c>
      <c r="Y850" s="279" t="s">
        <v>1693</v>
      </c>
      <c r="Z850" s="282" t="s">
        <v>53</v>
      </c>
      <c r="AA850" s="282">
        <v>6365288.0</v>
      </c>
      <c r="AB850" s="283">
        <v>44335.0</v>
      </c>
      <c r="AC850" s="284"/>
      <c r="AD850" s="284"/>
    </row>
    <row r="851" ht="14.25" customHeight="1">
      <c r="A851" s="265">
        <v>44331.0</v>
      </c>
      <c r="B851" s="266" t="s">
        <v>1500</v>
      </c>
      <c r="C851" s="266"/>
      <c r="D851" s="266" t="s">
        <v>1686</v>
      </c>
      <c r="E851" s="268"/>
      <c r="F851" s="358" t="s">
        <v>4130</v>
      </c>
      <c r="G851" s="268" t="s">
        <v>2085</v>
      </c>
      <c r="H851" s="270">
        <v>0.03921296296296296</v>
      </c>
      <c r="I851" s="271">
        <v>44333.29236111111</v>
      </c>
      <c r="J851" s="268"/>
      <c r="K851" s="271">
        <v>44333.32083333333</v>
      </c>
      <c r="L851" s="288" t="str">
        <f t="shared" si="2"/>
        <v>12:41:00 AM</v>
      </c>
      <c r="M851" s="278"/>
      <c r="N851" s="290"/>
      <c r="O851" s="276"/>
      <c r="P851" s="276"/>
      <c r="Q851" s="276"/>
      <c r="R851" s="278"/>
      <c r="S851" s="278"/>
      <c r="T851" s="278"/>
      <c r="U851" s="279"/>
      <c r="V851" s="279" t="s">
        <v>1685</v>
      </c>
      <c r="W851" s="280">
        <v>44333.0</v>
      </c>
      <c r="X851" s="281">
        <v>0.125</v>
      </c>
      <c r="Y851" s="279" t="s">
        <v>1693</v>
      </c>
      <c r="Z851" s="282" t="s">
        <v>53</v>
      </c>
      <c r="AA851" s="282" t="s">
        <v>4130</v>
      </c>
      <c r="AB851" s="283">
        <v>44333.0</v>
      </c>
      <c r="AC851" s="284"/>
      <c r="AD851" s="284"/>
    </row>
    <row r="852" ht="14.25" customHeight="1">
      <c r="A852" s="265">
        <v>44331.0</v>
      </c>
      <c r="B852" s="266" t="s">
        <v>1746</v>
      </c>
      <c r="C852" s="266"/>
      <c r="D852" s="266" t="s">
        <v>1455</v>
      </c>
      <c r="E852" s="268"/>
      <c r="F852" s="358" t="s">
        <v>4131</v>
      </c>
      <c r="G852" s="268" t="s">
        <v>2085</v>
      </c>
      <c r="H852" s="270">
        <v>0.017893518518518517</v>
      </c>
      <c r="I852" s="271">
        <v>44333.29513888889</v>
      </c>
      <c r="J852" s="268"/>
      <c r="K852" s="271">
        <v>44333.30625</v>
      </c>
      <c r="L852" s="288" t="str">
        <f t="shared" si="2"/>
        <v>12:16:00 AM</v>
      </c>
      <c r="M852" s="278"/>
      <c r="N852" s="290"/>
      <c r="O852" s="276"/>
      <c r="P852" s="276"/>
      <c r="Q852" s="276"/>
      <c r="R852" s="278"/>
      <c r="S852" s="278"/>
      <c r="T852" s="278"/>
      <c r="U852" s="279"/>
      <c r="V852" s="279" t="s">
        <v>1783</v>
      </c>
      <c r="W852" s="280" t="s">
        <v>4116</v>
      </c>
      <c r="X852" s="281">
        <v>0.08333333333333333</v>
      </c>
      <c r="Y852" s="279" t="s">
        <v>1693</v>
      </c>
      <c r="Z852" s="282" t="s">
        <v>53</v>
      </c>
      <c r="AA852" s="282" t="s">
        <v>4131</v>
      </c>
      <c r="AB852" s="283">
        <v>44333.0</v>
      </c>
      <c r="AC852" s="284"/>
      <c r="AD852" s="284"/>
    </row>
    <row r="853" ht="14.25" customHeight="1">
      <c r="A853" s="265">
        <v>44332.0</v>
      </c>
      <c r="B853" s="266" t="s">
        <v>1733</v>
      </c>
      <c r="C853" s="266"/>
      <c r="D853" s="266" t="s">
        <v>3509</v>
      </c>
      <c r="E853" s="268"/>
      <c r="F853" s="358">
        <v>6361932.0</v>
      </c>
      <c r="G853" s="268" t="s">
        <v>3839</v>
      </c>
      <c r="H853" s="270">
        <v>0.04861111111111111</v>
      </c>
      <c r="I853" s="271">
        <v>44333.381944444445</v>
      </c>
      <c r="J853" s="268"/>
      <c r="K853" s="271">
        <v>44333.395833333336</v>
      </c>
      <c r="L853" s="288" t="str">
        <f t="shared" si="2"/>
        <v>12:20:00 AM</v>
      </c>
      <c r="M853" s="278"/>
      <c r="N853" s="290"/>
      <c r="O853" s="276"/>
      <c r="P853" s="276"/>
      <c r="Q853" s="276"/>
      <c r="R853" s="278"/>
      <c r="S853" s="278"/>
      <c r="T853" s="278"/>
      <c r="U853" s="279"/>
      <c r="V853" s="279"/>
      <c r="W853" s="279"/>
      <c r="X853" s="279"/>
      <c r="Y853" s="279"/>
      <c r="Z853" s="282" t="s">
        <v>4132</v>
      </c>
      <c r="AA853" s="282">
        <v>6361932.0</v>
      </c>
      <c r="AB853" s="283">
        <v>44333.0</v>
      </c>
      <c r="AC853" s="284"/>
      <c r="AD853" s="284"/>
    </row>
    <row r="854" ht="14.25" customHeight="1">
      <c r="A854" s="265">
        <v>44332.0</v>
      </c>
      <c r="B854" s="266" t="s">
        <v>1500</v>
      </c>
      <c r="C854" s="266" t="s">
        <v>2505</v>
      </c>
      <c r="D854" s="266" t="s">
        <v>1543</v>
      </c>
      <c r="E854" s="268"/>
      <c r="F854" s="269" t="s">
        <v>4133</v>
      </c>
      <c r="G854" s="268" t="s">
        <v>1463</v>
      </c>
      <c r="H854" s="270">
        <v>0.009814814814814814</v>
      </c>
      <c r="I854" s="271">
        <v>44334.302083333336</v>
      </c>
      <c r="J854" s="268"/>
      <c r="K854" s="271"/>
      <c r="L854" s="288" t="str">
        <f t="shared" si="2"/>
        <v/>
      </c>
      <c r="M854" s="307" t="s">
        <v>4134</v>
      </c>
      <c r="N854" s="271">
        <v>44334.48611111111</v>
      </c>
      <c r="O854" s="269" t="s">
        <v>4135</v>
      </c>
      <c r="P854" s="276"/>
      <c r="Q854" s="276"/>
      <c r="R854" s="278"/>
      <c r="S854" s="278"/>
      <c r="T854" s="278" t="s">
        <v>4136</v>
      </c>
      <c r="U854" s="279"/>
      <c r="V854" s="279" t="s">
        <v>1824</v>
      </c>
      <c r="W854" s="280">
        <v>44336.0</v>
      </c>
      <c r="X854" s="281">
        <v>0.03454861111111111</v>
      </c>
      <c r="Y854" s="279" t="s">
        <v>1693</v>
      </c>
      <c r="Z854" s="282" t="s">
        <v>53</v>
      </c>
      <c r="AA854" s="282">
        <v>6365289.0</v>
      </c>
      <c r="AB854" s="283">
        <v>44335.0</v>
      </c>
      <c r="AC854" s="284"/>
      <c r="AD854" s="284"/>
    </row>
    <row r="855" ht="14.25" customHeight="1">
      <c r="A855" s="265">
        <v>44332.0</v>
      </c>
      <c r="B855" s="266" t="s">
        <v>1500</v>
      </c>
      <c r="C855" s="266" t="s">
        <v>2505</v>
      </c>
      <c r="D855" s="266" t="s">
        <v>1543</v>
      </c>
      <c r="E855" s="268"/>
      <c r="F855" s="269" t="s">
        <v>4137</v>
      </c>
      <c r="G855" s="268" t="s">
        <v>1463</v>
      </c>
      <c r="H855" s="270">
        <v>0.0010648148148148147</v>
      </c>
      <c r="I855" s="271">
        <v>44334.302083333336</v>
      </c>
      <c r="J855" s="268"/>
      <c r="K855" s="271">
        <v>44334.30940972222</v>
      </c>
      <c r="L855" s="288" t="str">
        <f t="shared" si="2"/>
        <v>12:10:33 AM</v>
      </c>
      <c r="M855" s="278" t="s">
        <v>4138</v>
      </c>
      <c r="N855" s="290"/>
      <c r="O855" s="276"/>
      <c r="P855" s="276"/>
      <c r="Q855" s="276"/>
      <c r="R855" s="278"/>
      <c r="S855" s="278"/>
      <c r="T855" s="278"/>
      <c r="U855" s="279"/>
      <c r="V855" s="279" t="s">
        <v>1824</v>
      </c>
      <c r="W855" s="280">
        <v>44334.0</v>
      </c>
      <c r="X855" s="281">
        <v>0.011064814814814814</v>
      </c>
      <c r="Y855" s="279" t="s">
        <v>1693</v>
      </c>
      <c r="Z855" s="282" t="s">
        <v>53</v>
      </c>
      <c r="AA855" s="282">
        <v>6365290.0</v>
      </c>
      <c r="AB855" s="283">
        <v>44335.0</v>
      </c>
      <c r="AC855" s="284"/>
      <c r="AD855" s="284"/>
    </row>
    <row r="856" ht="14.25" customHeight="1">
      <c r="A856" s="265">
        <v>44332.0</v>
      </c>
      <c r="B856" s="266" t="s">
        <v>1500</v>
      </c>
      <c r="C856" s="266" t="s">
        <v>2505</v>
      </c>
      <c r="D856" s="266" t="s">
        <v>4139</v>
      </c>
      <c r="E856" s="268"/>
      <c r="F856" s="269" t="s">
        <v>4140</v>
      </c>
      <c r="G856" s="268" t="s">
        <v>1463</v>
      </c>
      <c r="H856" s="270">
        <v>0.003923611111111111</v>
      </c>
      <c r="I856" s="271">
        <v>44335.85554398148</v>
      </c>
      <c r="J856" s="268"/>
      <c r="K856" s="271">
        <v>44343.35958333333</v>
      </c>
      <c r="L856" s="288" t="str">
        <f t="shared" si="2"/>
        <v>12:05:49 PM</v>
      </c>
      <c r="M856" s="359" t="s">
        <v>3505</v>
      </c>
      <c r="N856" s="290"/>
      <c r="O856" s="276"/>
      <c r="P856" s="276"/>
      <c r="Q856" s="276"/>
      <c r="R856" s="278"/>
      <c r="S856" s="278"/>
      <c r="T856" s="278"/>
      <c r="U856" s="279"/>
      <c r="V856" s="279" t="s">
        <v>1500</v>
      </c>
      <c r="W856" s="280"/>
      <c r="X856" s="281"/>
      <c r="Y856" s="279" t="s">
        <v>1693</v>
      </c>
      <c r="Z856" s="282" t="s">
        <v>1570</v>
      </c>
      <c r="AA856" s="282">
        <v>6365505.0</v>
      </c>
      <c r="AB856" s="283">
        <v>44335.0</v>
      </c>
      <c r="AC856" s="284"/>
      <c r="AD856" s="284"/>
    </row>
    <row r="857" ht="14.25" customHeight="1">
      <c r="A857" s="265">
        <v>44332.0</v>
      </c>
      <c r="B857" s="266" t="s">
        <v>1500</v>
      </c>
      <c r="C857" s="266" t="s">
        <v>2505</v>
      </c>
      <c r="D857" s="266" t="s">
        <v>1421</v>
      </c>
      <c r="E857" s="268"/>
      <c r="F857" s="269" t="s">
        <v>4141</v>
      </c>
      <c r="G857" s="268" t="s">
        <v>1463</v>
      </c>
      <c r="H857" s="270">
        <v>0.0036226851851851854</v>
      </c>
      <c r="I857" s="271">
        <v>44343.353472222225</v>
      </c>
      <c r="J857" s="268"/>
      <c r="K857" s="271">
        <v>44343.33849537037</v>
      </c>
      <c r="L857" s="288" t="str">
        <f t="shared" si="2"/>
        <v>11:38:26 PM</v>
      </c>
      <c r="M857" s="278" t="s">
        <v>4142</v>
      </c>
      <c r="N857" s="290"/>
      <c r="O857" s="276"/>
      <c r="P857" s="276"/>
      <c r="Q857" s="276"/>
      <c r="R857" s="278"/>
      <c r="S857" s="278"/>
      <c r="T857" s="278"/>
      <c r="U857" s="279"/>
      <c r="V857" s="279" t="s">
        <v>1500</v>
      </c>
      <c r="W857" s="280"/>
      <c r="X857" s="281"/>
      <c r="Y857" s="279"/>
      <c r="Z857" s="282" t="s">
        <v>53</v>
      </c>
      <c r="AA857" s="282">
        <v>6368688.0</v>
      </c>
      <c r="AB857" s="283">
        <v>44343.0</v>
      </c>
      <c r="AC857" s="284"/>
      <c r="AD857" s="284"/>
    </row>
    <row r="858" ht="14.25" customHeight="1">
      <c r="A858" s="265">
        <v>44332.0</v>
      </c>
      <c r="B858" s="266" t="s">
        <v>1733</v>
      </c>
      <c r="C858" s="266"/>
      <c r="D858" s="266" t="s">
        <v>1457</v>
      </c>
      <c r="E858" s="268"/>
      <c r="F858" s="358" t="s">
        <v>4143</v>
      </c>
      <c r="G858" s="268" t="s">
        <v>2085</v>
      </c>
      <c r="H858" s="270">
        <v>0.01767361111111111</v>
      </c>
      <c r="I858" s="271">
        <v>44333.30138888889</v>
      </c>
      <c r="J858" s="268"/>
      <c r="K858" s="271">
        <v>44333.31458333333</v>
      </c>
      <c r="L858" s="288" t="str">
        <f t="shared" si="2"/>
        <v>12:19:00 AM</v>
      </c>
      <c r="M858" s="278"/>
      <c r="N858" s="290"/>
      <c r="O858" s="276"/>
      <c r="P858" s="276"/>
      <c r="Q858" s="276"/>
      <c r="R858" s="278"/>
      <c r="S858" s="278"/>
      <c r="T858" s="278"/>
      <c r="U858" s="279"/>
      <c r="V858" s="279" t="s">
        <v>1824</v>
      </c>
      <c r="W858" s="280">
        <v>44333.0</v>
      </c>
      <c r="X858" s="281">
        <v>0.03501157407407408</v>
      </c>
      <c r="Y858" s="279" t="s">
        <v>1693</v>
      </c>
      <c r="Z858" s="282" t="s">
        <v>53</v>
      </c>
      <c r="AA858" s="282" t="s">
        <v>4143</v>
      </c>
      <c r="AB858" s="283">
        <v>44333.0</v>
      </c>
      <c r="AC858" s="284"/>
      <c r="AD858" s="284"/>
    </row>
    <row r="859" ht="14.25" customHeight="1">
      <c r="A859" s="265">
        <v>44332.0</v>
      </c>
      <c r="B859" s="266" t="s">
        <v>1733</v>
      </c>
      <c r="C859" s="266"/>
      <c r="D859" s="266" t="s">
        <v>2829</v>
      </c>
      <c r="E859" s="268"/>
      <c r="F859" s="358" t="s">
        <v>4144</v>
      </c>
      <c r="G859" s="268" t="s">
        <v>2085</v>
      </c>
      <c r="H859" s="270">
        <v>0.018703703703703705</v>
      </c>
      <c r="I859" s="271">
        <v>44333.3125</v>
      </c>
      <c r="J859" s="268"/>
      <c r="K859" s="268"/>
      <c r="L859" s="288" t="str">
        <f t="shared" si="2"/>
        <v/>
      </c>
      <c r="M859" s="307" t="s">
        <v>2808</v>
      </c>
      <c r="N859" s="273">
        <v>44333.399305555555</v>
      </c>
      <c r="O859" s="276" t="s">
        <v>4145</v>
      </c>
      <c r="P859" s="275" t="s">
        <v>3809</v>
      </c>
      <c r="Q859" s="276" t="s">
        <v>1819</v>
      </c>
      <c r="R859" s="278"/>
      <c r="S859" s="278"/>
      <c r="T859" s="278" t="s">
        <v>4146</v>
      </c>
      <c r="U859" s="279"/>
      <c r="V859" s="279"/>
      <c r="W859" s="279"/>
      <c r="X859" s="279"/>
      <c r="Y859" s="279"/>
      <c r="Z859" s="282" t="s">
        <v>1570</v>
      </c>
      <c r="AA859" s="282" t="s">
        <v>4144</v>
      </c>
      <c r="AB859" s="283">
        <v>44333.0</v>
      </c>
      <c r="AC859" s="284"/>
      <c r="AD859" s="284"/>
    </row>
    <row r="860" ht="14.25" customHeight="1">
      <c r="A860" s="265">
        <v>44333.0</v>
      </c>
      <c r="B860" s="266" t="s">
        <v>1500</v>
      </c>
      <c r="C860" s="266" t="s">
        <v>4147</v>
      </c>
      <c r="D860" s="266" t="s">
        <v>1543</v>
      </c>
      <c r="E860" s="268"/>
      <c r="F860" s="269" t="s">
        <v>4148</v>
      </c>
      <c r="G860" s="268" t="s">
        <v>1463</v>
      </c>
      <c r="H860" s="270">
        <v>0.007789351851851852</v>
      </c>
      <c r="I860" s="271">
        <v>44334.302083333336</v>
      </c>
      <c r="J860" s="268"/>
      <c r="K860" s="271">
        <v>44334.313101851854</v>
      </c>
      <c r="L860" s="288" t="str">
        <f t="shared" si="2"/>
        <v>12:15:52 AM</v>
      </c>
      <c r="M860" s="278" t="s">
        <v>4149</v>
      </c>
      <c r="N860" s="290"/>
      <c r="O860" s="276"/>
      <c r="P860" s="276"/>
      <c r="Q860" s="276"/>
      <c r="R860" s="278"/>
      <c r="S860" s="278"/>
      <c r="T860" s="278"/>
      <c r="U860" s="279"/>
      <c r="V860" s="279" t="s">
        <v>1824</v>
      </c>
      <c r="W860" s="280">
        <v>44334.0</v>
      </c>
      <c r="X860" s="281">
        <v>0.01621527777777778</v>
      </c>
      <c r="Y860" s="279" t="s">
        <v>1693</v>
      </c>
      <c r="Z860" s="282" t="s">
        <v>53</v>
      </c>
      <c r="AA860" s="282">
        <v>6365291.0</v>
      </c>
      <c r="AB860" s="283">
        <v>44335.0</v>
      </c>
      <c r="AC860" s="284"/>
      <c r="AD860" s="284"/>
    </row>
    <row r="861" ht="14.25" customHeight="1">
      <c r="A861" s="265">
        <v>44333.0</v>
      </c>
      <c r="B861" s="266" t="s">
        <v>1500</v>
      </c>
      <c r="C861" s="266" t="s">
        <v>1696</v>
      </c>
      <c r="D861" s="266" t="s">
        <v>1543</v>
      </c>
      <c r="E861" s="268"/>
      <c r="F861" s="269" t="s">
        <v>4150</v>
      </c>
      <c r="G861" s="268" t="s">
        <v>1463</v>
      </c>
      <c r="H861" s="270">
        <v>0.002534722222222222</v>
      </c>
      <c r="I861" s="271">
        <v>44334.353472222225</v>
      </c>
      <c r="J861" s="268"/>
      <c r="K861" s="271">
        <v>44334.361712962964</v>
      </c>
      <c r="L861" s="288" t="str">
        <f t="shared" si="2"/>
        <v>12:11:52 AM</v>
      </c>
      <c r="M861" s="278" t="s">
        <v>4151</v>
      </c>
      <c r="N861" s="290"/>
      <c r="O861" s="276"/>
      <c r="P861" s="276"/>
      <c r="Q861" s="276"/>
      <c r="R861" s="278"/>
      <c r="S861" s="278"/>
      <c r="T861" s="278"/>
      <c r="U861" s="279"/>
      <c r="V861" s="279" t="s">
        <v>1824</v>
      </c>
      <c r="W861" s="280">
        <v>44334.0</v>
      </c>
      <c r="X861" s="281">
        <v>0.008888888888888889</v>
      </c>
      <c r="Y861" s="279" t="s">
        <v>1693</v>
      </c>
      <c r="Z861" s="282" t="s">
        <v>53</v>
      </c>
      <c r="AA861" s="282">
        <v>6365292.0</v>
      </c>
      <c r="AB861" s="283">
        <v>44335.0</v>
      </c>
      <c r="AC861" s="284"/>
      <c r="AD861" s="284"/>
    </row>
    <row r="862" ht="14.25" customHeight="1">
      <c r="A862" s="265">
        <v>44333.0</v>
      </c>
      <c r="B862" s="266" t="s">
        <v>1500</v>
      </c>
      <c r="C862" s="266" t="s">
        <v>1686</v>
      </c>
      <c r="D862" s="266" t="s">
        <v>1543</v>
      </c>
      <c r="E862" s="268"/>
      <c r="F862" s="269" t="s">
        <v>4152</v>
      </c>
      <c r="G862" s="268" t="s">
        <v>1463</v>
      </c>
      <c r="H862" s="270">
        <v>0.0021180555555555553</v>
      </c>
      <c r="I862" s="271">
        <v>44334.48611111111</v>
      </c>
      <c r="J862" s="268"/>
      <c r="K862" s="271"/>
      <c r="L862" s="288" t="str">
        <f t="shared" si="2"/>
        <v/>
      </c>
      <c r="M862" s="307" t="s">
        <v>4134</v>
      </c>
      <c r="N862" s="271">
        <v>44334.493055555555</v>
      </c>
      <c r="O862" s="269" t="s">
        <v>4153</v>
      </c>
      <c r="P862" s="276"/>
      <c r="Q862" s="276"/>
      <c r="R862" s="278"/>
      <c r="S862" s="278"/>
      <c r="T862" s="278" t="s">
        <v>4154</v>
      </c>
      <c r="U862" s="279"/>
      <c r="V862" s="279" t="s">
        <v>1824</v>
      </c>
      <c r="W862" s="280">
        <v>44336.0</v>
      </c>
      <c r="X862" s="281">
        <v>0.006087962962962964</v>
      </c>
      <c r="Y862" s="279" t="s">
        <v>1693</v>
      </c>
      <c r="Z862" s="282" t="s">
        <v>53</v>
      </c>
      <c r="AA862" s="282">
        <v>6365293.0</v>
      </c>
      <c r="AB862" s="283">
        <v>44335.0</v>
      </c>
      <c r="AC862" s="284"/>
      <c r="AD862" s="284"/>
    </row>
    <row r="863" ht="14.25" customHeight="1">
      <c r="A863" s="265">
        <v>44333.0</v>
      </c>
      <c r="B863" s="266" t="s">
        <v>1500</v>
      </c>
      <c r="C863" s="266" t="s">
        <v>1455</v>
      </c>
      <c r="D863" s="266" t="s">
        <v>1543</v>
      </c>
      <c r="E863" s="268"/>
      <c r="F863" s="269" t="s">
        <v>4155</v>
      </c>
      <c r="G863" s="268" t="s">
        <v>1463</v>
      </c>
      <c r="H863" s="270">
        <v>0.0013425925925925925</v>
      </c>
      <c r="I863" s="271">
        <v>44334.48611111111</v>
      </c>
      <c r="J863" s="268"/>
      <c r="K863" s="271">
        <v>44334.61650462963</v>
      </c>
      <c r="L863" s="288" t="str">
        <f t="shared" si="2"/>
        <v>3:07:46 AM</v>
      </c>
      <c r="M863" s="278" t="s">
        <v>4156</v>
      </c>
      <c r="N863" s="290"/>
      <c r="O863" s="276"/>
      <c r="P863" s="276"/>
      <c r="Q863" s="276"/>
      <c r="R863" s="278"/>
      <c r="S863" s="278"/>
      <c r="T863" s="278"/>
      <c r="U863" s="279"/>
      <c r="V863" s="279" t="s">
        <v>1824</v>
      </c>
      <c r="W863" s="280">
        <v>44336.0</v>
      </c>
      <c r="X863" s="281">
        <v>0.0078009259259259256</v>
      </c>
      <c r="Y863" s="279" t="s">
        <v>1693</v>
      </c>
      <c r="Z863" s="282" t="s">
        <v>53</v>
      </c>
      <c r="AA863" s="282">
        <v>6365294.0</v>
      </c>
      <c r="AB863" s="283">
        <v>44335.0</v>
      </c>
      <c r="AC863" s="284"/>
      <c r="AD863" s="284"/>
    </row>
    <row r="864" ht="14.25" customHeight="1">
      <c r="A864" s="265">
        <v>44333.0</v>
      </c>
      <c r="B864" s="266" t="s">
        <v>1500</v>
      </c>
      <c r="C864" s="266" t="s">
        <v>1455</v>
      </c>
      <c r="D864" s="266" t="s">
        <v>1543</v>
      </c>
      <c r="E864" s="268"/>
      <c r="F864" s="269" t="s">
        <v>4157</v>
      </c>
      <c r="G864" s="268" t="s">
        <v>1463</v>
      </c>
      <c r="H864" s="270">
        <v>0.0017708333333333332</v>
      </c>
      <c r="I864" s="271">
        <v>44334.48611111111</v>
      </c>
      <c r="J864" s="268"/>
      <c r="K864" s="271">
        <v>44334.61863425926</v>
      </c>
      <c r="L864" s="288" t="str">
        <f t="shared" si="2"/>
        <v>3:10:50 AM</v>
      </c>
      <c r="M864" s="278" t="s">
        <v>4158</v>
      </c>
      <c r="N864" s="290"/>
      <c r="O864" s="276"/>
      <c r="P864" s="276"/>
      <c r="Q864" s="276"/>
      <c r="R864" s="278"/>
      <c r="S864" s="278"/>
      <c r="T864" s="278"/>
      <c r="U864" s="279"/>
      <c r="V864" s="279" t="s">
        <v>1824</v>
      </c>
      <c r="W864" s="280">
        <v>44336.0</v>
      </c>
      <c r="X864" s="281">
        <v>0.006099537037037036</v>
      </c>
      <c r="Y864" s="279" t="s">
        <v>1693</v>
      </c>
      <c r="Z864" s="282" t="s">
        <v>53</v>
      </c>
      <c r="AA864" s="282">
        <v>6365295.0</v>
      </c>
      <c r="AB864" s="283">
        <v>44335.0</v>
      </c>
      <c r="AC864" s="284"/>
      <c r="AD864" s="284"/>
    </row>
    <row r="865" ht="14.25" customHeight="1">
      <c r="A865" s="265">
        <v>44333.0</v>
      </c>
      <c r="B865" s="266" t="s">
        <v>1500</v>
      </c>
      <c r="C865" s="266" t="s">
        <v>2471</v>
      </c>
      <c r="D865" s="266" t="s">
        <v>1543</v>
      </c>
      <c r="E865" s="268"/>
      <c r="F865" s="269" t="s">
        <v>4159</v>
      </c>
      <c r="G865" s="268" t="s">
        <v>1463</v>
      </c>
      <c r="H865" s="270">
        <v>0.0020370370370370373</v>
      </c>
      <c r="I865" s="271">
        <v>44335.59027777778</v>
      </c>
      <c r="J865" s="268"/>
      <c r="K865" s="271">
        <v>44335.60041666667</v>
      </c>
      <c r="L865" s="288" t="str">
        <f t="shared" si="2"/>
        <v>12:14:36 AM</v>
      </c>
      <c r="M865" s="278" t="s">
        <v>4160</v>
      </c>
      <c r="N865" s="290"/>
      <c r="O865" s="276"/>
      <c r="P865" s="276"/>
      <c r="Q865" s="276"/>
      <c r="R865" s="278"/>
      <c r="S865" s="278"/>
      <c r="T865" s="278"/>
      <c r="U865" s="279"/>
      <c r="V865" s="279" t="s">
        <v>1824</v>
      </c>
      <c r="W865" s="280">
        <v>44336.0</v>
      </c>
      <c r="X865" s="281">
        <v>0.008090277777777778</v>
      </c>
      <c r="Y865" s="279" t="s">
        <v>1693</v>
      </c>
      <c r="Z865" s="282" t="s">
        <v>1570</v>
      </c>
      <c r="AA865" s="282">
        <v>6365482.0</v>
      </c>
      <c r="AB865" s="283">
        <v>44335.0</v>
      </c>
      <c r="AC865" s="284"/>
      <c r="AD865" s="284"/>
    </row>
    <row r="866" ht="14.25" customHeight="1">
      <c r="A866" s="265">
        <v>44333.0</v>
      </c>
      <c r="B866" s="266" t="s">
        <v>1783</v>
      </c>
      <c r="C866" s="266" t="s">
        <v>3472</v>
      </c>
      <c r="D866" s="266" t="s">
        <v>1455</v>
      </c>
      <c r="E866" s="268"/>
      <c r="F866" s="286" t="s">
        <v>4161</v>
      </c>
      <c r="G866" s="268" t="s">
        <v>4162</v>
      </c>
      <c r="H866" s="270"/>
      <c r="I866" s="271"/>
      <c r="J866" s="268"/>
      <c r="K866" s="271"/>
      <c r="L866" s="288" t="str">
        <f t="shared" si="2"/>
        <v/>
      </c>
      <c r="M866" s="307" t="s">
        <v>4163</v>
      </c>
      <c r="N866" s="290"/>
      <c r="O866" s="276"/>
      <c r="P866" s="276"/>
      <c r="Q866" s="276"/>
      <c r="R866" s="278"/>
      <c r="S866" s="278"/>
      <c r="T866" s="307" t="s">
        <v>3915</v>
      </c>
      <c r="U866" s="279"/>
      <c r="V866" s="279" t="s">
        <v>28</v>
      </c>
      <c r="W866" s="280"/>
      <c r="X866" s="279"/>
      <c r="Y866" s="279"/>
      <c r="Z866" s="282" t="s">
        <v>28</v>
      </c>
      <c r="AA866" s="282" t="s">
        <v>28</v>
      </c>
      <c r="AB866" s="283" t="s">
        <v>28</v>
      </c>
      <c r="AC866" s="284"/>
      <c r="AD866" s="284"/>
    </row>
    <row r="867" ht="14.25" customHeight="1">
      <c r="A867" s="265">
        <v>44333.0</v>
      </c>
      <c r="B867" s="266" t="s">
        <v>1733</v>
      </c>
      <c r="C867" s="266"/>
      <c r="D867" s="266" t="s">
        <v>1450</v>
      </c>
      <c r="E867" s="268"/>
      <c r="F867" s="358" t="s">
        <v>4164</v>
      </c>
      <c r="G867" s="268" t="s">
        <v>2085</v>
      </c>
      <c r="H867" s="270">
        <v>0.09932870370370371</v>
      </c>
      <c r="I867" s="271">
        <v>44333.46388888889</v>
      </c>
      <c r="J867" s="268"/>
      <c r="K867" s="271">
        <v>44317.549305555556</v>
      </c>
      <c r="L867" s="288" t="str">
        <f t="shared" si="2"/>
        <v>2:03:00 AM</v>
      </c>
      <c r="M867" s="278"/>
      <c r="N867" s="290"/>
      <c r="O867" s="276"/>
      <c r="P867" s="276"/>
      <c r="Q867" s="276"/>
      <c r="R867" s="278"/>
      <c r="S867" s="278"/>
      <c r="T867" s="278"/>
      <c r="U867" s="279"/>
      <c r="V867" s="279" t="s">
        <v>1733</v>
      </c>
      <c r="W867" s="280" t="s">
        <v>4165</v>
      </c>
      <c r="X867" s="281">
        <v>0.2708333333333333</v>
      </c>
      <c r="Y867" s="279" t="s">
        <v>1693</v>
      </c>
      <c r="Z867" s="282" t="s">
        <v>1570</v>
      </c>
      <c r="AA867" s="282" t="s">
        <v>4164</v>
      </c>
      <c r="AB867" s="283">
        <v>44333.0</v>
      </c>
      <c r="AC867" s="284"/>
      <c r="AD867" s="284"/>
    </row>
    <row r="868" ht="14.25" customHeight="1">
      <c r="A868" s="265">
        <v>44333.0</v>
      </c>
      <c r="B868" s="266" t="s">
        <v>1783</v>
      </c>
      <c r="C868" s="266"/>
      <c r="D868" s="266" t="s">
        <v>1452</v>
      </c>
      <c r="E868" s="268"/>
      <c r="F868" s="358" t="s">
        <v>4166</v>
      </c>
      <c r="G868" s="268" t="s">
        <v>2085</v>
      </c>
      <c r="H868" s="270">
        <v>0.0018055555555555557</v>
      </c>
      <c r="I868" s="271">
        <v>44333.50486111111</v>
      </c>
      <c r="J868" s="268"/>
      <c r="K868" s="271">
        <v>44333.555613425924</v>
      </c>
      <c r="L868" s="288" t="str">
        <f t="shared" si="2"/>
        <v>1:13:05 AM</v>
      </c>
      <c r="M868" s="278"/>
      <c r="N868" s="290"/>
      <c r="O868" s="276"/>
      <c r="P868" s="276"/>
      <c r="Q868" s="276"/>
      <c r="R868" s="278"/>
      <c r="S868" s="278"/>
      <c r="T868" s="278"/>
      <c r="U868" s="279"/>
      <c r="V868" s="279" t="s">
        <v>1783</v>
      </c>
      <c r="W868" s="280">
        <v>44335.0</v>
      </c>
      <c r="X868" s="281">
        <v>0.004861111111111111</v>
      </c>
      <c r="Y868" s="279" t="s">
        <v>1693</v>
      </c>
      <c r="Z868" s="282" t="s">
        <v>1570</v>
      </c>
      <c r="AA868" s="282" t="s">
        <v>4166</v>
      </c>
      <c r="AB868" s="283">
        <v>44333.0</v>
      </c>
      <c r="AC868" s="284"/>
      <c r="AD868" s="284"/>
    </row>
    <row r="869" ht="14.25" customHeight="1">
      <c r="A869" s="265">
        <v>44333.0</v>
      </c>
      <c r="B869" s="266" t="s">
        <v>1685</v>
      </c>
      <c r="C869" s="266"/>
      <c r="D869" s="266" t="s">
        <v>1686</v>
      </c>
      <c r="E869" s="268"/>
      <c r="F869" s="358" t="s">
        <v>4167</v>
      </c>
      <c r="G869" s="268" t="s">
        <v>2085</v>
      </c>
      <c r="H869" s="270">
        <v>0.03832175925925926</v>
      </c>
      <c r="I869" s="271">
        <v>44333.78333333333</v>
      </c>
      <c r="J869" s="268"/>
      <c r="K869" s="271">
        <v>44333.81736111111</v>
      </c>
      <c r="L869" s="288" t="str">
        <f t="shared" si="2"/>
        <v>12:49:00 AM</v>
      </c>
      <c r="M869" s="278"/>
      <c r="N869" s="290"/>
      <c r="O869" s="276"/>
      <c r="P869" s="276"/>
      <c r="Q869" s="276"/>
      <c r="R869" s="278"/>
      <c r="S869" s="278"/>
      <c r="T869" s="278"/>
      <c r="U869" s="279"/>
      <c r="V869" s="279" t="s">
        <v>1685</v>
      </c>
      <c r="W869" s="280">
        <v>44334.0</v>
      </c>
      <c r="X869" s="281">
        <v>0.14583333333333334</v>
      </c>
      <c r="Y869" s="279" t="s">
        <v>1693</v>
      </c>
      <c r="Z869" s="282" t="s">
        <v>1570</v>
      </c>
      <c r="AA869" s="282" t="s">
        <v>4167</v>
      </c>
      <c r="AB869" s="283">
        <v>44333.0</v>
      </c>
      <c r="AC869" s="284"/>
      <c r="AD869" s="284"/>
    </row>
    <row r="870" ht="14.25" customHeight="1">
      <c r="A870" s="265">
        <v>44333.0</v>
      </c>
      <c r="B870" s="266" t="s">
        <v>3677</v>
      </c>
      <c r="C870" s="266"/>
      <c r="D870" s="266" t="s">
        <v>1455</v>
      </c>
      <c r="E870" s="268"/>
      <c r="F870" s="358" t="s">
        <v>4168</v>
      </c>
      <c r="G870" s="268" t="s">
        <v>2085</v>
      </c>
      <c r="H870" s="270">
        <v>0.021354166666666664</v>
      </c>
      <c r="I870" s="271">
        <v>44333.94375</v>
      </c>
      <c r="J870" s="268"/>
      <c r="K870" s="271">
        <v>44333.966412037036</v>
      </c>
      <c r="L870" s="288" t="str">
        <f t="shared" si="2"/>
        <v>12:32:38 AM</v>
      </c>
      <c r="M870" s="278"/>
      <c r="N870" s="290"/>
      <c r="O870" s="276"/>
      <c r="P870" s="276"/>
      <c r="Q870" s="276"/>
      <c r="R870" s="278"/>
      <c r="S870" s="278"/>
      <c r="T870" s="278"/>
      <c r="U870" s="279"/>
      <c r="V870" s="279" t="s">
        <v>1783</v>
      </c>
      <c r="W870" s="280">
        <v>44334.0</v>
      </c>
      <c r="X870" s="281">
        <v>0.08333333333333333</v>
      </c>
      <c r="Y870" s="279" t="s">
        <v>1693</v>
      </c>
      <c r="Z870" s="282" t="s">
        <v>1570</v>
      </c>
      <c r="AA870" s="282" t="s">
        <v>4168</v>
      </c>
      <c r="AB870" s="283">
        <v>44333.0</v>
      </c>
      <c r="AC870" s="284"/>
      <c r="AD870" s="284"/>
    </row>
    <row r="871" ht="14.25" customHeight="1">
      <c r="A871" s="265">
        <v>44334.0</v>
      </c>
      <c r="B871" s="266" t="s">
        <v>1500</v>
      </c>
      <c r="C871" s="266" t="s">
        <v>1453</v>
      </c>
      <c r="D871" s="266" t="s">
        <v>1543</v>
      </c>
      <c r="E871" s="268"/>
      <c r="F871" s="291" t="s">
        <v>4169</v>
      </c>
      <c r="G871" s="268" t="s">
        <v>1463</v>
      </c>
      <c r="H871" s="270">
        <v>0.0037847222222222223</v>
      </c>
      <c r="I871" s="271">
        <v>44334.57152777778</v>
      </c>
      <c r="J871" s="268"/>
      <c r="K871" s="271">
        <v>44335.38458333333</v>
      </c>
      <c r="L871" s="288" t="str">
        <f t="shared" si="2"/>
        <v>7:30:48 PM</v>
      </c>
      <c r="M871" s="278" t="s">
        <v>4170</v>
      </c>
      <c r="N871" s="290"/>
      <c r="O871" s="276"/>
      <c r="P871" s="276"/>
      <c r="Q871" s="276"/>
      <c r="R871" s="278"/>
      <c r="S871" s="278"/>
      <c r="T871" s="278"/>
      <c r="U871" s="279"/>
      <c r="V871" s="279" t="s">
        <v>1824</v>
      </c>
      <c r="W871" s="280">
        <v>44336.0</v>
      </c>
      <c r="X871" s="279"/>
      <c r="Y871" s="279" t="s">
        <v>1693</v>
      </c>
      <c r="Z871" s="282" t="s">
        <v>53</v>
      </c>
      <c r="AA871" s="282">
        <v>6365309.0</v>
      </c>
      <c r="AB871" s="283">
        <v>44335.0</v>
      </c>
      <c r="AC871" s="284"/>
      <c r="AD871" s="284"/>
    </row>
    <row r="872" ht="14.25" customHeight="1">
      <c r="A872" s="265">
        <v>44334.0</v>
      </c>
      <c r="B872" s="266" t="s">
        <v>1733</v>
      </c>
      <c r="C872" s="266"/>
      <c r="D872" s="266" t="s">
        <v>1450</v>
      </c>
      <c r="E872" s="268"/>
      <c r="F872" s="358" t="s">
        <v>4171</v>
      </c>
      <c r="G872" s="268" t="s">
        <v>2085</v>
      </c>
      <c r="H872" s="270">
        <v>0.09918981481481481</v>
      </c>
      <c r="I872" s="271">
        <v>44334.57986111111</v>
      </c>
      <c r="J872" s="268"/>
      <c r="K872" s="271">
        <v>44334.65960648148</v>
      </c>
      <c r="L872" s="288" t="str">
        <f t="shared" si="2"/>
        <v>1:54:50 AM</v>
      </c>
      <c r="M872" s="307"/>
      <c r="N872" s="351"/>
      <c r="O872" s="276"/>
      <c r="P872" s="276"/>
      <c r="Q872" s="276"/>
      <c r="R872" s="278"/>
      <c r="S872" s="278"/>
      <c r="T872" s="278"/>
      <c r="U872" s="279"/>
      <c r="V872" s="279" t="s">
        <v>1733</v>
      </c>
      <c r="W872" s="280" t="s">
        <v>4172</v>
      </c>
      <c r="X872" s="281">
        <v>0.2708333333333333</v>
      </c>
      <c r="Y872" s="279" t="s">
        <v>1693</v>
      </c>
      <c r="Z872" s="282" t="s">
        <v>1570</v>
      </c>
      <c r="AA872" s="282" t="s">
        <v>4171</v>
      </c>
      <c r="AB872" s="283">
        <v>44334.0</v>
      </c>
      <c r="AC872" s="284"/>
      <c r="AD872" s="284"/>
    </row>
    <row r="873" ht="14.25" customHeight="1">
      <c r="A873" s="265">
        <v>44334.0</v>
      </c>
      <c r="B873" s="266" t="s">
        <v>1783</v>
      </c>
      <c r="C873" s="266"/>
      <c r="D873" s="266" t="s">
        <v>1452</v>
      </c>
      <c r="E873" s="268"/>
      <c r="F873" s="358" t="s">
        <v>4173</v>
      </c>
      <c r="G873" s="268" t="s">
        <v>2085</v>
      </c>
      <c r="H873" s="270">
        <v>0.005555555555555556</v>
      </c>
      <c r="I873" s="271">
        <v>44334.470138888886</v>
      </c>
      <c r="J873" s="268"/>
      <c r="K873" s="271">
        <v>44334.481886574074</v>
      </c>
      <c r="L873" s="288" t="str">
        <f t="shared" si="2"/>
        <v>12:16:55 AM</v>
      </c>
      <c r="M873" s="278"/>
      <c r="N873" s="290"/>
      <c r="O873" s="276"/>
      <c r="P873" s="276"/>
      <c r="Q873" s="276"/>
      <c r="R873" s="278"/>
      <c r="S873" s="278"/>
      <c r="T873" s="278"/>
      <c r="U873" s="279"/>
      <c r="V873" s="279" t="s">
        <v>1783</v>
      </c>
      <c r="W873" s="280">
        <v>44335.0</v>
      </c>
      <c r="X873" s="281">
        <v>0.012499999999999999</v>
      </c>
      <c r="Y873" s="279" t="s">
        <v>1693</v>
      </c>
      <c r="Z873" s="282" t="s">
        <v>1570</v>
      </c>
      <c r="AA873" s="282" t="s">
        <v>4173</v>
      </c>
      <c r="AB873" s="283">
        <v>44334.0</v>
      </c>
      <c r="AC873" s="284"/>
      <c r="AD873" s="284"/>
    </row>
    <row r="874" ht="14.25" customHeight="1">
      <c r="A874" s="265">
        <v>44334.0</v>
      </c>
      <c r="B874" s="266" t="s">
        <v>1685</v>
      </c>
      <c r="C874" s="266"/>
      <c r="D874" s="266" t="s">
        <v>1686</v>
      </c>
      <c r="E874" s="268"/>
      <c r="F874" s="358" t="s">
        <v>4174</v>
      </c>
      <c r="G874" s="268" t="s">
        <v>2085</v>
      </c>
      <c r="H874" s="270">
        <v>0.03996527777777777</v>
      </c>
      <c r="I874" s="271">
        <v>44334.67569444444</v>
      </c>
      <c r="J874" s="268"/>
      <c r="K874" s="271">
        <v>44334.702152777776</v>
      </c>
      <c r="L874" s="288" t="str">
        <f t="shared" si="2"/>
        <v>12:38:06 AM</v>
      </c>
      <c r="M874" s="278"/>
      <c r="N874" s="290"/>
      <c r="O874" s="276"/>
      <c r="P874" s="276"/>
      <c r="Q874" s="276"/>
      <c r="R874" s="278"/>
      <c r="S874" s="278"/>
      <c r="T874" s="278"/>
      <c r="U874" s="279"/>
      <c r="V874" s="279" t="s">
        <v>1685</v>
      </c>
      <c r="W874" s="280">
        <v>44335.0</v>
      </c>
      <c r="X874" s="279"/>
      <c r="Y874" s="279" t="s">
        <v>1693</v>
      </c>
      <c r="Z874" s="282" t="s">
        <v>1570</v>
      </c>
      <c r="AA874" s="282" t="s">
        <v>4174</v>
      </c>
      <c r="AB874" s="283">
        <v>44334.0</v>
      </c>
      <c r="AC874" s="284"/>
      <c r="AD874" s="284"/>
    </row>
    <row r="875" ht="14.25" customHeight="1">
      <c r="A875" s="265">
        <v>44334.0</v>
      </c>
      <c r="B875" s="266" t="s">
        <v>3677</v>
      </c>
      <c r="C875" s="266"/>
      <c r="D875" s="266" t="s">
        <v>1455</v>
      </c>
      <c r="E875" s="268"/>
      <c r="F875" s="358" t="s">
        <v>4175</v>
      </c>
      <c r="G875" s="268" t="s">
        <v>2085</v>
      </c>
      <c r="H875" s="270">
        <v>0.021886574074074072</v>
      </c>
      <c r="I875" s="271">
        <v>44335.32013888889</v>
      </c>
      <c r="J875" s="268"/>
      <c r="K875" s="271">
        <v>44335.33342592593</v>
      </c>
      <c r="L875" s="288" t="str">
        <f t="shared" si="2"/>
        <v>12:19:08 AM</v>
      </c>
      <c r="M875" s="278"/>
      <c r="N875" s="290"/>
      <c r="O875" s="276"/>
      <c r="P875" s="276"/>
      <c r="Q875" s="276"/>
      <c r="R875" s="278"/>
      <c r="S875" s="278"/>
      <c r="T875" s="278"/>
      <c r="U875" s="279"/>
      <c r="V875" s="279" t="s">
        <v>1783</v>
      </c>
      <c r="W875" s="280">
        <v>44335.0</v>
      </c>
      <c r="X875" s="281">
        <v>0.08333333333333333</v>
      </c>
      <c r="Y875" s="279" t="s">
        <v>1693</v>
      </c>
      <c r="Z875" s="282" t="s">
        <v>1570</v>
      </c>
      <c r="AA875" s="282" t="s">
        <v>4175</v>
      </c>
      <c r="AB875" s="283">
        <v>44335.0</v>
      </c>
      <c r="AC875" s="284"/>
      <c r="AD875" s="284"/>
    </row>
    <row r="876" ht="14.25" customHeight="1">
      <c r="A876" s="265">
        <v>44335.0</v>
      </c>
      <c r="B876" s="266" t="s">
        <v>1500</v>
      </c>
      <c r="C876" s="266" t="s">
        <v>2641</v>
      </c>
      <c r="D876" s="266" t="s">
        <v>1543</v>
      </c>
      <c r="E876" s="268"/>
      <c r="F876" s="269" t="s">
        <v>4176</v>
      </c>
      <c r="G876" s="268" t="s">
        <v>1463</v>
      </c>
      <c r="H876" s="270">
        <v>0.0035069444444444445</v>
      </c>
      <c r="I876" s="271">
        <v>44336.41180555556</v>
      </c>
      <c r="J876" s="268"/>
      <c r="K876" s="271">
        <v>44336.4203587963</v>
      </c>
      <c r="L876" s="288" t="str">
        <f t="shared" si="2"/>
        <v>12:12:19 AM</v>
      </c>
      <c r="M876" s="278" t="s">
        <v>4177</v>
      </c>
      <c r="N876" s="290"/>
      <c r="O876" s="276"/>
      <c r="P876" s="276"/>
      <c r="Q876" s="276"/>
      <c r="R876" s="278"/>
      <c r="S876" s="278"/>
      <c r="T876" s="278"/>
      <c r="U876" s="279"/>
      <c r="V876" s="279" t="s">
        <v>1824</v>
      </c>
      <c r="W876" s="280">
        <v>44337.0</v>
      </c>
      <c r="X876" s="281">
        <v>0.013726851851851851</v>
      </c>
      <c r="Y876" s="279" t="s">
        <v>1693</v>
      </c>
      <c r="Z876" s="282" t="s">
        <v>1570</v>
      </c>
      <c r="AA876" s="282">
        <v>6366727.0</v>
      </c>
      <c r="AB876" s="283">
        <v>44336.0</v>
      </c>
      <c r="AC876" s="284"/>
      <c r="AD876" s="284"/>
    </row>
    <row r="877" ht="14.25" customHeight="1">
      <c r="A877" s="265">
        <v>44335.0</v>
      </c>
      <c r="B877" s="266" t="s">
        <v>1500</v>
      </c>
      <c r="C877" s="266" t="s">
        <v>1686</v>
      </c>
      <c r="D877" s="266" t="s">
        <v>1543</v>
      </c>
      <c r="E877" s="268"/>
      <c r="F877" s="269" t="s">
        <v>4178</v>
      </c>
      <c r="G877" s="268" t="s">
        <v>1463</v>
      </c>
      <c r="H877" s="270">
        <v>0.0011921296296296296</v>
      </c>
      <c r="I877" s="271">
        <v>44336.41180555556</v>
      </c>
      <c r="J877" s="268"/>
      <c r="K877" s="271">
        <v>44336.41650462963</v>
      </c>
      <c r="L877" s="288" t="str">
        <f t="shared" si="2"/>
        <v>12:06:46 AM</v>
      </c>
      <c r="M877" s="278" t="s">
        <v>4179</v>
      </c>
      <c r="N877" s="290"/>
      <c r="O877" s="276"/>
      <c r="P877" s="276"/>
      <c r="Q877" s="276"/>
      <c r="R877" s="278"/>
      <c r="S877" s="278"/>
      <c r="T877" s="278"/>
      <c r="U877" s="279"/>
      <c r="V877" s="279" t="s">
        <v>1824</v>
      </c>
      <c r="W877" s="280">
        <v>44337.0</v>
      </c>
      <c r="X877" s="281">
        <v>0.007500000000000001</v>
      </c>
      <c r="Y877" s="279" t="s">
        <v>1693</v>
      </c>
      <c r="Z877" s="282" t="s">
        <v>1570</v>
      </c>
      <c r="AA877" s="282">
        <v>6366728.0</v>
      </c>
      <c r="AB877" s="283">
        <v>44336.0</v>
      </c>
      <c r="AC877" s="284"/>
      <c r="AD877" s="284"/>
    </row>
    <row r="878" ht="14.25" customHeight="1">
      <c r="A878" s="265">
        <v>44335.0</v>
      </c>
      <c r="B878" s="266" t="s">
        <v>1500</v>
      </c>
      <c r="C878" s="266" t="s">
        <v>1696</v>
      </c>
      <c r="D878" s="266" t="s">
        <v>1543</v>
      </c>
      <c r="E878" s="268"/>
      <c r="F878" s="269" t="s">
        <v>4180</v>
      </c>
      <c r="G878" s="268" t="s">
        <v>1463</v>
      </c>
      <c r="H878" s="270">
        <v>0.001388888888888889</v>
      </c>
      <c r="I878" s="271">
        <v>44336.41180555556</v>
      </c>
      <c r="J878" s="268"/>
      <c r="K878" s="271">
        <v>44336.41506944445</v>
      </c>
      <c r="L878" s="288" t="str">
        <f t="shared" si="2"/>
        <v>12:04:42 AM</v>
      </c>
      <c r="M878" s="278" t="s">
        <v>4181</v>
      </c>
      <c r="N878" s="290"/>
      <c r="O878" s="276"/>
      <c r="P878" s="276"/>
      <c r="Q878" s="276"/>
      <c r="R878" s="278"/>
      <c r="S878" s="278"/>
      <c r="T878" s="278"/>
      <c r="U878" s="279"/>
      <c r="V878" s="279" t="s">
        <v>1824</v>
      </c>
      <c r="W878" s="280">
        <v>44337.0</v>
      </c>
      <c r="X878" s="281">
        <v>0.005694444444444444</v>
      </c>
      <c r="Y878" s="279" t="s">
        <v>1693</v>
      </c>
      <c r="Z878" s="282" t="s">
        <v>1570</v>
      </c>
      <c r="AA878" s="282">
        <v>6366729.0</v>
      </c>
      <c r="AB878" s="283">
        <v>44336.0</v>
      </c>
      <c r="AC878" s="284"/>
      <c r="AD878" s="284"/>
    </row>
    <row r="879" ht="14.25" customHeight="1">
      <c r="A879" s="265">
        <v>44335.0</v>
      </c>
      <c r="B879" s="266" t="s">
        <v>1500</v>
      </c>
      <c r="C879" s="266" t="s">
        <v>1696</v>
      </c>
      <c r="D879" s="266" t="s">
        <v>1543</v>
      </c>
      <c r="E879" s="268"/>
      <c r="F879" s="269" t="s">
        <v>4182</v>
      </c>
      <c r="G879" s="268" t="s">
        <v>1463</v>
      </c>
      <c r="H879" s="270">
        <v>0.002893518518518519</v>
      </c>
      <c r="I879" s="271">
        <v>44336.41180555556</v>
      </c>
      <c r="J879" s="268"/>
      <c r="K879" s="271">
        <v>44336.41706018519</v>
      </c>
      <c r="L879" s="288" t="str">
        <f t="shared" si="2"/>
        <v>12:07:34 AM</v>
      </c>
      <c r="M879" s="278" t="s">
        <v>4183</v>
      </c>
      <c r="N879" s="290"/>
      <c r="O879" s="276"/>
      <c r="P879" s="276"/>
      <c r="Q879" s="276"/>
      <c r="R879" s="278"/>
      <c r="S879" s="278"/>
      <c r="T879" s="278"/>
      <c r="U879" s="279"/>
      <c r="V879" s="279" t="s">
        <v>1824</v>
      </c>
      <c r="W879" s="280">
        <v>44337.0</v>
      </c>
      <c r="X879" s="281">
        <v>0.006481481481481481</v>
      </c>
      <c r="Y879" s="279" t="s">
        <v>1693</v>
      </c>
      <c r="Z879" s="282" t="s">
        <v>1570</v>
      </c>
      <c r="AA879" s="282">
        <v>6366730.0</v>
      </c>
      <c r="AB879" s="283">
        <v>44336.0</v>
      </c>
      <c r="AC879" s="284"/>
      <c r="AD879" s="284"/>
    </row>
    <row r="880" ht="14.25" customHeight="1">
      <c r="A880" s="265">
        <v>44335.0</v>
      </c>
      <c r="B880" s="266" t="s">
        <v>1500</v>
      </c>
      <c r="C880" s="266" t="s">
        <v>4184</v>
      </c>
      <c r="D880" s="266" t="s">
        <v>1543</v>
      </c>
      <c r="E880" s="268"/>
      <c r="F880" s="269" t="s">
        <v>4185</v>
      </c>
      <c r="G880" s="268" t="s">
        <v>1463</v>
      </c>
      <c r="H880" s="270">
        <v>0.005347222222222222</v>
      </c>
      <c r="I880" s="271">
        <v>44336.41180555556</v>
      </c>
      <c r="J880" s="268"/>
      <c r="K880" s="271"/>
      <c r="L880" s="288" t="str">
        <f t="shared" si="2"/>
        <v/>
      </c>
      <c r="M880" s="307" t="s">
        <v>2335</v>
      </c>
      <c r="N880" s="273">
        <v>44337.60208333333</v>
      </c>
      <c r="O880" s="269" t="s">
        <v>4186</v>
      </c>
      <c r="P880" s="275" t="s">
        <v>3809</v>
      </c>
      <c r="Q880" s="274" t="s">
        <v>1844</v>
      </c>
      <c r="R880" s="277">
        <v>44340.43891203704</v>
      </c>
      <c r="S880" s="277"/>
      <c r="T880" s="278" t="s">
        <v>4187</v>
      </c>
      <c r="U880" s="279"/>
      <c r="V880" s="279" t="s">
        <v>1824</v>
      </c>
      <c r="W880" s="280">
        <v>44340.0</v>
      </c>
      <c r="X880" s="281">
        <v>0.01054398148148148</v>
      </c>
      <c r="Y880" s="279" t="s">
        <v>1693</v>
      </c>
      <c r="Z880" s="282" t="s">
        <v>1570</v>
      </c>
      <c r="AA880" s="282">
        <v>6367853.0</v>
      </c>
      <c r="AB880" s="283">
        <v>44341.0</v>
      </c>
      <c r="AC880" s="284"/>
      <c r="AD880" s="284"/>
    </row>
    <row r="881" ht="14.25" customHeight="1">
      <c r="A881" s="265">
        <v>44335.0</v>
      </c>
      <c r="B881" s="266" t="s">
        <v>1500</v>
      </c>
      <c r="C881" s="266" t="s">
        <v>2083</v>
      </c>
      <c r="D881" s="266" t="s">
        <v>1543</v>
      </c>
      <c r="E881" s="268"/>
      <c r="F881" s="269" t="s">
        <v>4188</v>
      </c>
      <c r="G881" s="268" t="s">
        <v>1463</v>
      </c>
      <c r="H881" s="270">
        <v>0.0014583333333333334</v>
      </c>
      <c r="I881" s="271">
        <v>44341.333333333336</v>
      </c>
      <c r="J881" s="268"/>
      <c r="K881" s="271"/>
      <c r="L881" s="288" t="str">
        <f t="shared" si="2"/>
        <v/>
      </c>
      <c r="M881" s="359" t="s">
        <v>3505</v>
      </c>
      <c r="N881" s="273"/>
      <c r="O881" s="269"/>
      <c r="P881" s="275"/>
      <c r="Q881" s="274"/>
      <c r="R881" s="277"/>
      <c r="S881" s="277"/>
      <c r="T881" s="278"/>
      <c r="U881" s="279"/>
      <c r="V881" s="279" t="s">
        <v>1824</v>
      </c>
      <c r="W881" s="280">
        <v>44311.0</v>
      </c>
      <c r="X881" s="281">
        <v>0.009814814814814814</v>
      </c>
      <c r="Y881" s="279" t="s">
        <v>1693</v>
      </c>
      <c r="Z881" s="282" t="s">
        <v>1570</v>
      </c>
      <c r="AA881" s="282">
        <v>6368256.0</v>
      </c>
      <c r="AB881" s="283">
        <v>44341.0</v>
      </c>
      <c r="AC881" s="284"/>
      <c r="AD881" s="284"/>
    </row>
    <row r="882" ht="14.25" customHeight="1">
      <c r="A882" s="265">
        <v>44335.0</v>
      </c>
      <c r="B882" s="266" t="s">
        <v>1733</v>
      </c>
      <c r="C882" s="266"/>
      <c r="D882" s="266" t="s">
        <v>1450</v>
      </c>
      <c r="E882" s="268"/>
      <c r="F882" s="358" t="s">
        <v>4189</v>
      </c>
      <c r="G882" s="268" t="s">
        <v>2085</v>
      </c>
      <c r="H882" s="270">
        <v>0.09903935185185185</v>
      </c>
      <c r="I882" s="271">
        <v>44335.45694444444</v>
      </c>
      <c r="J882" s="268"/>
      <c r="K882" s="271">
        <v>44335.56072916667</v>
      </c>
      <c r="L882" s="288" t="str">
        <f t="shared" si="2"/>
        <v>2:29:27 AM</v>
      </c>
      <c r="M882" s="278"/>
      <c r="N882" s="290"/>
      <c r="O882" s="276"/>
      <c r="P882" s="276"/>
      <c r="Q882" s="276"/>
      <c r="R882" s="278"/>
      <c r="S882" s="278"/>
      <c r="T882" s="278"/>
      <c r="U882" s="279"/>
      <c r="V882" s="279" t="s">
        <v>1733</v>
      </c>
      <c r="W882" s="279" t="s">
        <v>4190</v>
      </c>
      <c r="X882" s="281">
        <v>0.2916666666666667</v>
      </c>
      <c r="Y882" s="279" t="s">
        <v>1693</v>
      </c>
      <c r="Z882" s="282" t="s">
        <v>1570</v>
      </c>
      <c r="AA882" s="282" t="s">
        <v>4189</v>
      </c>
      <c r="AB882" s="283">
        <v>44335.0</v>
      </c>
      <c r="AC882" s="284"/>
      <c r="AD882" s="284"/>
    </row>
    <row r="883" ht="14.25" customHeight="1">
      <c r="A883" s="265">
        <v>44335.0</v>
      </c>
      <c r="B883" s="266" t="s">
        <v>1783</v>
      </c>
      <c r="C883" s="266"/>
      <c r="D883" s="266" t="s">
        <v>1452</v>
      </c>
      <c r="E883" s="268"/>
      <c r="F883" s="358" t="s">
        <v>4191</v>
      </c>
      <c r="G883" s="268" t="s">
        <v>2085</v>
      </c>
      <c r="H883" s="270">
        <v>0.0020833333333333333</v>
      </c>
      <c r="I883" s="271">
        <v>44335.51875</v>
      </c>
      <c r="J883" s="268"/>
      <c r="K883" s="348">
        <v>44335.5278125</v>
      </c>
      <c r="L883" s="288" t="str">
        <f t="shared" si="2"/>
        <v>12:13:03 AM</v>
      </c>
      <c r="M883" s="278"/>
      <c r="N883" s="290"/>
      <c r="O883" s="276"/>
      <c r="P883" s="276"/>
      <c r="Q883" s="276"/>
      <c r="R883" s="278"/>
      <c r="S883" s="278"/>
      <c r="T883" s="278"/>
      <c r="U883" s="279"/>
      <c r="V883" s="279" t="s">
        <v>1783</v>
      </c>
      <c r="W883" s="280">
        <v>44335.0</v>
      </c>
      <c r="X883" s="281">
        <v>0.0062499999999999995</v>
      </c>
      <c r="Y883" s="279" t="s">
        <v>1693</v>
      </c>
      <c r="Z883" s="282" t="s">
        <v>1570</v>
      </c>
      <c r="AA883" s="282" t="s">
        <v>4191</v>
      </c>
      <c r="AB883" s="283">
        <v>44335.0</v>
      </c>
      <c r="AC883" s="284"/>
      <c r="AD883" s="284"/>
    </row>
    <row r="884" ht="14.25" customHeight="1">
      <c r="A884" s="265">
        <v>44335.0</v>
      </c>
      <c r="B884" s="266" t="s">
        <v>1685</v>
      </c>
      <c r="C884" s="266"/>
      <c r="D884" s="266" t="s">
        <v>1686</v>
      </c>
      <c r="E884" s="268"/>
      <c r="F884" s="358" t="s">
        <v>4192</v>
      </c>
      <c r="G884" s="268" t="s">
        <v>2085</v>
      </c>
      <c r="H884" s="270">
        <v>0.03821759259259259</v>
      </c>
      <c r="I884" s="271">
        <v>44336.76527777778</v>
      </c>
      <c r="J884" s="268"/>
      <c r="K884" s="271">
        <v>44335.800208333334</v>
      </c>
      <c r="L884" s="288" t="str">
        <f t="shared" si="2"/>
        <v>12:50:18 AM</v>
      </c>
      <c r="M884" s="278"/>
      <c r="N884" s="290"/>
      <c r="O884" s="276"/>
      <c r="P884" s="276"/>
      <c r="Q884" s="276"/>
      <c r="R884" s="278"/>
      <c r="S884" s="278"/>
      <c r="T884" s="278"/>
      <c r="U884" s="279"/>
      <c r="V884" s="279" t="s">
        <v>1685</v>
      </c>
      <c r="W884" s="279"/>
      <c r="X884" s="279"/>
      <c r="Y884" s="279" t="s">
        <v>1693</v>
      </c>
      <c r="Z884" s="282" t="s">
        <v>1570</v>
      </c>
      <c r="AA884" s="282" t="s">
        <v>4192</v>
      </c>
      <c r="AB884" s="283">
        <v>44335.0</v>
      </c>
      <c r="AC884" s="284"/>
      <c r="AD884" s="284"/>
    </row>
    <row r="885" ht="14.25" customHeight="1">
      <c r="A885" s="265">
        <v>44335.0</v>
      </c>
      <c r="B885" s="266" t="s">
        <v>3677</v>
      </c>
      <c r="C885" s="266"/>
      <c r="D885" s="266" t="s">
        <v>1455</v>
      </c>
      <c r="E885" s="268"/>
      <c r="F885" s="358" t="s">
        <v>4193</v>
      </c>
      <c r="G885" s="268" t="s">
        <v>2085</v>
      </c>
      <c r="H885" s="270">
        <v>0.02136574074074074</v>
      </c>
      <c r="I885" s="271">
        <v>44336.38055555556</v>
      </c>
      <c r="J885" s="268"/>
      <c r="K885" s="271">
        <v>44336.398831018516</v>
      </c>
      <c r="L885" s="288" t="str">
        <f t="shared" si="2"/>
        <v>12:26:19 AM</v>
      </c>
      <c r="M885" s="278"/>
      <c r="N885" s="290"/>
      <c r="O885" s="276"/>
      <c r="P885" s="276"/>
      <c r="Q885" s="276"/>
      <c r="R885" s="278"/>
      <c r="S885" s="278"/>
      <c r="T885" s="278"/>
      <c r="U885" s="279"/>
      <c r="V885" s="279" t="s">
        <v>1783</v>
      </c>
      <c r="W885" s="280">
        <v>44336.0</v>
      </c>
      <c r="X885" s="281">
        <v>0.08333333333333333</v>
      </c>
      <c r="Y885" s="279" t="s">
        <v>1693</v>
      </c>
      <c r="Z885" s="282" t="s">
        <v>1570</v>
      </c>
      <c r="AA885" s="282" t="s">
        <v>4193</v>
      </c>
      <c r="AB885" s="283">
        <v>44336.0</v>
      </c>
      <c r="AC885" s="284"/>
      <c r="AD885" s="284"/>
    </row>
    <row r="886" ht="14.25" customHeight="1">
      <c r="A886" s="265">
        <v>44336.0</v>
      </c>
      <c r="B886" s="266" t="s">
        <v>1500</v>
      </c>
      <c r="C886" s="266" t="s">
        <v>1455</v>
      </c>
      <c r="D886" s="266" t="s">
        <v>1543</v>
      </c>
      <c r="E886" s="268"/>
      <c r="F886" s="269" t="s">
        <v>4194</v>
      </c>
      <c r="G886" s="268" t="s">
        <v>1463</v>
      </c>
      <c r="H886" s="270">
        <v>0.0010532407407407407</v>
      </c>
      <c r="I886" s="271">
        <v>44337.57638888889</v>
      </c>
      <c r="J886" s="268"/>
      <c r="K886" s="271">
        <v>44337.70296296296</v>
      </c>
      <c r="L886" s="288" t="str">
        <f t="shared" si="2"/>
        <v>3:02:16 AM</v>
      </c>
      <c r="M886" s="278" t="s">
        <v>4195</v>
      </c>
      <c r="N886" s="290"/>
      <c r="O886" s="276"/>
      <c r="P886" s="276"/>
      <c r="Q886" s="276"/>
      <c r="R886" s="278"/>
      <c r="S886" s="278"/>
      <c r="T886" s="278"/>
      <c r="U886" s="279"/>
      <c r="V886" s="279" t="s">
        <v>1824</v>
      </c>
      <c r="W886" s="280">
        <v>44340.0</v>
      </c>
      <c r="X886" s="281">
        <v>0.0036805555555555554</v>
      </c>
      <c r="Y886" s="279" t="s">
        <v>1693</v>
      </c>
      <c r="Z886" s="282" t="s">
        <v>1570</v>
      </c>
      <c r="AA886" s="282">
        <v>6366982.0</v>
      </c>
      <c r="AB886" s="283">
        <v>44337.0</v>
      </c>
      <c r="AC886" s="284"/>
      <c r="AD886" s="284"/>
    </row>
    <row r="887" ht="14.25" customHeight="1">
      <c r="A887" s="265">
        <v>44336.0</v>
      </c>
      <c r="B887" s="266" t="s">
        <v>1500</v>
      </c>
      <c r="C887" s="266" t="s">
        <v>1686</v>
      </c>
      <c r="D887" s="266" t="s">
        <v>1543</v>
      </c>
      <c r="E887" s="268"/>
      <c r="F887" s="269" t="s">
        <v>4196</v>
      </c>
      <c r="G887" s="268" t="s">
        <v>1463</v>
      </c>
      <c r="H887" s="270">
        <v>0.0060648148148148145</v>
      </c>
      <c r="I887" s="271">
        <v>44337.57638888889</v>
      </c>
      <c r="J887" s="268"/>
      <c r="K887" s="271">
        <v>44337.59216435185</v>
      </c>
      <c r="L887" s="288" t="str">
        <f t="shared" si="2"/>
        <v>12:22:43 AM</v>
      </c>
      <c r="M887" s="278" t="s">
        <v>4197</v>
      </c>
      <c r="N887" s="290"/>
      <c r="O887" s="276"/>
      <c r="P887" s="276"/>
      <c r="Q887" s="276"/>
      <c r="R887" s="278"/>
      <c r="S887" s="278"/>
      <c r="T887" s="278"/>
      <c r="U887" s="279"/>
      <c r="V887" s="279" t="s">
        <v>1824</v>
      </c>
      <c r="W887" s="280">
        <v>44340.0</v>
      </c>
      <c r="X887" s="281">
        <v>0.0218287037037037</v>
      </c>
      <c r="Y887" s="279" t="s">
        <v>1693</v>
      </c>
      <c r="Z887" s="282" t="s">
        <v>1570</v>
      </c>
      <c r="AA887" s="282">
        <v>6366983.0</v>
      </c>
      <c r="AB887" s="283">
        <v>44337.0</v>
      </c>
      <c r="AC887" s="284"/>
      <c r="AD887" s="284"/>
    </row>
    <row r="888" ht="14.25" customHeight="1">
      <c r="A888" s="265">
        <v>44336.0</v>
      </c>
      <c r="B888" s="266" t="s">
        <v>1500</v>
      </c>
      <c r="C888" s="266" t="s">
        <v>2471</v>
      </c>
      <c r="D888" s="266" t="s">
        <v>1543</v>
      </c>
      <c r="E888" s="268"/>
      <c r="F888" s="269" t="s">
        <v>4198</v>
      </c>
      <c r="G888" s="268" t="s">
        <v>1463</v>
      </c>
      <c r="H888" s="270">
        <v>0.0024768518518518516</v>
      </c>
      <c r="I888" s="271">
        <v>44337.57638888889</v>
      </c>
      <c r="J888" s="268"/>
      <c r="K888" s="271">
        <v>44337.58903935185</v>
      </c>
      <c r="L888" s="288" t="str">
        <f t="shared" si="2"/>
        <v>12:18:13 AM</v>
      </c>
      <c r="M888" s="278" t="s">
        <v>4199</v>
      </c>
      <c r="N888" s="290"/>
      <c r="O888" s="276"/>
      <c r="P888" s="276"/>
      <c r="Q888" s="276"/>
      <c r="R888" s="278"/>
      <c r="S888" s="278"/>
      <c r="T888" s="278"/>
      <c r="U888" s="279"/>
      <c r="V888" s="279" t="s">
        <v>1824</v>
      </c>
      <c r="W888" s="280">
        <v>44340.0</v>
      </c>
      <c r="X888" s="281">
        <v>0.004409722222222222</v>
      </c>
      <c r="Y888" s="279" t="s">
        <v>1693</v>
      </c>
      <c r="Z888" s="282" t="s">
        <v>1570</v>
      </c>
      <c r="AA888" s="282">
        <v>6366984.0</v>
      </c>
      <c r="AB888" s="283">
        <v>44337.0</v>
      </c>
      <c r="AC888" s="284"/>
      <c r="AD888" s="284"/>
    </row>
    <row r="889" ht="14.25" customHeight="1">
      <c r="A889" s="265">
        <v>44336.0</v>
      </c>
      <c r="B889" s="266" t="s">
        <v>1500</v>
      </c>
      <c r="C889" s="266" t="s">
        <v>2641</v>
      </c>
      <c r="D889" s="266" t="s">
        <v>1543</v>
      </c>
      <c r="E889" s="268"/>
      <c r="F889" s="269" t="s">
        <v>4200</v>
      </c>
      <c r="G889" s="268" t="s">
        <v>1463</v>
      </c>
      <c r="H889" s="270">
        <v>0.001550925925925926</v>
      </c>
      <c r="I889" s="271">
        <v>44337.57638888889</v>
      </c>
      <c r="J889" s="268"/>
      <c r="K889" s="271">
        <v>44337.586875</v>
      </c>
      <c r="L889" s="288" t="str">
        <f t="shared" si="2"/>
        <v>12:15:06 AM</v>
      </c>
      <c r="M889" s="278" t="s">
        <v>4201</v>
      </c>
      <c r="N889" s="290"/>
      <c r="O889" s="276"/>
      <c r="P889" s="276"/>
      <c r="Q889" s="276"/>
      <c r="R889" s="278"/>
      <c r="S889" s="278"/>
      <c r="T889" s="278"/>
      <c r="U889" s="279"/>
      <c r="V889" s="279" t="s">
        <v>1824</v>
      </c>
      <c r="W889" s="280">
        <v>44340.0</v>
      </c>
      <c r="X889" s="281">
        <v>0.005405092592592592</v>
      </c>
      <c r="Y889" s="279" t="s">
        <v>1693</v>
      </c>
      <c r="Z889" s="282" t="s">
        <v>1570</v>
      </c>
      <c r="AA889" s="282">
        <v>6366985.0</v>
      </c>
      <c r="AB889" s="283">
        <v>44337.0</v>
      </c>
      <c r="AC889" s="284"/>
      <c r="AD889" s="284"/>
    </row>
    <row r="890" ht="14.25" customHeight="1">
      <c r="A890" s="265">
        <v>44336.0</v>
      </c>
      <c r="B890" s="266" t="s">
        <v>1500</v>
      </c>
      <c r="C890" s="266" t="s">
        <v>2083</v>
      </c>
      <c r="D890" s="266" t="s">
        <v>1543</v>
      </c>
      <c r="E890" s="268"/>
      <c r="F890" s="269" t="s">
        <v>4202</v>
      </c>
      <c r="G890" s="268" t="s">
        <v>1463</v>
      </c>
      <c r="H890" s="270">
        <v>0.001979166666666667</v>
      </c>
      <c r="I890" s="271">
        <v>44343.31408564815</v>
      </c>
      <c r="J890" s="268"/>
      <c r="K890" s="271">
        <v>44343.32103009259</v>
      </c>
      <c r="L890" s="288" t="str">
        <f t="shared" si="2"/>
        <v>12:10:00 AM</v>
      </c>
      <c r="M890" s="278" t="s">
        <v>4203</v>
      </c>
      <c r="N890" s="290"/>
      <c r="O890" s="276"/>
      <c r="P890" s="276"/>
      <c r="Q890" s="276"/>
      <c r="R890" s="278"/>
      <c r="S890" s="278"/>
      <c r="T890" s="278"/>
      <c r="U890" s="279"/>
      <c r="V890" s="279" t="s">
        <v>1824</v>
      </c>
      <c r="W890" s="280">
        <v>44343.0</v>
      </c>
      <c r="X890" s="281">
        <v>0.003912037037037037</v>
      </c>
      <c r="Y890" s="279" t="s">
        <v>1693</v>
      </c>
      <c r="Z890" s="282" t="s">
        <v>1570</v>
      </c>
      <c r="AA890" s="282">
        <v>6368967.0</v>
      </c>
      <c r="AB890" s="283">
        <v>44343.0</v>
      </c>
      <c r="AC890" s="284"/>
      <c r="AD890" s="284"/>
    </row>
    <row r="891" ht="14.25" customHeight="1">
      <c r="A891" s="265">
        <v>44336.0</v>
      </c>
      <c r="B891" s="266" t="s">
        <v>1500</v>
      </c>
      <c r="C891" s="266" t="s">
        <v>2083</v>
      </c>
      <c r="D891" s="266" t="s">
        <v>1543</v>
      </c>
      <c r="E891" s="268"/>
      <c r="F891" s="269" t="s">
        <v>4204</v>
      </c>
      <c r="G891" s="268" t="s">
        <v>1463</v>
      </c>
      <c r="H891" s="270">
        <v>0.0045370370370370365</v>
      </c>
      <c r="I891" s="271">
        <v>44343.31408564815</v>
      </c>
      <c r="J891" s="268"/>
      <c r="K891" s="271">
        <v>44343.32381944444</v>
      </c>
      <c r="L891" s="288" t="str">
        <f t="shared" si="2"/>
        <v>12:14:01 AM</v>
      </c>
      <c r="M891" s="278" t="s">
        <v>4205</v>
      </c>
      <c r="N891" s="290"/>
      <c r="O891" s="276"/>
      <c r="P891" s="276"/>
      <c r="Q891" s="276"/>
      <c r="R891" s="278"/>
      <c r="S891" s="278"/>
      <c r="T891" s="278"/>
      <c r="U891" s="279"/>
      <c r="V891" s="279" t="s">
        <v>1824</v>
      </c>
      <c r="W891" s="280">
        <v>44343.0</v>
      </c>
      <c r="X891" s="281">
        <v>0.009965277777777778</v>
      </c>
      <c r="Y891" s="279" t="s">
        <v>1693</v>
      </c>
      <c r="Z891" s="282" t="s">
        <v>1570</v>
      </c>
      <c r="AA891" s="282">
        <v>6368968.0</v>
      </c>
      <c r="AB891" s="283">
        <v>44343.0</v>
      </c>
      <c r="AC891" s="284"/>
      <c r="AD891" s="284"/>
    </row>
    <row r="892" ht="14.25" customHeight="1">
      <c r="A892" s="265">
        <v>44336.0</v>
      </c>
      <c r="B892" s="266" t="s">
        <v>1733</v>
      </c>
      <c r="C892" s="266"/>
      <c r="D892" s="266" t="s">
        <v>1450</v>
      </c>
      <c r="E892" s="268"/>
      <c r="F892" s="358" t="s">
        <v>4206</v>
      </c>
      <c r="G892" s="268" t="s">
        <v>2085</v>
      </c>
      <c r="H892" s="270">
        <v>0.09898148148148149</v>
      </c>
      <c r="I892" s="271">
        <v>44336.450694444444</v>
      </c>
      <c r="J892" s="268"/>
      <c r="K892" s="271">
        <v>44336.52140046296</v>
      </c>
      <c r="L892" s="288" t="str">
        <f t="shared" si="2"/>
        <v>1:41:49 AM</v>
      </c>
      <c r="M892" s="278"/>
      <c r="N892" s="290"/>
      <c r="O892" s="276"/>
      <c r="P892" s="276"/>
      <c r="Q892" s="276"/>
      <c r="R892" s="278"/>
      <c r="S892" s="278"/>
      <c r="T892" s="278"/>
      <c r="U892" s="279"/>
      <c r="V892" s="279" t="s">
        <v>1733</v>
      </c>
      <c r="W892" s="280" t="s">
        <v>4207</v>
      </c>
      <c r="X892" s="281">
        <v>0.2916666666666667</v>
      </c>
      <c r="Y892" s="279" t="s">
        <v>1693</v>
      </c>
      <c r="Z892" s="282" t="s">
        <v>1570</v>
      </c>
      <c r="AA892" s="282" t="s">
        <v>4206</v>
      </c>
      <c r="AB892" s="283">
        <v>44336.0</v>
      </c>
      <c r="AC892" s="284"/>
      <c r="AD892" s="284"/>
    </row>
    <row r="893" ht="14.25" customHeight="1">
      <c r="A893" s="265">
        <v>44336.0</v>
      </c>
      <c r="B893" s="266" t="s">
        <v>1783</v>
      </c>
      <c r="C893" s="266"/>
      <c r="D893" s="266" t="s">
        <v>1452</v>
      </c>
      <c r="E893" s="268"/>
      <c r="F893" s="358" t="s">
        <v>4208</v>
      </c>
      <c r="G893" s="268" t="s">
        <v>2085</v>
      </c>
      <c r="H893" s="270">
        <v>0.005127314814814815</v>
      </c>
      <c r="I893" s="271">
        <v>44336.44305555556</v>
      </c>
      <c r="J893" s="268"/>
      <c r="K893" s="271">
        <v>44336.452256944445</v>
      </c>
      <c r="L893" s="288" t="str">
        <f t="shared" si="2"/>
        <v>12:13:15 AM</v>
      </c>
      <c r="M893" s="278"/>
      <c r="N893" s="290"/>
      <c r="O893" s="276"/>
      <c r="P893" s="276"/>
      <c r="Q893" s="276"/>
      <c r="R893" s="278"/>
      <c r="S893" s="278"/>
      <c r="T893" s="278"/>
      <c r="U893" s="279"/>
      <c r="V893" s="279" t="s">
        <v>1783</v>
      </c>
      <c r="W893" s="280">
        <v>44336.0</v>
      </c>
      <c r="X893" s="281">
        <v>0.011805555555555555</v>
      </c>
      <c r="Y893" s="279" t="s">
        <v>1693</v>
      </c>
      <c r="Z893" s="282" t="s">
        <v>1570</v>
      </c>
      <c r="AA893" s="282" t="s">
        <v>4208</v>
      </c>
      <c r="AB893" s="283">
        <v>44336.0</v>
      </c>
      <c r="AC893" s="284"/>
      <c r="AD893" s="284"/>
    </row>
    <row r="894" ht="14.25" customHeight="1">
      <c r="A894" s="265">
        <v>44336.0</v>
      </c>
      <c r="B894" s="266" t="s">
        <v>1685</v>
      </c>
      <c r="C894" s="266"/>
      <c r="D894" s="266" t="s">
        <v>1686</v>
      </c>
      <c r="E894" s="268"/>
      <c r="F894" s="358" t="s">
        <v>4209</v>
      </c>
      <c r="G894" s="268" t="s">
        <v>2085</v>
      </c>
      <c r="H894" s="270">
        <v>0.037939814814814815</v>
      </c>
      <c r="I894" s="271">
        <v>44337.34652777778</v>
      </c>
      <c r="J894" s="268"/>
      <c r="K894" s="271">
        <v>44337.374502314815</v>
      </c>
      <c r="L894" s="288" t="str">
        <f t="shared" si="2"/>
        <v>12:40:17 AM</v>
      </c>
      <c r="M894" s="278"/>
      <c r="N894" s="290"/>
      <c r="O894" s="276"/>
      <c r="P894" s="276"/>
      <c r="Q894" s="276"/>
      <c r="R894" s="278"/>
      <c r="S894" s="278"/>
      <c r="T894" s="278"/>
      <c r="U894" s="279"/>
      <c r="V894" s="279" t="s">
        <v>1685</v>
      </c>
      <c r="W894" s="280">
        <v>44337.0</v>
      </c>
      <c r="X894" s="281">
        <v>0.14583333333333334</v>
      </c>
      <c r="Y894" s="279" t="s">
        <v>1693</v>
      </c>
      <c r="Z894" s="282" t="s">
        <v>53</v>
      </c>
      <c r="AA894" s="282" t="s">
        <v>4209</v>
      </c>
      <c r="AB894" s="283">
        <v>44337.0</v>
      </c>
      <c r="AC894" s="284"/>
      <c r="AD894" s="284"/>
    </row>
    <row r="895" ht="14.25" customHeight="1">
      <c r="A895" s="265">
        <v>44336.0</v>
      </c>
      <c r="B895" s="266" t="s">
        <v>1733</v>
      </c>
      <c r="C895" s="266"/>
      <c r="D895" s="266" t="s">
        <v>1455</v>
      </c>
      <c r="E895" s="268"/>
      <c r="F895" s="358" t="s">
        <v>4210</v>
      </c>
      <c r="G895" s="268" t="s">
        <v>2085</v>
      </c>
      <c r="H895" s="270">
        <v>0.023240740740740742</v>
      </c>
      <c r="I895" s="271">
        <v>44337.353472222225</v>
      </c>
      <c r="J895" s="268"/>
      <c r="K895" s="271">
        <v>44337.392372685186</v>
      </c>
      <c r="L895" s="288" t="str">
        <f t="shared" si="2"/>
        <v>12:56:01 AM</v>
      </c>
      <c r="M895" s="278"/>
      <c r="N895" s="290"/>
      <c r="O895" s="276"/>
      <c r="P895" s="276"/>
      <c r="Q895" s="276"/>
      <c r="R895" s="278"/>
      <c r="S895" s="278"/>
      <c r="T895" s="278"/>
      <c r="U895" s="279"/>
      <c r="V895" s="279" t="s">
        <v>1783</v>
      </c>
      <c r="W895" s="280">
        <v>44337.0</v>
      </c>
      <c r="X895" s="281">
        <v>0.08333333333333333</v>
      </c>
      <c r="Y895" s="279" t="s">
        <v>1693</v>
      </c>
      <c r="Z895" s="282" t="s">
        <v>53</v>
      </c>
      <c r="AA895" s="282" t="s">
        <v>4210</v>
      </c>
      <c r="AB895" s="283">
        <v>44337.0</v>
      </c>
      <c r="AC895" s="284"/>
      <c r="AD895" s="284"/>
    </row>
    <row r="896" ht="14.25" customHeight="1">
      <c r="A896" s="265">
        <v>44337.0</v>
      </c>
      <c r="B896" s="266" t="s">
        <v>1783</v>
      </c>
      <c r="C896" s="266" t="s">
        <v>2158</v>
      </c>
      <c r="D896" s="266" t="s">
        <v>1450</v>
      </c>
      <c r="E896" s="268"/>
      <c r="F896" s="417" t="s">
        <v>4211</v>
      </c>
      <c r="G896" s="268" t="s">
        <v>1463</v>
      </c>
      <c r="H896" s="270">
        <v>0.005810185185185186</v>
      </c>
      <c r="I896" s="271">
        <v>44340.368055555555</v>
      </c>
      <c r="J896" s="268"/>
      <c r="K896" s="271" t="s">
        <v>4212</v>
      </c>
      <c r="L896" s="288" t="str">
        <f t="shared" si="2"/>
        <v/>
      </c>
      <c r="M896" s="278" t="s">
        <v>4213</v>
      </c>
      <c r="N896" s="290"/>
      <c r="O896" s="276"/>
      <c r="P896" s="276"/>
      <c r="Q896" s="276"/>
      <c r="R896" s="278"/>
      <c r="S896" s="278"/>
      <c r="T896" s="278"/>
      <c r="U896" s="279"/>
      <c r="V896" s="279" t="s">
        <v>1783</v>
      </c>
      <c r="W896" s="280">
        <v>44341.0</v>
      </c>
      <c r="X896" s="281">
        <v>0.0020833333333333333</v>
      </c>
      <c r="Y896" s="279" t="s">
        <v>1693</v>
      </c>
      <c r="Z896" s="282" t="s">
        <v>1570</v>
      </c>
      <c r="AA896" s="282">
        <v>6367742.0</v>
      </c>
      <c r="AB896" s="283">
        <v>44340.0</v>
      </c>
      <c r="AC896" s="284"/>
      <c r="AD896" s="284"/>
    </row>
    <row r="897" ht="14.25" customHeight="1">
      <c r="A897" s="265">
        <v>44337.0</v>
      </c>
      <c r="B897" s="266" t="s">
        <v>1500</v>
      </c>
      <c r="C897" s="266" t="s">
        <v>1450</v>
      </c>
      <c r="D897" s="266" t="s">
        <v>1543</v>
      </c>
      <c r="E897" s="268"/>
      <c r="F897" s="269" t="s">
        <v>4214</v>
      </c>
      <c r="G897" s="268" t="s">
        <v>1463</v>
      </c>
      <c r="H897" s="270">
        <v>0.0017939814814814815</v>
      </c>
      <c r="I897" s="271">
        <v>44343.635416666664</v>
      </c>
      <c r="J897" s="268"/>
      <c r="K897" s="271"/>
      <c r="L897" s="288" t="str">
        <f t="shared" si="2"/>
        <v/>
      </c>
      <c r="M897" s="359" t="s">
        <v>3505</v>
      </c>
      <c r="N897" s="290"/>
      <c r="O897" s="276"/>
      <c r="P897" s="276"/>
      <c r="Q897" s="276"/>
      <c r="R897" s="278"/>
      <c r="S897" s="278"/>
      <c r="T897" s="278"/>
      <c r="U897" s="279"/>
      <c r="V897" s="279" t="s">
        <v>1824</v>
      </c>
      <c r="W897" s="280">
        <v>44343.0</v>
      </c>
      <c r="X897" s="281">
        <v>0.004432870370370371</v>
      </c>
      <c r="Y897" s="279" t="s">
        <v>1693</v>
      </c>
      <c r="Z897" s="282" t="s">
        <v>1570</v>
      </c>
      <c r="AA897" s="282">
        <v>6368969.0</v>
      </c>
      <c r="AB897" s="283">
        <v>44343.0</v>
      </c>
      <c r="AC897" s="284"/>
      <c r="AD897" s="284"/>
    </row>
    <row r="898" ht="14.25" customHeight="1">
      <c r="A898" s="265">
        <v>44337.0</v>
      </c>
      <c r="B898" s="266" t="s">
        <v>1500</v>
      </c>
      <c r="C898" s="266" t="s">
        <v>1455</v>
      </c>
      <c r="D898" s="266" t="s">
        <v>1543</v>
      </c>
      <c r="E898" s="268"/>
      <c r="F898" s="269" t="s">
        <v>4215</v>
      </c>
      <c r="G898" s="268" t="s">
        <v>1463</v>
      </c>
      <c r="H898" s="270">
        <v>0.0015856481481481479</v>
      </c>
      <c r="I898" s="271">
        <v>44344.416666666664</v>
      </c>
      <c r="J898" s="268"/>
      <c r="K898" s="271">
        <v>44344.44101851852</v>
      </c>
      <c r="L898" s="288" t="str">
        <f t="shared" si="2"/>
        <v>12:35:04 AM</v>
      </c>
      <c r="M898" s="272" t="s">
        <v>4216</v>
      </c>
      <c r="N898" s="290"/>
      <c r="O898" s="276"/>
      <c r="P898" s="276"/>
      <c r="Q898" s="276"/>
      <c r="R898" s="278"/>
      <c r="S898" s="278"/>
      <c r="T898" s="278"/>
      <c r="U898" s="279"/>
      <c r="V898" s="279" t="s">
        <v>1824</v>
      </c>
      <c r="W898" s="280">
        <v>44344.0</v>
      </c>
      <c r="X898" s="281">
        <v>0.004872685185185186</v>
      </c>
      <c r="Y898" s="279" t="s">
        <v>1693</v>
      </c>
      <c r="Z898" s="282" t="s">
        <v>1570</v>
      </c>
      <c r="AA898" s="282">
        <v>6369302.0</v>
      </c>
      <c r="AB898" s="283">
        <v>44344.0</v>
      </c>
      <c r="AC898" s="284"/>
      <c r="AD898" s="284"/>
    </row>
    <row r="899" ht="14.25" customHeight="1">
      <c r="A899" s="265">
        <v>44337.0</v>
      </c>
      <c r="B899" s="266" t="s">
        <v>1733</v>
      </c>
      <c r="C899" s="266"/>
      <c r="D899" s="266" t="s">
        <v>1450</v>
      </c>
      <c r="E899" s="268"/>
      <c r="F899" s="358" t="s">
        <v>4217</v>
      </c>
      <c r="G899" s="268" t="s">
        <v>2085</v>
      </c>
      <c r="H899" s="270">
        <v>0.0990625</v>
      </c>
      <c r="I899" s="271">
        <v>44337.44652777778</v>
      </c>
      <c r="J899" s="268"/>
      <c r="K899" s="271">
        <v>44337.53194444445</v>
      </c>
      <c r="L899" s="288" t="str">
        <f t="shared" si="2"/>
        <v>2:03:00 AM</v>
      </c>
      <c r="M899" s="278"/>
      <c r="N899" s="290"/>
      <c r="O899" s="276"/>
      <c r="P899" s="276"/>
      <c r="Q899" s="276"/>
      <c r="R899" s="278"/>
      <c r="S899" s="278"/>
      <c r="T899" s="278"/>
      <c r="U899" s="279"/>
      <c r="V899" s="279" t="s">
        <v>1783</v>
      </c>
      <c r="W899" s="280" t="s">
        <v>4218</v>
      </c>
      <c r="X899" s="281">
        <v>0.3125</v>
      </c>
      <c r="Y899" s="279" t="s">
        <v>1693</v>
      </c>
      <c r="Z899" s="282" t="s">
        <v>1570</v>
      </c>
      <c r="AA899" s="282" t="s">
        <v>4217</v>
      </c>
      <c r="AB899" s="283">
        <v>44337.0</v>
      </c>
      <c r="AC899" s="284"/>
      <c r="AD899" s="284"/>
    </row>
    <row r="900" ht="14.25" customHeight="1">
      <c r="A900" s="265">
        <v>44337.0</v>
      </c>
      <c r="B900" s="266" t="s">
        <v>1783</v>
      </c>
      <c r="C900" s="266"/>
      <c r="D900" s="266" t="s">
        <v>1452</v>
      </c>
      <c r="E900" s="268"/>
      <c r="F900" s="358" t="s">
        <v>4219</v>
      </c>
      <c r="G900" s="268" t="s">
        <v>2085</v>
      </c>
      <c r="H900" s="270">
        <v>0.002835648148148148</v>
      </c>
      <c r="I900" s="271">
        <v>44337.48888888889</v>
      </c>
      <c r="J900" s="268"/>
      <c r="K900" s="271">
        <v>44337.82739583333</v>
      </c>
      <c r="L900" s="288" t="str">
        <f t="shared" si="2"/>
        <v>8:07:27 AM</v>
      </c>
      <c r="M900" s="278"/>
      <c r="N900" s="290"/>
      <c r="O900" s="276"/>
      <c r="P900" s="276"/>
      <c r="Q900" s="276"/>
      <c r="R900" s="278"/>
      <c r="S900" s="278"/>
      <c r="T900" s="278"/>
      <c r="U900" s="279"/>
      <c r="V900" s="279" t="s">
        <v>1824</v>
      </c>
      <c r="W900" s="280">
        <v>44340.0</v>
      </c>
      <c r="X900" s="281">
        <v>0.018680555555555554</v>
      </c>
      <c r="Y900" s="279" t="s">
        <v>1693</v>
      </c>
      <c r="Z900" s="282" t="s">
        <v>1570</v>
      </c>
      <c r="AA900" s="282" t="s">
        <v>4219</v>
      </c>
      <c r="AB900" s="283">
        <v>44337.0</v>
      </c>
      <c r="AC900" s="284"/>
      <c r="AD900" s="284"/>
    </row>
    <row r="901" ht="14.25" customHeight="1">
      <c r="A901" s="265">
        <v>44337.0</v>
      </c>
      <c r="B901" s="266" t="s">
        <v>1685</v>
      </c>
      <c r="C901" s="266"/>
      <c r="D901" s="266" t="s">
        <v>1686</v>
      </c>
      <c r="E901" s="268"/>
      <c r="F901" s="358" t="s">
        <v>4220</v>
      </c>
      <c r="G901" s="268" t="s">
        <v>2085</v>
      </c>
      <c r="H901" s="270">
        <v>0.03601851851851852</v>
      </c>
      <c r="I901" s="271">
        <v>44338.529861111114</v>
      </c>
      <c r="J901" s="268"/>
      <c r="K901" s="271">
        <v>44338.56475694444</v>
      </c>
      <c r="L901" s="288" t="str">
        <f t="shared" si="2"/>
        <v>12:50:15 AM</v>
      </c>
      <c r="M901" s="278"/>
      <c r="N901" s="290"/>
      <c r="O901" s="276"/>
      <c r="P901" s="276"/>
      <c r="Q901" s="276"/>
      <c r="R901" s="278"/>
      <c r="S901" s="278"/>
      <c r="T901" s="278"/>
      <c r="U901" s="279"/>
      <c r="V901" s="279" t="s">
        <v>1685</v>
      </c>
      <c r="W901" s="280">
        <v>44340.0</v>
      </c>
      <c r="X901" s="281">
        <v>0.14583333333333334</v>
      </c>
      <c r="Y901" s="279" t="s">
        <v>1693</v>
      </c>
      <c r="Z901" s="282" t="s">
        <v>53</v>
      </c>
      <c r="AA901" s="282" t="s">
        <v>4220</v>
      </c>
      <c r="AB901" s="283">
        <v>44340.0</v>
      </c>
      <c r="AC901" s="284"/>
      <c r="AD901" s="284"/>
    </row>
    <row r="902" ht="14.25" customHeight="1">
      <c r="A902" s="265">
        <v>44337.0</v>
      </c>
      <c r="B902" s="266" t="s">
        <v>1733</v>
      </c>
      <c r="C902" s="266"/>
      <c r="D902" s="266" t="s">
        <v>1455</v>
      </c>
      <c r="E902" s="268"/>
      <c r="F902" s="358" t="s">
        <v>4221</v>
      </c>
      <c r="G902" s="268" t="s">
        <v>2085</v>
      </c>
      <c r="H902" s="270">
        <v>0.02021990740740741</v>
      </c>
      <c r="I902" s="271">
        <v>44338.62013888889</v>
      </c>
      <c r="J902" s="268"/>
      <c r="K902" s="271">
        <v>44338.64109953704</v>
      </c>
      <c r="L902" s="288" t="str">
        <f t="shared" si="2"/>
        <v>12:30:11 AM</v>
      </c>
      <c r="M902" s="278"/>
      <c r="N902" s="290"/>
      <c r="O902" s="276"/>
      <c r="P902" s="276"/>
      <c r="Q902" s="276"/>
      <c r="R902" s="278"/>
      <c r="S902" s="278"/>
      <c r="T902" s="278"/>
      <c r="U902" s="279"/>
      <c r="V902" s="279" t="s">
        <v>1685</v>
      </c>
      <c r="W902" s="280">
        <v>44340.0</v>
      </c>
      <c r="X902" s="281">
        <v>0.041666666666666664</v>
      </c>
      <c r="Y902" s="279" t="s">
        <v>1693</v>
      </c>
      <c r="Z902" s="282" t="s">
        <v>53</v>
      </c>
      <c r="AA902" s="282" t="s">
        <v>4221</v>
      </c>
      <c r="AB902" s="283">
        <v>44340.0</v>
      </c>
      <c r="AC902" s="284"/>
      <c r="AD902" s="284"/>
    </row>
    <row r="903" ht="14.25" customHeight="1">
      <c r="A903" s="265">
        <v>44338.0</v>
      </c>
      <c r="B903" s="266" t="s">
        <v>1733</v>
      </c>
      <c r="C903" s="266"/>
      <c r="D903" s="266" t="s">
        <v>1686</v>
      </c>
      <c r="E903" s="268"/>
      <c r="F903" s="358" t="s">
        <v>4222</v>
      </c>
      <c r="G903" s="268" t="s">
        <v>2085</v>
      </c>
      <c r="H903" s="270">
        <v>0.03591435185185186</v>
      </c>
      <c r="I903" s="271">
        <v>44338.743055555555</v>
      </c>
      <c r="J903" s="268"/>
      <c r="K903" s="268"/>
      <c r="L903" s="288" t="str">
        <f t="shared" si="2"/>
        <v/>
      </c>
      <c r="M903" s="307" t="s">
        <v>2808</v>
      </c>
      <c r="N903" s="273">
        <v>44338.79722222222</v>
      </c>
      <c r="O903" s="276" t="s">
        <v>4223</v>
      </c>
      <c r="P903" s="275" t="s">
        <v>3809</v>
      </c>
      <c r="Q903" s="276" t="s">
        <v>1819</v>
      </c>
      <c r="R903" s="277">
        <v>44338.82255787037</v>
      </c>
      <c r="S903" s="278"/>
      <c r="T903" s="278"/>
      <c r="U903" s="279"/>
      <c r="V903" s="279" t="s">
        <v>1685</v>
      </c>
      <c r="W903" s="280">
        <v>44340.0</v>
      </c>
      <c r="X903" s="281">
        <v>0.14583333333333334</v>
      </c>
      <c r="Y903" s="279" t="s">
        <v>1693</v>
      </c>
      <c r="Z903" s="282" t="s">
        <v>53</v>
      </c>
      <c r="AA903" s="282" t="s">
        <v>4222</v>
      </c>
      <c r="AB903" s="283">
        <v>44340.0</v>
      </c>
      <c r="AC903" s="284"/>
      <c r="AD903" s="284"/>
    </row>
    <row r="904" ht="14.25" customHeight="1">
      <c r="A904" s="265">
        <v>44338.0</v>
      </c>
      <c r="B904" s="266" t="s">
        <v>1733</v>
      </c>
      <c r="C904" s="266"/>
      <c r="D904" s="266" t="s">
        <v>1455</v>
      </c>
      <c r="E904" s="268"/>
      <c r="F904" s="358" t="s">
        <v>4224</v>
      </c>
      <c r="G904" s="268" t="s">
        <v>2085</v>
      </c>
      <c r="H904" s="270">
        <v>0.018275462962962962</v>
      </c>
      <c r="I904" s="271">
        <v>44340.794444444444</v>
      </c>
      <c r="J904" s="268"/>
      <c r="K904" s="271">
        <v>44340.802881944444</v>
      </c>
      <c r="L904" s="288" t="str">
        <f t="shared" si="2"/>
        <v>12:12:09 AM</v>
      </c>
      <c r="M904" s="278"/>
      <c r="N904" s="290"/>
      <c r="O904" s="276"/>
      <c r="P904" s="276"/>
      <c r="Q904" s="276"/>
      <c r="R904" s="278"/>
      <c r="S904" s="278"/>
      <c r="T904" s="307"/>
      <c r="U904" s="279"/>
      <c r="V904" s="279" t="s">
        <v>1685</v>
      </c>
      <c r="W904" s="280">
        <v>44341.0</v>
      </c>
      <c r="X904" s="281">
        <v>0.0625</v>
      </c>
      <c r="Y904" s="279" t="s">
        <v>1693</v>
      </c>
      <c r="Z904" s="282" t="s">
        <v>1570</v>
      </c>
      <c r="AA904" s="282" t="s">
        <v>4224</v>
      </c>
      <c r="AB904" s="283">
        <v>44340.0</v>
      </c>
      <c r="AC904" s="284"/>
      <c r="AD904" s="284"/>
    </row>
    <row r="905" ht="14.25" customHeight="1">
      <c r="A905" s="265">
        <v>44339.0</v>
      </c>
      <c r="B905" s="266" t="s">
        <v>1733</v>
      </c>
      <c r="C905" s="266"/>
      <c r="D905" s="266" t="s">
        <v>3509</v>
      </c>
      <c r="E905" s="268"/>
      <c r="F905" s="358">
        <v>6363580.0</v>
      </c>
      <c r="G905" s="268" t="s">
        <v>3839</v>
      </c>
      <c r="H905" s="270">
        <v>0.047060185185185184</v>
      </c>
      <c r="I905" s="271">
        <v>44341.083333333336</v>
      </c>
      <c r="J905" s="268"/>
      <c r="K905" s="271">
        <v>44341.0875</v>
      </c>
      <c r="L905" s="288" t="str">
        <f t="shared" si="2"/>
        <v>12:06:00 AM</v>
      </c>
      <c r="M905" s="307"/>
      <c r="N905" s="273"/>
      <c r="O905" s="276"/>
      <c r="P905" s="275"/>
      <c r="Q905" s="276"/>
      <c r="R905" s="277"/>
      <c r="S905" s="278"/>
      <c r="T905" s="278"/>
      <c r="U905" s="279"/>
      <c r="V905" s="279"/>
      <c r="W905" s="279"/>
      <c r="X905" s="279"/>
      <c r="Y905" s="279"/>
      <c r="Z905" s="282" t="s">
        <v>3559</v>
      </c>
      <c r="AA905" s="282">
        <v>6363580.0</v>
      </c>
      <c r="AB905" s="283">
        <v>44341.0</v>
      </c>
      <c r="AC905" s="284"/>
      <c r="AD905" s="284"/>
    </row>
    <row r="906" ht="14.25" customHeight="1">
      <c r="A906" s="265">
        <v>44339.0</v>
      </c>
      <c r="B906" s="266" t="s">
        <v>1500</v>
      </c>
      <c r="C906" s="266" t="s">
        <v>1455</v>
      </c>
      <c r="D906" s="266" t="s">
        <v>1543</v>
      </c>
      <c r="E906" s="268"/>
      <c r="F906" s="269" t="s">
        <v>4225</v>
      </c>
      <c r="G906" s="268" t="s">
        <v>1463</v>
      </c>
      <c r="H906" s="270">
        <v>0.0012847222222222223</v>
      </c>
      <c r="I906" s="271">
        <v>44344.416666666664</v>
      </c>
      <c r="J906" s="268"/>
      <c r="K906" s="271">
        <v>44344.44099537037</v>
      </c>
      <c r="L906" s="288" t="str">
        <f t="shared" si="2"/>
        <v>12:35:02 AM</v>
      </c>
      <c r="M906" s="272" t="s">
        <v>4226</v>
      </c>
      <c r="N906" s="273"/>
      <c r="O906" s="276"/>
      <c r="P906" s="275"/>
      <c r="Q906" s="276"/>
      <c r="R906" s="277"/>
      <c r="S906" s="278"/>
      <c r="T906" s="278"/>
      <c r="U906" s="279"/>
      <c r="V906" s="279" t="s">
        <v>1824</v>
      </c>
      <c r="W906" s="280">
        <v>44344.0</v>
      </c>
      <c r="X906" s="281">
        <v>0.003472222222222222</v>
      </c>
      <c r="Y906" s="279" t="s">
        <v>1693</v>
      </c>
      <c r="Z906" s="282" t="s">
        <v>1570</v>
      </c>
      <c r="AA906" s="282">
        <v>6369303.0</v>
      </c>
      <c r="AB906" s="283">
        <v>44344.0</v>
      </c>
      <c r="AC906" s="284"/>
      <c r="AD906" s="284"/>
    </row>
    <row r="907" ht="14.25" customHeight="1">
      <c r="A907" s="265">
        <v>44339.0</v>
      </c>
      <c r="B907" s="266" t="s">
        <v>1733</v>
      </c>
      <c r="C907" s="266"/>
      <c r="D907" s="266" t="s">
        <v>1457</v>
      </c>
      <c r="E907" s="268"/>
      <c r="F907" s="358" t="s">
        <v>4227</v>
      </c>
      <c r="G907" s="268" t="s">
        <v>2085</v>
      </c>
      <c r="H907" s="270">
        <v>0.017557870370370373</v>
      </c>
      <c r="I907" s="271">
        <v>44340.802083333336</v>
      </c>
      <c r="J907" s="268"/>
      <c r="K907" s="271">
        <v>44340.8140162037</v>
      </c>
      <c r="L907" s="288" t="str">
        <f t="shared" si="2"/>
        <v>12:17:11 AM</v>
      </c>
      <c r="M907" s="278"/>
      <c r="N907" s="290"/>
      <c r="O907" s="276"/>
      <c r="P907" s="276"/>
      <c r="Q907" s="274"/>
      <c r="R907" s="278"/>
      <c r="S907" s="278"/>
      <c r="T907" s="278"/>
      <c r="U907" s="279"/>
      <c r="V907" s="279" t="s">
        <v>1824</v>
      </c>
      <c r="W907" s="280">
        <v>44341.0</v>
      </c>
      <c r="X907" s="281">
        <v>0.032858796296296296</v>
      </c>
      <c r="Y907" s="279" t="s">
        <v>1693</v>
      </c>
      <c r="Z907" s="282" t="s">
        <v>1570</v>
      </c>
      <c r="AA907" s="282" t="s">
        <v>4227</v>
      </c>
      <c r="AB907" s="283">
        <v>44340.0</v>
      </c>
      <c r="AC907" s="284"/>
      <c r="AD907" s="284"/>
    </row>
    <row r="908" ht="14.25" customHeight="1">
      <c r="A908" s="265">
        <v>44339.0</v>
      </c>
      <c r="B908" s="266" t="s">
        <v>1733</v>
      </c>
      <c r="C908" s="266"/>
      <c r="D908" s="266" t="s">
        <v>2829</v>
      </c>
      <c r="E908" s="268"/>
      <c r="F908" s="358" t="s">
        <v>4228</v>
      </c>
      <c r="G908" s="268" t="s">
        <v>2085</v>
      </c>
      <c r="H908" s="270">
        <v>0.018680555555555554</v>
      </c>
      <c r="I908" s="271">
        <v>44340.81321759259</v>
      </c>
      <c r="J908" s="268"/>
      <c r="K908" s="268"/>
      <c r="L908" s="288" t="str">
        <f t="shared" si="2"/>
        <v/>
      </c>
      <c r="M908" s="307" t="s">
        <v>2808</v>
      </c>
      <c r="N908" s="273">
        <v>44340.84027777778</v>
      </c>
      <c r="O908" s="276" t="s">
        <v>4229</v>
      </c>
      <c r="P908" s="275" t="s">
        <v>3809</v>
      </c>
      <c r="Q908" s="276" t="s">
        <v>1819</v>
      </c>
      <c r="R908" s="277">
        <v>44340.86797453704</v>
      </c>
      <c r="S908" s="278"/>
      <c r="T908" s="278" t="s">
        <v>4230</v>
      </c>
      <c r="U908" s="279"/>
      <c r="V908" s="279"/>
      <c r="W908" s="279"/>
      <c r="X908" s="279"/>
      <c r="Y908" s="279"/>
      <c r="Z908" s="282" t="s">
        <v>1570</v>
      </c>
      <c r="AA908" s="282" t="s">
        <v>4228</v>
      </c>
      <c r="AB908" s="283">
        <v>44340.0</v>
      </c>
      <c r="AC908" s="284"/>
      <c r="AD908" s="284"/>
    </row>
    <row r="909" ht="14.25" customHeight="1">
      <c r="A909" s="265">
        <v>44340.0</v>
      </c>
      <c r="B909" s="266" t="s">
        <v>1500</v>
      </c>
      <c r="C909" s="266" t="s">
        <v>2471</v>
      </c>
      <c r="D909" s="266" t="s">
        <v>1543</v>
      </c>
      <c r="E909" s="268"/>
      <c r="F909" s="269" t="s">
        <v>4231</v>
      </c>
      <c r="G909" s="268" t="s">
        <v>1463</v>
      </c>
      <c r="H909" s="270">
        <v>0.002337962962962963</v>
      </c>
      <c r="I909" s="271">
        <v>44343.625</v>
      </c>
      <c r="J909" s="268"/>
      <c r="K909" s="271"/>
      <c r="L909" s="288" t="str">
        <f t="shared" si="2"/>
        <v/>
      </c>
      <c r="M909" s="359" t="s">
        <v>3505</v>
      </c>
      <c r="N909" s="290"/>
      <c r="O909" s="276"/>
      <c r="P909" s="276"/>
      <c r="Q909" s="276"/>
      <c r="R909" s="278"/>
      <c r="S909" s="278"/>
      <c r="T909" s="278"/>
      <c r="U909" s="279"/>
      <c r="V909" s="279" t="s">
        <v>1824</v>
      </c>
      <c r="W909" s="280">
        <v>44343.0</v>
      </c>
      <c r="X909" s="281">
        <v>0.004467592592592593</v>
      </c>
      <c r="Y909" s="279" t="s">
        <v>1693</v>
      </c>
      <c r="Z909" s="282" t="s">
        <v>1570</v>
      </c>
      <c r="AA909" s="282">
        <v>6368970.0</v>
      </c>
      <c r="AB909" s="283">
        <v>44343.0</v>
      </c>
      <c r="AC909" s="284"/>
      <c r="AD909" s="284"/>
    </row>
    <row r="910" ht="14.25" customHeight="1">
      <c r="A910" s="265">
        <v>44340.0</v>
      </c>
      <c r="B910" s="266" t="s">
        <v>1500</v>
      </c>
      <c r="C910" s="266" t="s">
        <v>1686</v>
      </c>
      <c r="D910" s="266" t="s">
        <v>1543</v>
      </c>
      <c r="E910" s="268"/>
      <c r="F910" s="269" t="s">
        <v>4232</v>
      </c>
      <c r="G910" s="268" t="s">
        <v>1463</v>
      </c>
      <c r="H910" s="270">
        <v>0.0019097222222222222</v>
      </c>
      <c r="I910" s="271">
        <v>44344.416666666664</v>
      </c>
      <c r="J910" s="268"/>
      <c r="K910" s="271">
        <v>44344.42491898148</v>
      </c>
      <c r="L910" s="288" t="str">
        <f t="shared" si="2"/>
        <v>12:11:53 AM</v>
      </c>
      <c r="M910" s="272" t="s">
        <v>4233</v>
      </c>
      <c r="N910" s="290"/>
      <c r="O910" s="276"/>
      <c r="P910" s="276"/>
      <c r="Q910" s="276"/>
      <c r="R910" s="278"/>
      <c r="S910" s="278"/>
      <c r="T910" s="278"/>
      <c r="U910" s="279"/>
      <c r="V910" s="279" t="s">
        <v>1824</v>
      </c>
      <c r="W910" s="280">
        <v>44344.0</v>
      </c>
      <c r="X910" s="281">
        <v>0.006493055555555555</v>
      </c>
      <c r="Y910" s="279" t="s">
        <v>1693</v>
      </c>
      <c r="Z910" s="282" t="s">
        <v>1570</v>
      </c>
      <c r="AA910" s="282">
        <v>6369304.0</v>
      </c>
      <c r="AB910" s="283">
        <v>44344.0</v>
      </c>
      <c r="AC910" s="284"/>
      <c r="AD910" s="284"/>
    </row>
    <row r="911" ht="14.25" customHeight="1">
      <c r="A911" s="265">
        <v>44340.0</v>
      </c>
      <c r="B911" s="266" t="s">
        <v>1783</v>
      </c>
      <c r="C911" s="266"/>
      <c r="D911" s="266" t="s">
        <v>1450</v>
      </c>
      <c r="E911" s="268"/>
      <c r="F911" s="358" t="s">
        <v>4234</v>
      </c>
      <c r="G911" s="268" t="s">
        <v>2085</v>
      </c>
      <c r="H911" s="270">
        <v>0.09885416666666667</v>
      </c>
      <c r="I911" s="271">
        <v>44340.49444444444</v>
      </c>
      <c r="J911" s="268"/>
      <c r="K911" s="271">
        <v>44340.61871527778</v>
      </c>
      <c r="L911" s="288" t="str">
        <f t="shared" si="2"/>
        <v>2:58:57 AM</v>
      </c>
      <c r="M911" s="278"/>
      <c r="N911" s="290"/>
      <c r="O911" s="276"/>
      <c r="P911" s="276"/>
      <c r="Q911" s="276"/>
      <c r="R911" s="278"/>
      <c r="S911" s="278"/>
      <c r="T911" s="278"/>
      <c r="U911" s="279"/>
      <c r="V911" s="279" t="s">
        <v>1783</v>
      </c>
      <c r="W911" s="280">
        <v>44341.0</v>
      </c>
      <c r="X911" s="281">
        <v>0.2916666666666667</v>
      </c>
      <c r="Y911" s="279" t="s">
        <v>1693</v>
      </c>
      <c r="Z911" s="282" t="s">
        <v>1570</v>
      </c>
      <c r="AA911" s="282" t="s">
        <v>4234</v>
      </c>
      <c r="AB911" s="283">
        <v>44340.0</v>
      </c>
      <c r="AC911" s="284"/>
      <c r="AD911" s="284"/>
    </row>
    <row r="912" ht="14.25" customHeight="1">
      <c r="A912" s="265">
        <v>44340.0</v>
      </c>
      <c r="B912" s="266" t="s">
        <v>1733</v>
      </c>
      <c r="C912" s="266"/>
      <c r="D912" s="266" t="s">
        <v>1452</v>
      </c>
      <c r="E912" s="268"/>
      <c r="F912" s="358" t="s">
        <v>4235</v>
      </c>
      <c r="G912" s="268" t="s">
        <v>2085</v>
      </c>
      <c r="H912" s="270">
        <v>0.0052893518518518515</v>
      </c>
      <c r="I912" s="271">
        <v>44340.83888888889</v>
      </c>
      <c r="J912" s="268"/>
      <c r="K912" s="271">
        <v>44340.85223379629</v>
      </c>
      <c r="L912" s="288" t="str">
        <f t="shared" si="2"/>
        <v>12:19:13 AM</v>
      </c>
      <c r="M912" s="278"/>
      <c r="N912" s="290"/>
      <c r="O912" s="276"/>
      <c r="P912" s="276"/>
      <c r="Q912" s="276"/>
      <c r="R912" s="278"/>
      <c r="S912" s="278"/>
      <c r="T912" s="278"/>
      <c r="U912" s="279"/>
      <c r="V912" s="279" t="s">
        <v>1824</v>
      </c>
      <c r="W912" s="280">
        <v>44341.0</v>
      </c>
      <c r="X912" s="281">
        <v>0.01300925925925926</v>
      </c>
      <c r="Y912" s="279" t="s">
        <v>1693</v>
      </c>
      <c r="Z912" s="282" t="s">
        <v>1570</v>
      </c>
      <c r="AA912" s="282" t="s">
        <v>4235</v>
      </c>
      <c r="AB912" s="283">
        <v>44340.0</v>
      </c>
      <c r="AC912" s="284"/>
      <c r="AD912" s="284"/>
    </row>
    <row r="913" ht="14.25" customHeight="1">
      <c r="A913" s="265">
        <v>44340.0</v>
      </c>
      <c r="B913" s="266" t="s">
        <v>1685</v>
      </c>
      <c r="C913" s="266"/>
      <c r="D913" s="266" t="s">
        <v>1686</v>
      </c>
      <c r="E913" s="268"/>
      <c r="F913" s="358" t="s">
        <v>4236</v>
      </c>
      <c r="G913" s="268" t="s">
        <v>2085</v>
      </c>
      <c r="H913" s="270">
        <v>0.0355787037037037</v>
      </c>
      <c r="I913" s="271">
        <v>44340.77847222222</v>
      </c>
      <c r="J913" s="268"/>
      <c r="K913" s="271" t="s">
        <v>4237</v>
      </c>
      <c r="L913" s="288" t="str">
        <f t="shared" si="2"/>
        <v/>
      </c>
      <c r="M913" s="278"/>
      <c r="N913" s="290"/>
      <c r="O913" s="276"/>
      <c r="P913" s="276"/>
      <c r="Q913" s="276"/>
      <c r="R913" s="278"/>
      <c r="S913" s="278"/>
      <c r="T913" s="278"/>
      <c r="U913" s="279"/>
      <c r="V913" s="279" t="s">
        <v>1685</v>
      </c>
      <c r="W913" s="280">
        <v>44341.0</v>
      </c>
      <c r="X913" s="281">
        <v>0.14583333333333334</v>
      </c>
      <c r="Y913" s="279" t="s">
        <v>1693</v>
      </c>
      <c r="Z913" s="282" t="s">
        <v>1570</v>
      </c>
      <c r="AA913" s="282" t="s">
        <v>4236</v>
      </c>
      <c r="AB913" s="283">
        <v>44340.0</v>
      </c>
      <c r="AC913" s="284"/>
      <c r="AD913" s="284"/>
    </row>
    <row r="914" ht="14.25" customHeight="1">
      <c r="A914" s="265">
        <v>44340.0</v>
      </c>
      <c r="B914" s="266" t="s">
        <v>1733</v>
      </c>
      <c r="C914" s="266"/>
      <c r="D914" s="266" t="s">
        <v>1455</v>
      </c>
      <c r="E914" s="268"/>
      <c r="F914" s="358" t="s">
        <v>4238</v>
      </c>
      <c r="G914" s="268" t="s">
        <v>2085</v>
      </c>
      <c r="H914" s="270">
        <v>0.021423611111111112</v>
      </c>
      <c r="I914" s="271">
        <v>44340.94375</v>
      </c>
      <c r="J914" s="268"/>
      <c r="K914" s="271">
        <v>44340.96542824074</v>
      </c>
      <c r="L914" s="288" t="str">
        <f t="shared" si="2"/>
        <v>12:31:13 AM</v>
      </c>
      <c r="M914" s="278"/>
      <c r="N914" s="290"/>
      <c r="O914" s="276"/>
      <c r="P914" s="276"/>
      <c r="Q914" s="276"/>
      <c r="R914" s="278"/>
      <c r="S914" s="278"/>
      <c r="T914" s="278"/>
      <c r="U914" s="279"/>
      <c r="V914" s="279" t="s">
        <v>1685</v>
      </c>
      <c r="W914" s="280">
        <v>44341.0</v>
      </c>
      <c r="X914" s="281">
        <v>0.14583333333333334</v>
      </c>
      <c r="Y914" s="279" t="s">
        <v>1693</v>
      </c>
      <c r="Z914" s="282" t="s">
        <v>1570</v>
      </c>
      <c r="AA914" s="282" t="s">
        <v>4238</v>
      </c>
      <c r="AB914" s="283">
        <v>44340.0</v>
      </c>
      <c r="AC914" s="284"/>
      <c r="AD914" s="284"/>
    </row>
    <row r="915" ht="14.25" customHeight="1">
      <c r="A915" s="265">
        <v>44341.0</v>
      </c>
      <c r="B915" s="266" t="s">
        <v>1500</v>
      </c>
      <c r="C915" s="266" t="s">
        <v>1450</v>
      </c>
      <c r="D915" s="266" t="s">
        <v>1543</v>
      </c>
      <c r="E915" s="268"/>
      <c r="F915" s="269" t="s">
        <v>4239</v>
      </c>
      <c r="G915" s="268" t="s">
        <v>1463</v>
      </c>
      <c r="H915" s="270">
        <v>0.002384259259259259</v>
      </c>
      <c r="I915" s="271">
        <v>44343.649305555555</v>
      </c>
      <c r="J915" s="268"/>
      <c r="K915" s="271"/>
      <c r="L915" s="288" t="str">
        <f t="shared" si="2"/>
        <v/>
      </c>
      <c r="M915" s="359" t="s">
        <v>3505</v>
      </c>
      <c r="N915" s="290"/>
      <c r="O915" s="276"/>
      <c r="P915" s="276"/>
      <c r="Q915" s="276"/>
      <c r="R915" s="278"/>
      <c r="S915" s="278"/>
      <c r="T915" s="278"/>
      <c r="U915" s="279"/>
      <c r="V915" s="279" t="s">
        <v>1824</v>
      </c>
      <c r="W915" s="280">
        <v>44343.0</v>
      </c>
      <c r="X915" s="281">
        <v>0.008865740740740742</v>
      </c>
      <c r="Y915" s="279" t="s">
        <v>1693</v>
      </c>
      <c r="Z915" s="282" t="s">
        <v>1570</v>
      </c>
      <c r="AA915" s="282">
        <v>6368971.0</v>
      </c>
      <c r="AB915" s="283">
        <v>44343.0</v>
      </c>
      <c r="AC915" s="284"/>
      <c r="AD915" s="284"/>
    </row>
    <row r="916" ht="14.25" customHeight="1">
      <c r="A916" s="265">
        <v>44341.0</v>
      </c>
      <c r="B916" s="266" t="s">
        <v>1500</v>
      </c>
      <c r="C916" s="266" t="s">
        <v>1450</v>
      </c>
      <c r="D916" s="266" t="s">
        <v>1543</v>
      </c>
      <c r="E916" s="268"/>
      <c r="F916" s="269" t="s">
        <v>4240</v>
      </c>
      <c r="G916" s="268" t="s">
        <v>1463</v>
      </c>
      <c r="H916" s="270">
        <v>0.0020486111111111113</v>
      </c>
      <c r="I916" s="271">
        <v>44344.416666666664</v>
      </c>
      <c r="J916" s="268"/>
      <c r="K916" s="271">
        <v>44344.79667824074</v>
      </c>
      <c r="L916" s="288" t="str">
        <f t="shared" si="2"/>
        <v>9:07:13 AM</v>
      </c>
      <c r="M916" s="272" t="s">
        <v>4241</v>
      </c>
      <c r="N916" s="290"/>
      <c r="O916" s="276"/>
      <c r="P916" s="276"/>
      <c r="Q916" s="276"/>
      <c r="R916" s="278"/>
      <c r="S916" s="278"/>
      <c r="T916" s="278"/>
      <c r="U916" s="279"/>
      <c r="V916" s="279" t="s">
        <v>1824</v>
      </c>
      <c r="W916" s="280">
        <v>44344.0</v>
      </c>
      <c r="X916" s="281">
        <v>0.00568287037037037</v>
      </c>
      <c r="Y916" s="279" t="s">
        <v>1693</v>
      </c>
      <c r="Z916" s="282" t="s">
        <v>1570</v>
      </c>
      <c r="AA916" s="282">
        <v>6369305.0</v>
      </c>
      <c r="AB916" s="283">
        <v>44344.0</v>
      </c>
      <c r="AC916" s="284"/>
      <c r="AD916" s="284"/>
    </row>
    <row r="917" ht="14.25" customHeight="1">
      <c r="A917" s="265">
        <v>44341.0</v>
      </c>
      <c r="B917" s="266" t="s">
        <v>1783</v>
      </c>
      <c r="C917" s="266"/>
      <c r="D917" s="266" t="s">
        <v>1450</v>
      </c>
      <c r="E917" s="268"/>
      <c r="F917" s="358" t="s">
        <v>4242</v>
      </c>
      <c r="G917" s="268" t="s">
        <v>2085</v>
      </c>
      <c r="H917" s="270">
        <v>0.09881944444444445</v>
      </c>
      <c r="I917" s="271">
        <v>44341.72708333333</v>
      </c>
      <c r="J917" s="268"/>
      <c r="K917" s="271">
        <v>44341.78806712963</v>
      </c>
      <c r="L917" s="288" t="str">
        <f t="shared" si="2"/>
        <v>1:27:49 AM</v>
      </c>
      <c r="M917" s="278"/>
      <c r="N917" s="290"/>
      <c r="O917" s="276"/>
      <c r="P917" s="276"/>
      <c r="Q917" s="276"/>
      <c r="R917" s="278"/>
      <c r="S917" s="278"/>
      <c r="T917" s="278"/>
      <c r="U917" s="279"/>
      <c r="V917" s="279" t="s">
        <v>1783</v>
      </c>
      <c r="W917" s="280">
        <v>44342.0</v>
      </c>
      <c r="X917" s="281">
        <v>0.2916666666666667</v>
      </c>
      <c r="Y917" s="279" t="s">
        <v>1693</v>
      </c>
      <c r="Z917" s="282" t="s">
        <v>1570</v>
      </c>
      <c r="AA917" s="282" t="s">
        <v>4242</v>
      </c>
      <c r="AB917" s="283">
        <v>44341.0</v>
      </c>
      <c r="AC917" s="284"/>
      <c r="AD917" s="284"/>
    </row>
    <row r="918" ht="14.25" customHeight="1">
      <c r="A918" s="265">
        <v>44341.0</v>
      </c>
      <c r="B918" s="266" t="s">
        <v>1824</v>
      </c>
      <c r="C918" s="266"/>
      <c r="D918" s="266" t="s">
        <v>1452</v>
      </c>
      <c r="E918" s="268"/>
      <c r="F918" s="358" t="s">
        <v>4243</v>
      </c>
      <c r="G918" s="268" t="s">
        <v>2085</v>
      </c>
      <c r="H918" s="270">
        <v>0.005138888888888889</v>
      </c>
      <c r="I918" s="271">
        <v>44341.845138888886</v>
      </c>
      <c r="J918" s="268"/>
      <c r="K918" s="271">
        <v>44341.85306712963</v>
      </c>
      <c r="L918" s="288" t="str">
        <f t="shared" si="2"/>
        <v>12:11:25 AM</v>
      </c>
      <c r="M918" s="278"/>
      <c r="N918" s="290"/>
      <c r="O918" s="276"/>
      <c r="P918" s="276"/>
      <c r="Q918" s="276"/>
      <c r="R918" s="278"/>
      <c r="S918" s="278"/>
      <c r="T918" s="278"/>
      <c r="U918" s="279"/>
      <c r="V918" s="279" t="s">
        <v>1824</v>
      </c>
      <c r="W918" s="280">
        <v>44342.0</v>
      </c>
      <c r="X918" s="281">
        <v>0.013217592592592593</v>
      </c>
      <c r="Y918" s="279" t="s">
        <v>1693</v>
      </c>
      <c r="Z918" s="282" t="s">
        <v>1570</v>
      </c>
      <c r="AA918" s="282" t="s">
        <v>4243</v>
      </c>
      <c r="AB918" s="283">
        <v>44341.0</v>
      </c>
      <c r="AC918" s="284"/>
      <c r="AD918" s="284"/>
    </row>
    <row r="919" ht="14.25" customHeight="1">
      <c r="A919" s="265">
        <v>44341.0</v>
      </c>
      <c r="B919" s="266" t="s">
        <v>1685</v>
      </c>
      <c r="C919" s="266"/>
      <c r="D919" s="266" t="s">
        <v>1686</v>
      </c>
      <c r="E919" s="268"/>
      <c r="F919" s="358" t="s">
        <v>4244</v>
      </c>
      <c r="G919" s="268" t="s">
        <v>2085</v>
      </c>
      <c r="H919" s="270">
        <v>0.03712962962962963</v>
      </c>
      <c r="I919" s="271">
        <v>44341.82913194445</v>
      </c>
      <c r="J919" s="268"/>
      <c r="K919" s="271">
        <v>44341.84730324074</v>
      </c>
      <c r="L919" s="288" t="str">
        <f t="shared" si="2"/>
        <v>12:26:10 AM</v>
      </c>
      <c r="M919" s="278"/>
      <c r="N919" s="290"/>
      <c r="O919" s="276"/>
      <c r="P919" s="276"/>
      <c r="Q919" s="276"/>
      <c r="R919" s="278"/>
      <c r="S919" s="278"/>
      <c r="T919" s="278"/>
      <c r="U919" s="279"/>
      <c r="V919" s="279" t="s">
        <v>1685</v>
      </c>
      <c r="W919" s="280">
        <v>44342.0</v>
      </c>
      <c r="X919" s="279"/>
      <c r="Y919" s="279"/>
      <c r="Z919" s="282" t="s">
        <v>1570</v>
      </c>
      <c r="AA919" s="282" t="s">
        <v>4244</v>
      </c>
      <c r="AB919" s="283">
        <v>44341.0</v>
      </c>
      <c r="AC919" s="284"/>
      <c r="AD919" s="284"/>
    </row>
    <row r="920" ht="14.25" customHeight="1">
      <c r="A920" s="265">
        <v>44341.0</v>
      </c>
      <c r="B920" s="266" t="s">
        <v>1733</v>
      </c>
      <c r="C920" s="266"/>
      <c r="D920" s="266" t="s">
        <v>1455</v>
      </c>
      <c r="E920" s="268"/>
      <c r="F920" s="358" t="s">
        <v>4245</v>
      </c>
      <c r="G920" s="268" t="s">
        <v>2085</v>
      </c>
      <c r="H920" s="270">
        <v>0.02021990740740741</v>
      </c>
      <c r="I920" s="271">
        <v>44341.93402777778</v>
      </c>
      <c r="J920" s="268"/>
      <c r="K920" s="271">
        <v>44341.94998842593</v>
      </c>
      <c r="L920" s="288" t="str">
        <f t="shared" si="2"/>
        <v>12:22:59 AM</v>
      </c>
      <c r="M920" s="278"/>
      <c r="N920" s="290"/>
      <c r="O920" s="276"/>
      <c r="P920" s="276"/>
      <c r="Q920" s="276"/>
      <c r="R920" s="278"/>
      <c r="S920" s="278"/>
      <c r="T920" s="278"/>
      <c r="U920" s="279"/>
      <c r="V920" s="279" t="s">
        <v>1685</v>
      </c>
      <c r="W920" s="280">
        <v>44342.0</v>
      </c>
      <c r="X920" s="281">
        <v>0.08333333333333333</v>
      </c>
      <c r="Y920" s="279" t="s">
        <v>1693</v>
      </c>
      <c r="Z920" s="282" t="s">
        <v>1570</v>
      </c>
      <c r="AA920" s="282" t="s">
        <v>4245</v>
      </c>
      <c r="AB920" s="283">
        <v>44341.0</v>
      </c>
      <c r="AC920" s="284"/>
      <c r="AD920" s="284"/>
    </row>
    <row r="921" ht="14.25" customHeight="1">
      <c r="A921" s="265">
        <v>44342.0</v>
      </c>
      <c r="B921" s="266" t="s">
        <v>1500</v>
      </c>
      <c r="C921" s="266" t="s">
        <v>1455</v>
      </c>
      <c r="D921" s="266" t="s">
        <v>1543</v>
      </c>
      <c r="E921" s="268"/>
      <c r="F921" s="269" t="s">
        <v>4246</v>
      </c>
      <c r="G921" s="268" t="s">
        <v>1463</v>
      </c>
      <c r="H921" s="270">
        <v>0.0030208333333333333</v>
      </c>
      <c r="I921" s="271">
        <v>44344.416666666664</v>
      </c>
      <c r="J921" s="268"/>
      <c r="K921" s="271">
        <v>44344.44053240741</v>
      </c>
      <c r="L921" s="288" t="str">
        <f t="shared" si="2"/>
        <v>12:34:22 AM</v>
      </c>
      <c r="M921" s="278" t="s">
        <v>4247</v>
      </c>
      <c r="N921" s="290"/>
      <c r="O921" s="276"/>
      <c r="P921" s="276"/>
      <c r="Q921" s="276"/>
      <c r="R921" s="278"/>
      <c r="S921" s="278"/>
      <c r="T921" s="278"/>
      <c r="U921" s="279"/>
      <c r="V921" s="279" t="s">
        <v>1824</v>
      </c>
      <c r="W921" s="280">
        <v>44344.0</v>
      </c>
      <c r="X921" s="281">
        <v>0.0035532407407407405</v>
      </c>
      <c r="Y921" s="279" t="s">
        <v>1693</v>
      </c>
      <c r="Z921" s="282" t="s">
        <v>1570</v>
      </c>
      <c r="AA921" s="282">
        <v>6369306.0</v>
      </c>
      <c r="AB921" s="283">
        <v>44344.0</v>
      </c>
      <c r="AC921" s="284"/>
      <c r="AD921" s="284"/>
    </row>
    <row r="922" ht="14.25" customHeight="1">
      <c r="A922" s="265">
        <v>44342.0</v>
      </c>
      <c r="B922" s="266" t="s">
        <v>1500</v>
      </c>
      <c r="C922" s="266" t="s">
        <v>1450</v>
      </c>
      <c r="D922" s="266" t="s">
        <v>1543</v>
      </c>
      <c r="E922" s="268"/>
      <c r="F922" s="269" t="s">
        <v>4248</v>
      </c>
      <c r="G922" s="268" t="s">
        <v>1463</v>
      </c>
      <c r="H922" s="270">
        <v>0.002743055555555556</v>
      </c>
      <c r="I922" s="271">
        <v>44344.416666666664</v>
      </c>
      <c r="J922" s="268"/>
      <c r="K922" s="271">
        <v>44344.42521990741</v>
      </c>
      <c r="L922" s="288" t="str">
        <f t="shared" si="2"/>
        <v>12:12:19 AM</v>
      </c>
      <c r="M922" s="278" t="s">
        <v>4249</v>
      </c>
      <c r="N922" s="290"/>
      <c r="O922" s="276"/>
      <c r="P922" s="276"/>
      <c r="Q922" s="276"/>
      <c r="R922" s="278"/>
      <c r="S922" s="278"/>
      <c r="T922" s="278"/>
      <c r="U922" s="279"/>
      <c r="V922" s="279" t="s">
        <v>1824</v>
      </c>
      <c r="W922" s="280">
        <v>44344.0</v>
      </c>
      <c r="X922" s="281">
        <v>0.0062268518518518515</v>
      </c>
      <c r="Y922" s="279" t="s">
        <v>1693</v>
      </c>
      <c r="Z922" s="282" t="s">
        <v>1570</v>
      </c>
      <c r="AA922" s="282">
        <v>6369307.0</v>
      </c>
      <c r="AB922" s="283">
        <v>44344.0</v>
      </c>
      <c r="AC922" s="284"/>
      <c r="AD922" s="284"/>
    </row>
    <row r="923" ht="14.25" customHeight="1">
      <c r="A923" s="265">
        <v>44342.0</v>
      </c>
      <c r="B923" s="266" t="s">
        <v>1783</v>
      </c>
      <c r="C923" s="266"/>
      <c r="D923" s="266" t="s">
        <v>1450</v>
      </c>
      <c r="E923" s="268"/>
      <c r="F923" s="358" t="s">
        <v>4250</v>
      </c>
      <c r="G923" s="268" t="s">
        <v>2085</v>
      </c>
      <c r="H923" s="270">
        <v>0.10011574074074074</v>
      </c>
      <c r="I923" s="271">
        <v>44342.75763888889</v>
      </c>
      <c r="J923" s="268"/>
      <c r="K923" s="271">
        <v>44342.825694444444</v>
      </c>
      <c r="L923" s="288" t="str">
        <f t="shared" si="2"/>
        <v>1:38:00 AM</v>
      </c>
      <c r="M923" s="278"/>
      <c r="N923" s="290"/>
      <c r="O923" s="276"/>
      <c r="P923" s="276"/>
      <c r="Q923" s="276"/>
      <c r="R923" s="278"/>
      <c r="S923" s="278"/>
      <c r="T923" s="278"/>
      <c r="U923" s="279"/>
      <c r="V923" s="279" t="s">
        <v>1783</v>
      </c>
      <c r="W923" s="280">
        <v>44343.0</v>
      </c>
      <c r="X923" s="281">
        <v>0.2916666666666667</v>
      </c>
      <c r="Y923" s="279" t="s">
        <v>1693</v>
      </c>
      <c r="Z923" s="282" t="s">
        <v>1570</v>
      </c>
      <c r="AA923" s="282" t="s">
        <v>4250</v>
      </c>
      <c r="AB923" s="283">
        <v>44342.0</v>
      </c>
      <c r="AC923" s="284"/>
      <c r="AD923" s="284"/>
    </row>
    <row r="924" ht="14.25" customHeight="1">
      <c r="A924" s="265">
        <v>44342.0</v>
      </c>
      <c r="B924" s="266" t="s">
        <v>1733</v>
      </c>
      <c r="C924" s="266"/>
      <c r="D924" s="266" t="s">
        <v>1452</v>
      </c>
      <c r="E924" s="268"/>
      <c r="F924" s="358" t="s">
        <v>4251</v>
      </c>
      <c r="G924" s="268" t="s">
        <v>2085</v>
      </c>
      <c r="H924" s="270">
        <v>0.0027083333333333334</v>
      </c>
      <c r="I924" s="271">
        <v>44342.77013888889</v>
      </c>
      <c r="J924" s="268"/>
      <c r="K924" s="271">
        <v>44342.77334490741</v>
      </c>
      <c r="L924" s="288" t="str">
        <f t="shared" si="2"/>
        <v>12:04:37 AM</v>
      </c>
      <c r="M924" s="278"/>
      <c r="N924" s="290"/>
      <c r="O924" s="276"/>
      <c r="P924" s="276"/>
      <c r="Q924" s="276"/>
      <c r="R924" s="278"/>
      <c r="S924" s="278"/>
      <c r="T924" s="278"/>
      <c r="U924" s="279"/>
      <c r="V924" s="279" t="s">
        <v>1824</v>
      </c>
      <c r="W924" s="280">
        <v>44343.0</v>
      </c>
      <c r="X924" s="281">
        <v>0.02225694444444444</v>
      </c>
      <c r="Y924" s="279" t="s">
        <v>1693</v>
      </c>
      <c r="Z924" s="282" t="s">
        <v>1570</v>
      </c>
      <c r="AA924" s="282" t="s">
        <v>4251</v>
      </c>
      <c r="AB924" s="283">
        <v>44342.0</v>
      </c>
      <c r="AC924" s="284"/>
      <c r="AD924" s="284"/>
    </row>
    <row r="925" ht="14.25" customHeight="1">
      <c r="A925" s="265">
        <v>44342.0</v>
      </c>
      <c r="B925" s="266" t="s">
        <v>1733</v>
      </c>
      <c r="C925" s="266"/>
      <c r="D925" s="266" t="s">
        <v>1686</v>
      </c>
      <c r="E925" s="268"/>
      <c r="F925" s="358" t="s">
        <v>4252</v>
      </c>
      <c r="G925" s="268" t="s">
        <v>2085</v>
      </c>
      <c r="H925" s="270">
        <v>0.0391087962962963</v>
      </c>
      <c r="I925" s="271">
        <v>44342.754166666666</v>
      </c>
      <c r="J925" s="268"/>
      <c r="K925" s="271">
        <v>44342.771840277775</v>
      </c>
      <c r="L925" s="288" t="str">
        <f t="shared" si="2"/>
        <v>12:25:27 AM</v>
      </c>
      <c r="M925" s="278"/>
      <c r="N925" s="290"/>
      <c r="O925" s="276"/>
      <c r="P925" s="276"/>
      <c r="Q925" s="276"/>
      <c r="R925" s="278"/>
      <c r="S925" s="278"/>
      <c r="T925" s="278"/>
      <c r="U925" s="279"/>
      <c r="V925" s="279" t="s">
        <v>1685</v>
      </c>
      <c r="W925" s="280">
        <v>44343.0</v>
      </c>
      <c r="X925" s="281">
        <v>0.125</v>
      </c>
      <c r="Y925" s="279" t="s">
        <v>1693</v>
      </c>
      <c r="Z925" s="282" t="s">
        <v>1570</v>
      </c>
      <c r="AA925" s="282" t="s">
        <v>4252</v>
      </c>
      <c r="AB925" s="283">
        <v>44342.0</v>
      </c>
      <c r="AC925" s="284"/>
      <c r="AD925" s="284"/>
    </row>
    <row r="926" ht="14.25" customHeight="1">
      <c r="A926" s="265">
        <v>44342.0</v>
      </c>
      <c r="B926" s="266" t="s">
        <v>1733</v>
      </c>
      <c r="C926" s="266"/>
      <c r="D926" s="266" t="s">
        <v>1455</v>
      </c>
      <c r="E926" s="268"/>
      <c r="F926" s="358" t="s">
        <v>4253</v>
      </c>
      <c r="G926" s="268" t="s">
        <v>2085</v>
      </c>
      <c r="H926" s="270">
        <v>0.020810185185185185</v>
      </c>
      <c r="I926" s="271">
        <v>44342.92013888889</v>
      </c>
      <c r="J926" s="268"/>
      <c r="K926" s="271">
        <v>44342.9375</v>
      </c>
      <c r="L926" s="288" t="str">
        <f t="shared" si="2"/>
        <v>12:25:00 AM</v>
      </c>
      <c r="M926" s="278"/>
      <c r="N926" s="290"/>
      <c r="O926" s="276"/>
      <c r="P926" s="276"/>
      <c r="Q926" s="276"/>
      <c r="R926" s="278"/>
      <c r="S926" s="278"/>
      <c r="T926" s="278"/>
      <c r="U926" s="279"/>
      <c r="V926" s="279" t="s">
        <v>1685</v>
      </c>
      <c r="W926" s="280">
        <v>44343.0</v>
      </c>
      <c r="X926" s="281">
        <v>0.125</v>
      </c>
      <c r="Y926" s="279" t="s">
        <v>1693</v>
      </c>
      <c r="Z926" s="282" t="s">
        <v>1570</v>
      </c>
      <c r="AA926" s="282" t="s">
        <v>4253</v>
      </c>
      <c r="AB926" s="283">
        <v>44342.0</v>
      </c>
      <c r="AC926" s="284"/>
      <c r="AD926" s="284"/>
    </row>
    <row r="927" ht="14.25" customHeight="1">
      <c r="A927" s="265">
        <v>44343.0</v>
      </c>
      <c r="B927" s="266" t="s">
        <v>1685</v>
      </c>
      <c r="C927" s="266"/>
      <c r="D927" s="266" t="s">
        <v>1455</v>
      </c>
      <c r="E927" s="268"/>
      <c r="F927" s="269" t="s">
        <v>4254</v>
      </c>
      <c r="G927" s="268" t="s">
        <v>1463</v>
      </c>
      <c r="H927" s="270">
        <v>0.002361111111111111</v>
      </c>
      <c r="I927" s="271">
        <v>44344.83513888889</v>
      </c>
      <c r="J927" s="268"/>
      <c r="K927" s="271">
        <v>44345.025358796294</v>
      </c>
      <c r="L927" s="288" t="str">
        <f t="shared" si="2"/>
        <v>4:33:55 AM</v>
      </c>
      <c r="M927" s="278"/>
      <c r="N927" s="290"/>
      <c r="O927" s="276"/>
      <c r="P927" s="276"/>
      <c r="Q927" s="276"/>
      <c r="R927" s="278"/>
      <c r="S927" s="278"/>
      <c r="T927" s="278"/>
      <c r="U927" s="279"/>
      <c r="V927" s="279" t="s">
        <v>1685</v>
      </c>
      <c r="W927" s="280">
        <v>44345.0</v>
      </c>
      <c r="X927" s="281">
        <v>0.003472222222222222</v>
      </c>
      <c r="Y927" s="279"/>
      <c r="Z927" s="282" t="s">
        <v>1570</v>
      </c>
      <c r="AA927" s="282">
        <v>6369308.0</v>
      </c>
      <c r="AB927" s="283">
        <v>44344.0</v>
      </c>
      <c r="AC927" s="284"/>
      <c r="AD927" s="284"/>
    </row>
    <row r="928" ht="14.25" customHeight="1">
      <c r="A928" s="265">
        <v>44343.0</v>
      </c>
      <c r="B928" s="266" t="s">
        <v>1500</v>
      </c>
      <c r="C928" s="266" t="s">
        <v>1450</v>
      </c>
      <c r="D928" s="266" t="s">
        <v>1543</v>
      </c>
      <c r="E928" s="268"/>
      <c r="F928" s="269" t="s">
        <v>4255</v>
      </c>
      <c r="G928" s="268" t="s">
        <v>1463</v>
      </c>
      <c r="H928" s="270">
        <v>0.0012037037037037038</v>
      </c>
      <c r="I928" s="271">
        <v>44344.416666666664</v>
      </c>
      <c r="J928" s="268"/>
      <c r="K928" s="271">
        <v>44344.75435185185</v>
      </c>
      <c r="L928" s="288" t="str">
        <f t="shared" si="2"/>
        <v>8:06:16 AM</v>
      </c>
      <c r="M928" s="278" t="s">
        <v>4256</v>
      </c>
      <c r="N928" s="290"/>
      <c r="O928" s="276"/>
      <c r="P928" s="276"/>
      <c r="Q928" s="276"/>
      <c r="R928" s="278"/>
      <c r="S928" s="278"/>
      <c r="T928" s="278"/>
      <c r="U928" s="279"/>
      <c r="V928" s="279" t="s">
        <v>1824</v>
      </c>
      <c r="W928" s="280">
        <v>44344.0</v>
      </c>
      <c r="X928" s="281">
        <v>0.00525462962962963</v>
      </c>
      <c r="Y928" s="279" t="s">
        <v>1693</v>
      </c>
      <c r="Z928" s="282" t="s">
        <v>1570</v>
      </c>
      <c r="AA928" s="282">
        <v>6369309.0</v>
      </c>
      <c r="AB928" s="283">
        <v>44344.0</v>
      </c>
      <c r="AC928" s="284"/>
      <c r="AD928" s="284"/>
    </row>
    <row r="929" ht="14.25" customHeight="1">
      <c r="A929" s="265">
        <v>44343.0</v>
      </c>
      <c r="B929" s="266" t="s">
        <v>1500</v>
      </c>
      <c r="C929" s="266" t="s">
        <v>2641</v>
      </c>
      <c r="D929" s="266" t="s">
        <v>1543</v>
      </c>
      <c r="E929" s="268"/>
      <c r="F929" s="269" t="s">
        <v>4257</v>
      </c>
      <c r="G929" s="268" t="s">
        <v>1463</v>
      </c>
      <c r="H929" s="270">
        <v>0.002337962962962963</v>
      </c>
      <c r="I929" s="271">
        <v>44344.61944444444</v>
      </c>
      <c r="J929" s="268"/>
      <c r="K929" s="271">
        <v>44344.698067129626</v>
      </c>
      <c r="L929" s="288" t="str">
        <f t="shared" si="2"/>
        <v>1:53:13 AM</v>
      </c>
      <c r="M929" s="278" t="s">
        <v>4258</v>
      </c>
      <c r="N929" s="290"/>
      <c r="O929" s="276"/>
      <c r="P929" s="276"/>
      <c r="Q929" s="276"/>
      <c r="R929" s="278"/>
      <c r="S929" s="278"/>
      <c r="T929" s="278"/>
      <c r="U929" s="279"/>
      <c r="V929" s="279" t="s">
        <v>1824</v>
      </c>
      <c r="W929" s="280">
        <v>44344.0</v>
      </c>
      <c r="X929" s="281">
        <v>0.006111111111111111</v>
      </c>
      <c r="Y929" s="279" t="s">
        <v>1693</v>
      </c>
      <c r="Z929" s="282" t="s">
        <v>1570</v>
      </c>
      <c r="AA929" s="282">
        <v>6369310.0</v>
      </c>
      <c r="AB929" s="283">
        <v>44344.0</v>
      </c>
      <c r="AC929" s="284"/>
      <c r="AD929" s="284"/>
    </row>
    <row r="930" ht="14.25" customHeight="1">
      <c r="A930" s="265">
        <v>44343.0</v>
      </c>
      <c r="B930" s="266" t="s">
        <v>1500</v>
      </c>
      <c r="C930" s="266" t="s">
        <v>1450</v>
      </c>
      <c r="D930" s="266" t="s">
        <v>1543</v>
      </c>
      <c r="E930" s="268"/>
      <c r="F930" s="269" t="s">
        <v>4259</v>
      </c>
      <c r="G930" s="268" t="s">
        <v>1463</v>
      </c>
      <c r="H930" s="270">
        <v>9.606481481481481E-4</v>
      </c>
      <c r="I930" s="271">
        <v>44344.416666666664</v>
      </c>
      <c r="J930" s="268"/>
      <c r="K930" s="271">
        <v>44349.66422453704</v>
      </c>
      <c r="L930" s="288" t="str">
        <f t="shared" si="2"/>
        <v>5:56:29 AM</v>
      </c>
      <c r="M930" s="278" t="s">
        <v>4260</v>
      </c>
      <c r="N930" s="290"/>
      <c r="O930" s="276"/>
      <c r="P930" s="276"/>
      <c r="Q930" s="276"/>
      <c r="R930" s="278"/>
      <c r="S930" s="278"/>
      <c r="T930" s="278"/>
      <c r="U930" s="279"/>
      <c r="V930" s="279" t="s">
        <v>1824</v>
      </c>
      <c r="W930" s="280">
        <v>44356.0</v>
      </c>
      <c r="X930" s="281">
        <v>0.006168981481481481</v>
      </c>
      <c r="Y930" s="279" t="s">
        <v>1693</v>
      </c>
      <c r="Z930" s="282" t="s">
        <v>53</v>
      </c>
      <c r="AA930" s="282">
        <v>6372063.0</v>
      </c>
      <c r="AB930" s="283">
        <v>44355.0</v>
      </c>
      <c r="AC930" s="284"/>
      <c r="AD930" s="284"/>
    </row>
    <row r="931" ht="14.25" customHeight="1">
      <c r="A931" s="265">
        <v>44343.0</v>
      </c>
      <c r="B931" s="266" t="s">
        <v>1783</v>
      </c>
      <c r="C931" s="266"/>
      <c r="D931" s="266" t="s">
        <v>1450</v>
      </c>
      <c r="E931" s="268"/>
      <c r="F931" s="358" t="s">
        <v>4261</v>
      </c>
      <c r="G931" s="268" t="s">
        <v>2085</v>
      </c>
      <c r="H931" s="270">
        <v>0.0987037037037037</v>
      </c>
      <c r="I931" s="271">
        <v>44343.754166666666</v>
      </c>
      <c r="J931" s="268"/>
      <c r="K931" s="271">
        <v>44343.84701388889</v>
      </c>
      <c r="L931" s="288" t="str">
        <f t="shared" si="2"/>
        <v>2:13:42 AM</v>
      </c>
      <c r="M931" s="278"/>
      <c r="N931" s="290"/>
      <c r="O931" s="276"/>
      <c r="P931" s="276"/>
      <c r="Q931" s="276"/>
      <c r="R931" s="278"/>
      <c r="S931" s="278"/>
      <c r="T931" s="278"/>
      <c r="U931" s="279"/>
      <c r="V931" s="279" t="s">
        <v>1783</v>
      </c>
      <c r="W931" s="280" t="s">
        <v>4262</v>
      </c>
      <c r="X931" s="281">
        <v>0.3090277777777778</v>
      </c>
      <c r="Y931" s="279" t="s">
        <v>1693</v>
      </c>
      <c r="Z931" s="282" t="s">
        <v>1570</v>
      </c>
      <c r="AA931" s="282" t="s">
        <v>4261</v>
      </c>
      <c r="AB931" s="283">
        <v>44343.0</v>
      </c>
      <c r="AC931" s="284"/>
      <c r="AD931" s="284"/>
    </row>
    <row r="932" ht="14.25" customHeight="1">
      <c r="A932" s="265">
        <v>44343.0</v>
      </c>
      <c r="B932" s="266" t="s">
        <v>1824</v>
      </c>
      <c r="C932" s="266"/>
      <c r="D932" s="266" t="s">
        <v>1452</v>
      </c>
      <c r="E932" s="268"/>
      <c r="F932" s="358" t="s">
        <v>4263</v>
      </c>
      <c r="G932" s="268" t="s">
        <v>2085</v>
      </c>
      <c r="H932" s="270">
        <v>0.005231481481481482</v>
      </c>
      <c r="I932" s="271">
        <v>44343.76180555556</v>
      </c>
      <c r="J932" s="268"/>
      <c r="K932" s="271">
        <v>44343.769780092596</v>
      </c>
      <c r="L932" s="288" t="str">
        <f t="shared" si="2"/>
        <v>12:11:29 AM</v>
      </c>
      <c r="M932" s="278"/>
      <c r="N932" s="290"/>
      <c r="O932" s="276"/>
      <c r="P932" s="276"/>
      <c r="Q932" s="276"/>
      <c r="R932" s="278"/>
      <c r="S932" s="278"/>
      <c r="T932" s="278"/>
      <c r="U932" s="279"/>
      <c r="V932" s="279" t="s">
        <v>1824</v>
      </c>
      <c r="W932" s="280">
        <v>44344.0</v>
      </c>
      <c r="X932" s="281">
        <v>0.016249999999999997</v>
      </c>
      <c r="Y932" s="279" t="s">
        <v>1693</v>
      </c>
      <c r="Z932" s="282" t="s">
        <v>1570</v>
      </c>
      <c r="AA932" s="282" t="s">
        <v>4263</v>
      </c>
      <c r="AB932" s="283">
        <v>44343.0</v>
      </c>
      <c r="AC932" s="284"/>
      <c r="AD932" s="284"/>
    </row>
    <row r="933" ht="14.25" customHeight="1">
      <c r="A933" s="265">
        <v>44343.0</v>
      </c>
      <c r="B933" s="266" t="s">
        <v>1685</v>
      </c>
      <c r="C933" s="266"/>
      <c r="D933" s="266" t="s">
        <v>1686</v>
      </c>
      <c r="E933" s="268"/>
      <c r="F933" s="358" t="s">
        <v>4264</v>
      </c>
      <c r="G933" s="268" t="s">
        <v>2085</v>
      </c>
      <c r="H933" s="270">
        <v>0.03758101851851852</v>
      </c>
      <c r="I933" s="271">
        <v>44374.76388888889</v>
      </c>
      <c r="J933" s="268"/>
      <c r="K933" s="268"/>
      <c r="L933" s="288" t="str">
        <f t="shared" si="2"/>
        <v/>
      </c>
      <c r="M933" s="307" t="s">
        <v>2808</v>
      </c>
      <c r="N933" s="273">
        <v>44343.856944444444</v>
      </c>
      <c r="O933" s="276" t="s">
        <v>4265</v>
      </c>
      <c r="P933" s="275" t="s">
        <v>1463</v>
      </c>
      <c r="Q933" s="276" t="s">
        <v>1819</v>
      </c>
      <c r="R933" s="277">
        <v>44343.89027777778</v>
      </c>
      <c r="S933" s="278"/>
      <c r="T933" s="278" t="s">
        <v>4266</v>
      </c>
      <c r="U933" s="279"/>
      <c r="V933" s="279" t="s">
        <v>1685</v>
      </c>
      <c r="W933" s="280">
        <v>44344.0</v>
      </c>
      <c r="X933" s="281">
        <v>0.14583333333333334</v>
      </c>
      <c r="Y933" s="279" t="s">
        <v>1693</v>
      </c>
      <c r="Z933" s="282" t="s">
        <v>1570</v>
      </c>
      <c r="AA933" s="282" t="s">
        <v>4264</v>
      </c>
      <c r="AB933" s="283">
        <v>44343.0</v>
      </c>
      <c r="AC933" s="284"/>
      <c r="AD933" s="284"/>
    </row>
    <row r="934" ht="14.25" customHeight="1">
      <c r="A934" s="265">
        <v>44343.0</v>
      </c>
      <c r="B934" s="266" t="s">
        <v>1733</v>
      </c>
      <c r="C934" s="266"/>
      <c r="D934" s="266" t="s">
        <v>1455</v>
      </c>
      <c r="E934" s="268"/>
      <c r="F934" s="358" t="s">
        <v>4267</v>
      </c>
      <c r="G934" s="268" t="s">
        <v>2085</v>
      </c>
      <c r="H934" s="270">
        <v>0.020625</v>
      </c>
      <c r="I934" s="271">
        <v>44343.95208333333</v>
      </c>
      <c r="J934" s="268"/>
      <c r="K934" s="271">
        <v>44343.97881944444</v>
      </c>
      <c r="L934" s="288" t="str">
        <f t="shared" si="2"/>
        <v>12:38:30 AM</v>
      </c>
      <c r="M934" s="278"/>
      <c r="N934" s="290"/>
      <c r="O934" s="276"/>
      <c r="P934" s="276"/>
      <c r="Q934" s="276"/>
      <c r="R934" s="278"/>
      <c r="S934" s="278"/>
      <c r="T934" s="278"/>
      <c r="U934" s="279"/>
      <c r="V934" s="279" t="s">
        <v>1685</v>
      </c>
      <c r="W934" s="280">
        <v>44344.0</v>
      </c>
      <c r="X934" s="279"/>
      <c r="Y934" s="279"/>
      <c r="Z934" s="282" t="s">
        <v>1570</v>
      </c>
      <c r="AA934" s="282" t="s">
        <v>4267</v>
      </c>
      <c r="AB934" s="283">
        <v>44343.0</v>
      </c>
      <c r="AC934" s="284"/>
      <c r="AD934" s="284"/>
    </row>
    <row r="935" ht="14.25" customHeight="1">
      <c r="A935" s="265">
        <v>44344.0</v>
      </c>
      <c r="B935" s="266" t="s">
        <v>1783</v>
      </c>
      <c r="C935" s="266"/>
      <c r="D935" s="266" t="s">
        <v>1450</v>
      </c>
      <c r="E935" s="268"/>
      <c r="F935" s="358" t="s">
        <v>4268</v>
      </c>
      <c r="G935" s="268" t="s">
        <v>2085</v>
      </c>
      <c r="H935" s="270">
        <v>0.09837962962962964</v>
      </c>
      <c r="I935" s="271">
        <v>44344.705555555556</v>
      </c>
      <c r="J935" s="268"/>
      <c r="K935" s="268"/>
      <c r="L935" s="288" t="str">
        <f t="shared" si="2"/>
        <v/>
      </c>
      <c r="M935" s="307" t="s">
        <v>2808</v>
      </c>
      <c r="N935" s="273">
        <v>44344.927777777775</v>
      </c>
      <c r="O935" s="276" t="s">
        <v>4269</v>
      </c>
      <c r="P935" s="275" t="s">
        <v>1463</v>
      </c>
      <c r="Q935" s="276" t="s">
        <v>1819</v>
      </c>
      <c r="R935" s="277">
        <v>44344.98611111111</v>
      </c>
      <c r="S935" s="278"/>
      <c r="T935" s="278" t="s">
        <v>4270</v>
      </c>
      <c r="U935" s="279"/>
      <c r="V935" s="279" t="s">
        <v>1685</v>
      </c>
      <c r="W935" s="280" t="s">
        <v>4271</v>
      </c>
      <c r="X935" s="281">
        <v>0.3194444444444445</v>
      </c>
      <c r="Y935" s="279" t="s">
        <v>1693</v>
      </c>
      <c r="Z935" s="282" t="s">
        <v>1570</v>
      </c>
      <c r="AA935" s="282" t="s">
        <v>4268</v>
      </c>
      <c r="AB935" s="283">
        <v>44344.0</v>
      </c>
      <c r="AC935" s="284"/>
      <c r="AD935" s="284"/>
    </row>
    <row r="936" ht="14.25" customHeight="1">
      <c r="A936" s="265">
        <v>44344.0</v>
      </c>
      <c r="B936" s="266" t="s">
        <v>1824</v>
      </c>
      <c r="C936" s="266"/>
      <c r="D936" s="266" t="s">
        <v>1452</v>
      </c>
      <c r="E936" s="268"/>
      <c r="F936" s="358" t="s">
        <v>4272</v>
      </c>
      <c r="G936" s="268" t="s">
        <v>2085</v>
      </c>
      <c r="H936" s="270">
        <v>0.0059490740740740745</v>
      </c>
      <c r="I936" s="271">
        <v>44344.71527777778</v>
      </c>
      <c r="J936" s="268"/>
      <c r="K936" s="268"/>
      <c r="L936" s="288" t="str">
        <f t="shared" si="2"/>
        <v/>
      </c>
      <c r="M936" s="307" t="s">
        <v>2808</v>
      </c>
      <c r="N936" s="273">
        <v>44344.790972222225</v>
      </c>
      <c r="O936" s="276" t="s">
        <v>4273</v>
      </c>
      <c r="P936" s="275" t="s">
        <v>1463</v>
      </c>
      <c r="Q936" s="276" t="s">
        <v>1819</v>
      </c>
      <c r="R936" s="277">
        <v>44344.79717592592</v>
      </c>
      <c r="S936" s="278"/>
      <c r="T936" s="278" t="s">
        <v>4274</v>
      </c>
      <c r="U936" s="279"/>
      <c r="V936" s="279" t="s">
        <v>1824</v>
      </c>
      <c r="W936" s="280">
        <v>44347.0</v>
      </c>
      <c r="X936" s="281">
        <v>0.026585648148148146</v>
      </c>
      <c r="Y936" s="279" t="s">
        <v>1693</v>
      </c>
      <c r="Z936" s="282" t="s">
        <v>1570</v>
      </c>
      <c r="AA936" s="282" t="s">
        <v>4272</v>
      </c>
      <c r="AB936" s="283">
        <v>44344.0</v>
      </c>
      <c r="AC936" s="284"/>
      <c r="AD936" s="284"/>
    </row>
    <row r="937" ht="14.25" customHeight="1">
      <c r="A937" s="265">
        <v>44344.0</v>
      </c>
      <c r="B937" s="266" t="s">
        <v>1685</v>
      </c>
      <c r="C937" s="266"/>
      <c r="D937" s="266" t="s">
        <v>1686</v>
      </c>
      <c r="E937" s="268"/>
      <c r="F937" s="358" t="s">
        <v>4275</v>
      </c>
      <c r="G937" s="268" t="s">
        <v>2085</v>
      </c>
      <c r="H937" s="270">
        <v>0.0378587962962963</v>
      </c>
      <c r="I937" s="271">
        <v>44344.70347222222</v>
      </c>
      <c r="J937" s="268"/>
      <c r="K937" s="271">
        <v>44344.734988425924</v>
      </c>
      <c r="L937" s="288" t="str">
        <f t="shared" si="2"/>
        <v>12:45:23 AM</v>
      </c>
      <c r="M937" s="278"/>
      <c r="N937" s="290"/>
      <c r="O937" s="276"/>
      <c r="P937" s="276"/>
      <c r="Q937" s="276"/>
      <c r="R937" s="278"/>
      <c r="S937" s="278"/>
      <c r="T937" s="278"/>
      <c r="U937" s="279"/>
      <c r="V937" s="279" t="s">
        <v>1783</v>
      </c>
      <c r="W937" s="279" t="s">
        <v>4276</v>
      </c>
      <c r="X937" s="281">
        <v>0.125</v>
      </c>
      <c r="Y937" s="279" t="s">
        <v>1693</v>
      </c>
      <c r="Z937" s="282" t="s">
        <v>1570</v>
      </c>
      <c r="AA937" s="282" t="s">
        <v>4275</v>
      </c>
      <c r="AB937" s="283">
        <v>44344.0</v>
      </c>
      <c r="AC937" s="284"/>
      <c r="AD937" s="284"/>
    </row>
    <row r="938" ht="14.25" customHeight="1">
      <c r="A938" s="265">
        <v>44344.0</v>
      </c>
      <c r="B938" s="266" t="s">
        <v>1733</v>
      </c>
      <c r="C938" s="266"/>
      <c r="D938" s="266" t="s">
        <v>1455</v>
      </c>
      <c r="E938" s="268"/>
      <c r="F938" s="358" t="s">
        <v>4277</v>
      </c>
      <c r="G938" s="268" t="s">
        <v>2085</v>
      </c>
      <c r="H938" s="270">
        <v>0.020150462962962964</v>
      </c>
      <c r="I938" s="271">
        <v>44344.92638888889</v>
      </c>
      <c r="J938" s="268"/>
      <c r="K938" s="271">
        <v>44344.951516203706</v>
      </c>
      <c r="L938" s="288" t="str">
        <f t="shared" si="2"/>
        <v>12:36:11 AM</v>
      </c>
      <c r="M938" s="278"/>
      <c r="N938" s="290"/>
      <c r="O938" s="276"/>
      <c r="P938" s="276"/>
      <c r="Q938" s="276"/>
      <c r="R938" s="278"/>
      <c r="S938" s="278"/>
      <c r="T938" s="278"/>
      <c r="U938" s="279"/>
      <c r="V938" s="279" t="s">
        <v>1824</v>
      </c>
      <c r="W938" s="280">
        <v>44347.0</v>
      </c>
      <c r="X938" s="281">
        <v>0.08113425925925927</v>
      </c>
      <c r="Y938" s="279" t="s">
        <v>1693</v>
      </c>
      <c r="Z938" s="282" t="s">
        <v>1570</v>
      </c>
      <c r="AA938" s="282" t="s">
        <v>4277</v>
      </c>
      <c r="AB938" s="283">
        <v>44344.0</v>
      </c>
      <c r="AC938" s="284"/>
      <c r="AD938" s="284"/>
    </row>
    <row r="939" ht="14.25" customHeight="1">
      <c r="A939" s="265">
        <v>44345.0</v>
      </c>
      <c r="B939" s="266" t="s">
        <v>1500</v>
      </c>
      <c r="C939" s="266" t="s">
        <v>4278</v>
      </c>
      <c r="D939" s="266" t="s">
        <v>1543</v>
      </c>
      <c r="E939" s="268"/>
      <c r="F939" s="269" t="s">
        <v>4279</v>
      </c>
      <c r="G939" s="268" t="s">
        <v>1463</v>
      </c>
      <c r="H939" s="270">
        <v>0.005555555555555556</v>
      </c>
      <c r="I939" s="271">
        <v>44347.50763888889</v>
      </c>
      <c r="J939" s="268"/>
      <c r="K939" s="271">
        <v>44349.32790509259</v>
      </c>
      <c r="L939" s="288" t="str">
        <f t="shared" si="2"/>
        <v>7:41:11 PM</v>
      </c>
      <c r="M939" s="278" t="s">
        <v>4280</v>
      </c>
      <c r="N939" s="290"/>
      <c r="O939" s="276"/>
      <c r="P939" s="276"/>
      <c r="Q939" s="276"/>
      <c r="R939" s="278"/>
      <c r="S939" s="278"/>
      <c r="T939" s="278"/>
      <c r="U939" s="279"/>
      <c r="V939" s="279" t="s">
        <v>1783</v>
      </c>
      <c r="W939" s="280">
        <v>44352.0</v>
      </c>
      <c r="X939" s="281">
        <v>0.006944444444444444</v>
      </c>
      <c r="Y939" s="279" t="s">
        <v>1693</v>
      </c>
      <c r="Z939" s="282" t="s">
        <v>53</v>
      </c>
      <c r="AA939" s="282">
        <v>6371260.0</v>
      </c>
      <c r="AB939" s="283">
        <v>44349.0</v>
      </c>
      <c r="AC939" s="284"/>
      <c r="AD939" s="284"/>
    </row>
    <row r="940" ht="14.25" customHeight="1">
      <c r="A940" s="265">
        <v>44345.0</v>
      </c>
      <c r="B940" s="266" t="s">
        <v>1500</v>
      </c>
      <c r="C940" s="266" t="s">
        <v>2804</v>
      </c>
      <c r="D940" s="266" t="s">
        <v>1543</v>
      </c>
      <c r="E940" s="268"/>
      <c r="F940" s="269" t="s">
        <v>4281</v>
      </c>
      <c r="G940" s="268" t="s">
        <v>1463</v>
      </c>
      <c r="H940" s="270">
        <v>0.0037500000000000003</v>
      </c>
      <c r="I940" s="271">
        <v>44348.635416666664</v>
      </c>
      <c r="J940" s="268"/>
      <c r="K940" s="271">
        <v>44349.00635416667</v>
      </c>
      <c r="L940" s="288" t="str">
        <f t="shared" si="2"/>
        <v>8:54:09 AM</v>
      </c>
      <c r="M940" s="278" t="s">
        <v>4282</v>
      </c>
      <c r="N940" s="290"/>
      <c r="O940" s="276"/>
      <c r="P940" s="276"/>
      <c r="Q940" s="276"/>
      <c r="R940" s="278"/>
      <c r="S940" s="278"/>
      <c r="T940" s="278"/>
      <c r="U940" s="279"/>
      <c r="V940" s="279" t="s">
        <v>1783</v>
      </c>
      <c r="W940" s="280">
        <v>44352.0</v>
      </c>
      <c r="X940" s="281">
        <v>0.006944444444444444</v>
      </c>
      <c r="Y940" s="279" t="s">
        <v>1693</v>
      </c>
      <c r="Z940" s="282" t="s">
        <v>53</v>
      </c>
      <c r="AA940" s="282">
        <v>6371261.0</v>
      </c>
      <c r="AB940" s="283">
        <v>44349.0</v>
      </c>
      <c r="AC940" s="284"/>
      <c r="AD940" s="284"/>
    </row>
    <row r="941" ht="14.25" customHeight="1">
      <c r="A941" s="265">
        <v>44345.0</v>
      </c>
      <c r="B941" s="266" t="s">
        <v>1733</v>
      </c>
      <c r="C941" s="266"/>
      <c r="D941" s="266" t="s">
        <v>1686</v>
      </c>
      <c r="E941" s="268"/>
      <c r="F941" s="358" t="s">
        <v>4283</v>
      </c>
      <c r="G941" s="268" t="s">
        <v>2085</v>
      </c>
      <c r="H941" s="270">
        <v>0.03667824074074074</v>
      </c>
      <c r="I941" s="271">
        <v>44345.649305555555</v>
      </c>
      <c r="J941" s="268"/>
      <c r="K941" s="271">
        <v>44345.6684837963</v>
      </c>
      <c r="L941" s="288" t="str">
        <f t="shared" si="2"/>
        <v>12:27:37 AM</v>
      </c>
      <c r="M941" s="278"/>
      <c r="N941" s="290"/>
      <c r="O941" s="276"/>
      <c r="P941" s="276"/>
      <c r="Q941" s="276"/>
      <c r="R941" s="278"/>
      <c r="S941" s="278"/>
      <c r="T941" s="278"/>
      <c r="U941" s="279"/>
      <c r="V941" s="279" t="s">
        <v>1783</v>
      </c>
      <c r="W941" s="280">
        <v>44348.0</v>
      </c>
      <c r="X941" s="281">
        <v>0.125</v>
      </c>
      <c r="Y941" s="279" t="s">
        <v>1693</v>
      </c>
      <c r="Z941" s="282" t="s">
        <v>53</v>
      </c>
      <c r="AA941" s="282" t="s">
        <v>4283</v>
      </c>
      <c r="AB941" s="283">
        <v>44347.0</v>
      </c>
      <c r="AC941" s="284"/>
      <c r="AD941" s="284"/>
    </row>
    <row r="942" ht="14.25" customHeight="1">
      <c r="A942" s="265">
        <v>44345.0</v>
      </c>
      <c r="B942" s="266" t="s">
        <v>1746</v>
      </c>
      <c r="C942" s="266"/>
      <c r="D942" s="266" t="s">
        <v>1455</v>
      </c>
      <c r="E942" s="268"/>
      <c r="F942" s="358" t="s">
        <v>4284</v>
      </c>
      <c r="G942" s="268" t="s">
        <v>2085</v>
      </c>
      <c r="H942" s="270">
        <v>0.017280092592592593</v>
      </c>
      <c r="I942" s="271">
        <v>44347.80416666667</v>
      </c>
      <c r="J942" s="268"/>
      <c r="K942" s="271">
        <v>44347.84027777778</v>
      </c>
      <c r="L942" s="288" t="str">
        <f t="shared" si="2"/>
        <v>12:52:00 AM</v>
      </c>
      <c r="M942" s="307"/>
      <c r="N942" s="290"/>
      <c r="O942" s="276"/>
      <c r="P942" s="276"/>
      <c r="Q942" s="276"/>
      <c r="R942" s="278"/>
      <c r="S942" s="278"/>
      <c r="T942" s="278"/>
      <c r="U942" s="279"/>
      <c r="V942" s="279" t="s">
        <v>1824</v>
      </c>
      <c r="W942" s="280">
        <v>44348.0</v>
      </c>
      <c r="X942" s="281">
        <v>0.07283564814814815</v>
      </c>
      <c r="Y942" s="279" t="s">
        <v>1693</v>
      </c>
      <c r="Z942" s="282" t="s">
        <v>1570</v>
      </c>
      <c r="AA942" s="282" t="s">
        <v>4284</v>
      </c>
      <c r="AB942" s="283">
        <v>44347.0</v>
      </c>
      <c r="AC942" s="284"/>
      <c r="AD942" s="284"/>
    </row>
    <row r="943" ht="14.25" customHeight="1">
      <c r="A943" s="265">
        <v>44346.0</v>
      </c>
      <c r="B943" s="266" t="s">
        <v>1733</v>
      </c>
      <c r="C943" s="266"/>
      <c r="D943" s="266" t="s">
        <v>3509</v>
      </c>
      <c r="E943" s="268"/>
      <c r="F943" s="358">
        <v>6367148.0</v>
      </c>
      <c r="G943" s="268" t="s">
        <v>3839</v>
      </c>
      <c r="H943" s="270">
        <v>0.04306712962962963</v>
      </c>
      <c r="I943" s="271">
        <v>44348.22116898148</v>
      </c>
      <c r="J943" s="268"/>
      <c r="K943" s="271">
        <v>44348.238530092596</v>
      </c>
      <c r="L943" s="288" t="str">
        <f t="shared" si="2"/>
        <v>12:25:00 AM</v>
      </c>
      <c r="M943" s="278"/>
      <c r="N943" s="290"/>
      <c r="O943" s="276"/>
      <c r="P943" s="276"/>
      <c r="Q943" s="276"/>
      <c r="R943" s="278"/>
      <c r="S943" s="278"/>
      <c r="T943" s="278" t="s">
        <v>4285</v>
      </c>
      <c r="U943" s="279"/>
      <c r="V943" s="279"/>
      <c r="W943" s="279"/>
      <c r="X943" s="279"/>
      <c r="Y943" s="279"/>
      <c r="Z943" s="282" t="s">
        <v>101</v>
      </c>
      <c r="AA943" s="282">
        <v>6367148.0</v>
      </c>
      <c r="AB943" s="283">
        <v>44348.0</v>
      </c>
      <c r="AC943" s="284"/>
      <c r="AD943" s="284"/>
    </row>
    <row r="944" ht="14.25" customHeight="1">
      <c r="A944" s="265">
        <v>44346.0</v>
      </c>
      <c r="B944" s="266" t="s">
        <v>1733</v>
      </c>
      <c r="C944" s="266"/>
      <c r="D944" s="266" t="s">
        <v>1457</v>
      </c>
      <c r="E944" s="268"/>
      <c r="F944" s="358" t="s">
        <v>4286</v>
      </c>
      <c r="G944" s="268" t="s">
        <v>2085</v>
      </c>
      <c r="H944" s="270">
        <v>0.01767361111111111</v>
      </c>
      <c r="I944" s="271">
        <v>44347.76944444444</v>
      </c>
      <c r="J944" s="268"/>
      <c r="K944" s="271">
        <v>44347.789722222224</v>
      </c>
      <c r="L944" s="288" t="str">
        <f t="shared" si="2"/>
        <v>12:29:12 AM</v>
      </c>
      <c r="M944" s="278"/>
      <c r="N944" s="290"/>
      <c r="O944" s="276"/>
      <c r="P944" s="276"/>
      <c r="Q944" s="276"/>
      <c r="R944" s="278"/>
      <c r="S944" s="278"/>
      <c r="T944" s="278"/>
      <c r="U944" s="279"/>
      <c r="V944" s="279" t="s">
        <v>1824</v>
      </c>
      <c r="W944" s="280">
        <v>44348.0</v>
      </c>
      <c r="X944" s="281">
        <v>0.03552083333333333</v>
      </c>
      <c r="Y944" s="279" t="s">
        <v>1693</v>
      </c>
      <c r="Z944" s="282" t="s">
        <v>1570</v>
      </c>
      <c r="AA944" s="282" t="s">
        <v>4286</v>
      </c>
      <c r="AB944" s="283">
        <v>44347.0</v>
      </c>
      <c r="AC944" s="284"/>
      <c r="AD944" s="284"/>
    </row>
    <row r="945" ht="14.25" customHeight="1">
      <c r="A945" s="265">
        <v>44346.0</v>
      </c>
      <c r="B945" s="266" t="s">
        <v>1733</v>
      </c>
      <c r="C945" s="266"/>
      <c r="D945" s="266" t="s">
        <v>2829</v>
      </c>
      <c r="E945" s="268"/>
      <c r="F945" s="358" t="s">
        <v>4287</v>
      </c>
      <c r="G945" s="268" t="s">
        <v>2085</v>
      </c>
      <c r="H945" s="270">
        <v>0.01871527777777778</v>
      </c>
      <c r="I945" s="271">
        <v>44347.7625</v>
      </c>
      <c r="J945" s="268"/>
      <c r="K945" s="268"/>
      <c r="L945" s="288" t="str">
        <f t="shared" si="2"/>
        <v/>
      </c>
      <c r="M945" s="307" t="s">
        <v>2808</v>
      </c>
      <c r="N945" s="273">
        <v>44347.79652777778</v>
      </c>
      <c r="O945" s="276" t="s">
        <v>4288</v>
      </c>
      <c r="P945" s="275" t="s">
        <v>1463</v>
      </c>
      <c r="Q945" s="276" t="s">
        <v>1819</v>
      </c>
      <c r="R945" s="277">
        <v>44347.89083333333</v>
      </c>
      <c r="S945" s="278"/>
      <c r="T945" s="278" t="s">
        <v>4289</v>
      </c>
      <c r="U945" s="279"/>
      <c r="V945" s="279"/>
      <c r="W945" s="279"/>
      <c r="X945" s="279"/>
      <c r="Y945" s="279"/>
      <c r="Z945" s="282" t="s">
        <v>1570</v>
      </c>
      <c r="AA945" s="282" t="s">
        <v>4287</v>
      </c>
      <c r="AB945" s="283">
        <v>44347.0</v>
      </c>
      <c r="AC945" s="284"/>
      <c r="AD945" s="284"/>
    </row>
    <row r="946" ht="14.25" customHeight="1">
      <c r="A946" s="265">
        <v>44347.0</v>
      </c>
      <c r="B946" s="266" t="s">
        <v>1500</v>
      </c>
      <c r="C946" s="266" t="s">
        <v>1686</v>
      </c>
      <c r="D946" s="266" t="s">
        <v>1543</v>
      </c>
      <c r="E946" s="268"/>
      <c r="F946" s="269" t="s">
        <v>4290</v>
      </c>
      <c r="G946" s="268" t="s">
        <v>1463</v>
      </c>
      <c r="H946" s="270">
        <v>0.001423611111111111</v>
      </c>
      <c r="I946" s="271">
        <v>44348.635416666664</v>
      </c>
      <c r="J946" s="268"/>
      <c r="K946" s="271">
        <v>44349.00601851852</v>
      </c>
      <c r="L946" s="288" t="str">
        <f t="shared" si="2"/>
        <v>8:53:40 AM</v>
      </c>
      <c r="M946" s="278" t="s">
        <v>4291</v>
      </c>
      <c r="N946" s="290"/>
      <c r="O946" s="276"/>
      <c r="P946" s="276"/>
      <c r="Q946" s="276"/>
      <c r="R946" s="278"/>
      <c r="S946" s="278"/>
      <c r="T946" s="278"/>
      <c r="U946" s="279"/>
      <c r="V946" s="280" t="s">
        <v>1783</v>
      </c>
      <c r="W946" s="280">
        <v>44352.0</v>
      </c>
      <c r="X946" s="281">
        <v>0.004166666666666667</v>
      </c>
      <c r="Y946" s="279" t="s">
        <v>1693</v>
      </c>
      <c r="Z946" s="282" t="s">
        <v>53</v>
      </c>
      <c r="AA946" s="282">
        <v>6371262.0</v>
      </c>
      <c r="AB946" s="283">
        <v>44349.0</v>
      </c>
      <c r="AC946" s="284"/>
      <c r="AD946" s="284"/>
    </row>
    <row r="947" ht="14.25" customHeight="1">
      <c r="A947" s="265">
        <v>44347.0</v>
      </c>
      <c r="B947" s="266" t="s">
        <v>1500</v>
      </c>
      <c r="C947" s="266" t="s">
        <v>1696</v>
      </c>
      <c r="D947" s="266" t="s">
        <v>1543</v>
      </c>
      <c r="E947" s="268"/>
      <c r="F947" s="269" t="s">
        <v>4292</v>
      </c>
      <c r="G947" s="268" t="s">
        <v>1463</v>
      </c>
      <c r="H947" s="270">
        <v>0.0013425925925925925</v>
      </c>
      <c r="I947" s="271">
        <v>44348.635416666664</v>
      </c>
      <c r="J947" s="268"/>
      <c r="K947" s="271">
        <v>44349.00603009259</v>
      </c>
      <c r="L947" s="288" t="str">
        <f t="shared" si="2"/>
        <v>8:53:41 AM</v>
      </c>
      <c r="M947" s="278" t="s">
        <v>4293</v>
      </c>
      <c r="N947" s="290"/>
      <c r="O947" s="276"/>
      <c r="P947" s="276"/>
      <c r="Q947" s="276"/>
      <c r="R947" s="278"/>
      <c r="S947" s="278"/>
      <c r="T947" s="278"/>
      <c r="U947" s="279"/>
      <c r="V947" s="280" t="s">
        <v>1783</v>
      </c>
      <c r="W947" s="280">
        <v>44352.0</v>
      </c>
      <c r="X947" s="281">
        <v>0.008333333333333333</v>
      </c>
      <c r="Y947" s="279" t="s">
        <v>1693</v>
      </c>
      <c r="Z947" s="282" t="s">
        <v>53</v>
      </c>
      <c r="AA947" s="282">
        <v>6371263.0</v>
      </c>
      <c r="AB947" s="283">
        <v>44349.0</v>
      </c>
      <c r="AC947" s="284"/>
      <c r="AD947" s="284"/>
    </row>
    <row r="948" ht="14.25" customHeight="1">
      <c r="A948" s="265">
        <v>44347.0</v>
      </c>
      <c r="B948" s="266" t="s">
        <v>1500</v>
      </c>
      <c r="C948" s="266" t="s">
        <v>2083</v>
      </c>
      <c r="D948" s="266" t="s">
        <v>1543</v>
      </c>
      <c r="E948" s="268"/>
      <c r="F948" s="269" t="s">
        <v>4294</v>
      </c>
      <c r="G948" s="268" t="s">
        <v>1463</v>
      </c>
      <c r="H948" s="270">
        <v>0.0015393518518518519</v>
      </c>
      <c r="I948" s="271">
        <v>44348.635416666664</v>
      </c>
      <c r="J948" s="268"/>
      <c r="K948" s="271">
        <v>44349.00565972222</v>
      </c>
      <c r="L948" s="288" t="str">
        <f t="shared" si="2"/>
        <v>8:53:09 AM</v>
      </c>
      <c r="M948" s="278" t="s">
        <v>4295</v>
      </c>
      <c r="N948" s="290"/>
      <c r="O948" s="276"/>
      <c r="P948" s="276"/>
      <c r="Q948" s="276"/>
      <c r="R948" s="278"/>
      <c r="S948" s="278"/>
      <c r="T948" s="278"/>
      <c r="U948" s="279"/>
      <c r="V948" s="280" t="s">
        <v>1783</v>
      </c>
      <c r="W948" s="280">
        <v>44352.0</v>
      </c>
      <c r="X948" s="281">
        <v>0.010416666666666666</v>
      </c>
      <c r="Y948" s="279" t="s">
        <v>1693</v>
      </c>
      <c r="Z948" s="282" t="s">
        <v>53</v>
      </c>
      <c r="AA948" s="282">
        <v>6371264.0</v>
      </c>
      <c r="AB948" s="283">
        <v>44349.0</v>
      </c>
      <c r="AC948" s="284"/>
      <c r="AD948" s="284"/>
    </row>
    <row r="949" ht="14.25" customHeight="1">
      <c r="A949" s="265">
        <v>44347.0</v>
      </c>
      <c r="B949" s="266" t="s">
        <v>1500</v>
      </c>
      <c r="C949" s="266" t="s">
        <v>1686</v>
      </c>
      <c r="D949" s="266" t="s">
        <v>1543</v>
      </c>
      <c r="E949" s="268"/>
      <c r="F949" s="269" t="s">
        <v>4296</v>
      </c>
      <c r="G949" s="268" t="s">
        <v>1463</v>
      </c>
      <c r="H949" s="270">
        <v>0.0016782407407407406</v>
      </c>
      <c r="I949" s="271">
        <v>44348.635416666664</v>
      </c>
      <c r="J949" s="268"/>
      <c r="K949" s="271">
        <v>44351.03569444444</v>
      </c>
      <c r="L949" s="288" t="str">
        <f t="shared" si="2"/>
        <v>9:36:24 AM</v>
      </c>
      <c r="M949" s="278" t="s">
        <v>4297</v>
      </c>
      <c r="N949" s="290"/>
      <c r="O949" s="276"/>
      <c r="P949" s="276"/>
      <c r="Q949" s="276"/>
      <c r="R949" s="278"/>
      <c r="S949" s="278"/>
      <c r="T949" s="278"/>
      <c r="U949" s="279"/>
      <c r="V949" s="280" t="s">
        <v>1783</v>
      </c>
      <c r="W949" s="280">
        <v>44352.0</v>
      </c>
      <c r="X949" s="281">
        <v>0.005555555555555556</v>
      </c>
      <c r="Y949" s="279" t="s">
        <v>1693</v>
      </c>
      <c r="Z949" s="282" t="s">
        <v>1570</v>
      </c>
      <c r="AA949" s="282">
        <v>6371583.0</v>
      </c>
      <c r="AB949" s="283">
        <v>44350.0</v>
      </c>
      <c r="AC949" s="284"/>
      <c r="AD949" s="284"/>
    </row>
    <row r="950" ht="14.25" customHeight="1">
      <c r="A950" s="265">
        <v>44347.0</v>
      </c>
      <c r="B950" s="266" t="s">
        <v>1500</v>
      </c>
      <c r="C950" s="266" t="s">
        <v>1686</v>
      </c>
      <c r="D950" s="266" t="s">
        <v>1543</v>
      </c>
      <c r="E950" s="268"/>
      <c r="F950" s="269" t="s">
        <v>4298</v>
      </c>
      <c r="G950" s="268" t="s">
        <v>1463</v>
      </c>
      <c r="H950" s="270">
        <v>5.208333333333333E-4</v>
      </c>
      <c r="I950" s="271">
        <v>44349.35972222222</v>
      </c>
      <c r="J950" s="268"/>
      <c r="K950" s="271"/>
      <c r="L950" s="288" t="str">
        <f t="shared" si="2"/>
        <v/>
      </c>
      <c r="M950" s="359" t="s">
        <v>3505</v>
      </c>
      <c r="N950" s="290"/>
      <c r="O950" s="276"/>
      <c r="P950" s="276"/>
      <c r="Q950" s="276"/>
      <c r="R950" s="278"/>
      <c r="S950" s="278"/>
      <c r="T950" s="278"/>
      <c r="U950" s="279"/>
      <c r="V950" s="280" t="s">
        <v>1783</v>
      </c>
      <c r="W950" s="280">
        <v>44352.0</v>
      </c>
      <c r="X950" s="281">
        <v>0.001388888888888889</v>
      </c>
      <c r="Y950" s="279" t="s">
        <v>1693</v>
      </c>
      <c r="Z950" s="282" t="s">
        <v>1570</v>
      </c>
      <c r="AA950" s="282">
        <v>6371584.0</v>
      </c>
      <c r="AB950" s="283">
        <v>44350.0</v>
      </c>
      <c r="AC950" s="284"/>
      <c r="AD950" s="284"/>
    </row>
    <row r="951" ht="14.25" customHeight="1">
      <c r="A951" s="265">
        <v>44347.0</v>
      </c>
      <c r="B951" s="266" t="s">
        <v>1500</v>
      </c>
      <c r="C951" s="266" t="s">
        <v>1455</v>
      </c>
      <c r="D951" s="266" t="s">
        <v>1543</v>
      </c>
      <c r="E951" s="268"/>
      <c r="F951" s="269" t="s">
        <v>4299</v>
      </c>
      <c r="G951" s="268" t="s">
        <v>1463</v>
      </c>
      <c r="H951" s="270">
        <v>0.001261574074074074</v>
      </c>
      <c r="I951" s="271">
        <v>44349.35972222222</v>
      </c>
      <c r="J951" s="268"/>
      <c r="K951" s="271">
        <v>44351.020150462966</v>
      </c>
      <c r="L951" s="288" t="str">
        <f t="shared" si="2"/>
        <v>3:51:01 PM</v>
      </c>
      <c r="M951" s="278" t="s">
        <v>4300</v>
      </c>
      <c r="N951" s="290"/>
      <c r="O951" s="276"/>
      <c r="P951" s="276"/>
      <c r="Q951" s="276"/>
      <c r="R951" s="278"/>
      <c r="S951" s="278"/>
      <c r="T951" s="278"/>
      <c r="U951" s="279"/>
      <c r="V951" s="280" t="s">
        <v>1783</v>
      </c>
      <c r="W951" s="280">
        <v>44352.0</v>
      </c>
      <c r="X951" s="281">
        <v>0.001388888888888889</v>
      </c>
      <c r="Y951" s="279" t="s">
        <v>1693</v>
      </c>
      <c r="Z951" s="282" t="s">
        <v>1570</v>
      </c>
      <c r="AA951" s="282">
        <v>6371585.0</v>
      </c>
      <c r="AB951" s="283">
        <v>44350.0</v>
      </c>
      <c r="AC951" s="284"/>
      <c r="AD951" s="284"/>
    </row>
    <row r="952" ht="14.25" customHeight="1">
      <c r="A952" s="265">
        <v>44347.0</v>
      </c>
      <c r="B952" s="266" t="s">
        <v>1685</v>
      </c>
      <c r="C952" s="266"/>
      <c r="D952" s="266" t="s">
        <v>1450</v>
      </c>
      <c r="E952" s="268"/>
      <c r="F952" s="358" t="s">
        <v>4301</v>
      </c>
      <c r="G952" s="268" t="s">
        <v>2085</v>
      </c>
      <c r="H952" s="270">
        <v>0.09913194444444444</v>
      </c>
      <c r="I952" s="271">
        <v>44347.76597222222</v>
      </c>
      <c r="J952" s="268"/>
      <c r="K952" s="268"/>
      <c r="L952" s="288" t="str">
        <f t="shared" si="2"/>
        <v/>
      </c>
      <c r="M952" s="307" t="s">
        <v>2808</v>
      </c>
      <c r="N952" s="273">
        <v>44347.84375</v>
      </c>
      <c r="O952" s="276" t="s">
        <v>4302</v>
      </c>
      <c r="P952" s="275" t="s">
        <v>1463</v>
      </c>
      <c r="Q952" s="276" t="s">
        <v>3940</v>
      </c>
      <c r="R952" s="277">
        <v>44347.944444444445</v>
      </c>
      <c r="S952" s="278"/>
      <c r="T952" s="278"/>
      <c r="U952" s="279"/>
      <c r="V952" s="279" t="s">
        <v>1685</v>
      </c>
      <c r="W952" s="280">
        <v>44348.0</v>
      </c>
      <c r="X952" s="281">
        <v>0.3263888888888889</v>
      </c>
      <c r="Y952" s="279" t="s">
        <v>1693</v>
      </c>
      <c r="Z952" s="282" t="s">
        <v>1570</v>
      </c>
      <c r="AA952" s="282" t="s">
        <v>4301</v>
      </c>
      <c r="AB952" s="283">
        <v>44347.0</v>
      </c>
      <c r="AC952" s="284"/>
      <c r="AD952" s="284"/>
    </row>
    <row r="953" ht="14.25" customHeight="1">
      <c r="A953" s="265">
        <v>44347.0</v>
      </c>
      <c r="B953" s="266" t="s">
        <v>1824</v>
      </c>
      <c r="C953" s="266"/>
      <c r="D953" s="266" t="s">
        <v>1452</v>
      </c>
      <c r="E953" s="268"/>
      <c r="F953" s="358" t="s">
        <v>4303</v>
      </c>
      <c r="G953" s="268" t="s">
        <v>2085</v>
      </c>
      <c r="H953" s="270">
        <v>0.006087962962962964</v>
      </c>
      <c r="I953" s="271">
        <v>44347.73125</v>
      </c>
      <c r="J953" s="268"/>
      <c r="K953" s="271">
        <v>44347.740532407406</v>
      </c>
      <c r="L953" s="288" t="str">
        <f t="shared" si="2"/>
        <v>12:13:22 AM</v>
      </c>
      <c r="M953" s="278"/>
      <c r="N953" s="290"/>
      <c r="O953" s="276"/>
      <c r="P953" s="276"/>
      <c r="Q953" s="276"/>
      <c r="R953" s="278"/>
      <c r="S953" s="278"/>
      <c r="T953" s="278"/>
      <c r="U953" s="279"/>
      <c r="V953" s="279" t="s">
        <v>1824</v>
      </c>
      <c r="W953" s="280">
        <v>44348.0</v>
      </c>
      <c r="X953" s="281">
        <v>0.01800925925925926</v>
      </c>
      <c r="Y953" s="279" t="s">
        <v>1693</v>
      </c>
      <c r="Z953" s="282" t="s">
        <v>1570</v>
      </c>
      <c r="AA953" s="282" t="s">
        <v>4303</v>
      </c>
      <c r="AB953" s="283">
        <v>44347.0</v>
      </c>
      <c r="AC953" s="284"/>
      <c r="AD953" s="284"/>
    </row>
    <row r="954" ht="14.25" customHeight="1">
      <c r="A954" s="265">
        <v>44347.0</v>
      </c>
      <c r="B954" s="266" t="s">
        <v>1783</v>
      </c>
      <c r="C954" s="266"/>
      <c r="D954" s="266" t="s">
        <v>1686</v>
      </c>
      <c r="E954" s="268"/>
      <c r="F954" s="358" t="s">
        <v>4304</v>
      </c>
      <c r="G954" s="268" t="s">
        <v>2085</v>
      </c>
      <c r="H954" s="270">
        <v>0.037974537037037036</v>
      </c>
      <c r="I954" s="271">
        <v>44347.73263888889</v>
      </c>
      <c r="J954" s="268"/>
      <c r="K954" s="271">
        <v>44347.765914351854</v>
      </c>
      <c r="L954" s="288" t="str">
        <f t="shared" si="2"/>
        <v>12:47:55 AM</v>
      </c>
      <c r="M954" s="278"/>
      <c r="N954" s="290"/>
      <c r="O954" s="276"/>
      <c r="P954" s="276"/>
      <c r="Q954" s="276"/>
      <c r="R954" s="278"/>
      <c r="S954" s="278"/>
      <c r="T954" s="278"/>
      <c r="U954" s="279"/>
      <c r="V954" s="279" t="s">
        <v>1783</v>
      </c>
      <c r="W954" s="280">
        <v>44349.0</v>
      </c>
      <c r="X954" s="281">
        <v>0.125</v>
      </c>
      <c r="Y954" s="279" t="s">
        <v>1693</v>
      </c>
      <c r="Z954" s="282" t="s">
        <v>1570</v>
      </c>
      <c r="AA954" s="282" t="s">
        <v>4304</v>
      </c>
      <c r="AB954" s="283">
        <v>44347.0</v>
      </c>
      <c r="AC954" s="284"/>
      <c r="AD954" s="284"/>
    </row>
    <row r="955" ht="14.25" customHeight="1">
      <c r="A955" s="265">
        <v>44347.0</v>
      </c>
      <c r="B955" s="266" t="s">
        <v>1733</v>
      </c>
      <c r="C955" s="266"/>
      <c r="D955" s="266" t="s">
        <v>1455</v>
      </c>
      <c r="E955" s="268"/>
      <c r="F955" s="358" t="s">
        <v>4305</v>
      </c>
      <c r="G955" s="268" t="s">
        <v>1463</v>
      </c>
      <c r="H955" s="270">
        <v>0.02090277777777778</v>
      </c>
      <c r="I955" s="271">
        <v>44348.00069444445</v>
      </c>
      <c r="J955" s="268"/>
      <c r="K955" s="271">
        <v>44348.364270833335</v>
      </c>
      <c r="L955" s="288" t="str">
        <f t="shared" si="2"/>
        <v>8:43:33 AM</v>
      </c>
      <c r="M955" s="278"/>
      <c r="N955" s="290"/>
      <c r="O955" s="276"/>
      <c r="P955" s="276"/>
      <c r="Q955" s="276"/>
      <c r="R955" s="278"/>
      <c r="S955" s="278"/>
      <c r="T955" s="278"/>
      <c r="U955" s="279"/>
      <c r="V955" s="280" t="s">
        <v>1824</v>
      </c>
      <c r="W955" s="280">
        <v>44348.0</v>
      </c>
      <c r="X955" s="281">
        <v>0.07740740740740741</v>
      </c>
      <c r="Y955" s="279" t="s">
        <v>1693</v>
      </c>
      <c r="Z955" s="282" t="s">
        <v>53</v>
      </c>
      <c r="AA955" s="282" t="s">
        <v>4305</v>
      </c>
      <c r="AB955" s="283">
        <v>44348.0</v>
      </c>
      <c r="AC955" s="284"/>
      <c r="AD955" s="284"/>
    </row>
    <row r="956" ht="14.25" customHeight="1">
      <c r="A956" s="265">
        <v>44348.0</v>
      </c>
      <c r="B956" s="266" t="s">
        <v>1500</v>
      </c>
      <c r="C956" s="266" t="s">
        <v>1696</v>
      </c>
      <c r="D956" s="266" t="s">
        <v>1543</v>
      </c>
      <c r="E956" s="268"/>
      <c r="F956" s="269" t="s">
        <v>4306</v>
      </c>
      <c r="G956" s="268" t="s">
        <v>1463</v>
      </c>
      <c r="H956" s="270">
        <v>8.912037037037036E-4</v>
      </c>
      <c r="I956" s="271">
        <v>44349.35972222222</v>
      </c>
      <c r="J956" s="268"/>
      <c r="K956" s="271">
        <v>44351.03277777778</v>
      </c>
      <c r="L956" s="288" t="str">
        <f t="shared" si="2"/>
        <v>4:09:12 PM</v>
      </c>
      <c r="M956" s="278" t="s">
        <v>4307</v>
      </c>
      <c r="N956" s="290"/>
      <c r="O956" s="276"/>
      <c r="P956" s="276"/>
      <c r="Q956" s="276"/>
      <c r="R956" s="278"/>
      <c r="S956" s="278"/>
      <c r="T956" s="278"/>
      <c r="U956" s="279"/>
      <c r="V956" s="280" t="s">
        <v>1783</v>
      </c>
      <c r="W956" s="280">
        <v>44352.0</v>
      </c>
      <c r="X956" s="281">
        <v>0.001388888888888889</v>
      </c>
      <c r="Y956" s="279" t="s">
        <v>1693</v>
      </c>
      <c r="Z956" s="282" t="s">
        <v>1570</v>
      </c>
      <c r="AA956" s="282">
        <v>6371586.0</v>
      </c>
      <c r="AB956" s="283">
        <v>44350.0</v>
      </c>
      <c r="AC956" s="284"/>
      <c r="AD956" s="284"/>
    </row>
    <row r="957" ht="14.25" customHeight="1">
      <c r="A957" s="265">
        <v>44348.0</v>
      </c>
      <c r="B957" s="266" t="s">
        <v>1500</v>
      </c>
      <c r="C957" s="266" t="s">
        <v>2083</v>
      </c>
      <c r="D957" s="266" t="s">
        <v>1543</v>
      </c>
      <c r="E957" s="268"/>
      <c r="F957" s="269" t="s">
        <v>4308</v>
      </c>
      <c r="G957" s="268" t="s">
        <v>1463</v>
      </c>
      <c r="H957" s="270">
        <v>0.0019097222222222222</v>
      </c>
      <c r="I957" s="271">
        <v>44349.35972222222</v>
      </c>
      <c r="J957" s="268"/>
      <c r="K957" s="271">
        <v>44351.038449074076</v>
      </c>
      <c r="L957" s="288" t="str">
        <f t="shared" si="2"/>
        <v>4:17:22 PM</v>
      </c>
      <c r="M957" s="278" t="s">
        <v>4309</v>
      </c>
      <c r="N957" s="290"/>
      <c r="O957" s="276"/>
      <c r="P957" s="276"/>
      <c r="Q957" s="276"/>
      <c r="R957" s="278"/>
      <c r="S957" s="278"/>
      <c r="T957" s="278"/>
      <c r="U957" s="279"/>
      <c r="V957" s="280" t="s">
        <v>1783</v>
      </c>
      <c r="W957" s="280">
        <v>44352.0</v>
      </c>
      <c r="X957" s="281">
        <v>0.004166666666666667</v>
      </c>
      <c r="Y957" s="279" t="s">
        <v>1693</v>
      </c>
      <c r="Z957" s="282" t="s">
        <v>1570</v>
      </c>
      <c r="AA957" s="282">
        <v>6371587.0</v>
      </c>
      <c r="AB957" s="283">
        <v>44350.0</v>
      </c>
      <c r="AC957" s="284"/>
      <c r="AD957" s="284"/>
    </row>
    <row r="958" ht="14.25" customHeight="1">
      <c r="A958" s="265">
        <v>44348.0</v>
      </c>
      <c r="B958" s="266" t="s">
        <v>1500</v>
      </c>
      <c r="C958" s="266" t="s">
        <v>1686</v>
      </c>
      <c r="D958" s="266" t="s">
        <v>1543</v>
      </c>
      <c r="E958" s="268"/>
      <c r="F958" s="269" t="s">
        <v>4310</v>
      </c>
      <c r="G958" s="268" t="s">
        <v>1463</v>
      </c>
      <c r="H958" s="270">
        <v>0.001597222222222222</v>
      </c>
      <c r="I958" s="271">
        <v>44355.654965277776</v>
      </c>
      <c r="J958" s="268"/>
      <c r="K958" s="271">
        <v>44356.11329861111</v>
      </c>
      <c r="L958" s="288"/>
      <c r="M958" s="278" t="s">
        <v>4311</v>
      </c>
      <c r="N958" s="290"/>
      <c r="O958" s="276"/>
      <c r="P958" s="276"/>
      <c r="Q958" s="276"/>
      <c r="R958" s="278"/>
      <c r="S958" s="278"/>
      <c r="T958" s="278"/>
      <c r="U958" s="279"/>
      <c r="V958" s="280" t="s">
        <v>3950</v>
      </c>
      <c r="W958" s="280">
        <v>44362.0</v>
      </c>
      <c r="X958" s="281">
        <v>0.006921296296296297</v>
      </c>
      <c r="Y958" s="279" t="s">
        <v>1693</v>
      </c>
      <c r="Z958" s="282" t="s">
        <v>53</v>
      </c>
      <c r="AA958" s="282">
        <v>6375016.0</v>
      </c>
      <c r="AB958" s="283">
        <v>44362.0</v>
      </c>
      <c r="AC958" s="284"/>
      <c r="AD958" s="284"/>
    </row>
    <row r="959" ht="14.25" customHeight="1">
      <c r="A959" s="265">
        <v>44348.0</v>
      </c>
      <c r="B959" s="266" t="s">
        <v>1500</v>
      </c>
      <c r="C959" s="266" t="s">
        <v>2756</v>
      </c>
      <c r="D959" s="266" t="s">
        <v>1543</v>
      </c>
      <c r="E959" s="378"/>
      <c r="F959" s="291" t="s">
        <v>4312</v>
      </c>
      <c r="G959" s="268" t="s">
        <v>2085</v>
      </c>
      <c r="H959" s="270">
        <v>0.00417824074074074</v>
      </c>
      <c r="I959" s="271">
        <v>44522.36824074074</v>
      </c>
      <c r="J959" s="268"/>
      <c r="K959" s="271">
        <v>44523.30988425926</v>
      </c>
      <c r="L959" s="288"/>
      <c r="M959" s="278" t="s">
        <v>2758</v>
      </c>
      <c r="N959" s="290"/>
      <c r="O959" s="276"/>
      <c r="P959" s="276"/>
      <c r="Q959" s="276"/>
      <c r="R959" s="278"/>
      <c r="S959" s="278"/>
      <c r="T959" s="278"/>
      <c r="U959" s="279"/>
      <c r="V959" s="279" t="s">
        <v>1824</v>
      </c>
      <c r="W959" s="280">
        <v>44540.0</v>
      </c>
      <c r="X959" s="281">
        <v>0.003472222222222222</v>
      </c>
      <c r="Y959" s="279" t="s">
        <v>1693</v>
      </c>
      <c r="Z959" s="282" t="s">
        <v>53</v>
      </c>
      <c r="AA959" s="381">
        <v>7113189.0</v>
      </c>
      <c r="AB959" s="283">
        <v>44523.0</v>
      </c>
      <c r="AC959" s="284"/>
      <c r="AD959" s="284"/>
    </row>
    <row r="960" ht="14.25" customHeight="1">
      <c r="A960" s="265">
        <v>44348.0</v>
      </c>
      <c r="B960" s="266" t="s">
        <v>1500</v>
      </c>
      <c r="C960" s="266" t="s">
        <v>2756</v>
      </c>
      <c r="D960" s="266" t="s">
        <v>1543</v>
      </c>
      <c r="E960" s="378"/>
      <c r="F960" s="291" t="s">
        <v>4313</v>
      </c>
      <c r="G960" s="268" t="s">
        <v>2085</v>
      </c>
      <c r="H960" s="270">
        <v>0.002488425925925926</v>
      </c>
      <c r="I960" s="271">
        <v>44522.368252314816</v>
      </c>
      <c r="J960" s="268"/>
      <c r="K960" s="271">
        <v>44523.3103125</v>
      </c>
      <c r="L960" s="288"/>
      <c r="M960" s="278" t="s">
        <v>2758</v>
      </c>
      <c r="N960" s="290"/>
      <c r="O960" s="276"/>
      <c r="P960" s="276"/>
      <c r="Q960" s="276"/>
      <c r="R960" s="278"/>
      <c r="S960" s="278"/>
      <c r="T960" s="278"/>
      <c r="U960" s="279"/>
      <c r="V960" s="279" t="s">
        <v>1824</v>
      </c>
      <c r="W960" s="280">
        <v>44540.0</v>
      </c>
      <c r="X960" s="281">
        <v>0.003472222222222222</v>
      </c>
      <c r="Y960" s="279" t="s">
        <v>1693</v>
      </c>
      <c r="Z960" s="282" t="s">
        <v>53</v>
      </c>
      <c r="AA960" s="381">
        <v>7113190.0</v>
      </c>
      <c r="AB960" s="283">
        <v>44523.0</v>
      </c>
      <c r="AC960" s="284"/>
      <c r="AD960" s="284"/>
    </row>
    <row r="961" ht="14.25" customHeight="1">
      <c r="A961" s="265">
        <v>44348.0</v>
      </c>
      <c r="B961" s="266" t="s">
        <v>1685</v>
      </c>
      <c r="C961" s="266"/>
      <c r="D961" s="266" t="s">
        <v>1450</v>
      </c>
      <c r="E961" s="268"/>
      <c r="F961" s="358" t="s">
        <v>4314</v>
      </c>
      <c r="G961" s="268" t="s">
        <v>2085</v>
      </c>
      <c r="H961" s="270">
        <v>0.1003587962962963</v>
      </c>
      <c r="I961" s="271">
        <v>44348.745833333334</v>
      </c>
      <c r="J961" s="268"/>
      <c r="K961" s="271">
        <v>44348.84413194445</v>
      </c>
      <c r="L961" s="288" t="str">
        <f t="shared" ref="L961:L991" si="3">IFERROR(IF(OR(I961="",K961=""),"",K961-I961),"")</f>
        <v>2:21:33 AM</v>
      </c>
      <c r="M961" s="307"/>
      <c r="N961" s="273"/>
      <c r="O961" s="276"/>
      <c r="P961" s="275"/>
      <c r="Q961" s="276"/>
      <c r="R961" s="278"/>
      <c r="S961" s="278"/>
      <c r="T961" s="278"/>
      <c r="U961" s="279"/>
      <c r="V961" s="279" t="s">
        <v>1685</v>
      </c>
      <c r="W961" s="280">
        <v>44349.0</v>
      </c>
      <c r="X961" s="281">
        <v>0.2916666666666667</v>
      </c>
      <c r="Y961" s="279"/>
      <c r="Z961" s="282" t="s">
        <v>1570</v>
      </c>
      <c r="AA961" s="282" t="s">
        <v>4314</v>
      </c>
      <c r="AB961" s="283">
        <v>44349.0</v>
      </c>
      <c r="AC961" s="284"/>
      <c r="AD961" s="284"/>
    </row>
    <row r="962" ht="14.25" customHeight="1">
      <c r="A962" s="265">
        <v>44348.0</v>
      </c>
      <c r="B962" s="266" t="s">
        <v>1824</v>
      </c>
      <c r="C962" s="266"/>
      <c r="D962" s="266" t="s">
        <v>1452</v>
      </c>
      <c r="E962" s="268"/>
      <c r="F962" s="358" t="s">
        <v>4315</v>
      </c>
      <c r="G962" s="268" t="s">
        <v>2085</v>
      </c>
      <c r="H962" s="270">
        <v>0.005208333333333333</v>
      </c>
      <c r="I962" s="271">
        <v>44348.748611111114</v>
      </c>
      <c r="J962" s="268"/>
      <c r="K962" s="271">
        <v>44348.75533564815</v>
      </c>
      <c r="L962" s="288" t="str">
        <f t="shared" si="3"/>
        <v>12:09:41 AM</v>
      </c>
      <c r="M962" s="278"/>
      <c r="N962" s="290"/>
      <c r="O962" s="276"/>
      <c r="P962" s="276"/>
      <c r="Q962" s="276"/>
      <c r="R962" s="278"/>
      <c r="S962" s="278"/>
      <c r="T962" s="278"/>
      <c r="U962" s="279"/>
      <c r="V962" s="279" t="s">
        <v>1824</v>
      </c>
      <c r="W962" s="280">
        <v>44349.0</v>
      </c>
      <c r="X962" s="281">
        <v>0.017997685185185186</v>
      </c>
      <c r="Y962" s="279" t="s">
        <v>1693</v>
      </c>
      <c r="Z962" s="282" t="s">
        <v>1570</v>
      </c>
      <c r="AA962" s="282" t="s">
        <v>4315</v>
      </c>
      <c r="AB962" s="283">
        <v>44349.0</v>
      </c>
      <c r="AC962" s="284"/>
      <c r="AD962" s="284"/>
    </row>
    <row r="963" ht="14.25" customHeight="1">
      <c r="A963" s="265">
        <v>44348.0</v>
      </c>
      <c r="B963" s="266" t="s">
        <v>1783</v>
      </c>
      <c r="C963" s="266"/>
      <c r="D963" s="266" t="s">
        <v>1686</v>
      </c>
      <c r="E963" s="268"/>
      <c r="F963" s="358" t="s">
        <v>4316</v>
      </c>
      <c r="G963" s="268" t="s">
        <v>2085</v>
      </c>
      <c r="H963" s="270">
        <v>0.03706018518518519</v>
      </c>
      <c r="I963" s="271">
        <v>44348.75069444445</v>
      </c>
      <c r="J963" s="268"/>
      <c r="K963" s="271">
        <v>44348.945914351854</v>
      </c>
      <c r="L963" s="288" t="str">
        <f t="shared" si="3"/>
        <v>4:41:07 AM</v>
      </c>
      <c r="M963" s="307"/>
      <c r="N963" s="273"/>
      <c r="O963" s="276"/>
      <c r="P963" s="275"/>
      <c r="Q963" s="276"/>
      <c r="R963" s="278"/>
      <c r="S963" s="278"/>
      <c r="T963" s="278"/>
      <c r="U963" s="279"/>
      <c r="V963" s="279" t="s">
        <v>1783</v>
      </c>
      <c r="W963" s="280">
        <v>44349.0</v>
      </c>
      <c r="X963" s="281">
        <v>0.125</v>
      </c>
      <c r="Y963" s="279" t="s">
        <v>1693</v>
      </c>
      <c r="Z963" s="282" t="s">
        <v>1570</v>
      </c>
      <c r="AA963" s="282" t="s">
        <v>4316</v>
      </c>
      <c r="AB963" s="283">
        <v>44349.0</v>
      </c>
      <c r="AC963" s="284"/>
      <c r="AD963" s="284"/>
    </row>
    <row r="964" ht="14.25" customHeight="1">
      <c r="A964" s="265">
        <v>44348.0</v>
      </c>
      <c r="B964" s="266" t="s">
        <v>1733</v>
      </c>
      <c r="C964" s="266"/>
      <c r="D964" s="266" t="s">
        <v>1455</v>
      </c>
      <c r="E964" s="268"/>
      <c r="F964" s="358" t="s">
        <v>4317</v>
      </c>
      <c r="G964" s="268" t="s">
        <v>2085</v>
      </c>
      <c r="H964" s="270">
        <v>0.01840277777777778</v>
      </c>
      <c r="I964" s="271">
        <v>44348.9375</v>
      </c>
      <c r="J964" s="268"/>
      <c r="K964" s="271">
        <v>44348.95311342592</v>
      </c>
      <c r="L964" s="288" t="str">
        <f t="shared" si="3"/>
        <v>12:22:29 AM</v>
      </c>
      <c r="M964" s="278"/>
      <c r="N964" s="290"/>
      <c r="O964" s="276"/>
      <c r="P964" s="276"/>
      <c r="Q964" s="276"/>
      <c r="R964" s="278"/>
      <c r="S964" s="278"/>
      <c r="T964" s="278"/>
      <c r="U964" s="279"/>
      <c r="V964" s="279" t="s">
        <v>1824</v>
      </c>
      <c r="W964" s="280">
        <v>44349.0</v>
      </c>
      <c r="X964" s="281">
        <v>0.07350694444444444</v>
      </c>
      <c r="Y964" s="279" t="s">
        <v>1693</v>
      </c>
      <c r="Z964" s="282" t="s">
        <v>1570</v>
      </c>
      <c r="AA964" s="282" t="s">
        <v>4317</v>
      </c>
      <c r="AB964" s="283">
        <v>44352.0</v>
      </c>
      <c r="AC964" s="284"/>
      <c r="AD964" s="284"/>
    </row>
    <row r="965" ht="14.25" customHeight="1">
      <c r="A965" s="265">
        <v>44349.0</v>
      </c>
      <c r="B965" s="266" t="s">
        <v>1685</v>
      </c>
      <c r="C965" s="266"/>
      <c r="D965" s="266" t="s">
        <v>1450</v>
      </c>
      <c r="E965" s="268"/>
      <c r="F965" s="358" t="s">
        <v>4318</v>
      </c>
      <c r="G965" s="268" t="s">
        <v>2085</v>
      </c>
      <c r="H965" s="270">
        <v>0.10076388888888889</v>
      </c>
      <c r="I965" s="271">
        <v>44349.75347222222</v>
      </c>
      <c r="J965" s="268"/>
      <c r="K965" s="271">
        <v>44349.89403935185</v>
      </c>
      <c r="L965" s="288" t="str">
        <f t="shared" si="3"/>
        <v>3:22:25 AM</v>
      </c>
      <c r="M965" s="307"/>
      <c r="N965" s="273"/>
      <c r="O965" s="276"/>
      <c r="P965" s="275"/>
      <c r="Q965" s="276"/>
      <c r="R965" s="278"/>
      <c r="S965" s="278"/>
      <c r="T965" s="278"/>
      <c r="U965" s="279"/>
      <c r="V965" s="279" t="s">
        <v>1685</v>
      </c>
      <c r="W965" s="280">
        <v>44350.0</v>
      </c>
      <c r="X965" s="281">
        <v>0.2916666666666667</v>
      </c>
      <c r="Y965" s="279" t="s">
        <v>1693</v>
      </c>
      <c r="Z965" s="282" t="s">
        <v>1570</v>
      </c>
      <c r="AA965" s="282" t="s">
        <v>4318</v>
      </c>
      <c r="AB965" s="283">
        <v>44349.0</v>
      </c>
      <c r="AC965" s="284"/>
      <c r="AD965" s="284"/>
    </row>
    <row r="966" ht="14.25" customHeight="1">
      <c r="A966" s="265">
        <v>44349.0</v>
      </c>
      <c r="B966" s="266" t="s">
        <v>1824</v>
      </c>
      <c r="C966" s="266"/>
      <c r="D966" s="266" t="s">
        <v>1452</v>
      </c>
      <c r="E966" s="268"/>
      <c r="F966" s="358" t="s">
        <v>4319</v>
      </c>
      <c r="G966" s="268" t="s">
        <v>2085</v>
      </c>
      <c r="H966" s="270">
        <v>0.001967592592592593</v>
      </c>
      <c r="I966" s="271">
        <v>44349.75</v>
      </c>
      <c r="J966" s="268"/>
      <c r="K966" s="271">
        <v>44349.75800925926</v>
      </c>
      <c r="L966" s="288" t="str">
        <f t="shared" si="3"/>
        <v>12:11:32 AM</v>
      </c>
      <c r="M966" s="278"/>
      <c r="N966" s="290"/>
      <c r="O966" s="276"/>
      <c r="P966" s="276"/>
      <c r="Q966" s="276"/>
      <c r="R966" s="278"/>
      <c r="S966" s="278"/>
      <c r="T966" s="278"/>
      <c r="U966" s="279"/>
      <c r="V966" s="279" t="s">
        <v>1824</v>
      </c>
      <c r="W966" s="280">
        <v>44351.0</v>
      </c>
      <c r="X966" s="281">
        <v>0.013171296296296294</v>
      </c>
      <c r="Y966" s="279" t="s">
        <v>1693</v>
      </c>
      <c r="Z966" s="282" t="s">
        <v>1570</v>
      </c>
      <c r="AA966" s="282" t="s">
        <v>4319</v>
      </c>
      <c r="AB966" s="283">
        <v>44349.0</v>
      </c>
      <c r="AC966" s="284"/>
      <c r="AD966" s="284"/>
    </row>
    <row r="967" ht="14.25" customHeight="1">
      <c r="A967" s="265">
        <v>44349.0</v>
      </c>
      <c r="B967" s="266" t="s">
        <v>1783</v>
      </c>
      <c r="C967" s="266"/>
      <c r="D967" s="266" t="s">
        <v>1686</v>
      </c>
      <c r="E967" s="268"/>
      <c r="F967" s="358" t="s">
        <v>4320</v>
      </c>
      <c r="G967" s="268" t="s">
        <v>2085</v>
      </c>
      <c r="H967" s="270">
        <v>0.037662037037037036</v>
      </c>
      <c r="I967" s="271">
        <v>44349.751388888886</v>
      </c>
      <c r="J967" s="268"/>
      <c r="K967" s="271">
        <v>44349.775046296294</v>
      </c>
      <c r="L967" s="288" t="str">
        <f t="shared" si="3"/>
        <v>12:34:04 AM</v>
      </c>
      <c r="M967" s="278"/>
      <c r="N967" s="290"/>
      <c r="O967" s="276"/>
      <c r="P967" s="276"/>
      <c r="Q967" s="276"/>
      <c r="R967" s="278"/>
      <c r="S967" s="278"/>
      <c r="T967" s="278"/>
      <c r="U967" s="279"/>
      <c r="V967" s="279" t="s">
        <v>1783</v>
      </c>
      <c r="W967" s="280">
        <v>44350.0</v>
      </c>
      <c r="X967" s="281">
        <v>0.13194444444444445</v>
      </c>
      <c r="Y967" s="279" t="s">
        <v>1693</v>
      </c>
      <c r="Z967" s="282" t="s">
        <v>1570</v>
      </c>
      <c r="AA967" s="282" t="s">
        <v>4320</v>
      </c>
      <c r="AB967" s="283">
        <v>44349.0</v>
      </c>
      <c r="AC967" s="284"/>
      <c r="AD967" s="284"/>
    </row>
    <row r="968" ht="14.25" customHeight="1">
      <c r="A968" s="265">
        <v>44349.0</v>
      </c>
      <c r="B968" s="266" t="s">
        <v>1733</v>
      </c>
      <c r="C968" s="266"/>
      <c r="D968" s="266" t="s">
        <v>1455</v>
      </c>
      <c r="E968" s="268"/>
      <c r="F968" s="358" t="s">
        <v>4321</v>
      </c>
      <c r="G968" s="268" t="s">
        <v>2085</v>
      </c>
      <c r="H968" s="270">
        <v>0.019212962962962963</v>
      </c>
      <c r="I968" s="271">
        <v>44230.67152777778</v>
      </c>
      <c r="J968" s="268"/>
      <c r="K968" s="271">
        <v>44350.68675925926</v>
      </c>
      <c r="L968" s="288" t="str">
        <f t="shared" si="3"/>
        <v>12:21:56 AM</v>
      </c>
      <c r="M968" s="278"/>
      <c r="N968" s="290"/>
      <c r="O968" s="276"/>
      <c r="P968" s="276"/>
      <c r="Q968" s="276"/>
      <c r="R968" s="278"/>
      <c r="S968" s="278"/>
      <c r="T968" s="278"/>
      <c r="U968" s="279"/>
      <c r="V968" s="279" t="s">
        <v>1824</v>
      </c>
      <c r="W968" s="280">
        <v>44351.0</v>
      </c>
      <c r="X968" s="281">
        <v>0.0763888888888889</v>
      </c>
      <c r="Y968" s="279" t="s">
        <v>1693</v>
      </c>
      <c r="Z968" s="282" t="s">
        <v>1570</v>
      </c>
      <c r="AA968" s="282" t="s">
        <v>4321</v>
      </c>
      <c r="AB968" s="283">
        <v>44350.0</v>
      </c>
      <c r="AC968" s="284"/>
      <c r="AD968" s="284"/>
    </row>
    <row r="969" ht="14.25" customHeight="1">
      <c r="A969" s="265">
        <v>44350.0</v>
      </c>
      <c r="B969" s="266" t="s">
        <v>1685</v>
      </c>
      <c r="C969" s="266"/>
      <c r="D969" s="266" t="s">
        <v>1450</v>
      </c>
      <c r="E969" s="268"/>
      <c r="F969" s="358" t="s">
        <v>4322</v>
      </c>
      <c r="G969" s="268" t="s">
        <v>2085</v>
      </c>
      <c r="H969" s="270">
        <v>0.09913194444444444</v>
      </c>
      <c r="I969" s="271">
        <v>44350.65833333333</v>
      </c>
      <c r="J969" s="268"/>
      <c r="K969" s="271">
        <v>44350.73605324074</v>
      </c>
      <c r="L969" s="288" t="str">
        <f t="shared" si="3"/>
        <v>1:51:55 AM</v>
      </c>
      <c r="M969" s="278"/>
      <c r="N969" s="290"/>
      <c r="O969" s="276"/>
      <c r="P969" s="276"/>
      <c r="Q969" s="276"/>
      <c r="R969" s="278"/>
      <c r="S969" s="278"/>
      <c r="T969" s="278"/>
      <c r="U969" s="279"/>
      <c r="V969" s="279" t="s">
        <v>1685</v>
      </c>
      <c r="W969" s="280">
        <v>44351.0</v>
      </c>
      <c r="X969" s="281">
        <v>0.2916666666666667</v>
      </c>
      <c r="Y969" s="279" t="s">
        <v>1693</v>
      </c>
      <c r="Z969" s="282" t="s">
        <v>1570</v>
      </c>
      <c r="AA969" s="282" t="s">
        <v>4322</v>
      </c>
      <c r="AB969" s="283">
        <v>44350.0</v>
      </c>
      <c r="AC969" s="284"/>
      <c r="AD969" s="284"/>
    </row>
    <row r="970" ht="14.25" customHeight="1">
      <c r="A970" s="265">
        <v>44350.0</v>
      </c>
      <c r="B970" s="266" t="s">
        <v>1733</v>
      </c>
      <c r="C970" s="266"/>
      <c r="D970" s="266" t="s">
        <v>1452</v>
      </c>
      <c r="E970" s="268"/>
      <c r="F970" s="358" t="s">
        <v>4323</v>
      </c>
      <c r="G970" s="268" t="s">
        <v>2085</v>
      </c>
      <c r="H970" s="270">
        <v>0.0016435185185185183</v>
      </c>
      <c r="I970" s="271">
        <v>44350.68958333333</v>
      </c>
      <c r="J970" s="268"/>
      <c r="K970" s="271">
        <v>44350.69215277778</v>
      </c>
      <c r="L970" s="288" t="str">
        <f t="shared" si="3"/>
        <v>12:03:42 AM</v>
      </c>
      <c r="M970" s="278"/>
      <c r="N970" s="290"/>
      <c r="O970" s="276"/>
      <c r="P970" s="276"/>
      <c r="Q970" s="276"/>
      <c r="R970" s="278"/>
      <c r="S970" s="278"/>
      <c r="T970" s="278"/>
      <c r="U970" s="279"/>
      <c r="V970" s="279" t="s">
        <v>1824</v>
      </c>
      <c r="W970" s="280">
        <v>44351.0</v>
      </c>
      <c r="X970" s="281">
        <v>0.009479166666666667</v>
      </c>
      <c r="Y970" s="279" t="s">
        <v>1693</v>
      </c>
      <c r="Z970" s="282" t="s">
        <v>1570</v>
      </c>
      <c r="AA970" s="282" t="s">
        <v>4323</v>
      </c>
      <c r="AB970" s="283">
        <v>44350.0</v>
      </c>
      <c r="AC970" s="284"/>
      <c r="AD970" s="284"/>
    </row>
    <row r="971" ht="14.25" customHeight="1">
      <c r="A971" s="265">
        <v>44350.0</v>
      </c>
      <c r="B971" s="266" t="s">
        <v>2124</v>
      </c>
      <c r="C971" s="266"/>
      <c r="D971" s="266" t="s">
        <v>1686</v>
      </c>
      <c r="E971" s="268"/>
      <c r="F971" s="358" t="s">
        <v>4324</v>
      </c>
      <c r="G971" s="268" t="s">
        <v>2085</v>
      </c>
      <c r="H971" s="270">
        <v>0.03726851851851851</v>
      </c>
      <c r="I971" s="271">
        <v>44350.66180555556</v>
      </c>
      <c r="J971" s="268"/>
      <c r="K971" s="271">
        <v>44350.69158564815</v>
      </c>
      <c r="L971" s="288" t="str">
        <f t="shared" si="3"/>
        <v>12:42:53 AM</v>
      </c>
      <c r="M971" s="278"/>
      <c r="N971" s="290"/>
      <c r="O971" s="276"/>
      <c r="P971" s="276"/>
      <c r="Q971" s="276"/>
      <c r="R971" s="278"/>
      <c r="S971" s="278"/>
      <c r="T971" s="278"/>
      <c r="U971" s="279"/>
      <c r="V971" s="279" t="s">
        <v>1783</v>
      </c>
      <c r="W971" s="280">
        <v>44351.0</v>
      </c>
      <c r="X971" s="281">
        <v>0.14583333333333334</v>
      </c>
      <c r="Y971" s="279" t="s">
        <v>1693</v>
      </c>
      <c r="Z971" s="282" t="s">
        <v>1570</v>
      </c>
      <c r="AA971" s="282" t="s">
        <v>4324</v>
      </c>
      <c r="AB971" s="283">
        <v>44350.0</v>
      </c>
      <c r="AC971" s="284"/>
      <c r="AD971" s="284"/>
    </row>
    <row r="972" ht="14.25" customHeight="1">
      <c r="A972" s="265">
        <v>44350.0</v>
      </c>
      <c r="B972" s="266" t="s">
        <v>1733</v>
      </c>
      <c r="C972" s="266"/>
      <c r="D972" s="266" t="s">
        <v>1455</v>
      </c>
      <c r="E972" s="268"/>
      <c r="F972" s="358" t="s">
        <v>4325</v>
      </c>
      <c r="G972" s="268" t="s">
        <v>2085</v>
      </c>
      <c r="H972" s="270">
        <v>0.01900462962962963</v>
      </c>
      <c r="I972" s="271">
        <v>44350.9125</v>
      </c>
      <c r="J972" s="268"/>
      <c r="K972" s="271">
        <v>44350.92847222222</v>
      </c>
      <c r="L972" s="288" t="str">
        <f t="shared" si="3"/>
        <v>12:23:00 AM</v>
      </c>
      <c r="M972" s="278"/>
      <c r="N972" s="290"/>
      <c r="O972" s="276"/>
      <c r="P972" s="276"/>
      <c r="Q972" s="276"/>
      <c r="R972" s="278"/>
      <c r="S972" s="278"/>
      <c r="T972" s="278"/>
      <c r="U972" s="279"/>
      <c r="V972" s="279" t="s">
        <v>1824</v>
      </c>
      <c r="W972" s="280">
        <v>44351.0</v>
      </c>
      <c r="X972" s="281">
        <v>0.09052083333333333</v>
      </c>
      <c r="Y972" s="279" t="s">
        <v>1693</v>
      </c>
      <c r="Z972" s="282" t="s">
        <v>1570</v>
      </c>
      <c r="AA972" s="282" t="s">
        <v>4325</v>
      </c>
      <c r="AB972" s="283">
        <v>44350.0</v>
      </c>
      <c r="AC972" s="284"/>
      <c r="AD972" s="284"/>
    </row>
    <row r="973" ht="14.25" customHeight="1">
      <c r="A973" s="265">
        <v>44351.0</v>
      </c>
      <c r="B973" s="266" t="s">
        <v>1738</v>
      </c>
      <c r="C973" s="266"/>
      <c r="D973" s="266" t="s">
        <v>1450</v>
      </c>
      <c r="E973" s="268"/>
      <c r="F973" s="358" t="s">
        <v>4326</v>
      </c>
      <c r="G973" s="268" t="s">
        <v>1463</v>
      </c>
      <c r="H973" s="270">
        <v>0.0049884259259259265</v>
      </c>
      <c r="I973" s="271">
        <v>44354.65138888889</v>
      </c>
      <c r="J973" s="268"/>
      <c r="K973" s="271">
        <v>44354.65644675926</v>
      </c>
      <c r="L973" s="288" t="str">
        <f t="shared" si="3"/>
        <v>12:07:17 AM</v>
      </c>
      <c r="M973" s="278" t="s">
        <v>4327</v>
      </c>
      <c r="N973" s="290"/>
      <c r="O973" s="276"/>
      <c r="P973" s="276"/>
      <c r="Q973" s="276"/>
      <c r="R973" s="278"/>
      <c r="S973" s="278"/>
      <c r="T973" s="278"/>
      <c r="U973" s="279"/>
      <c r="V973" s="279" t="s">
        <v>1738</v>
      </c>
      <c r="W973" s="280">
        <v>44355.0</v>
      </c>
      <c r="X973" s="281">
        <v>0.006944444444444444</v>
      </c>
      <c r="Y973" s="279" t="s">
        <v>1693</v>
      </c>
      <c r="Z973" s="282" t="s">
        <v>1570</v>
      </c>
      <c r="AA973" s="282">
        <v>6372661.0</v>
      </c>
      <c r="AB973" s="283">
        <v>44355.0</v>
      </c>
      <c r="AC973" s="284"/>
      <c r="AD973" s="284"/>
    </row>
    <row r="974" ht="14.25" customHeight="1">
      <c r="A974" s="265">
        <v>44351.0</v>
      </c>
      <c r="B974" s="266" t="s">
        <v>1500</v>
      </c>
      <c r="C974" s="266" t="s">
        <v>1686</v>
      </c>
      <c r="D974" s="266" t="s">
        <v>1543</v>
      </c>
      <c r="E974" s="268"/>
      <c r="F974" s="269" t="s">
        <v>4328</v>
      </c>
      <c r="G974" s="268" t="s">
        <v>1463</v>
      </c>
      <c r="H974" s="270">
        <v>0.0019097222222222222</v>
      </c>
      <c r="I974" s="271">
        <v>44355.5</v>
      </c>
      <c r="J974" s="268"/>
      <c r="K974" s="271">
        <v>44356.6583912037</v>
      </c>
      <c r="L974" s="288" t="str">
        <f t="shared" si="3"/>
        <v>3:48:05 AM</v>
      </c>
      <c r="M974" s="278" t="s">
        <v>4329</v>
      </c>
      <c r="N974" s="290"/>
      <c r="O974" s="276"/>
      <c r="P974" s="276"/>
      <c r="Q974" s="276"/>
      <c r="R974" s="278"/>
      <c r="S974" s="278"/>
      <c r="T974" s="278"/>
      <c r="U974" s="279"/>
      <c r="V974" s="279" t="s">
        <v>1824</v>
      </c>
      <c r="W974" s="280">
        <v>44356.0</v>
      </c>
      <c r="X974" s="281">
        <v>0.007858796296296296</v>
      </c>
      <c r="Y974" s="279" t="s">
        <v>1693</v>
      </c>
      <c r="Z974" s="282" t="s">
        <v>53</v>
      </c>
      <c r="AA974" s="282">
        <v>6374400.0</v>
      </c>
      <c r="AB974" s="283">
        <v>44359.0</v>
      </c>
      <c r="AC974" s="284"/>
      <c r="AD974" s="284"/>
    </row>
    <row r="975" ht="14.25" customHeight="1">
      <c r="A975" s="265">
        <v>44351.0</v>
      </c>
      <c r="B975" s="266" t="s">
        <v>1685</v>
      </c>
      <c r="C975" s="266"/>
      <c r="D975" s="266" t="s">
        <v>1450</v>
      </c>
      <c r="E975" s="268"/>
      <c r="F975" s="358" t="s">
        <v>4330</v>
      </c>
      <c r="G975" s="268" t="s">
        <v>2085</v>
      </c>
      <c r="H975" s="270">
        <v>0.10039351851851852</v>
      </c>
      <c r="I975" s="271">
        <v>44351.64097222222</v>
      </c>
      <c r="J975" s="268"/>
      <c r="K975" s="271">
        <v>44351.714594907404</v>
      </c>
      <c r="L975" s="288" t="str">
        <f t="shared" si="3"/>
        <v>1:46:01 AM</v>
      </c>
      <c r="M975" s="278"/>
      <c r="N975" s="290"/>
      <c r="O975" s="276"/>
      <c r="P975" s="276"/>
      <c r="Q975" s="276"/>
      <c r="R975" s="278"/>
      <c r="S975" s="278"/>
      <c r="T975" s="278"/>
      <c r="U975" s="279"/>
      <c r="V975" s="279" t="s">
        <v>1738</v>
      </c>
      <c r="W975" s="280">
        <v>44354.0</v>
      </c>
      <c r="X975" s="281">
        <v>0.2916666666666667</v>
      </c>
      <c r="Y975" s="279" t="s">
        <v>1693</v>
      </c>
      <c r="Z975" s="282" t="s">
        <v>53</v>
      </c>
      <c r="AA975" s="282" t="s">
        <v>4330</v>
      </c>
      <c r="AB975" s="283">
        <v>44352.0</v>
      </c>
      <c r="AC975" s="284"/>
      <c r="AD975" s="284"/>
    </row>
    <row r="976" ht="14.25" customHeight="1">
      <c r="A976" s="265">
        <v>44351.0</v>
      </c>
      <c r="B976" s="266" t="s">
        <v>1824</v>
      </c>
      <c r="C976" s="266"/>
      <c r="D976" s="266" t="s">
        <v>1452</v>
      </c>
      <c r="E976" s="268"/>
      <c r="F976" s="358" t="s">
        <v>4331</v>
      </c>
      <c r="G976" s="268" t="s">
        <v>2085</v>
      </c>
      <c r="H976" s="270">
        <v>0.002673611111111111</v>
      </c>
      <c r="I976" s="271">
        <v>44352.666666666664</v>
      </c>
      <c r="J976" s="268"/>
      <c r="K976" s="271">
        <v>44351.67288194445</v>
      </c>
      <c r="L976" s="288" t="str">
        <f t="shared" si="3"/>
        <v>12:08:57 AM</v>
      </c>
      <c r="M976" s="278"/>
      <c r="N976" s="290"/>
      <c r="O976" s="276"/>
      <c r="P976" s="276"/>
      <c r="Q976" s="276"/>
      <c r="R976" s="278"/>
      <c r="S976" s="278"/>
      <c r="T976" s="278"/>
      <c r="U976" s="279"/>
      <c r="V976" s="279" t="s">
        <v>1824</v>
      </c>
      <c r="W976" s="280">
        <v>44351.0</v>
      </c>
      <c r="X976" s="281">
        <v>0.01306712962962963</v>
      </c>
      <c r="Y976" s="279" t="s">
        <v>1693</v>
      </c>
      <c r="Z976" s="282" t="s">
        <v>53</v>
      </c>
      <c r="AA976" s="282" t="s">
        <v>4331</v>
      </c>
      <c r="AB976" s="283">
        <v>44352.0</v>
      </c>
      <c r="AC976" s="284"/>
      <c r="AD976" s="284"/>
    </row>
    <row r="977" ht="14.25" customHeight="1">
      <c r="A977" s="265">
        <v>44351.0</v>
      </c>
      <c r="B977" s="266" t="s">
        <v>1783</v>
      </c>
      <c r="C977" s="266"/>
      <c r="D977" s="266" t="s">
        <v>1686</v>
      </c>
      <c r="E977" s="268"/>
      <c r="F977" s="358" t="s">
        <v>4332</v>
      </c>
      <c r="G977" s="268" t="s">
        <v>2085</v>
      </c>
      <c r="H977" s="270">
        <v>0.037245370370370366</v>
      </c>
      <c r="I977" s="271">
        <v>44352.67847222222</v>
      </c>
      <c r="J977" s="268"/>
      <c r="K977" s="271">
        <v>44351.71334490741</v>
      </c>
      <c r="L977" s="288" t="str">
        <f t="shared" si="3"/>
        <v>12:50:13 AM</v>
      </c>
      <c r="M977" s="278"/>
      <c r="N977" s="290"/>
      <c r="O977" s="276"/>
      <c r="P977" s="276"/>
      <c r="Q977" s="276"/>
      <c r="R977" s="278"/>
      <c r="S977" s="278"/>
      <c r="T977" s="278"/>
      <c r="U977" s="279"/>
      <c r="V977" s="279" t="s">
        <v>1746</v>
      </c>
      <c r="W977" s="280">
        <v>44354.0</v>
      </c>
      <c r="X977" s="281">
        <v>0.16666666666666666</v>
      </c>
      <c r="Y977" s="279" t="s">
        <v>1693</v>
      </c>
      <c r="Z977" s="282" t="s">
        <v>53</v>
      </c>
      <c r="AA977" s="282" t="s">
        <v>4332</v>
      </c>
      <c r="AB977" s="283">
        <v>44352.0</v>
      </c>
      <c r="AC977" s="284"/>
      <c r="AD977" s="284"/>
    </row>
    <row r="978" ht="14.25" customHeight="1">
      <c r="A978" s="265">
        <v>44351.0</v>
      </c>
      <c r="B978" s="266" t="s">
        <v>1733</v>
      </c>
      <c r="C978" s="266"/>
      <c r="D978" s="266" t="s">
        <v>1455</v>
      </c>
      <c r="E978" s="268"/>
      <c r="F978" s="358" t="s">
        <v>4333</v>
      </c>
      <c r="G978" s="268" t="s">
        <v>2085</v>
      </c>
      <c r="H978" s="270">
        <v>0.022129629629629628</v>
      </c>
      <c r="I978" s="271">
        <v>44352.90069444444</v>
      </c>
      <c r="J978" s="268"/>
      <c r="K978" s="271">
        <v>44351.92527777778</v>
      </c>
      <c r="L978" s="288" t="str">
        <f t="shared" si="3"/>
        <v>12:35:24 AM</v>
      </c>
      <c r="M978" s="278"/>
      <c r="N978" s="290"/>
      <c r="O978" s="276"/>
      <c r="P978" s="276"/>
      <c r="Q978" s="276"/>
      <c r="R978" s="278"/>
      <c r="S978" s="278"/>
      <c r="T978" s="278"/>
      <c r="U978" s="279"/>
      <c r="V978" s="279" t="s">
        <v>3950</v>
      </c>
      <c r="W978" s="280">
        <v>44354.0</v>
      </c>
      <c r="X978" s="281">
        <v>0.09115740740740741</v>
      </c>
      <c r="Y978" s="279" t="s">
        <v>1693</v>
      </c>
      <c r="Z978" s="282" t="s">
        <v>53</v>
      </c>
      <c r="AA978" s="282" t="s">
        <v>4333</v>
      </c>
      <c r="AB978" s="283">
        <v>44352.0</v>
      </c>
      <c r="AC978" s="284"/>
      <c r="AD978" s="284"/>
    </row>
    <row r="979" ht="14.25" customHeight="1">
      <c r="A979" s="265">
        <v>44352.0</v>
      </c>
      <c r="B979" s="266" t="s">
        <v>3677</v>
      </c>
      <c r="C979" s="266"/>
      <c r="D979" s="266" t="s">
        <v>1686</v>
      </c>
      <c r="E979" s="268"/>
      <c r="F979" s="358" t="s">
        <v>4334</v>
      </c>
      <c r="G979" s="268" t="s">
        <v>2085</v>
      </c>
      <c r="H979" s="270">
        <v>0.034305555555555554</v>
      </c>
      <c r="I979" s="271">
        <v>44353.88333333333</v>
      </c>
      <c r="J979" s="268"/>
      <c r="K979" s="271">
        <v>44353.905069444445</v>
      </c>
      <c r="L979" s="288" t="str">
        <f t="shared" si="3"/>
        <v>12:31:18 AM</v>
      </c>
      <c r="M979" s="278"/>
      <c r="N979" s="290"/>
      <c r="O979" s="276"/>
      <c r="P979" s="276"/>
      <c r="Q979" s="276"/>
      <c r="R979" s="278"/>
      <c r="S979" s="278"/>
      <c r="T979" s="278"/>
      <c r="U979" s="279"/>
      <c r="V979" s="279" t="s">
        <v>1746</v>
      </c>
      <c r="W979" s="280">
        <v>44354.0</v>
      </c>
      <c r="X979" s="281">
        <v>0.16666666666666666</v>
      </c>
      <c r="Y979" s="279" t="s">
        <v>1693</v>
      </c>
      <c r="Z979" s="282" t="s">
        <v>1570</v>
      </c>
      <c r="AA979" s="282" t="s">
        <v>4334</v>
      </c>
      <c r="AB979" s="283">
        <v>44353.0</v>
      </c>
      <c r="AC979" s="284"/>
      <c r="AD979" s="284"/>
    </row>
    <row r="980" ht="14.25" customHeight="1">
      <c r="A980" s="265">
        <v>44352.0</v>
      </c>
      <c r="B980" s="266" t="s">
        <v>1733</v>
      </c>
      <c r="C980" s="266"/>
      <c r="D980" s="266" t="s">
        <v>1455</v>
      </c>
      <c r="E980" s="268"/>
      <c r="F980" s="358" t="s">
        <v>4335</v>
      </c>
      <c r="G980" s="268" t="s">
        <v>2085</v>
      </c>
      <c r="H980" s="270">
        <v>0.016064814814814813</v>
      </c>
      <c r="I980" s="271">
        <v>44353.89444444444</v>
      </c>
      <c r="J980" s="268"/>
      <c r="K980" s="271">
        <v>44353.90393518518</v>
      </c>
      <c r="L980" s="288" t="str">
        <f t="shared" si="3"/>
        <v>12:13:40 AM</v>
      </c>
      <c r="M980" s="278"/>
      <c r="N980" s="290"/>
      <c r="O980" s="276"/>
      <c r="P980" s="276"/>
      <c r="Q980" s="276"/>
      <c r="R980" s="278"/>
      <c r="S980" s="278"/>
      <c r="T980" s="278"/>
      <c r="U980" s="279"/>
      <c r="V980" s="279" t="s">
        <v>1824</v>
      </c>
      <c r="W980" s="280">
        <v>44354.0</v>
      </c>
      <c r="X980" s="281">
        <v>0.05849537037037037</v>
      </c>
      <c r="Y980" s="279" t="s">
        <v>1693</v>
      </c>
      <c r="Z980" s="282" t="s">
        <v>1570</v>
      </c>
      <c r="AA980" s="282" t="s">
        <v>4335</v>
      </c>
      <c r="AB980" s="283">
        <v>44353.0</v>
      </c>
      <c r="AC980" s="284"/>
      <c r="AD980" s="284"/>
    </row>
    <row r="981" ht="14.25" customHeight="1">
      <c r="A981" s="265">
        <v>44353.0</v>
      </c>
      <c r="B981" s="266" t="s">
        <v>1733</v>
      </c>
      <c r="C981" s="266"/>
      <c r="D981" s="266" t="s">
        <v>3509</v>
      </c>
      <c r="E981" s="268"/>
      <c r="F981" s="358">
        <v>6372068.0</v>
      </c>
      <c r="G981" s="268" t="s">
        <v>3839</v>
      </c>
      <c r="H981" s="270">
        <v>0.02954861111111111</v>
      </c>
      <c r="I981" s="271">
        <v>44353.876388888886</v>
      </c>
      <c r="J981" s="268"/>
      <c r="K981" s="271">
        <v>44353.88055555556</v>
      </c>
      <c r="L981" s="288" t="str">
        <f t="shared" si="3"/>
        <v>12:06:00 AM</v>
      </c>
      <c r="M981" s="278"/>
      <c r="N981" s="290"/>
      <c r="O981" s="276"/>
      <c r="P981" s="276"/>
      <c r="Q981" s="276"/>
      <c r="R981" s="278"/>
      <c r="S981" s="278"/>
      <c r="T981" s="278" t="s">
        <v>4336</v>
      </c>
      <c r="U981" s="279"/>
      <c r="V981" s="279"/>
      <c r="W981" s="279"/>
      <c r="X981" s="279"/>
      <c r="Y981" s="279"/>
      <c r="Z981" s="282" t="s">
        <v>1570</v>
      </c>
      <c r="AA981" s="282">
        <v>6372068.0</v>
      </c>
      <c r="AB981" s="283">
        <v>44353.0</v>
      </c>
      <c r="AC981" s="284"/>
      <c r="AD981" s="284"/>
    </row>
    <row r="982" ht="14.25" customHeight="1">
      <c r="A982" s="265">
        <v>44353.0</v>
      </c>
      <c r="B982" s="266" t="s">
        <v>1733</v>
      </c>
      <c r="C982" s="266"/>
      <c r="D982" s="266" t="s">
        <v>1457</v>
      </c>
      <c r="E982" s="268"/>
      <c r="F982" s="358" t="s">
        <v>4337</v>
      </c>
      <c r="G982" s="268" t="s">
        <v>2085</v>
      </c>
      <c r="H982" s="270">
        <v>0.017592592592592594</v>
      </c>
      <c r="I982" s="271">
        <v>44354.813888888886</v>
      </c>
      <c r="J982" s="268"/>
      <c r="K982" s="271">
        <v>44354.826585648145</v>
      </c>
      <c r="L982" s="288" t="str">
        <f t="shared" si="3"/>
        <v>12:18:17 AM</v>
      </c>
      <c r="M982" s="278"/>
      <c r="N982" s="290"/>
      <c r="O982" s="276"/>
      <c r="P982" s="276"/>
      <c r="Q982" s="276"/>
      <c r="R982" s="278"/>
      <c r="S982" s="278"/>
      <c r="T982" s="278"/>
      <c r="U982" s="279"/>
      <c r="V982" s="279" t="s">
        <v>1824</v>
      </c>
      <c r="W982" s="280">
        <v>44355.0</v>
      </c>
      <c r="X982" s="281">
        <v>0.04605324074074074</v>
      </c>
      <c r="Y982" s="279" t="s">
        <v>1693</v>
      </c>
      <c r="Z982" s="282" t="s">
        <v>53</v>
      </c>
      <c r="AA982" s="282" t="s">
        <v>4338</v>
      </c>
      <c r="AB982" s="283">
        <v>44355.0</v>
      </c>
      <c r="AC982" s="284"/>
      <c r="AD982" s="284"/>
    </row>
    <row r="983" ht="14.25" customHeight="1">
      <c r="A983" s="265">
        <v>44353.0</v>
      </c>
      <c r="B983" s="266" t="s">
        <v>1733</v>
      </c>
      <c r="C983" s="266"/>
      <c r="D983" s="266" t="s">
        <v>2829</v>
      </c>
      <c r="E983" s="268"/>
      <c r="F983" s="358" t="s">
        <v>4339</v>
      </c>
      <c r="G983" s="268" t="s">
        <v>2085</v>
      </c>
      <c r="H983" s="270">
        <v>0.018726851851851852</v>
      </c>
      <c r="I983" s="271">
        <v>44353.92638888889</v>
      </c>
      <c r="J983" s="268"/>
      <c r="K983" s="268"/>
      <c r="L983" s="288" t="str">
        <f t="shared" si="3"/>
        <v/>
      </c>
      <c r="M983" s="307" t="s">
        <v>2808</v>
      </c>
      <c r="N983" s="273">
        <v>44353.92986111111</v>
      </c>
      <c r="O983" s="276" t="s">
        <v>4340</v>
      </c>
      <c r="P983" s="275" t="s">
        <v>1463</v>
      </c>
      <c r="Q983" s="276" t="s">
        <v>1819</v>
      </c>
      <c r="R983" s="278"/>
      <c r="S983" s="278"/>
      <c r="T983" s="278" t="s">
        <v>4341</v>
      </c>
      <c r="U983" s="279"/>
      <c r="V983" s="279"/>
      <c r="W983" s="279"/>
      <c r="X983" s="279"/>
      <c r="Y983" s="279"/>
      <c r="Z983" s="282" t="s">
        <v>1570</v>
      </c>
      <c r="AA983" s="282" t="s">
        <v>4339</v>
      </c>
      <c r="AB983" s="283">
        <v>44353.0</v>
      </c>
      <c r="AC983" s="284"/>
      <c r="AD983" s="284"/>
    </row>
    <row r="984" ht="14.25" customHeight="1">
      <c r="A984" s="265">
        <v>44354.0</v>
      </c>
      <c r="B984" s="266" t="s">
        <v>1738</v>
      </c>
      <c r="C984" s="266"/>
      <c r="D984" s="266" t="s">
        <v>1450</v>
      </c>
      <c r="E984" s="268"/>
      <c r="F984" s="358" t="s">
        <v>4342</v>
      </c>
      <c r="G984" s="268" t="s">
        <v>2085</v>
      </c>
      <c r="H984" s="270">
        <v>0.09984953703703703</v>
      </c>
      <c r="I984" s="271">
        <v>44354.81805555556</v>
      </c>
      <c r="J984" s="268"/>
      <c r="K984" s="271">
        <v>44354.94730324074</v>
      </c>
      <c r="L984" s="288" t="str">
        <f t="shared" si="3"/>
        <v>3:06:07 AM</v>
      </c>
      <c r="M984" s="278"/>
      <c r="N984" s="290"/>
      <c r="O984" s="276"/>
      <c r="P984" s="276"/>
      <c r="Q984" s="276"/>
      <c r="R984" s="278"/>
      <c r="S984" s="278"/>
      <c r="T984" s="278"/>
      <c r="U984" s="279"/>
      <c r="V984" s="279" t="s">
        <v>1738</v>
      </c>
      <c r="W984" s="280">
        <v>44355.0</v>
      </c>
      <c r="X984" s="281">
        <v>0.2916666666666667</v>
      </c>
      <c r="Y984" s="279" t="s">
        <v>1693</v>
      </c>
      <c r="Z984" s="282" t="s">
        <v>53</v>
      </c>
      <c r="AA984" s="282" t="s">
        <v>4342</v>
      </c>
      <c r="AB984" s="283">
        <v>44355.0</v>
      </c>
      <c r="AC984" s="284"/>
      <c r="AD984" s="284"/>
    </row>
    <row r="985" ht="14.25" customHeight="1">
      <c r="A985" s="265">
        <v>44354.0</v>
      </c>
      <c r="B985" s="266" t="s">
        <v>1824</v>
      </c>
      <c r="C985" s="266"/>
      <c r="D985" s="266" t="s">
        <v>1452</v>
      </c>
      <c r="E985" s="268"/>
      <c r="F985" s="358" t="s">
        <v>4343</v>
      </c>
      <c r="G985" s="268" t="s">
        <v>2085</v>
      </c>
      <c r="H985" s="270">
        <v>0.001979166666666667</v>
      </c>
      <c r="I985" s="271">
        <v>44354.82152777778</v>
      </c>
      <c r="J985" s="268"/>
      <c r="K985" s="271">
        <v>44354.825833333336</v>
      </c>
      <c r="L985" s="288" t="str">
        <f t="shared" si="3"/>
        <v>12:06:12 AM</v>
      </c>
      <c r="M985" s="278"/>
      <c r="N985" s="290"/>
      <c r="O985" s="276"/>
      <c r="P985" s="276"/>
      <c r="Q985" s="276"/>
      <c r="R985" s="278"/>
      <c r="S985" s="278"/>
      <c r="T985" s="278"/>
      <c r="U985" s="279"/>
      <c r="V985" s="279" t="s">
        <v>1824</v>
      </c>
      <c r="W985" s="280">
        <v>44355.0</v>
      </c>
      <c r="X985" s="281">
        <v>0.007777777777777777</v>
      </c>
      <c r="Y985" s="279" t="s">
        <v>1693</v>
      </c>
      <c r="Z985" s="282" t="s">
        <v>1570</v>
      </c>
      <c r="AA985" s="282" t="s">
        <v>4343</v>
      </c>
      <c r="AB985" s="283">
        <v>44355.0</v>
      </c>
      <c r="AC985" s="284"/>
      <c r="AD985" s="284"/>
    </row>
    <row r="986" ht="14.25" customHeight="1">
      <c r="A986" s="265">
        <v>44354.0</v>
      </c>
      <c r="B986" s="266" t="s">
        <v>3677</v>
      </c>
      <c r="C986" s="266"/>
      <c r="D986" s="266" t="s">
        <v>1686</v>
      </c>
      <c r="E986" s="268"/>
      <c r="F986" s="358" t="s">
        <v>4344</v>
      </c>
      <c r="G986" s="268" t="s">
        <v>2085</v>
      </c>
      <c r="H986" s="270">
        <v>0.0397337962962963</v>
      </c>
      <c r="I986" s="271">
        <v>44354.825</v>
      </c>
      <c r="J986" s="268"/>
      <c r="K986" s="271">
        <v>44354.87893518519</v>
      </c>
      <c r="L986" s="288" t="str">
        <f t="shared" si="3"/>
        <v>1:17:40 AM</v>
      </c>
      <c r="M986" s="278"/>
      <c r="N986" s="290"/>
      <c r="O986" s="276"/>
      <c r="P986" s="276"/>
      <c r="Q986" s="276"/>
      <c r="R986" s="278"/>
      <c r="S986" s="278"/>
      <c r="T986" s="278"/>
      <c r="U986" s="279"/>
      <c r="V986" s="279" t="s">
        <v>1746</v>
      </c>
      <c r="W986" s="280">
        <v>44355.0</v>
      </c>
      <c r="X986" s="281">
        <v>0.16666666666666666</v>
      </c>
      <c r="Y986" s="279" t="s">
        <v>1693</v>
      </c>
      <c r="Z986" s="282" t="s">
        <v>1570</v>
      </c>
      <c r="AA986" s="282" t="s">
        <v>4344</v>
      </c>
      <c r="AB986" s="283">
        <v>44355.0</v>
      </c>
      <c r="AC986" s="284"/>
      <c r="AD986" s="284"/>
    </row>
    <row r="987" ht="14.25" customHeight="1">
      <c r="A987" s="265">
        <v>44354.0</v>
      </c>
      <c r="B987" s="266" t="s">
        <v>1733</v>
      </c>
      <c r="C987" s="266"/>
      <c r="D987" s="266" t="s">
        <v>1455</v>
      </c>
      <c r="E987" s="268"/>
      <c r="F987" s="358" t="s">
        <v>4345</v>
      </c>
      <c r="G987" s="268" t="s">
        <v>2085</v>
      </c>
      <c r="H987" s="270">
        <v>0.020844907407407406</v>
      </c>
      <c r="I987" s="271">
        <v>44354.01875</v>
      </c>
      <c r="J987" s="268"/>
      <c r="K987" s="271">
        <v>44355.06377314815</v>
      </c>
      <c r="L987" s="288" t="str">
        <f t="shared" si="3"/>
        <v>1:04:50 AM</v>
      </c>
      <c r="M987" s="278"/>
      <c r="N987" s="290"/>
      <c r="O987" s="276"/>
      <c r="P987" s="276"/>
      <c r="Q987" s="276"/>
      <c r="R987" s="278"/>
      <c r="S987" s="278"/>
      <c r="T987" s="278"/>
      <c r="U987" s="279"/>
      <c r="V987" s="279" t="s">
        <v>1824</v>
      </c>
      <c r="W987" s="280">
        <v>44355.0</v>
      </c>
      <c r="X987" s="281">
        <v>0.08268518518518518</v>
      </c>
      <c r="Y987" s="279" t="s">
        <v>1693</v>
      </c>
      <c r="Z987" s="282" t="s">
        <v>1570</v>
      </c>
      <c r="AA987" s="282" t="s">
        <v>4345</v>
      </c>
      <c r="AB987" s="283">
        <v>44355.0</v>
      </c>
      <c r="AC987" s="284"/>
      <c r="AD987" s="284"/>
    </row>
    <row r="988" ht="14.25" customHeight="1">
      <c r="A988" s="265">
        <v>44355.0</v>
      </c>
      <c r="B988" s="266" t="s">
        <v>1738</v>
      </c>
      <c r="C988" s="266"/>
      <c r="D988" s="266" t="s">
        <v>1450</v>
      </c>
      <c r="E988" s="268"/>
      <c r="F988" s="358" t="s">
        <v>4346</v>
      </c>
      <c r="G988" s="268" t="s">
        <v>2085</v>
      </c>
      <c r="H988" s="270">
        <v>0.10017361111111112</v>
      </c>
      <c r="I988" s="271">
        <v>44355.72638888889</v>
      </c>
      <c r="J988" s="268"/>
      <c r="K988" s="271">
        <v>44355.83510416667</v>
      </c>
      <c r="L988" s="288" t="str">
        <f t="shared" si="3"/>
        <v>2:36:33 AM</v>
      </c>
      <c r="M988" s="278"/>
      <c r="N988" s="290"/>
      <c r="O988" s="276"/>
      <c r="P988" s="276"/>
      <c r="Q988" s="276"/>
      <c r="R988" s="278"/>
      <c r="S988" s="278"/>
      <c r="T988" s="278"/>
      <c r="U988" s="279"/>
      <c r="V988" s="279" t="s">
        <v>1738</v>
      </c>
      <c r="W988" s="280">
        <v>44356.0</v>
      </c>
      <c r="X988" s="281">
        <v>0.25</v>
      </c>
      <c r="Y988" s="279" t="s">
        <v>1693</v>
      </c>
      <c r="Z988" s="282" t="s">
        <v>1570</v>
      </c>
      <c r="AA988" s="282" t="s">
        <v>4346</v>
      </c>
      <c r="AB988" s="283">
        <v>44355.0</v>
      </c>
      <c r="AC988" s="284"/>
      <c r="AD988" s="284"/>
    </row>
    <row r="989" ht="14.25" customHeight="1">
      <c r="A989" s="265">
        <v>44355.0</v>
      </c>
      <c r="B989" s="266" t="s">
        <v>1824</v>
      </c>
      <c r="C989" s="266"/>
      <c r="D989" s="266" t="s">
        <v>1452</v>
      </c>
      <c r="E989" s="268"/>
      <c r="F989" s="358" t="s">
        <v>4347</v>
      </c>
      <c r="G989" s="268" t="s">
        <v>2085</v>
      </c>
      <c r="H989" s="270">
        <v>0.0042592592592592595</v>
      </c>
      <c r="I989" s="271">
        <v>44355.72777777778</v>
      </c>
      <c r="J989" s="268"/>
      <c r="K989" s="271">
        <v>44355.73465277778</v>
      </c>
      <c r="L989" s="288" t="str">
        <f t="shared" si="3"/>
        <v>12:09:54 AM</v>
      </c>
      <c r="M989" s="278"/>
      <c r="N989" s="290"/>
      <c r="O989" s="276"/>
      <c r="P989" s="276"/>
      <c r="Q989" s="276"/>
      <c r="R989" s="278"/>
      <c r="S989" s="278"/>
      <c r="T989" s="278"/>
      <c r="U989" s="279"/>
      <c r="V989" s="279" t="s">
        <v>1824</v>
      </c>
      <c r="W989" s="280">
        <v>44356.0</v>
      </c>
      <c r="X989" s="281">
        <v>0.017719907407407406</v>
      </c>
      <c r="Y989" s="279" t="s">
        <v>1693</v>
      </c>
      <c r="Z989" s="282" t="s">
        <v>1570</v>
      </c>
      <c r="AA989" s="282" t="s">
        <v>4347</v>
      </c>
      <c r="AB989" s="283">
        <v>44355.0</v>
      </c>
      <c r="AC989" s="284"/>
      <c r="AD989" s="284"/>
    </row>
    <row r="990" ht="14.25" customHeight="1">
      <c r="A990" s="265">
        <v>44355.0</v>
      </c>
      <c r="B990" s="266" t="s">
        <v>3677</v>
      </c>
      <c r="C990" s="266"/>
      <c r="D990" s="266" t="s">
        <v>1686</v>
      </c>
      <c r="E990" s="268"/>
      <c r="F990" s="358" t="s">
        <v>4348</v>
      </c>
      <c r="G990" s="268" t="s">
        <v>2085</v>
      </c>
      <c r="H990" s="270">
        <v>0.030937499999999996</v>
      </c>
      <c r="I990" s="271">
        <v>44355.751388888886</v>
      </c>
      <c r="J990" s="268"/>
      <c r="K990" s="271">
        <v>44355.77077546297</v>
      </c>
      <c r="L990" s="288" t="str">
        <f t="shared" si="3"/>
        <v>12:27:55 AM</v>
      </c>
      <c r="M990" s="278"/>
      <c r="N990" s="290"/>
      <c r="O990" s="276"/>
      <c r="P990" s="276"/>
      <c r="Q990" s="276"/>
      <c r="R990" s="278"/>
      <c r="S990" s="278"/>
      <c r="T990" s="278"/>
      <c r="U990" s="279"/>
      <c r="V990" s="279" t="s">
        <v>1746</v>
      </c>
      <c r="W990" s="280">
        <v>44355.0</v>
      </c>
      <c r="X990" s="281">
        <v>0.16666666666666666</v>
      </c>
      <c r="Y990" s="279" t="s">
        <v>1693</v>
      </c>
      <c r="Z990" s="282" t="s">
        <v>1570</v>
      </c>
      <c r="AA990" s="282" t="s">
        <v>4348</v>
      </c>
      <c r="AB990" s="283">
        <v>44355.0</v>
      </c>
      <c r="AC990" s="284"/>
      <c r="AD990" s="284"/>
    </row>
    <row r="991" ht="14.25" customHeight="1">
      <c r="A991" s="265">
        <v>44355.0</v>
      </c>
      <c r="B991" s="266" t="s">
        <v>1733</v>
      </c>
      <c r="C991" s="266"/>
      <c r="D991" s="266" t="s">
        <v>1455</v>
      </c>
      <c r="E991" s="268"/>
      <c r="F991" s="358" t="s">
        <v>4349</v>
      </c>
      <c r="G991" s="268" t="s">
        <v>2085</v>
      </c>
      <c r="H991" s="270">
        <v>0.019328703703703702</v>
      </c>
      <c r="I991" s="271">
        <v>44355.910416666666</v>
      </c>
      <c r="J991" s="268"/>
      <c r="K991" s="271">
        <v>44355.93425925926</v>
      </c>
      <c r="L991" s="288" t="str">
        <f t="shared" si="3"/>
        <v>12:34:20 AM</v>
      </c>
      <c r="M991" s="278"/>
      <c r="N991" s="290"/>
      <c r="O991" s="276"/>
      <c r="P991" s="276"/>
      <c r="Q991" s="276"/>
      <c r="R991" s="278"/>
      <c r="S991" s="278"/>
      <c r="T991" s="278"/>
      <c r="U991" s="279"/>
      <c r="V991" s="279" t="s">
        <v>1824</v>
      </c>
      <c r="W991" s="280">
        <v>44356.0</v>
      </c>
      <c r="X991" s="281">
        <v>0.06997685185185186</v>
      </c>
      <c r="Y991" s="279" t="s">
        <v>1693</v>
      </c>
      <c r="Z991" s="282" t="s">
        <v>1570</v>
      </c>
      <c r="AA991" s="282" t="s">
        <v>4349</v>
      </c>
      <c r="AB991" s="283">
        <v>44355.0</v>
      </c>
      <c r="AC991" s="284"/>
      <c r="AD991" s="284"/>
    </row>
    <row r="992" ht="14.25" customHeight="1">
      <c r="A992" s="265">
        <v>44356.0</v>
      </c>
      <c r="B992" s="266" t="s">
        <v>1500</v>
      </c>
      <c r="C992" s="266" t="s">
        <v>2641</v>
      </c>
      <c r="D992" s="266" t="s">
        <v>1543</v>
      </c>
      <c r="E992" s="268"/>
      <c r="F992" s="269" t="s">
        <v>4350</v>
      </c>
      <c r="G992" s="268" t="s">
        <v>1463</v>
      </c>
      <c r="H992" s="270">
        <v>0.0014699074074074074</v>
      </c>
      <c r="I992" s="271">
        <v>44358.71666666667</v>
      </c>
      <c r="J992" s="268"/>
      <c r="K992" s="271">
        <v>44359.113587962966</v>
      </c>
      <c r="L992" s="288"/>
      <c r="M992" s="278" t="s">
        <v>4351</v>
      </c>
      <c r="N992" s="290"/>
      <c r="O992" s="276"/>
      <c r="P992" s="276"/>
      <c r="Q992" s="276"/>
      <c r="R992" s="278"/>
      <c r="S992" s="278"/>
      <c r="T992" s="278"/>
      <c r="U992" s="279"/>
      <c r="V992" s="279" t="s">
        <v>1824</v>
      </c>
      <c r="W992" s="280">
        <v>44363.0</v>
      </c>
      <c r="X992" s="281">
        <v>0.01462962962962963</v>
      </c>
      <c r="Y992" s="279" t="s">
        <v>1693</v>
      </c>
      <c r="Z992" s="282" t="s">
        <v>53</v>
      </c>
      <c r="AA992" s="282">
        <v>6375017.0</v>
      </c>
      <c r="AB992" s="283">
        <v>44362.0</v>
      </c>
      <c r="AC992" s="284"/>
      <c r="AD992" s="284"/>
    </row>
    <row r="993" ht="14.25" customHeight="1">
      <c r="A993" s="265">
        <v>44356.0</v>
      </c>
      <c r="B993" s="266" t="s">
        <v>1500</v>
      </c>
      <c r="C993" s="266" t="s">
        <v>1686</v>
      </c>
      <c r="D993" s="266" t="s">
        <v>1543</v>
      </c>
      <c r="E993" s="268"/>
      <c r="F993" s="269" t="s">
        <v>4352</v>
      </c>
      <c r="G993" s="268" t="s">
        <v>1463</v>
      </c>
      <c r="H993" s="270">
        <v>8.796296296296296E-4</v>
      </c>
      <c r="I993" s="271">
        <v>44358.71666666667</v>
      </c>
      <c r="J993" s="268"/>
      <c r="K993" s="271">
        <v>44363.83008101852</v>
      </c>
      <c r="L993" s="288"/>
      <c r="M993" s="278" t="s">
        <v>4353</v>
      </c>
      <c r="N993" s="290"/>
      <c r="O993" s="276"/>
      <c r="P993" s="276"/>
      <c r="Q993" s="276"/>
      <c r="R993" s="278"/>
      <c r="S993" s="278"/>
      <c r="T993" s="278"/>
      <c r="U993" s="279"/>
      <c r="V993" s="279" t="s">
        <v>1824</v>
      </c>
      <c r="W993" s="280">
        <v>44363.0</v>
      </c>
      <c r="X993" s="281">
        <v>0.004050925925925926</v>
      </c>
      <c r="Y993" s="279" t="s">
        <v>1693</v>
      </c>
      <c r="Z993" s="282" t="s">
        <v>53</v>
      </c>
      <c r="AA993" s="282">
        <v>6380417.0</v>
      </c>
      <c r="AB993" s="283">
        <v>44369.0</v>
      </c>
      <c r="AC993" s="284"/>
      <c r="AD993" s="284"/>
    </row>
    <row r="994" ht="14.25" customHeight="1">
      <c r="A994" s="265">
        <v>44356.0</v>
      </c>
      <c r="B994" s="266" t="s">
        <v>1738</v>
      </c>
      <c r="C994" s="266"/>
      <c r="D994" s="266" t="s">
        <v>1450</v>
      </c>
      <c r="E994" s="268"/>
      <c r="F994" s="358" t="s">
        <v>4354</v>
      </c>
      <c r="G994" s="268" t="s">
        <v>2085</v>
      </c>
      <c r="H994" s="270">
        <v>0.09929398148148148</v>
      </c>
      <c r="I994" s="271">
        <v>44356.72638888889</v>
      </c>
      <c r="J994" s="268"/>
      <c r="K994" s="271">
        <v>44356.85208333333</v>
      </c>
      <c r="L994" s="288" t="str">
        <f t="shared" ref="L994:L997" si="4">IFERROR(IF(OR(I994="",K994=""),"",K994-I994),"")</f>
        <v>3:01:00 AM</v>
      </c>
      <c r="M994" s="278"/>
      <c r="N994" s="290"/>
      <c r="O994" s="276"/>
      <c r="P994" s="276"/>
      <c r="Q994" s="276"/>
      <c r="R994" s="278"/>
      <c r="S994" s="278"/>
      <c r="T994" s="278"/>
      <c r="U994" s="279"/>
      <c r="V994" s="279" t="s">
        <v>1738</v>
      </c>
      <c r="W994" s="280">
        <v>44357.0</v>
      </c>
      <c r="X994" s="281">
        <v>0.25</v>
      </c>
      <c r="Y994" s="279" t="s">
        <v>1693</v>
      </c>
      <c r="Z994" s="282" t="s">
        <v>1570</v>
      </c>
      <c r="AA994" s="282" t="s">
        <v>4354</v>
      </c>
      <c r="AB994" s="283">
        <v>44356.0</v>
      </c>
      <c r="AC994" s="284"/>
      <c r="AD994" s="284"/>
    </row>
    <row r="995" ht="14.25" customHeight="1">
      <c r="A995" s="265">
        <v>44356.0</v>
      </c>
      <c r="B995" s="266" t="s">
        <v>1824</v>
      </c>
      <c r="C995" s="266"/>
      <c r="D995" s="266" t="s">
        <v>1452</v>
      </c>
      <c r="E995" s="268"/>
      <c r="F995" s="358" t="s">
        <v>4355</v>
      </c>
      <c r="G995" s="268" t="s">
        <v>2085</v>
      </c>
      <c r="H995" s="270">
        <v>0.0037037037037037034</v>
      </c>
      <c r="I995" s="271">
        <v>44356.74722222222</v>
      </c>
      <c r="J995" s="268"/>
      <c r="K995" s="271">
        <v>44356.75523148148</v>
      </c>
      <c r="L995" s="288" t="str">
        <f t="shared" si="4"/>
        <v>12:11:32 AM</v>
      </c>
      <c r="M995" s="278"/>
      <c r="N995" s="290"/>
      <c r="O995" s="276"/>
      <c r="P995" s="276"/>
      <c r="Q995" s="276"/>
      <c r="R995" s="278"/>
      <c r="S995" s="278"/>
      <c r="T995" s="278"/>
      <c r="U995" s="279"/>
      <c r="V995" s="279" t="s">
        <v>1824</v>
      </c>
      <c r="W995" s="280">
        <v>44357.0</v>
      </c>
      <c r="X995" s="281">
        <v>0.014120370370370368</v>
      </c>
      <c r="Y995" s="279" t="s">
        <v>1693</v>
      </c>
      <c r="Z995" s="282" t="s">
        <v>1570</v>
      </c>
      <c r="AA995" s="282" t="s">
        <v>4355</v>
      </c>
      <c r="AB995" s="283">
        <v>44356.0</v>
      </c>
      <c r="AC995" s="284"/>
      <c r="AD995" s="284"/>
    </row>
    <row r="996" ht="14.25" customHeight="1">
      <c r="A996" s="265">
        <v>44356.0</v>
      </c>
      <c r="B996" s="266" t="s">
        <v>3677</v>
      </c>
      <c r="C996" s="266"/>
      <c r="D996" s="266" t="s">
        <v>1686</v>
      </c>
      <c r="E996" s="268"/>
      <c r="F996" s="358" t="s">
        <v>4356</v>
      </c>
      <c r="G996" s="268" t="s">
        <v>2085</v>
      </c>
      <c r="H996" s="270">
        <v>0.03877314814814815</v>
      </c>
      <c r="I996" s="271">
        <v>44356.853472222225</v>
      </c>
      <c r="J996" s="268"/>
      <c r="K996" s="268"/>
      <c r="L996" s="288" t="str">
        <f t="shared" si="4"/>
        <v/>
      </c>
      <c r="M996" s="307" t="s">
        <v>2808</v>
      </c>
      <c r="N996" s="273">
        <v>44356.9125</v>
      </c>
      <c r="O996" s="276" t="s">
        <v>4357</v>
      </c>
      <c r="P996" s="275" t="s">
        <v>1463</v>
      </c>
      <c r="Q996" s="276" t="s">
        <v>1819</v>
      </c>
      <c r="R996" s="277">
        <v>44356.93990740741</v>
      </c>
      <c r="S996" s="278"/>
      <c r="T996" s="278" t="s">
        <v>4358</v>
      </c>
      <c r="U996" s="279"/>
      <c r="V996" s="279" t="s">
        <v>1746</v>
      </c>
      <c r="W996" s="280">
        <v>44357.0</v>
      </c>
      <c r="X996" s="281">
        <v>0.16666666666666666</v>
      </c>
      <c r="Y996" s="279" t="s">
        <v>1693</v>
      </c>
      <c r="Z996" s="282" t="s">
        <v>1570</v>
      </c>
      <c r="AA996" s="282" t="s">
        <v>4356</v>
      </c>
      <c r="AB996" s="283">
        <v>44358.0</v>
      </c>
      <c r="AC996" s="284"/>
      <c r="AD996" s="284"/>
    </row>
    <row r="997" ht="14.25" customHeight="1">
      <c r="A997" s="265">
        <v>44356.0</v>
      </c>
      <c r="B997" s="266" t="s">
        <v>1733</v>
      </c>
      <c r="C997" s="266"/>
      <c r="D997" s="266" t="s">
        <v>1455</v>
      </c>
      <c r="E997" s="268"/>
      <c r="F997" s="358" t="s">
        <v>4359</v>
      </c>
      <c r="G997" s="268" t="s">
        <v>2085</v>
      </c>
      <c r="H997" s="270">
        <v>0.020752314814814814</v>
      </c>
      <c r="I997" s="271">
        <v>44356.91805555556</v>
      </c>
      <c r="J997" s="268"/>
      <c r="K997" s="271">
        <v>44356.93394675926</v>
      </c>
      <c r="L997" s="288" t="str">
        <f t="shared" si="4"/>
        <v>12:22:53 AM</v>
      </c>
      <c r="M997" s="278"/>
      <c r="N997" s="290"/>
      <c r="O997" s="276"/>
      <c r="P997" s="276"/>
      <c r="Q997" s="276"/>
      <c r="R997" s="278"/>
      <c r="S997" s="278"/>
      <c r="T997" s="278"/>
      <c r="U997" s="279"/>
      <c r="V997" s="279" t="s">
        <v>1824</v>
      </c>
      <c r="W997" s="280">
        <v>44357.0</v>
      </c>
      <c r="X997" s="281">
        <v>0.0744675925925926</v>
      </c>
      <c r="Y997" s="279" t="s">
        <v>1693</v>
      </c>
      <c r="Z997" s="282" t="s">
        <v>1570</v>
      </c>
      <c r="AA997" s="282" t="s">
        <v>4359</v>
      </c>
      <c r="AB997" s="283">
        <v>44356.0</v>
      </c>
      <c r="AC997" s="284"/>
      <c r="AD997" s="284"/>
    </row>
    <row r="998" ht="14.25" customHeight="1">
      <c r="A998" s="265">
        <v>44357.0</v>
      </c>
      <c r="B998" s="266" t="s">
        <v>1500</v>
      </c>
      <c r="C998" s="266" t="s">
        <v>1686</v>
      </c>
      <c r="D998" s="266" t="s">
        <v>1543</v>
      </c>
      <c r="E998" s="268"/>
      <c r="F998" s="269" t="s">
        <v>4360</v>
      </c>
      <c r="G998" s="268" t="s">
        <v>1463</v>
      </c>
      <c r="H998" s="270">
        <v>0.003425925925925926</v>
      </c>
      <c r="I998" s="271">
        <v>44358.71666666667</v>
      </c>
      <c r="J998" s="268"/>
      <c r="K998" s="271">
        <v>44359.11414351852</v>
      </c>
      <c r="L998" s="288"/>
      <c r="M998" s="278" t="s">
        <v>4361</v>
      </c>
      <c r="N998" s="290"/>
      <c r="O998" s="276"/>
      <c r="P998" s="276"/>
      <c r="Q998" s="276"/>
      <c r="R998" s="278"/>
      <c r="S998" s="278"/>
      <c r="T998" s="278"/>
      <c r="U998" s="279"/>
      <c r="V998" s="279" t="s">
        <v>1824</v>
      </c>
      <c r="W998" s="280">
        <v>44363.0</v>
      </c>
      <c r="X998" s="281">
        <v>0.008518518518518519</v>
      </c>
      <c r="Y998" s="279" t="s">
        <v>1693</v>
      </c>
      <c r="Z998" s="282" t="s">
        <v>53</v>
      </c>
      <c r="AA998" s="282">
        <v>6375018.0</v>
      </c>
      <c r="AB998" s="283">
        <v>44363.0</v>
      </c>
      <c r="AC998" s="284"/>
      <c r="AD998" s="284"/>
    </row>
    <row r="999" ht="14.25" customHeight="1">
      <c r="A999" s="265">
        <v>44357.0</v>
      </c>
      <c r="B999" s="266" t="s">
        <v>1738</v>
      </c>
      <c r="C999" s="266"/>
      <c r="D999" s="266" t="s">
        <v>1450</v>
      </c>
      <c r="E999" s="268"/>
      <c r="F999" s="358" t="s">
        <v>4362</v>
      </c>
      <c r="G999" s="268" t="s">
        <v>2085</v>
      </c>
      <c r="H999" s="270">
        <v>0.0994212962962963</v>
      </c>
      <c r="I999" s="271">
        <v>44357.729166666664</v>
      </c>
      <c r="J999" s="268"/>
      <c r="K999" s="271">
        <v>44357.82840277778</v>
      </c>
      <c r="L999" s="288" t="str">
        <f t="shared" ref="L999:L1002" si="5">IFERROR(IF(OR(I999="",K999=""),"",K999-I999),"")</f>
        <v>2:22:54 AM</v>
      </c>
      <c r="M999" s="278"/>
      <c r="N999" s="290"/>
      <c r="O999" s="276"/>
      <c r="P999" s="276"/>
      <c r="Q999" s="276"/>
      <c r="R999" s="278"/>
      <c r="S999" s="278"/>
      <c r="T999" s="278"/>
      <c r="U999" s="279"/>
      <c r="V999" s="279" t="s">
        <v>1738</v>
      </c>
      <c r="W999" s="280">
        <v>44358.0</v>
      </c>
      <c r="X999" s="281">
        <v>0.25</v>
      </c>
      <c r="Y999" s="279" t="s">
        <v>1693</v>
      </c>
      <c r="Z999" s="282" t="s">
        <v>1570</v>
      </c>
      <c r="AA999" s="282" t="s">
        <v>4362</v>
      </c>
      <c r="AB999" s="283">
        <v>44358.0</v>
      </c>
      <c r="AC999" s="284"/>
      <c r="AD999" s="284"/>
    </row>
    <row r="1000" ht="14.25" customHeight="1">
      <c r="A1000" s="265">
        <v>44357.0</v>
      </c>
      <c r="B1000" s="266" t="s">
        <v>1824</v>
      </c>
      <c r="C1000" s="266"/>
      <c r="D1000" s="266" t="s">
        <v>1452</v>
      </c>
      <c r="E1000" s="268"/>
      <c r="F1000" s="358" t="s">
        <v>4363</v>
      </c>
      <c r="G1000" s="268" t="s">
        <v>2085</v>
      </c>
      <c r="H1000" s="270">
        <v>0.004895833333333333</v>
      </c>
      <c r="I1000" s="271">
        <v>44357.73055555556</v>
      </c>
      <c r="J1000" s="268"/>
      <c r="K1000" s="271">
        <v>44357.74265046296</v>
      </c>
      <c r="L1000" s="288" t="str">
        <f t="shared" si="5"/>
        <v>12:17:25 AM</v>
      </c>
      <c r="M1000" s="278"/>
      <c r="N1000" s="290"/>
      <c r="O1000" s="276"/>
      <c r="P1000" s="276"/>
      <c r="Q1000" s="276"/>
      <c r="R1000" s="278"/>
      <c r="S1000" s="278"/>
      <c r="T1000" s="278"/>
      <c r="U1000" s="279"/>
      <c r="V1000" s="279" t="s">
        <v>1824</v>
      </c>
      <c r="W1000" s="280">
        <v>44358.0</v>
      </c>
      <c r="X1000" s="281">
        <v>0.019016203703703705</v>
      </c>
      <c r="Y1000" s="279" t="s">
        <v>1693</v>
      </c>
      <c r="Z1000" s="282" t="s">
        <v>1570</v>
      </c>
      <c r="AA1000" s="282" t="s">
        <v>4363</v>
      </c>
      <c r="AB1000" s="283">
        <v>44358.0</v>
      </c>
      <c r="AC1000" s="284"/>
      <c r="AD1000" s="284"/>
    </row>
    <row r="1001" ht="14.25" customHeight="1">
      <c r="A1001" s="265">
        <v>44357.0</v>
      </c>
      <c r="B1001" s="266" t="s">
        <v>3677</v>
      </c>
      <c r="C1001" s="266"/>
      <c r="D1001" s="266" t="s">
        <v>1686</v>
      </c>
      <c r="E1001" s="268"/>
      <c r="F1001" s="358" t="s">
        <v>4364</v>
      </c>
      <c r="G1001" s="268" t="s">
        <v>2085</v>
      </c>
      <c r="H1001" s="270">
        <v>0.03804398148148148</v>
      </c>
      <c r="I1001" s="271">
        <v>44357.78333333333</v>
      </c>
      <c r="J1001" s="268"/>
      <c r="K1001" s="271">
        <v>44357.827361111114</v>
      </c>
      <c r="L1001" s="288" t="str">
        <f t="shared" si="5"/>
        <v>1:03:24 AM</v>
      </c>
      <c r="M1001" s="278"/>
      <c r="N1001" s="290"/>
      <c r="O1001" s="276"/>
      <c r="P1001" s="276"/>
      <c r="Q1001" s="276"/>
      <c r="R1001" s="278"/>
      <c r="S1001" s="278"/>
      <c r="T1001" s="278"/>
      <c r="U1001" s="279"/>
      <c r="V1001" s="279" t="s">
        <v>1746</v>
      </c>
      <c r="W1001" s="280">
        <v>44358.0</v>
      </c>
      <c r="X1001" s="281">
        <v>0.16666666666666666</v>
      </c>
      <c r="Y1001" s="279" t="s">
        <v>1693</v>
      </c>
      <c r="Z1001" s="282" t="s">
        <v>1570</v>
      </c>
      <c r="AA1001" s="282" t="s">
        <v>4364</v>
      </c>
      <c r="AB1001" s="283">
        <v>44358.0</v>
      </c>
      <c r="AC1001" s="284"/>
      <c r="AD1001" s="284"/>
    </row>
    <row r="1002" ht="14.25" customHeight="1">
      <c r="A1002" s="265">
        <v>44357.0</v>
      </c>
      <c r="B1002" s="266" t="s">
        <v>1733</v>
      </c>
      <c r="C1002" s="266"/>
      <c r="D1002" s="266" t="s">
        <v>1455</v>
      </c>
      <c r="E1002" s="268"/>
      <c r="F1002" s="358" t="s">
        <v>4365</v>
      </c>
      <c r="G1002" s="268" t="s">
        <v>2085</v>
      </c>
      <c r="H1002" s="270">
        <v>0.020474537037037038</v>
      </c>
      <c r="I1002" s="271">
        <v>44357.90555555555</v>
      </c>
      <c r="J1002" s="268"/>
      <c r="K1002" s="271">
        <v>44357.933333333334</v>
      </c>
      <c r="L1002" s="288" t="str">
        <f t="shared" si="5"/>
        <v>12:40:00 AM</v>
      </c>
      <c r="M1002" s="278"/>
      <c r="N1002" s="290"/>
      <c r="O1002" s="276"/>
      <c r="P1002" s="276"/>
      <c r="Q1002" s="276"/>
      <c r="R1002" s="278"/>
      <c r="S1002" s="278"/>
      <c r="T1002" s="278"/>
      <c r="U1002" s="279"/>
      <c r="V1002" s="279" t="s">
        <v>1824</v>
      </c>
      <c r="W1002" s="280">
        <v>44358.0</v>
      </c>
      <c r="X1002" s="281">
        <v>0.06923611111111111</v>
      </c>
      <c r="Y1002" s="279" t="s">
        <v>1693</v>
      </c>
      <c r="Z1002" s="282" t="s">
        <v>1570</v>
      </c>
      <c r="AA1002" s="282" t="s">
        <v>4365</v>
      </c>
      <c r="AB1002" s="283">
        <v>44358.0</v>
      </c>
      <c r="AC1002" s="284"/>
      <c r="AD1002" s="284"/>
    </row>
    <row r="1003" ht="14.25" customHeight="1">
      <c r="A1003" s="265">
        <v>44358.0</v>
      </c>
      <c r="B1003" s="266" t="s">
        <v>1500</v>
      </c>
      <c r="C1003" s="266" t="s">
        <v>4366</v>
      </c>
      <c r="D1003" s="266" t="s">
        <v>1543</v>
      </c>
      <c r="E1003" s="268"/>
      <c r="F1003" s="269" t="s">
        <v>4367</v>
      </c>
      <c r="G1003" s="268" t="s">
        <v>1463</v>
      </c>
      <c r="H1003" s="270">
        <v>0.035034722222222224</v>
      </c>
      <c r="I1003" s="271">
        <v>44369.541666666664</v>
      </c>
      <c r="J1003" s="268"/>
      <c r="K1003" s="271">
        <v>44369.97990740741</v>
      </c>
      <c r="L1003" s="288"/>
      <c r="M1003" s="278" t="s">
        <v>4368</v>
      </c>
      <c r="N1003" s="290"/>
      <c r="O1003" s="276"/>
      <c r="P1003" s="276"/>
      <c r="Q1003" s="276"/>
      <c r="R1003" s="278"/>
      <c r="S1003" s="278"/>
      <c r="T1003" s="278"/>
      <c r="U1003" s="279"/>
      <c r="V1003" s="279" t="s">
        <v>1570</v>
      </c>
      <c r="W1003" s="280" t="s">
        <v>4369</v>
      </c>
      <c r="X1003" s="281">
        <v>0.16666666666666666</v>
      </c>
      <c r="Y1003" s="279" t="s">
        <v>1693</v>
      </c>
      <c r="Z1003" s="282" t="s">
        <v>53</v>
      </c>
      <c r="AA1003" s="282">
        <v>6383343.0</v>
      </c>
      <c r="AB1003" s="283">
        <v>44376.0</v>
      </c>
      <c r="AC1003" s="284"/>
      <c r="AD1003" s="284"/>
    </row>
    <row r="1004" ht="14.25" customHeight="1">
      <c r="A1004" s="265">
        <v>44358.0</v>
      </c>
      <c r="B1004" s="266" t="s">
        <v>1738</v>
      </c>
      <c r="C1004" s="266"/>
      <c r="D1004" s="266" t="s">
        <v>1450</v>
      </c>
      <c r="E1004" s="268"/>
      <c r="F1004" s="358" t="s">
        <v>4370</v>
      </c>
      <c r="G1004" s="268" t="s">
        <v>2085</v>
      </c>
      <c r="H1004" s="270">
        <v>0.0989236111111111</v>
      </c>
      <c r="I1004" s="271">
        <v>44357.71944444445</v>
      </c>
      <c r="J1004" s="268"/>
      <c r="K1004" s="271">
        <v>44358.78506944444</v>
      </c>
      <c r="L1004" s="288" t="str">
        <f t="shared" ref="L1004:L1007" si="6">IFERROR(IF(OR(I1004="",K1004=""),"",K1004-I1004),"")</f>
        <v>1:34:30 AM</v>
      </c>
      <c r="M1004" s="278"/>
      <c r="N1004" s="290"/>
      <c r="O1004" s="276"/>
      <c r="P1004" s="276"/>
      <c r="Q1004" s="276"/>
      <c r="R1004" s="278"/>
      <c r="S1004" s="278"/>
      <c r="T1004" s="278"/>
      <c r="U1004" s="279"/>
      <c r="V1004" s="279" t="s">
        <v>1746</v>
      </c>
      <c r="W1004" s="280">
        <v>44361.0</v>
      </c>
      <c r="X1004" s="281">
        <v>0.3333333333333333</v>
      </c>
      <c r="Y1004" s="279" t="s">
        <v>1693</v>
      </c>
      <c r="Z1004" s="282" t="s">
        <v>1570</v>
      </c>
      <c r="AA1004" s="282" t="s">
        <v>4370</v>
      </c>
      <c r="AB1004" s="283">
        <v>44358.0</v>
      </c>
      <c r="AC1004" s="284"/>
      <c r="AD1004" s="284"/>
    </row>
    <row r="1005" ht="14.25" customHeight="1">
      <c r="A1005" s="265">
        <v>44358.0</v>
      </c>
      <c r="B1005" s="266" t="s">
        <v>1824</v>
      </c>
      <c r="C1005" s="266"/>
      <c r="D1005" s="266" t="s">
        <v>1452</v>
      </c>
      <c r="E1005" s="268"/>
      <c r="F1005" s="358" t="s">
        <v>4371</v>
      </c>
      <c r="G1005" s="268" t="s">
        <v>2085</v>
      </c>
      <c r="H1005" s="270">
        <v>0.002835648148148148</v>
      </c>
      <c r="I1005" s="271">
        <v>44358.74652777778</v>
      </c>
      <c r="J1005" s="268"/>
      <c r="K1005" s="271">
        <v>44358.751388888886</v>
      </c>
      <c r="L1005" s="288" t="str">
        <f t="shared" si="6"/>
        <v>12:07:00 AM</v>
      </c>
      <c r="M1005" s="278"/>
      <c r="N1005" s="290"/>
      <c r="O1005" s="276"/>
      <c r="P1005" s="276"/>
      <c r="Q1005" s="276"/>
      <c r="R1005" s="278"/>
      <c r="S1005" s="278"/>
      <c r="T1005" s="278"/>
      <c r="U1005" s="279"/>
      <c r="V1005" s="279" t="s">
        <v>1824</v>
      </c>
      <c r="W1005" s="280">
        <v>44361.0</v>
      </c>
      <c r="X1005" s="281">
        <v>0.009317129629629628</v>
      </c>
      <c r="Y1005" s="279" t="s">
        <v>1693</v>
      </c>
      <c r="Z1005" s="282" t="s">
        <v>1570</v>
      </c>
      <c r="AA1005" s="282" t="s">
        <v>4371</v>
      </c>
      <c r="AB1005" s="283">
        <v>44358.0</v>
      </c>
      <c r="AC1005" s="284"/>
      <c r="AD1005" s="284"/>
    </row>
    <row r="1006" ht="14.25" customHeight="1">
      <c r="A1006" s="265">
        <v>44358.0</v>
      </c>
      <c r="B1006" s="266" t="s">
        <v>3677</v>
      </c>
      <c r="C1006" s="266"/>
      <c r="D1006" s="266" t="s">
        <v>1686</v>
      </c>
      <c r="E1006" s="268"/>
      <c r="F1006" s="358" t="s">
        <v>4372</v>
      </c>
      <c r="G1006" s="268" t="s">
        <v>2085</v>
      </c>
      <c r="H1006" s="270">
        <v>0.035729166666666666</v>
      </c>
      <c r="I1006" s="271">
        <v>44358.751388888886</v>
      </c>
      <c r="J1006" s="268"/>
      <c r="K1006" s="271">
        <v>44358.78549768519</v>
      </c>
      <c r="L1006" s="288" t="str">
        <f t="shared" si="6"/>
        <v>12:49:07 AM</v>
      </c>
      <c r="M1006" s="278"/>
      <c r="N1006" s="290"/>
      <c r="O1006" s="276"/>
      <c r="P1006" s="276"/>
      <c r="Q1006" s="276"/>
      <c r="R1006" s="278"/>
      <c r="S1006" s="278"/>
      <c r="T1006" s="278"/>
      <c r="U1006" s="279"/>
      <c r="V1006" s="279" t="s">
        <v>1685</v>
      </c>
      <c r="W1006" s="280">
        <v>44300.0</v>
      </c>
      <c r="X1006" s="281">
        <v>0.16666666666666666</v>
      </c>
      <c r="Y1006" s="279" t="s">
        <v>1693</v>
      </c>
      <c r="Z1006" s="282" t="s">
        <v>1570</v>
      </c>
      <c r="AA1006" s="282" t="s">
        <v>4372</v>
      </c>
      <c r="AB1006" s="283">
        <v>44358.0</v>
      </c>
      <c r="AC1006" s="284"/>
      <c r="AD1006" s="284"/>
    </row>
    <row r="1007" ht="14.25" customHeight="1">
      <c r="A1007" s="265">
        <v>44358.0</v>
      </c>
      <c r="B1007" s="266" t="s">
        <v>1733</v>
      </c>
      <c r="C1007" s="266"/>
      <c r="D1007" s="266" t="s">
        <v>1455</v>
      </c>
      <c r="E1007" s="268"/>
      <c r="F1007" s="358" t="s">
        <v>4373</v>
      </c>
      <c r="G1007" s="268" t="s">
        <v>2085</v>
      </c>
      <c r="H1007" s="270">
        <v>0.01965277777777778</v>
      </c>
      <c r="I1007" s="271">
        <v>44358.89236111111</v>
      </c>
      <c r="J1007" s="268"/>
      <c r="K1007" s="271">
        <v>44358.91453703704</v>
      </c>
      <c r="L1007" s="288" t="str">
        <f t="shared" si="6"/>
        <v>12:31:56 AM</v>
      </c>
      <c r="M1007" s="278"/>
      <c r="N1007" s="290"/>
      <c r="O1007" s="276"/>
      <c r="P1007" s="276"/>
      <c r="Q1007" s="276"/>
      <c r="R1007" s="278"/>
      <c r="S1007" s="278"/>
      <c r="T1007" s="278"/>
      <c r="U1007" s="279"/>
      <c r="V1007" s="279" t="s">
        <v>1733</v>
      </c>
      <c r="W1007" s="280">
        <v>44300.0</v>
      </c>
      <c r="X1007" s="281">
        <v>0.08333333333333333</v>
      </c>
      <c r="Y1007" s="279" t="s">
        <v>1693</v>
      </c>
      <c r="Z1007" s="282" t="s">
        <v>1570</v>
      </c>
      <c r="AA1007" s="282" t="s">
        <v>4373</v>
      </c>
      <c r="AB1007" s="283">
        <v>44358.0</v>
      </c>
      <c r="AC1007" s="284"/>
      <c r="AD1007" s="284"/>
    </row>
    <row r="1008" ht="14.25" customHeight="1">
      <c r="A1008" s="265">
        <v>44359.0</v>
      </c>
      <c r="B1008" s="266" t="s">
        <v>1500</v>
      </c>
      <c r="C1008" s="418" t="s">
        <v>4374</v>
      </c>
      <c r="D1008" s="266" t="s">
        <v>1543</v>
      </c>
      <c r="E1008" s="268"/>
      <c r="F1008" s="269" t="s">
        <v>4375</v>
      </c>
      <c r="G1008" s="268" t="s">
        <v>1463</v>
      </c>
      <c r="H1008" s="270">
        <v>0.004895833333333333</v>
      </c>
      <c r="I1008" s="271">
        <v>44361.63888888889</v>
      </c>
      <c r="J1008" s="268"/>
      <c r="K1008" s="271">
        <v>44361.65547453704</v>
      </c>
      <c r="L1008" s="288"/>
      <c r="M1008" s="278" t="s">
        <v>4376</v>
      </c>
      <c r="N1008" s="290"/>
      <c r="O1008" s="276"/>
      <c r="P1008" s="276"/>
      <c r="Q1008" s="276"/>
      <c r="R1008" s="278"/>
      <c r="S1008" s="278"/>
      <c r="T1008" s="278"/>
      <c r="U1008" s="279"/>
      <c r="V1008" s="279" t="s">
        <v>1824</v>
      </c>
      <c r="W1008" s="280">
        <v>44363.0</v>
      </c>
      <c r="X1008" s="281">
        <v>0.010555555555555554</v>
      </c>
      <c r="Y1008" s="279" t="s">
        <v>1693</v>
      </c>
      <c r="Z1008" s="282" t="s">
        <v>53</v>
      </c>
      <c r="AA1008" s="282">
        <v>6375019.0</v>
      </c>
      <c r="AB1008" s="283">
        <v>44362.0</v>
      </c>
      <c r="AC1008" s="284"/>
      <c r="AD1008" s="284"/>
    </row>
    <row r="1009" ht="14.25" customHeight="1">
      <c r="A1009" s="265">
        <v>44359.0</v>
      </c>
      <c r="B1009" s="266" t="s">
        <v>1500</v>
      </c>
      <c r="C1009" s="418" t="s">
        <v>1686</v>
      </c>
      <c r="D1009" s="266" t="s">
        <v>1543</v>
      </c>
      <c r="E1009" s="268"/>
      <c r="F1009" s="269" t="s">
        <v>4377</v>
      </c>
      <c r="G1009" s="268" t="s">
        <v>1463</v>
      </c>
      <c r="H1009" s="270">
        <v>0.001597222222222222</v>
      </c>
      <c r="I1009" s="271">
        <v>44362.489583333336</v>
      </c>
      <c r="J1009" s="268"/>
      <c r="K1009" s="271">
        <v>44363.830555555556</v>
      </c>
      <c r="L1009" s="288"/>
      <c r="M1009" s="278" t="s">
        <v>4378</v>
      </c>
      <c r="N1009" s="290"/>
      <c r="O1009" s="276"/>
      <c r="P1009" s="276"/>
      <c r="Q1009" s="276"/>
      <c r="R1009" s="278"/>
      <c r="S1009" s="278"/>
      <c r="T1009" s="278"/>
      <c r="U1009" s="279"/>
      <c r="V1009" s="279" t="s">
        <v>1824</v>
      </c>
      <c r="W1009" s="280">
        <v>44363.0</v>
      </c>
      <c r="X1009" s="281">
        <v>0.00880787037037037</v>
      </c>
      <c r="Y1009" s="279" t="s">
        <v>1693</v>
      </c>
      <c r="Z1009" s="282" t="s">
        <v>53</v>
      </c>
      <c r="AA1009" s="282">
        <v>6380418.0</v>
      </c>
      <c r="AB1009" s="283">
        <v>44369.0</v>
      </c>
      <c r="AC1009" s="284"/>
      <c r="AD1009" s="284"/>
    </row>
    <row r="1010" ht="14.25" customHeight="1">
      <c r="A1010" s="265">
        <v>44359.0</v>
      </c>
      <c r="B1010" s="266" t="s">
        <v>1733</v>
      </c>
      <c r="C1010" s="266" t="s">
        <v>3472</v>
      </c>
      <c r="D1010" s="266" t="s">
        <v>1455</v>
      </c>
      <c r="E1010" s="268"/>
      <c r="F1010" s="286" t="s">
        <v>4379</v>
      </c>
      <c r="G1010" s="268" t="s">
        <v>4162</v>
      </c>
      <c r="H1010" s="270"/>
      <c r="I1010" s="271"/>
      <c r="J1010" s="268"/>
      <c r="K1010" s="271"/>
      <c r="L1010" s="288"/>
      <c r="M1010" s="307" t="s">
        <v>4380</v>
      </c>
      <c r="N1010" s="290"/>
      <c r="O1010" s="276"/>
      <c r="P1010" s="276"/>
      <c r="Q1010" s="276"/>
      <c r="R1010" s="278"/>
      <c r="S1010" s="278"/>
      <c r="T1010" s="307" t="s">
        <v>4380</v>
      </c>
      <c r="U1010" s="279"/>
      <c r="V1010" s="279" t="s">
        <v>28</v>
      </c>
      <c r="W1010" s="280"/>
      <c r="X1010" s="279"/>
      <c r="Y1010" s="279"/>
      <c r="Z1010" s="282" t="s">
        <v>28</v>
      </c>
      <c r="AA1010" s="282" t="s">
        <v>28</v>
      </c>
      <c r="AB1010" s="283" t="s">
        <v>28</v>
      </c>
      <c r="AC1010" s="284"/>
      <c r="AD1010" s="284"/>
    </row>
    <row r="1011" ht="14.25" customHeight="1">
      <c r="A1011" s="265">
        <v>44359.0</v>
      </c>
      <c r="B1011" s="266" t="s">
        <v>3677</v>
      </c>
      <c r="C1011" s="266"/>
      <c r="D1011" s="266" t="s">
        <v>1686</v>
      </c>
      <c r="E1011" s="268"/>
      <c r="F1011" s="358" t="s">
        <v>4381</v>
      </c>
      <c r="G1011" s="268" t="s">
        <v>2085</v>
      </c>
      <c r="H1011" s="270">
        <v>0.03722222222222222</v>
      </c>
      <c r="I1011" s="271">
        <v>44361.44097222222</v>
      </c>
      <c r="J1011" s="268"/>
      <c r="K1011" s="271">
        <v>44361.4734837963</v>
      </c>
      <c r="L1011" s="288" t="str">
        <f t="shared" ref="L1011:L1012" si="7">IFERROR(IF(OR(I1011="",K1011=""),"",K1011-I1011),"")</f>
        <v>12:46:49 AM</v>
      </c>
      <c r="M1011" s="278"/>
      <c r="N1011" s="290"/>
      <c r="O1011" s="276"/>
      <c r="P1011" s="276"/>
      <c r="Q1011" s="276"/>
      <c r="R1011" s="278"/>
      <c r="S1011" s="278"/>
      <c r="T1011" s="278"/>
      <c r="U1011" s="279"/>
      <c r="V1011" s="279" t="s">
        <v>1685</v>
      </c>
      <c r="W1011" s="280">
        <v>44300.0</v>
      </c>
      <c r="X1011" s="281">
        <v>0.125</v>
      </c>
      <c r="Y1011" s="279" t="s">
        <v>1693</v>
      </c>
      <c r="Z1011" s="282" t="s">
        <v>53</v>
      </c>
      <c r="AA1011" s="282" t="s">
        <v>4381</v>
      </c>
      <c r="AB1011" s="283">
        <v>44361.0</v>
      </c>
      <c r="AC1011" s="284"/>
      <c r="AD1011" s="284"/>
    </row>
    <row r="1012" ht="14.25" customHeight="1">
      <c r="A1012" s="265">
        <v>44359.0</v>
      </c>
      <c r="B1012" s="266" t="s">
        <v>1733</v>
      </c>
      <c r="C1012" s="266"/>
      <c r="D1012" s="266" t="s">
        <v>1455</v>
      </c>
      <c r="E1012" s="268"/>
      <c r="F1012" s="358" t="s">
        <v>4382</v>
      </c>
      <c r="G1012" s="268" t="s">
        <v>2085</v>
      </c>
      <c r="H1012" s="270">
        <v>0.016342592592592593</v>
      </c>
      <c r="I1012" s="271">
        <v>44361.59375</v>
      </c>
      <c r="J1012" s="268"/>
      <c r="K1012" s="271">
        <v>44361.60972222222</v>
      </c>
      <c r="L1012" s="288" t="str">
        <f t="shared" si="7"/>
        <v>12:23:00 AM</v>
      </c>
      <c r="M1012" s="278"/>
      <c r="N1012" s="290"/>
      <c r="O1012" s="276"/>
      <c r="P1012" s="276"/>
      <c r="Q1012" s="276"/>
      <c r="R1012" s="278"/>
      <c r="S1012" s="278"/>
      <c r="T1012" s="278"/>
      <c r="U1012" s="279"/>
      <c r="V1012" s="279" t="s">
        <v>1733</v>
      </c>
      <c r="W1012" s="280">
        <v>44242.0</v>
      </c>
      <c r="X1012" s="281">
        <v>0.08333333333333333</v>
      </c>
      <c r="Y1012" s="279" t="s">
        <v>1693</v>
      </c>
      <c r="Z1012" s="282" t="s">
        <v>1570</v>
      </c>
      <c r="AA1012" s="282" t="s">
        <v>4382</v>
      </c>
      <c r="AB1012" s="283">
        <v>44361.0</v>
      </c>
      <c r="AC1012" s="284"/>
      <c r="AD1012" s="284"/>
    </row>
    <row r="1013" ht="14.25" customHeight="1">
      <c r="A1013" s="265">
        <v>44360.0</v>
      </c>
      <c r="B1013" s="266" t="s">
        <v>1733</v>
      </c>
      <c r="C1013" s="266"/>
      <c r="D1013" s="266" t="s">
        <v>3509</v>
      </c>
      <c r="E1013" s="268"/>
      <c r="F1013" s="269" t="s">
        <v>4036</v>
      </c>
      <c r="G1013" s="268"/>
      <c r="H1013" s="270"/>
      <c r="I1013" s="271"/>
      <c r="J1013" s="268"/>
      <c r="K1013" s="268"/>
      <c r="L1013" s="288"/>
      <c r="M1013" s="278"/>
      <c r="N1013" s="290"/>
      <c r="O1013" s="276"/>
      <c r="P1013" s="276"/>
      <c r="Q1013" s="276"/>
      <c r="R1013" s="278"/>
      <c r="S1013" s="278"/>
      <c r="T1013" s="278"/>
      <c r="U1013" s="279"/>
      <c r="V1013" s="279"/>
      <c r="W1013" s="279"/>
      <c r="X1013" s="279"/>
      <c r="Y1013" s="279"/>
      <c r="Z1013" s="282" t="s">
        <v>28</v>
      </c>
      <c r="AA1013" s="282" t="s">
        <v>28</v>
      </c>
      <c r="AB1013" s="282" t="s">
        <v>28</v>
      </c>
      <c r="AC1013" s="284"/>
      <c r="AD1013" s="284"/>
    </row>
    <row r="1014" ht="14.25" customHeight="1">
      <c r="A1014" s="265">
        <v>44360.0</v>
      </c>
      <c r="B1014" s="266" t="s">
        <v>1733</v>
      </c>
      <c r="C1014" s="266"/>
      <c r="D1014" s="266" t="s">
        <v>1457</v>
      </c>
      <c r="E1014" s="268"/>
      <c r="F1014" s="358" t="s">
        <v>4383</v>
      </c>
      <c r="G1014" s="268" t="s">
        <v>2085</v>
      </c>
      <c r="H1014" s="270">
        <v>0.01761574074074074</v>
      </c>
      <c r="I1014" s="271">
        <v>44361.63125</v>
      </c>
      <c r="J1014" s="268"/>
      <c r="K1014" s="271">
        <v>44361.6075462963</v>
      </c>
      <c r="L1014" s="288" t="str">
        <f t="shared" ref="L1014:L1015" si="8">IFERROR(IF(OR(I1014="",K1014=""),"",K1014-I1014),"")</f>
        <v>11:25:52 PM</v>
      </c>
      <c r="M1014" s="278"/>
      <c r="N1014" s="290"/>
      <c r="O1014" s="276"/>
      <c r="P1014" s="276"/>
      <c r="Q1014" s="276"/>
      <c r="R1014" s="278"/>
      <c r="S1014" s="278"/>
      <c r="T1014" s="278"/>
      <c r="U1014" s="279"/>
      <c r="V1014" s="279" t="s">
        <v>1824</v>
      </c>
      <c r="W1014" s="280">
        <v>44363.0</v>
      </c>
      <c r="X1014" s="281">
        <v>0.04806712962962963</v>
      </c>
      <c r="Y1014" s="279" t="s">
        <v>1693</v>
      </c>
      <c r="Z1014" s="282" t="s">
        <v>1570</v>
      </c>
      <c r="AA1014" s="282" t="s">
        <v>4383</v>
      </c>
      <c r="AB1014" s="283">
        <v>44361.0</v>
      </c>
      <c r="AC1014" s="284"/>
      <c r="AD1014" s="284"/>
    </row>
    <row r="1015" ht="14.25" customHeight="1">
      <c r="A1015" s="265">
        <v>44360.0</v>
      </c>
      <c r="B1015" s="266" t="s">
        <v>1733</v>
      </c>
      <c r="C1015" s="266"/>
      <c r="D1015" s="266" t="s">
        <v>2829</v>
      </c>
      <c r="E1015" s="268"/>
      <c r="F1015" s="358" t="s">
        <v>4384</v>
      </c>
      <c r="G1015" s="268" t="s">
        <v>2085</v>
      </c>
      <c r="H1015" s="270">
        <v>0.01871527777777778</v>
      </c>
      <c r="I1015" s="271">
        <v>44361.62013888889</v>
      </c>
      <c r="J1015" s="268"/>
      <c r="K1015" s="268"/>
      <c r="L1015" s="288" t="str">
        <f t="shared" si="8"/>
        <v/>
      </c>
      <c r="M1015" s="307" t="s">
        <v>2808</v>
      </c>
      <c r="N1015" s="273">
        <v>44361.625</v>
      </c>
      <c r="O1015" s="276" t="s">
        <v>4385</v>
      </c>
      <c r="P1015" s="275" t="s">
        <v>1463</v>
      </c>
      <c r="Q1015" s="276" t="s">
        <v>1819</v>
      </c>
      <c r="R1015" s="277">
        <v>44361.63292824074</v>
      </c>
      <c r="S1015" s="278"/>
      <c r="T1015" s="278" t="s">
        <v>4386</v>
      </c>
      <c r="U1015" s="279"/>
      <c r="V1015" s="279"/>
      <c r="W1015" s="279"/>
      <c r="X1015" s="279"/>
      <c r="Y1015" s="279"/>
      <c r="Z1015" s="282" t="s">
        <v>53</v>
      </c>
      <c r="AA1015" s="282" t="s">
        <v>4384</v>
      </c>
      <c r="AB1015" s="283">
        <v>44362.0</v>
      </c>
      <c r="AC1015" s="284"/>
      <c r="AD1015" s="284"/>
    </row>
    <row r="1016" ht="14.25" customHeight="1">
      <c r="A1016" s="265">
        <v>44361.0</v>
      </c>
      <c r="B1016" s="266" t="s">
        <v>1500</v>
      </c>
      <c r="C1016" s="266" t="s">
        <v>1686</v>
      </c>
      <c r="D1016" s="266" t="s">
        <v>1543</v>
      </c>
      <c r="E1016" s="268"/>
      <c r="F1016" s="269" t="s">
        <v>4387</v>
      </c>
      <c r="G1016" s="268" t="s">
        <v>1463</v>
      </c>
      <c r="H1016" s="270">
        <v>0.0037384259259259263</v>
      </c>
      <c r="I1016" s="271">
        <v>44362.489583333336</v>
      </c>
      <c r="J1016" s="268"/>
      <c r="K1016" s="271">
        <v>44363.83131944444</v>
      </c>
      <c r="L1016" s="288"/>
      <c r="M1016" s="272" t="s">
        <v>4388</v>
      </c>
      <c r="N1016" s="273"/>
      <c r="O1016" s="276"/>
      <c r="P1016" s="275"/>
      <c r="Q1016" s="276"/>
      <c r="R1016" s="277"/>
      <c r="S1016" s="278"/>
      <c r="T1016" s="278"/>
      <c r="U1016" s="279"/>
      <c r="V1016" s="279" t="s">
        <v>1824</v>
      </c>
      <c r="W1016" s="280">
        <v>44363.0</v>
      </c>
      <c r="X1016" s="281">
        <v>0.00951388888888889</v>
      </c>
      <c r="Y1016" s="279" t="s">
        <v>1693</v>
      </c>
      <c r="Z1016" s="282" t="s">
        <v>53</v>
      </c>
      <c r="AA1016" s="282">
        <v>6380419.0</v>
      </c>
      <c r="AB1016" s="283">
        <v>44369.0</v>
      </c>
      <c r="AC1016" s="284"/>
      <c r="AD1016" s="284"/>
    </row>
    <row r="1017" ht="14.25" customHeight="1">
      <c r="A1017" s="265">
        <v>44361.0</v>
      </c>
      <c r="B1017" s="266" t="s">
        <v>3677</v>
      </c>
      <c r="C1017" s="266"/>
      <c r="D1017" s="266" t="s">
        <v>1450</v>
      </c>
      <c r="E1017" s="268"/>
      <c r="F1017" s="358" t="s">
        <v>4389</v>
      </c>
      <c r="G1017" s="268" t="s">
        <v>2085</v>
      </c>
      <c r="H1017" s="270">
        <v>0.0989236111111111</v>
      </c>
      <c r="I1017" s="271">
        <v>44361.77916666667</v>
      </c>
      <c r="J1017" s="268"/>
      <c r="K1017" s="268"/>
      <c r="L1017" s="288" t="str">
        <f t="shared" ref="L1017:L1020" si="9">IFERROR(IF(OR(I1017="",K1017=""),"",K1017-I1017),"")</f>
        <v/>
      </c>
      <c r="M1017" s="307" t="s">
        <v>2808</v>
      </c>
      <c r="N1017" s="273">
        <v>44361.85972222222</v>
      </c>
      <c r="O1017" s="276" t="s">
        <v>4390</v>
      </c>
      <c r="P1017" s="275" t="s">
        <v>1463</v>
      </c>
      <c r="Q1017" s="276" t="s">
        <v>1819</v>
      </c>
      <c r="R1017" s="277">
        <v>44361.91743055556</v>
      </c>
      <c r="S1017" s="278"/>
      <c r="T1017" s="278" t="s">
        <v>4391</v>
      </c>
      <c r="U1017" s="279"/>
      <c r="V1017" s="279" t="s">
        <v>1746</v>
      </c>
      <c r="W1017" s="280">
        <v>44362.0</v>
      </c>
      <c r="X1017" s="281">
        <v>0.3333333333333333</v>
      </c>
      <c r="Y1017" s="279" t="s">
        <v>1693</v>
      </c>
      <c r="Z1017" s="282" t="s">
        <v>53</v>
      </c>
      <c r="AA1017" s="282" t="s">
        <v>4389</v>
      </c>
      <c r="AB1017" s="283">
        <v>44362.0</v>
      </c>
      <c r="AC1017" s="284"/>
      <c r="AD1017" s="284"/>
    </row>
    <row r="1018" ht="14.25" customHeight="1">
      <c r="A1018" s="265">
        <v>44361.0</v>
      </c>
      <c r="B1018" s="266" t="s">
        <v>1824</v>
      </c>
      <c r="C1018" s="266"/>
      <c r="D1018" s="266" t="s">
        <v>1452</v>
      </c>
      <c r="E1018" s="268"/>
      <c r="F1018" s="358" t="s">
        <v>4392</v>
      </c>
      <c r="G1018" s="268" t="s">
        <v>2085</v>
      </c>
      <c r="H1018" s="270">
        <v>0.008831018518518518</v>
      </c>
      <c r="I1018" s="271">
        <v>44361.62291666667</v>
      </c>
      <c r="J1018" s="268"/>
      <c r="K1018" s="271">
        <v>44361.63166666667</v>
      </c>
      <c r="L1018" s="288" t="str">
        <f t="shared" si="9"/>
        <v>12:12:36 AM</v>
      </c>
      <c r="M1018" s="278"/>
      <c r="N1018" s="290"/>
      <c r="O1018" s="276"/>
      <c r="P1018" s="276"/>
      <c r="Q1018" s="276"/>
      <c r="R1018" s="278"/>
      <c r="S1018" s="278"/>
      <c r="T1018" s="278"/>
      <c r="U1018" s="279"/>
      <c r="V1018" s="279" t="s">
        <v>1824</v>
      </c>
      <c r="W1018" s="280">
        <v>44362.0</v>
      </c>
      <c r="X1018" s="281">
        <v>0.03359953703703704</v>
      </c>
      <c r="Y1018" s="279" t="s">
        <v>1693</v>
      </c>
      <c r="Z1018" s="282" t="s">
        <v>1570</v>
      </c>
      <c r="AA1018" s="282" t="s">
        <v>4392</v>
      </c>
      <c r="AB1018" s="283">
        <v>44361.0</v>
      </c>
      <c r="AC1018" s="284"/>
      <c r="AD1018" s="284"/>
    </row>
    <row r="1019" ht="14.25" customHeight="1">
      <c r="A1019" s="265">
        <v>44361.0</v>
      </c>
      <c r="B1019" s="266" t="s">
        <v>1685</v>
      </c>
      <c r="C1019" s="266"/>
      <c r="D1019" s="266" t="s">
        <v>1686</v>
      </c>
      <c r="E1019" s="268"/>
      <c r="F1019" s="358" t="s">
        <v>4393</v>
      </c>
      <c r="G1019" s="268" t="s">
        <v>2085</v>
      </c>
      <c r="H1019" s="270">
        <v>0.037731481481481484</v>
      </c>
      <c r="I1019" s="271">
        <v>44361.69583333333</v>
      </c>
      <c r="J1019" s="268"/>
      <c r="K1019" s="271">
        <v>44361.77425925926</v>
      </c>
      <c r="L1019" s="288" t="str">
        <f t="shared" si="9"/>
        <v>1:52:56 AM</v>
      </c>
      <c r="M1019" s="278"/>
      <c r="N1019" s="290"/>
      <c r="O1019" s="276"/>
      <c r="P1019" s="276"/>
      <c r="Q1019" s="276"/>
      <c r="R1019" s="278"/>
      <c r="S1019" s="278"/>
      <c r="T1019" s="278"/>
      <c r="U1019" s="279"/>
      <c r="V1019" s="279" t="s">
        <v>1685</v>
      </c>
      <c r="W1019" s="280">
        <v>44362.0</v>
      </c>
      <c r="X1019" s="281">
        <v>0.16666666666666666</v>
      </c>
      <c r="Y1019" s="279" t="s">
        <v>1693</v>
      </c>
      <c r="Z1019" s="282" t="s">
        <v>1570</v>
      </c>
      <c r="AA1019" s="282" t="s">
        <v>4393</v>
      </c>
      <c r="AB1019" s="283">
        <v>44361.0</v>
      </c>
      <c r="AC1019" s="284"/>
      <c r="AD1019" s="284"/>
    </row>
    <row r="1020" ht="14.25" customHeight="1">
      <c r="A1020" s="265">
        <v>44361.0</v>
      </c>
      <c r="B1020" s="266" t="s">
        <v>1733</v>
      </c>
      <c r="C1020" s="266"/>
      <c r="D1020" s="266" t="s">
        <v>1455</v>
      </c>
      <c r="E1020" s="268"/>
      <c r="F1020" s="358" t="s">
        <v>4394</v>
      </c>
      <c r="G1020" s="268" t="s">
        <v>2085</v>
      </c>
      <c r="H1020" s="270">
        <v>0.02162037037037037</v>
      </c>
      <c r="I1020" s="271">
        <v>44361.938888888886</v>
      </c>
      <c r="J1020" s="268"/>
      <c r="K1020" s="268"/>
      <c r="L1020" s="288" t="str">
        <f t="shared" si="9"/>
        <v/>
      </c>
      <c r="M1020" s="307" t="s">
        <v>2808</v>
      </c>
      <c r="N1020" s="273">
        <v>44362.32152777778</v>
      </c>
      <c r="O1020" s="276" t="s">
        <v>4395</v>
      </c>
      <c r="P1020" s="275" t="s">
        <v>1463</v>
      </c>
      <c r="Q1020" s="276" t="s">
        <v>1819</v>
      </c>
      <c r="R1020" s="277">
        <v>44362.33541666667</v>
      </c>
      <c r="S1020" s="278"/>
      <c r="T1020" s="278" t="s">
        <v>4396</v>
      </c>
      <c r="U1020" s="279"/>
      <c r="V1020" s="279" t="s">
        <v>1733</v>
      </c>
      <c r="W1020" s="280">
        <v>44362.0</v>
      </c>
      <c r="X1020" s="281">
        <v>0.08333333333333333</v>
      </c>
      <c r="Y1020" s="279" t="s">
        <v>1693</v>
      </c>
      <c r="Z1020" s="282" t="s">
        <v>53</v>
      </c>
      <c r="AA1020" s="282" t="s">
        <v>4394</v>
      </c>
      <c r="AB1020" s="283">
        <v>44362.0</v>
      </c>
      <c r="AC1020" s="284"/>
      <c r="AD1020" s="284"/>
    </row>
    <row r="1021" ht="14.25" customHeight="1">
      <c r="A1021" s="265">
        <v>44362.0</v>
      </c>
      <c r="B1021" s="266" t="s">
        <v>1500</v>
      </c>
      <c r="C1021" s="266" t="s">
        <v>4147</v>
      </c>
      <c r="D1021" s="266" t="s">
        <v>1543</v>
      </c>
      <c r="E1021" s="268"/>
      <c r="F1021" s="269" t="s">
        <v>4397</v>
      </c>
      <c r="G1021" s="268" t="s">
        <v>1463</v>
      </c>
      <c r="H1021" s="270">
        <v>0.002939814814814815</v>
      </c>
      <c r="I1021" s="271">
        <v>44362.489583333336</v>
      </c>
      <c r="J1021" s="268"/>
      <c r="K1021" s="271">
        <v>44363.83269675926</v>
      </c>
      <c r="L1021" s="288"/>
      <c r="M1021" s="278" t="s">
        <v>4398</v>
      </c>
      <c r="N1021" s="290"/>
      <c r="O1021" s="276"/>
      <c r="P1021" s="276"/>
      <c r="Q1021" s="276"/>
      <c r="R1021" s="278"/>
      <c r="S1021" s="278"/>
      <c r="T1021" s="278"/>
      <c r="U1021" s="279"/>
      <c r="V1021" s="279" t="s">
        <v>1824</v>
      </c>
      <c r="W1021" s="280">
        <v>44363.0</v>
      </c>
      <c r="X1021" s="281">
        <v>0.0038078703703703707</v>
      </c>
      <c r="Y1021" s="279" t="s">
        <v>1693</v>
      </c>
      <c r="Z1021" s="282" t="s">
        <v>53</v>
      </c>
      <c r="AA1021" s="282">
        <v>6380420.0</v>
      </c>
      <c r="AB1021" s="283">
        <v>44369.0</v>
      </c>
      <c r="AC1021" s="284"/>
      <c r="AD1021" s="284"/>
    </row>
    <row r="1022" ht="14.25" customHeight="1">
      <c r="A1022" s="265">
        <v>44362.0</v>
      </c>
      <c r="B1022" s="266" t="s">
        <v>3677</v>
      </c>
      <c r="C1022" s="266"/>
      <c r="D1022" s="266" t="s">
        <v>1450</v>
      </c>
      <c r="E1022" s="268"/>
      <c r="F1022" s="358" t="s">
        <v>4399</v>
      </c>
      <c r="G1022" s="268" t="s">
        <v>2085</v>
      </c>
      <c r="H1022" s="270">
        <v>0.09932870370370371</v>
      </c>
      <c r="I1022" s="271">
        <v>44361.791666666664</v>
      </c>
      <c r="J1022" s="268"/>
      <c r="K1022" s="271">
        <v>44362.88835648148</v>
      </c>
      <c r="L1022" s="288" t="str">
        <f t="shared" ref="L1022:L1038" si="10">IFERROR(IF(OR(I1022="",K1022=""),"",K1022-I1022),"")</f>
        <v>2:19:14 AM</v>
      </c>
      <c r="M1022" s="278"/>
      <c r="N1022" s="290"/>
      <c r="O1022" s="276"/>
      <c r="P1022" s="276"/>
      <c r="Q1022" s="276"/>
      <c r="R1022" s="278"/>
      <c r="S1022" s="278"/>
      <c r="T1022" s="278"/>
      <c r="U1022" s="279"/>
      <c r="V1022" s="279" t="s">
        <v>1746</v>
      </c>
      <c r="W1022" s="280">
        <v>44363.0</v>
      </c>
      <c r="X1022" s="281">
        <v>0.3333333333333333</v>
      </c>
      <c r="Y1022" s="279" t="s">
        <v>1693</v>
      </c>
      <c r="Z1022" s="282" t="s">
        <v>1570</v>
      </c>
      <c r="AA1022" s="282" t="s">
        <v>4399</v>
      </c>
      <c r="AB1022" s="283">
        <v>44362.0</v>
      </c>
      <c r="AC1022" s="284"/>
      <c r="AD1022" s="284"/>
    </row>
    <row r="1023" ht="14.25" customHeight="1">
      <c r="A1023" s="265">
        <v>44362.0</v>
      </c>
      <c r="B1023" s="266" t="s">
        <v>1824</v>
      </c>
      <c r="C1023" s="266"/>
      <c r="D1023" s="266" t="s">
        <v>1452</v>
      </c>
      <c r="E1023" s="268"/>
      <c r="F1023" s="358" t="s">
        <v>4400</v>
      </c>
      <c r="G1023" s="268" t="s">
        <v>2085</v>
      </c>
      <c r="H1023" s="270">
        <v>0.007152777777777779</v>
      </c>
      <c r="I1023" s="271">
        <v>44362.5875</v>
      </c>
      <c r="J1023" s="268"/>
      <c r="K1023" s="271">
        <v>44362.62399305555</v>
      </c>
      <c r="L1023" s="288" t="str">
        <f t="shared" si="10"/>
        <v>12:52:33 AM</v>
      </c>
      <c r="M1023" s="278"/>
      <c r="N1023" s="290"/>
      <c r="O1023" s="276"/>
      <c r="P1023" s="276"/>
      <c r="Q1023" s="276"/>
      <c r="R1023" s="278"/>
      <c r="S1023" s="278"/>
      <c r="T1023" s="278"/>
      <c r="U1023" s="279"/>
      <c r="V1023" s="279" t="s">
        <v>1824</v>
      </c>
      <c r="W1023" s="280">
        <v>44363.0</v>
      </c>
      <c r="X1023" s="281">
        <v>0.025370370370370366</v>
      </c>
      <c r="Y1023" s="279" t="s">
        <v>1693</v>
      </c>
      <c r="Z1023" s="282" t="s">
        <v>1570</v>
      </c>
      <c r="AA1023" s="282" t="s">
        <v>4400</v>
      </c>
      <c r="AB1023" s="283">
        <v>44362.0</v>
      </c>
      <c r="AC1023" s="284"/>
      <c r="AD1023" s="284"/>
    </row>
    <row r="1024" ht="14.25" customHeight="1">
      <c r="A1024" s="265">
        <v>44362.0</v>
      </c>
      <c r="B1024" s="266" t="s">
        <v>1685</v>
      </c>
      <c r="C1024" s="266"/>
      <c r="D1024" s="266" t="s">
        <v>1686</v>
      </c>
      <c r="E1024" s="268"/>
      <c r="F1024" s="358" t="s">
        <v>4401</v>
      </c>
      <c r="G1024" s="268" t="s">
        <v>2085</v>
      </c>
      <c r="H1024" s="270">
        <v>0.03726851851851851</v>
      </c>
      <c r="I1024" s="271">
        <v>44363.80972222222</v>
      </c>
      <c r="J1024" s="268"/>
      <c r="K1024" s="271">
        <v>44362.8390162037</v>
      </c>
      <c r="L1024" s="288" t="str">
        <f t="shared" si="10"/>
        <v>12:42:11 AM</v>
      </c>
      <c r="M1024" s="278"/>
      <c r="N1024" s="290"/>
      <c r="O1024" s="276"/>
      <c r="P1024" s="276"/>
      <c r="Q1024" s="276"/>
      <c r="R1024" s="278"/>
      <c r="S1024" s="278"/>
      <c r="T1024" s="278"/>
      <c r="U1024" s="279"/>
      <c r="V1024" s="279" t="s">
        <v>1685</v>
      </c>
      <c r="W1024" s="280">
        <v>44363.0</v>
      </c>
      <c r="X1024" s="279"/>
      <c r="Y1024" s="279" t="s">
        <v>1693</v>
      </c>
      <c r="Z1024" s="282" t="s">
        <v>1570</v>
      </c>
      <c r="AA1024" s="282" t="s">
        <v>4401</v>
      </c>
      <c r="AB1024" s="283">
        <v>44362.0</v>
      </c>
      <c r="AC1024" s="284"/>
      <c r="AD1024" s="284"/>
    </row>
    <row r="1025" ht="14.25" customHeight="1">
      <c r="A1025" s="265">
        <v>44362.0</v>
      </c>
      <c r="B1025" s="266" t="s">
        <v>1733</v>
      </c>
      <c r="C1025" s="266"/>
      <c r="D1025" s="266" t="s">
        <v>1455</v>
      </c>
      <c r="E1025" s="268"/>
      <c r="F1025" s="358" t="s">
        <v>4402</v>
      </c>
      <c r="G1025" s="268" t="s">
        <v>2085</v>
      </c>
      <c r="H1025" s="270">
        <v>0.020497685185185185</v>
      </c>
      <c r="I1025" s="271">
        <v>44363.899305555555</v>
      </c>
      <c r="J1025" s="268"/>
      <c r="K1025" s="271">
        <v>44363.25224537037</v>
      </c>
      <c r="L1025" s="288" t="str">
        <f t="shared" si="10"/>
        <v>8:28:14 AM</v>
      </c>
      <c r="M1025" s="278"/>
      <c r="N1025" s="290"/>
      <c r="O1025" s="276"/>
      <c r="P1025" s="276"/>
      <c r="Q1025" s="276"/>
      <c r="R1025" s="278"/>
      <c r="S1025" s="278"/>
      <c r="T1025" s="278"/>
      <c r="U1025" s="279"/>
      <c r="V1025" s="279" t="s">
        <v>1733</v>
      </c>
      <c r="W1025" s="280">
        <v>44363.0</v>
      </c>
      <c r="X1025" s="281">
        <v>0.08333333333333333</v>
      </c>
      <c r="Y1025" s="279" t="s">
        <v>1693</v>
      </c>
      <c r="Z1025" s="282" t="s">
        <v>53</v>
      </c>
      <c r="AA1025" s="282" t="s">
        <v>4402</v>
      </c>
      <c r="AB1025" s="283">
        <v>44363.0</v>
      </c>
      <c r="AC1025" s="284"/>
      <c r="AD1025" s="284"/>
    </row>
    <row r="1026" ht="14.25" customHeight="1">
      <c r="A1026" s="265">
        <v>44363.0</v>
      </c>
      <c r="B1026" s="266" t="s">
        <v>1746</v>
      </c>
      <c r="C1026" s="266" t="s">
        <v>4403</v>
      </c>
      <c r="D1026" s="266" t="s">
        <v>1450</v>
      </c>
      <c r="E1026" s="268"/>
      <c r="F1026" s="286" t="s">
        <v>4404</v>
      </c>
      <c r="G1026" s="268" t="s">
        <v>3742</v>
      </c>
      <c r="H1026" s="268"/>
      <c r="I1026" s="268"/>
      <c r="J1026" s="268"/>
      <c r="K1026" s="268"/>
      <c r="L1026" s="288" t="str">
        <f t="shared" si="10"/>
        <v/>
      </c>
      <c r="M1026" s="278"/>
      <c r="N1026" s="290"/>
      <c r="O1026" s="276"/>
      <c r="P1026" s="276"/>
      <c r="Q1026" s="276"/>
      <c r="R1026" s="278"/>
      <c r="S1026" s="278"/>
      <c r="T1026" s="278"/>
      <c r="U1026" s="279"/>
      <c r="V1026" s="279" t="s">
        <v>28</v>
      </c>
      <c r="W1026" s="279"/>
      <c r="X1026" s="279"/>
      <c r="Y1026" s="279"/>
      <c r="Z1026" s="282" t="s">
        <v>28</v>
      </c>
      <c r="AA1026" s="282" t="s">
        <v>28</v>
      </c>
      <c r="AB1026" s="282" t="s">
        <v>28</v>
      </c>
      <c r="AC1026" s="284"/>
      <c r="AD1026" s="284"/>
    </row>
    <row r="1027" ht="14.25" customHeight="1">
      <c r="A1027" s="265">
        <v>44363.0</v>
      </c>
      <c r="B1027" s="266" t="s">
        <v>3677</v>
      </c>
      <c r="C1027" s="266"/>
      <c r="D1027" s="266" t="s">
        <v>1450</v>
      </c>
      <c r="E1027" s="268"/>
      <c r="F1027" s="358" t="s">
        <v>4405</v>
      </c>
      <c r="G1027" s="268" t="s">
        <v>2085</v>
      </c>
      <c r="H1027" s="270">
        <v>0.0991435185185185</v>
      </c>
      <c r="I1027" s="271">
        <v>44362.79236111111</v>
      </c>
      <c r="J1027" s="268"/>
      <c r="K1027" s="271">
        <v>44363.85659722222</v>
      </c>
      <c r="L1027" s="288" t="str">
        <f t="shared" si="10"/>
        <v>1:32:30 AM</v>
      </c>
      <c r="M1027" s="278"/>
      <c r="N1027" s="290"/>
      <c r="O1027" s="276"/>
      <c r="P1027" s="276"/>
      <c r="Q1027" s="276"/>
      <c r="R1027" s="278"/>
      <c r="S1027" s="278"/>
      <c r="T1027" s="278"/>
      <c r="U1027" s="279"/>
      <c r="V1027" s="279" t="s">
        <v>1746</v>
      </c>
      <c r="W1027" s="280">
        <v>44364.0</v>
      </c>
      <c r="X1027" s="281">
        <v>0.3333333333333333</v>
      </c>
      <c r="Y1027" s="279" t="s">
        <v>1693</v>
      </c>
      <c r="Z1027" s="282" t="s">
        <v>1570</v>
      </c>
      <c r="AA1027" s="282" t="s">
        <v>4405</v>
      </c>
      <c r="AB1027" s="283">
        <v>44363.0</v>
      </c>
      <c r="AC1027" s="284"/>
      <c r="AD1027" s="284"/>
    </row>
    <row r="1028" ht="14.25" customHeight="1">
      <c r="A1028" s="265">
        <v>44363.0</v>
      </c>
      <c r="B1028" s="266" t="s">
        <v>1824</v>
      </c>
      <c r="C1028" s="266"/>
      <c r="D1028" s="266" t="s">
        <v>1452</v>
      </c>
      <c r="E1028" s="268"/>
      <c r="F1028" s="358" t="s">
        <v>4406</v>
      </c>
      <c r="G1028" s="268" t="s">
        <v>2085</v>
      </c>
      <c r="H1028" s="270">
        <v>0.0026620370370370374</v>
      </c>
      <c r="I1028" s="271">
        <v>44363.572916666664</v>
      </c>
      <c r="J1028" s="268"/>
      <c r="K1028" s="271">
        <v>44363.57877314815</v>
      </c>
      <c r="L1028" s="288" t="str">
        <f t="shared" si="10"/>
        <v>12:08:26 AM</v>
      </c>
      <c r="M1028" s="278"/>
      <c r="N1028" s="290"/>
      <c r="O1028" s="276"/>
      <c r="P1028" s="276"/>
      <c r="Q1028" s="276"/>
      <c r="R1028" s="278"/>
      <c r="S1028" s="278"/>
      <c r="T1028" s="278"/>
      <c r="U1028" s="279"/>
      <c r="V1028" s="279" t="s">
        <v>1824</v>
      </c>
      <c r="W1028" s="280">
        <v>44363.0</v>
      </c>
      <c r="X1028" s="281">
        <v>0.015277777777777777</v>
      </c>
      <c r="Y1028" s="279" t="s">
        <v>1693</v>
      </c>
      <c r="Z1028" s="282" t="s">
        <v>1570</v>
      </c>
      <c r="AA1028" s="282" t="s">
        <v>4406</v>
      </c>
      <c r="AB1028" s="283">
        <v>44363.0</v>
      </c>
      <c r="AC1028" s="284"/>
      <c r="AD1028" s="284"/>
    </row>
    <row r="1029" ht="14.25" customHeight="1">
      <c r="A1029" s="265">
        <v>44363.0</v>
      </c>
      <c r="B1029" s="266" t="s">
        <v>3512</v>
      </c>
      <c r="C1029" s="266"/>
      <c r="D1029" s="266" t="s">
        <v>1686</v>
      </c>
      <c r="E1029" s="268"/>
      <c r="F1029" s="358" t="s">
        <v>4407</v>
      </c>
      <c r="G1029" s="268" t="s">
        <v>2085</v>
      </c>
      <c r="H1029" s="270">
        <v>0.038287037037037036</v>
      </c>
      <c r="I1029" s="271">
        <v>44363.80694444444</v>
      </c>
      <c r="J1029" s="268"/>
      <c r="K1029" s="271">
        <v>44363.82840277778</v>
      </c>
      <c r="L1029" s="288" t="str">
        <f t="shared" si="10"/>
        <v>12:30:54 AM</v>
      </c>
      <c r="M1029" s="278"/>
      <c r="N1029" s="290"/>
      <c r="O1029" s="276"/>
      <c r="P1029" s="276"/>
      <c r="Q1029" s="276"/>
      <c r="R1029" s="278"/>
      <c r="S1029" s="278"/>
      <c r="T1029" s="278"/>
      <c r="U1029" s="279"/>
      <c r="V1029" s="279" t="s">
        <v>1685</v>
      </c>
      <c r="W1029" s="279" t="s">
        <v>4408</v>
      </c>
      <c r="X1029" s="281">
        <v>0.14583333333333334</v>
      </c>
      <c r="Y1029" s="279" t="s">
        <v>1693</v>
      </c>
      <c r="Z1029" s="282" t="s">
        <v>1570</v>
      </c>
      <c r="AA1029" s="282" t="s">
        <v>4407</v>
      </c>
      <c r="AB1029" s="283">
        <v>44363.0</v>
      </c>
      <c r="AC1029" s="284"/>
      <c r="AD1029" s="284"/>
    </row>
    <row r="1030" ht="14.25" customHeight="1">
      <c r="A1030" s="265">
        <v>44363.0</v>
      </c>
      <c r="B1030" s="266" t="s">
        <v>1733</v>
      </c>
      <c r="C1030" s="266"/>
      <c r="D1030" s="266" t="s">
        <v>1455</v>
      </c>
      <c r="E1030" s="268"/>
      <c r="F1030" s="358" t="s">
        <v>4409</v>
      </c>
      <c r="G1030" s="268" t="s">
        <v>2085</v>
      </c>
      <c r="H1030" s="270">
        <v>0.02025462962962963</v>
      </c>
      <c r="I1030" s="271">
        <v>44363.87013888889</v>
      </c>
      <c r="J1030" s="268"/>
      <c r="K1030" s="271">
        <v>44363.88731481481</v>
      </c>
      <c r="L1030" s="288" t="str">
        <f t="shared" si="10"/>
        <v>12:24:44 AM</v>
      </c>
      <c r="M1030" s="278"/>
      <c r="N1030" s="290"/>
      <c r="O1030" s="276"/>
      <c r="P1030" s="276"/>
      <c r="Q1030" s="276"/>
      <c r="R1030" s="278"/>
      <c r="S1030" s="278"/>
      <c r="T1030" s="278"/>
      <c r="U1030" s="279"/>
      <c r="V1030" s="279" t="s">
        <v>1733</v>
      </c>
      <c r="W1030" s="280">
        <v>44364.0</v>
      </c>
      <c r="X1030" s="281">
        <v>0.09722222222222222</v>
      </c>
      <c r="Y1030" s="279" t="s">
        <v>1693</v>
      </c>
      <c r="Z1030" s="282" t="s">
        <v>1570</v>
      </c>
      <c r="AA1030" s="282" t="s">
        <v>4409</v>
      </c>
      <c r="AB1030" s="283">
        <v>44363.0</v>
      </c>
      <c r="AC1030" s="284"/>
      <c r="AD1030" s="284"/>
    </row>
    <row r="1031" ht="14.25" customHeight="1">
      <c r="A1031" s="265">
        <v>44364.0</v>
      </c>
      <c r="B1031" s="266" t="s">
        <v>3677</v>
      </c>
      <c r="C1031" s="266"/>
      <c r="D1031" s="266" t="s">
        <v>1450</v>
      </c>
      <c r="E1031" s="268"/>
      <c r="F1031" s="358" t="s">
        <v>4410</v>
      </c>
      <c r="G1031" s="268" t="s">
        <v>2085</v>
      </c>
      <c r="H1031" s="270">
        <v>0.10006944444444445</v>
      </c>
      <c r="I1031" s="271">
        <v>44364.86319444444</v>
      </c>
      <c r="J1031" s="268"/>
      <c r="K1031" s="271">
        <v>44364.90256944444</v>
      </c>
      <c r="L1031" s="288" t="str">
        <f t="shared" si="10"/>
        <v>12:56:42 AM</v>
      </c>
      <c r="M1031" s="278"/>
      <c r="N1031" s="290"/>
      <c r="O1031" s="276"/>
      <c r="P1031" s="276"/>
      <c r="Q1031" s="276"/>
      <c r="R1031" s="278"/>
      <c r="S1031" s="278"/>
      <c r="T1031" s="278"/>
      <c r="U1031" s="279"/>
      <c r="V1031" s="279" t="s">
        <v>1746</v>
      </c>
      <c r="W1031" s="280">
        <v>44365.0</v>
      </c>
      <c r="X1031" s="281">
        <v>0.3333333333333333</v>
      </c>
      <c r="Y1031" s="279" t="s">
        <v>1693</v>
      </c>
      <c r="Z1031" s="282" t="s">
        <v>53</v>
      </c>
      <c r="AA1031" s="282" t="s">
        <v>4410</v>
      </c>
      <c r="AB1031" s="283">
        <v>44365.0</v>
      </c>
      <c r="AC1031" s="284"/>
      <c r="AD1031" s="284"/>
    </row>
    <row r="1032" ht="14.25" customHeight="1">
      <c r="A1032" s="265">
        <v>44364.0</v>
      </c>
      <c r="B1032" s="266" t="s">
        <v>1824</v>
      </c>
      <c r="C1032" s="266"/>
      <c r="D1032" s="266" t="s">
        <v>1452</v>
      </c>
      <c r="E1032" s="268"/>
      <c r="F1032" s="358" t="s">
        <v>4411</v>
      </c>
      <c r="G1032" s="268" t="s">
        <v>2085</v>
      </c>
      <c r="H1032" s="270">
        <v>0.0036226851851851854</v>
      </c>
      <c r="I1032" s="271">
        <v>44364.603472222225</v>
      </c>
      <c r="J1032" s="268"/>
      <c r="K1032" s="271">
        <v>44364.60949074074</v>
      </c>
      <c r="L1032" s="288" t="str">
        <f t="shared" si="10"/>
        <v>12:08:40 AM</v>
      </c>
      <c r="M1032" s="278"/>
      <c r="N1032" s="290"/>
      <c r="O1032" s="276"/>
      <c r="P1032" s="276"/>
      <c r="Q1032" s="276"/>
      <c r="R1032" s="278"/>
      <c r="S1032" s="278"/>
      <c r="T1032" s="278"/>
      <c r="U1032" s="279"/>
      <c r="V1032" s="279" t="s">
        <v>1824</v>
      </c>
      <c r="W1032" s="280">
        <v>44365.0</v>
      </c>
      <c r="X1032" s="281">
        <v>0.011111111111111112</v>
      </c>
      <c r="Y1032" s="279" t="s">
        <v>1693</v>
      </c>
      <c r="Z1032" s="282" t="s">
        <v>53</v>
      </c>
      <c r="AA1032" s="282" t="s">
        <v>4411</v>
      </c>
      <c r="AB1032" s="283">
        <v>44365.0</v>
      </c>
      <c r="AC1032" s="284"/>
      <c r="AD1032" s="284"/>
    </row>
    <row r="1033" ht="14.25" customHeight="1">
      <c r="A1033" s="265">
        <v>44364.0</v>
      </c>
      <c r="B1033" s="266" t="s">
        <v>1685</v>
      </c>
      <c r="C1033" s="266"/>
      <c r="D1033" s="266" t="s">
        <v>1686</v>
      </c>
      <c r="E1033" s="268"/>
      <c r="F1033" s="358" t="s">
        <v>4412</v>
      </c>
      <c r="G1033" s="268" t="s">
        <v>2085</v>
      </c>
      <c r="H1033" s="270">
        <v>0.037800925925925925</v>
      </c>
      <c r="I1033" s="271">
        <v>44364.606944444444</v>
      </c>
      <c r="J1033" s="268"/>
      <c r="K1033" s="271">
        <v>44364.63940972222</v>
      </c>
      <c r="L1033" s="288" t="str">
        <f t="shared" si="10"/>
        <v>12:46:45 AM</v>
      </c>
      <c r="M1033" s="278"/>
      <c r="N1033" s="290"/>
      <c r="O1033" s="276"/>
      <c r="P1033" s="276"/>
      <c r="Q1033" s="276"/>
      <c r="R1033" s="278"/>
      <c r="S1033" s="278"/>
      <c r="T1033" s="278"/>
      <c r="U1033" s="279"/>
      <c r="V1033" s="279" t="s">
        <v>1685</v>
      </c>
      <c r="W1033" s="280">
        <v>44365.0</v>
      </c>
      <c r="X1033" s="281">
        <v>0.16666666666666666</v>
      </c>
      <c r="Y1033" s="279" t="s">
        <v>1693</v>
      </c>
      <c r="Z1033" s="282" t="s">
        <v>53</v>
      </c>
      <c r="AA1033" s="282" t="s">
        <v>4412</v>
      </c>
      <c r="AB1033" s="283">
        <v>44365.0</v>
      </c>
      <c r="AC1033" s="284"/>
      <c r="AD1033" s="284"/>
    </row>
    <row r="1034" ht="14.25" customHeight="1">
      <c r="A1034" s="265">
        <v>44364.0</v>
      </c>
      <c r="B1034" s="266" t="s">
        <v>1733</v>
      </c>
      <c r="C1034" s="266"/>
      <c r="D1034" s="266" t="s">
        <v>1455</v>
      </c>
      <c r="E1034" s="268"/>
      <c r="F1034" s="358" t="s">
        <v>4413</v>
      </c>
      <c r="G1034" s="268" t="s">
        <v>2085</v>
      </c>
      <c r="H1034" s="270">
        <v>0.019131944444444444</v>
      </c>
      <c r="I1034" s="271">
        <v>44364.87291666667</v>
      </c>
      <c r="J1034" s="268"/>
      <c r="K1034" s="271">
        <v>44364.89873842592</v>
      </c>
      <c r="L1034" s="288" t="str">
        <f t="shared" si="10"/>
        <v>12:37:11 AM</v>
      </c>
      <c r="M1034" s="278"/>
      <c r="N1034" s="290"/>
      <c r="O1034" s="276"/>
      <c r="P1034" s="276"/>
      <c r="Q1034" s="276"/>
      <c r="R1034" s="278"/>
      <c r="S1034" s="278"/>
      <c r="T1034" s="278"/>
      <c r="U1034" s="279"/>
      <c r="V1034" s="279" t="s">
        <v>1733</v>
      </c>
      <c r="W1034" s="280">
        <v>44365.0</v>
      </c>
      <c r="X1034" s="281">
        <v>0.1076388888888889</v>
      </c>
      <c r="Y1034" s="279" t="s">
        <v>1693</v>
      </c>
      <c r="Z1034" s="282" t="s">
        <v>53</v>
      </c>
      <c r="AA1034" s="282" t="s">
        <v>4413</v>
      </c>
      <c r="AB1034" s="283">
        <v>44365.0</v>
      </c>
      <c r="AC1034" s="284"/>
      <c r="AD1034" s="284"/>
    </row>
    <row r="1035" ht="14.25" customHeight="1">
      <c r="A1035" s="265">
        <v>44365.0</v>
      </c>
      <c r="B1035" s="266" t="s">
        <v>3677</v>
      </c>
      <c r="C1035" s="266"/>
      <c r="D1035" s="266" t="s">
        <v>1450</v>
      </c>
      <c r="E1035" s="268"/>
      <c r="F1035" s="358" t="s">
        <v>4414</v>
      </c>
      <c r="G1035" s="268" t="s">
        <v>2085</v>
      </c>
      <c r="H1035" s="270">
        <v>0.0990625</v>
      </c>
      <c r="I1035" s="271">
        <v>44364.907638888886</v>
      </c>
      <c r="J1035" s="268"/>
      <c r="K1035" s="271">
        <v>44366.39875</v>
      </c>
      <c r="L1035" s="288" t="str">
        <f t="shared" si="10"/>
        <v>11:47:12 AM</v>
      </c>
      <c r="M1035" s="278"/>
      <c r="N1035" s="290"/>
      <c r="O1035" s="276"/>
      <c r="P1035" s="276"/>
      <c r="Q1035" s="276"/>
      <c r="R1035" s="278"/>
      <c r="S1035" s="278"/>
      <c r="T1035" s="278"/>
      <c r="U1035" s="279"/>
      <c r="V1035" s="279" t="s">
        <v>2030</v>
      </c>
      <c r="W1035" s="280">
        <v>44368.0</v>
      </c>
      <c r="X1035" s="281">
        <v>0.25</v>
      </c>
      <c r="Y1035" s="279" t="s">
        <v>1693</v>
      </c>
      <c r="Z1035" s="282" t="s">
        <v>53</v>
      </c>
      <c r="AA1035" s="282" t="s">
        <v>4414</v>
      </c>
      <c r="AB1035" s="283">
        <v>44368.0</v>
      </c>
      <c r="AC1035" s="284"/>
      <c r="AD1035" s="284"/>
    </row>
    <row r="1036" ht="14.25" customHeight="1">
      <c r="A1036" s="265">
        <v>44365.0</v>
      </c>
      <c r="B1036" s="266" t="s">
        <v>1824</v>
      </c>
      <c r="C1036" s="266"/>
      <c r="D1036" s="266" t="s">
        <v>1452</v>
      </c>
      <c r="E1036" s="268"/>
      <c r="F1036" s="358" t="s">
        <v>4415</v>
      </c>
      <c r="G1036" s="268" t="s">
        <v>2085</v>
      </c>
      <c r="H1036" s="270">
        <v>0.004398148148148148</v>
      </c>
      <c r="I1036" s="271">
        <v>44364.467361111114</v>
      </c>
      <c r="J1036" s="268"/>
      <c r="K1036" s="271">
        <v>44365.51597222222</v>
      </c>
      <c r="L1036" s="288" t="str">
        <f t="shared" si="10"/>
        <v>1:10:00 AM</v>
      </c>
      <c r="M1036" s="307"/>
      <c r="N1036" s="273"/>
      <c r="O1036" s="276"/>
      <c r="P1036" s="275"/>
      <c r="Q1036" s="276"/>
      <c r="R1036" s="278"/>
      <c r="S1036" s="278"/>
      <c r="T1036" s="278"/>
      <c r="U1036" s="279"/>
      <c r="V1036" s="279" t="s">
        <v>1824</v>
      </c>
      <c r="W1036" s="280">
        <v>44368.0</v>
      </c>
      <c r="X1036" s="281">
        <v>0.02152777777777778</v>
      </c>
      <c r="Y1036" s="279" t="s">
        <v>1693</v>
      </c>
      <c r="Z1036" s="282" t="s">
        <v>53</v>
      </c>
      <c r="AA1036" s="282" t="s">
        <v>4415</v>
      </c>
      <c r="AB1036" s="283">
        <v>44368.0</v>
      </c>
      <c r="AC1036" s="284"/>
      <c r="AD1036" s="284"/>
    </row>
    <row r="1037" ht="14.25" customHeight="1">
      <c r="A1037" s="265">
        <v>44365.0</v>
      </c>
      <c r="B1037" s="266" t="s">
        <v>1685</v>
      </c>
      <c r="C1037" s="266"/>
      <c r="D1037" s="266" t="s">
        <v>1686</v>
      </c>
      <c r="E1037" s="268"/>
      <c r="F1037" s="358" t="s">
        <v>4416</v>
      </c>
      <c r="G1037" s="268" t="s">
        <v>2085</v>
      </c>
      <c r="H1037" s="270">
        <v>0.03820601851851852</v>
      </c>
      <c r="I1037" s="271">
        <v>44364.69097222222</v>
      </c>
      <c r="J1037" s="268"/>
      <c r="K1037" s="271">
        <v>44365.7190162037</v>
      </c>
      <c r="L1037" s="288" t="str">
        <f t="shared" si="10"/>
        <v>12:40:23 AM</v>
      </c>
      <c r="M1037" s="278"/>
      <c r="N1037" s="290"/>
      <c r="O1037" s="276"/>
      <c r="P1037" s="276"/>
      <c r="Q1037" s="276"/>
      <c r="R1037" s="278"/>
      <c r="S1037" s="278"/>
      <c r="T1037" s="278"/>
      <c r="U1037" s="279"/>
      <c r="V1037" s="279" t="s">
        <v>1685</v>
      </c>
      <c r="W1037" s="280">
        <v>44368.0</v>
      </c>
      <c r="X1037" s="281">
        <v>0.16666666666666666</v>
      </c>
      <c r="Y1037" s="279" t="s">
        <v>1693</v>
      </c>
      <c r="Z1037" s="282" t="s">
        <v>53</v>
      </c>
      <c r="AA1037" s="282" t="s">
        <v>4416</v>
      </c>
      <c r="AB1037" s="283">
        <v>44368.0</v>
      </c>
      <c r="AC1037" s="284"/>
      <c r="AD1037" s="284"/>
    </row>
    <row r="1038" ht="14.25" customHeight="1">
      <c r="A1038" s="265">
        <v>44365.0</v>
      </c>
      <c r="B1038" s="266" t="s">
        <v>1733</v>
      </c>
      <c r="C1038" s="266"/>
      <c r="D1038" s="266" t="s">
        <v>1455</v>
      </c>
      <c r="E1038" s="268"/>
      <c r="F1038" s="358" t="s">
        <v>4417</v>
      </c>
      <c r="G1038" s="268" t="s">
        <v>2085</v>
      </c>
      <c r="H1038" s="270">
        <v>0.02050925925925926</v>
      </c>
      <c r="I1038" s="271">
        <v>44364.944444444445</v>
      </c>
      <c r="J1038" s="268"/>
      <c r="K1038" s="271">
        <v>44365.97871527778</v>
      </c>
      <c r="L1038" s="288" t="str">
        <f t="shared" si="10"/>
        <v>12:49:21 AM</v>
      </c>
      <c r="M1038" s="278"/>
      <c r="N1038" s="290"/>
      <c r="O1038" s="276"/>
      <c r="P1038" s="276"/>
      <c r="Q1038" s="276"/>
      <c r="R1038" s="278"/>
      <c r="S1038" s="278"/>
      <c r="T1038" s="278"/>
      <c r="U1038" s="279"/>
      <c r="V1038" s="279" t="s">
        <v>1824</v>
      </c>
      <c r="W1038" s="280">
        <v>44368.0</v>
      </c>
      <c r="X1038" s="281">
        <v>0.12083333333333333</v>
      </c>
      <c r="Y1038" s="279" t="s">
        <v>1693</v>
      </c>
      <c r="Z1038" s="282" t="s">
        <v>53</v>
      </c>
      <c r="AA1038" s="282" t="s">
        <v>4417</v>
      </c>
      <c r="AB1038" s="283">
        <v>44368.0</v>
      </c>
      <c r="AC1038" s="284"/>
      <c r="AD1038" s="284"/>
    </row>
    <row r="1039" ht="14.25" customHeight="1">
      <c r="A1039" s="265">
        <v>44366.0</v>
      </c>
      <c r="B1039" s="266" t="s">
        <v>1500</v>
      </c>
      <c r="C1039" s="267" t="s">
        <v>4418</v>
      </c>
      <c r="D1039" s="266" t="s">
        <v>1543</v>
      </c>
      <c r="E1039" s="268"/>
      <c r="F1039" s="291" t="s">
        <v>4419</v>
      </c>
      <c r="G1039" s="268" t="s">
        <v>1463</v>
      </c>
      <c r="H1039" s="270">
        <v>0.0037152777777777774</v>
      </c>
      <c r="I1039" s="271">
        <v>44369.68402777778</v>
      </c>
      <c r="J1039" s="268"/>
      <c r="K1039" s="271">
        <v>44370.02601851852</v>
      </c>
      <c r="L1039" s="288"/>
      <c r="M1039" s="278" t="s">
        <v>4420</v>
      </c>
      <c r="N1039" s="290"/>
      <c r="O1039" s="276"/>
      <c r="P1039" s="276"/>
      <c r="Q1039" s="276"/>
      <c r="R1039" s="278"/>
      <c r="S1039" s="278"/>
      <c r="T1039" s="278"/>
      <c r="U1039" s="279"/>
      <c r="V1039" s="279" t="s">
        <v>1685</v>
      </c>
      <c r="W1039" s="280">
        <v>44376.0</v>
      </c>
      <c r="X1039" s="281">
        <v>0.006944444444444444</v>
      </c>
      <c r="Y1039" s="279" t="s">
        <v>1693</v>
      </c>
      <c r="Z1039" s="282" t="s">
        <v>53</v>
      </c>
      <c r="AA1039" s="282">
        <v>6380757.0</v>
      </c>
      <c r="AB1039" s="283">
        <v>44370.0</v>
      </c>
      <c r="AC1039" s="284"/>
      <c r="AD1039" s="284"/>
    </row>
    <row r="1040" ht="14.25" customHeight="1">
      <c r="A1040" s="265">
        <v>44366.0</v>
      </c>
      <c r="B1040" s="266" t="s">
        <v>1500</v>
      </c>
      <c r="C1040" s="267" t="s">
        <v>1686</v>
      </c>
      <c r="D1040" s="266" t="s">
        <v>1543</v>
      </c>
      <c r="E1040" s="268"/>
      <c r="F1040" s="291" t="s">
        <v>4421</v>
      </c>
      <c r="G1040" s="268" t="s">
        <v>1463</v>
      </c>
      <c r="H1040" s="270">
        <v>0.0013310185185185185</v>
      </c>
      <c r="I1040" s="271">
        <v>44371.475694444445</v>
      </c>
      <c r="J1040" s="268"/>
      <c r="K1040" s="271">
        <v>44391.89027777778</v>
      </c>
      <c r="L1040" s="288"/>
      <c r="M1040" s="278" t="s">
        <v>4422</v>
      </c>
      <c r="N1040" s="290"/>
      <c r="O1040" s="276"/>
      <c r="P1040" s="276"/>
      <c r="Q1040" s="276"/>
      <c r="R1040" s="278"/>
      <c r="S1040" s="278"/>
      <c r="T1040" s="278"/>
      <c r="U1040" s="279"/>
      <c r="V1040" s="279" t="s">
        <v>1824</v>
      </c>
      <c r="W1040" s="280">
        <v>44392.0</v>
      </c>
      <c r="X1040" s="281">
        <v>0.005555555555555556</v>
      </c>
      <c r="Y1040" s="279" t="s">
        <v>1693</v>
      </c>
      <c r="Z1040" s="282" t="s">
        <v>53</v>
      </c>
      <c r="AA1040" s="282">
        <v>6402997.0</v>
      </c>
      <c r="AB1040" s="283">
        <v>44392.0</v>
      </c>
      <c r="AC1040" s="284"/>
      <c r="AD1040" s="284"/>
    </row>
    <row r="1041" ht="14.25" customHeight="1">
      <c r="A1041" s="265">
        <v>44366.0</v>
      </c>
      <c r="B1041" s="266" t="s">
        <v>1500</v>
      </c>
      <c r="C1041" s="266"/>
      <c r="D1041" s="266" t="s">
        <v>1686</v>
      </c>
      <c r="E1041" s="268"/>
      <c r="F1041" s="358" t="s">
        <v>4423</v>
      </c>
      <c r="G1041" s="268" t="s">
        <v>2085</v>
      </c>
      <c r="H1041" s="270">
        <v>0.03746527777777778</v>
      </c>
      <c r="I1041" s="271">
        <v>44367.54583333333</v>
      </c>
      <c r="J1041" s="268"/>
      <c r="K1041" s="271">
        <v>44367.57913194445</v>
      </c>
      <c r="L1041" s="288" t="str">
        <f t="shared" ref="L1041:L1042" si="11">IFERROR(IF(OR(I1041="",K1041=""),"",K1041-I1041),"")</f>
        <v>12:47:57 AM</v>
      </c>
      <c r="M1041" s="278"/>
      <c r="N1041" s="290"/>
      <c r="O1041" s="276"/>
      <c r="P1041" s="276"/>
      <c r="Q1041" s="276"/>
      <c r="R1041" s="278"/>
      <c r="S1041" s="278"/>
      <c r="T1041" s="278"/>
      <c r="U1041" s="279"/>
      <c r="V1041" s="279" t="s">
        <v>1685</v>
      </c>
      <c r="W1041" s="280">
        <v>44368.0</v>
      </c>
      <c r="X1041" s="281">
        <v>0.14583333333333334</v>
      </c>
      <c r="Y1041" s="279" t="s">
        <v>1693</v>
      </c>
      <c r="Z1041" s="282" t="s">
        <v>53</v>
      </c>
      <c r="AA1041" s="282" t="s">
        <v>4423</v>
      </c>
      <c r="AB1041" s="283">
        <v>44368.0</v>
      </c>
      <c r="AC1041" s="284"/>
      <c r="AD1041" s="284"/>
    </row>
    <row r="1042" ht="14.25" customHeight="1">
      <c r="A1042" s="265">
        <v>44366.0</v>
      </c>
      <c r="B1042" s="266" t="s">
        <v>1733</v>
      </c>
      <c r="C1042" s="266"/>
      <c r="D1042" s="266" t="s">
        <v>1455</v>
      </c>
      <c r="E1042" s="268"/>
      <c r="F1042" s="358" t="s">
        <v>4424</v>
      </c>
      <c r="G1042" s="268" t="s">
        <v>2085</v>
      </c>
      <c r="H1042" s="270">
        <v>0.016805555555555556</v>
      </c>
      <c r="I1042" s="271">
        <v>44367.552777777775</v>
      </c>
      <c r="J1042" s="268"/>
      <c r="K1042" s="271">
        <v>44367.57136574074</v>
      </c>
      <c r="L1042" s="288" t="str">
        <f t="shared" si="11"/>
        <v>12:26:46 AM</v>
      </c>
      <c r="M1042" s="278"/>
      <c r="N1042" s="290"/>
      <c r="O1042" s="276"/>
      <c r="P1042" s="276"/>
      <c r="Q1042" s="276"/>
      <c r="R1042" s="278"/>
      <c r="S1042" s="278"/>
      <c r="T1042" s="278"/>
      <c r="U1042" s="279"/>
      <c r="V1042" s="279" t="s">
        <v>1824</v>
      </c>
      <c r="W1042" s="280">
        <v>44369.0</v>
      </c>
      <c r="X1042" s="281">
        <v>0.07777777777777778</v>
      </c>
      <c r="Y1042" s="279" t="s">
        <v>1693</v>
      </c>
      <c r="Z1042" s="282" t="s">
        <v>53</v>
      </c>
      <c r="AA1042" s="282" t="s">
        <v>4424</v>
      </c>
      <c r="AB1042" s="283">
        <v>44368.0</v>
      </c>
      <c r="AC1042" s="284"/>
      <c r="AD1042" s="284"/>
    </row>
    <row r="1043" ht="14.25" customHeight="1">
      <c r="A1043" s="265">
        <v>44367.0</v>
      </c>
      <c r="B1043" s="266" t="s">
        <v>1733</v>
      </c>
      <c r="C1043" s="266"/>
      <c r="D1043" s="266" t="s">
        <v>3509</v>
      </c>
      <c r="E1043" s="268"/>
      <c r="F1043" s="358">
        <v>6374553.0</v>
      </c>
      <c r="G1043" s="268" t="s">
        <v>3839</v>
      </c>
      <c r="H1043" s="270">
        <v>0.05341435185185186</v>
      </c>
      <c r="I1043" s="271">
        <v>44367.9375</v>
      </c>
      <c r="J1043" s="268"/>
      <c r="K1043" s="271">
        <v>44367.94513888889</v>
      </c>
      <c r="L1043" s="288"/>
      <c r="M1043" s="278"/>
      <c r="N1043" s="290"/>
      <c r="O1043" s="276"/>
      <c r="P1043" s="276"/>
      <c r="Q1043" s="276"/>
      <c r="R1043" s="278"/>
      <c r="S1043" s="278"/>
      <c r="T1043" s="278" t="s">
        <v>4425</v>
      </c>
      <c r="U1043" s="279"/>
      <c r="V1043" s="279"/>
      <c r="W1043" s="279"/>
      <c r="X1043" s="279"/>
      <c r="Y1043" s="279"/>
      <c r="Z1043" s="282" t="s">
        <v>3559</v>
      </c>
      <c r="AA1043" s="282">
        <v>6374553.0</v>
      </c>
      <c r="AB1043" s="283">
        <v>44368.0</v>
      </c>
      <c r="AC1043" s="284"/>
      <c r="AD1043" s="284"/>
    </row>
    <row r="1044" ht="14.25" customHeight="1">
      <c r="A1044" s="265">
        <v>44367.0</v>
      </c>
      <c r="B1044" s="266" t="s">
        <v>1733</v>
      </c>
      <c r="C1044" s="266" t="s">
        <v>4426</v>
      </c>
      <c r="D1044" s="266" t="s">
        <v>2179</v>
      </c>
      <c r="E1044" s="268"/>
      <c r="F1044" s="269" t="s">
        <v>4427</v>
      </c>
      <c r="G1044" s="268" t="s">
        <v>1463</v>
      </c>
      <c r="H1044" s="270">
        <v>0.006967592592592592</v>
      </c>
      <c r="I1044" s="271">
        <v>44372.9875</v>
      </c>
      <c r="J1044" s="268"/>
      <c r="K1044" s="271">
        <v>44372.99215277778</v>
      </c>
      <c r="L1044" s="288"/>
      <c r="M1044" s="278" t="s">
        <v>4428</v>
      </c>
      <c r="N1044" s="290"/>
      <c r="O1044" s="276"/>
      <c r="P1044" s="276"/>
      <c r="Q1044" s="276"/>
      <c r="R1044" s="278"/>
      <c r="S1044" s="278"/>
      <c r="T1044" s="278"/>
      <c r="U1044" s="279"/>
      <c r="V1044" s="279" t="s">
        <v>3851</v>
      </c>
      <c r="W1044" s="279" t="s">
        <v>28</v>
      </c>
      <c r="X1044" s="279" t="s">
        <v>28</v>
      </c>
      <c r="Y1044" s="279" t="s">
        <v>1693</v>
      </c>
      <c r="Z1044" s="282" t="s">
        <v>53</v>
      </c>
      <c r="AA1044" s="282">
        <v>6382771.0</v>
      </c>
      <c r="AB1044" s="283">
        <v>44373.0</v>
      </c>
      <c r="AC1044" s="284"/>
      <c r="AD1044" s="284"/>
    </row>
    <row r="1045" ht="14.25" customHeight="1">
      <c r="A1045" s="265">
        <v>44367.0</v>
      </c>
      <c r="B1045" s="266" t="s">
        <v>1733</v>
      </c>
      <c r="C1045" s="266"/>
      <c r="D1045" s="266" t="s">
        <v>1457</v>
      </c>
      <c r="E1045" s="268"/>
      <c r="F1045" s="358" t="s">
        <v>4429</v>
      </c>
      <c r="G1045" s="268" t="s">
        <v>2085</v>
      </c>
      <c r="H1045" s="270">
        <v>0.01758101851851852</v>
      </c>
      <c r="I1045" s="271">
        <v>44367.66180555556</v>
      </c>
      <c r="J1045" s="268"/>
      <c r="K1045" s="271">
        <v>44367.661215277774</v>
      </c>
      <c r="L1045" s="288" t="str">
        <f t="shared" ref="L1045:L1046" si="12">IFERROR(IF(OR(I1045="",K1045=""),"",K1045-I1045),"")</f>
        <v>11:59:09 PM</v>
      </c>
      <c r="M1045" s="278"/>
      <c r="N1045" s="290"/>
      <c r="O1045" s="276"/>
      <c r="P1045" s="276"/>
      <c r="Q1045" s="276"/>
      <c r="R1045" s="278"/>
      <c r="S1045" s="278"/>
      <c r="T1045" s="278"/>
      <c r="U1045" s="279"/>
      <c r="V1045" s="279" t="s">
        <v>1824</v>
      </c>
      <c r="W1045" s="280">
        <v>44369.0</v>
      </c>
      <c r="X1045" s="281">
        <v>0.0375</v>
      </c>
      <c r="Y1045" s="279" t="s">
        <v>1693</v>
      </c>
      <c r="Z1045" s="282" t="s">
        <v>53</v>
      </c>
      <c r="AA1045" s="282" t="s">
        <v>4429</v>
      </c>
      <c r="AB1045" s="283">
        <v>44368.0</v>
      </c>
      <c r="AC1045" s="284"/>
      <c r="AD1045" s="284"/>
    </row>
    <row r="1046" ht="14.25" customHeight="1">
      <c r="A1046" s="265">
        <v>44367.0</v>
      </c>
      <c r="B1046" s="266" t="s">
        <v>1733</v>
      </c>
      <c r="C1046" s="266"/>
      <c r="D1046" s="266" t="s">
        <v>2829</v>
      </c>
      <c r="E1046" s="268"/>
      <c r="F1046" s="358" t="s">
        <v>4430</v>
      </c>
      <c r="G1046" s="268" t="s">
        <v>2085</v>
      </c>
      <c r="H1046" s="270">
        <v>0.01877314814814815</v>
      </c>
      <c r="I1046" s="271">
        <v>44367.675</v>
      </c>
      <c r="J1046" s="268"/>
      <c r="K1046" s="268"/>
      <c r="L1046" s="288" t="str">
        <f t="shared" si="12"/>
        <v/>
      </c>
      <c r="M1046" s="307" t="s">
        <v>2808</v>
      </c>
      <c r="N1046" s="273">
        <v>44367.67638888889</v>
      </c>
      <c r="O1046" s="276" t="s">
        <v>4431</v>
      </c>
      <c r="P1046" s="275" t="s">
        <v>1463</v>
      </c>
      <c r="Q1046" s="276" t="s">
        <v>1819</v>
      </c>
      <c r="R1046" s="277">
        <v>44367.68806712963</v>
      </c>
      <c r="S1046" s="278"/>
      <c r="T1046" s="278" t="s">
        <v>4432</v>
      </c>
      <c r="U1046" s="279"/>
      <c r="V1046" s="279"/>
      <c r="W1046" s="279"/>
      <c r="X1046" s="279"/>
      <c r="Y1046" s="279"/>
      <c r="Z1046" s="282" t="s">
        <v>53</v>
      </c>
      <c r="AA1046" s="282" t="s">
        <v>4430</v>
      </c>
      <c r="AB1046" s="283">
        <v>44368.0</v>
      </c>
      <c r="AC1046" s="284"/>
      <c r="AD1046" s="284"/>
    </row>
    <row r="1047" ht="14.25" customHeight="1">
      <c r="A1047" s="265">
        <v>44368.0</v>
      </c>
      <c r="B1047" s="266" t="s">
        <v>1500</v>
      </c>
      <c r="C1047" s="266" t="s">
        <v>1450</v>
      </c>
      <c r="D1047" s="266" t="s">
        <v>1543</v>
      </c>
      <c r="E1047" s="268"/>
      <c r="F1047" s="269" t="s">
        <v>4433</v>
      </c>
      <c r="G1047" s="268" t="s">
        <v>1463</v>
      </c>
      <c r="H1047" s="270">
        <v>9.837962962962964E-4</v>
      </c>
      <c r="I1047" s="271">
        <v>44369.70625</v>
      </c>
      <c r="J1047" s="268"/>
      <c r="K1047" s="271">
        <v>44370.3169212963</v>
      </c>
      <c r="L1047" s="288"/>
      <c r="M1047" s="278" t="s">
        <v>4434</v>
      </c>
      <c r="N1047" s="290"/>
      <c r="O1047" s="276"/>
      <c r="P1047" s="276"/>
      <c r="Q1047" s="276"/>
      <c r="R1047" s="278"/>
      <c r="S1047" s="278"/>
      <c r="T1047" s="278"/>
      <c r="U1047" s="279"/>
      <c r="V1047" s="279" t="s">
        <v>1685</v>
      </c>
      <c r="W1047" s="280">
        <v>44371.0</v>
      </c>
      <c r="X1047" s="281">
        <v>0.0016203703703703703</v>
      </c>
      <c r="Y1047" s="279" t="s">
        <v>1693</v>
      </c>
      <c r="Z1047" s="282" t="s">
        <v>53</v>
      </c>
      <c r="AA1047" s="282">
        <v>6380758.0</v>
      </c>
      <c r="AB1047" s="283">
        <v>44370.0</v>
      </c>
      <c r="AC1047" s="284"/>
      <c r="AD1047" s="284"/>
    </row>
    <row r="1048" ht="14.25" customHeight="1">
      <c r="A1048" s="265">
        <v>44368.0</v>
      </c>
      <c r="B1048" s="266" t="s">
        <v>1500</v>
      </c>
      <c r="C1048" s="266" t="s">
        <v>1450</v>
      </c>
      <c r="D1048" s="266" t="s">
        <v>1543</v>
      </c>
      <c r="E1048" s="268"/>
      <c r="F1048" s="269" t="s">
        <v>4435</v>
      </c>
      <c r="G1048" s="268" t="s">
        <v>1463</v>
      </c>
      <c r="H1048" s="270">
        <v>0.0013078703703703705</v>
      </c>
      <c r="I1048" s="271">
        <v>44369.739583333336</v>
      </c>
      <c r="J1048" s="268"/>
      <c r="K1048" s="271">
        <v>44370.077152777776</v>
      </c>
      <c r="L1048" s="288"/>
      <c r="M1048" s="278" t="s">
        <v>4436</v>
      </c>
      <c r="N1048" s="290"/>
      <c r="O1048" s="276"/>
      <c r="P1048" s="276"/>
      <c r="Q1048" s="276"/>
      <c r="R1048" s="278"/>
      <c r="S1048" s="278"/>
      <c r="T1048" s="278"/>
      <c r="U1048" s="279"/>
      <c r="V1048" s="279" t="s">
        <v>1685</v>
      </c>
      <c r="W1048" s="280">
        <v>44372.0</v>
      </c>
      <c r="X1048" s="281">
        <v>0.001388888888888889</v>
      </c>
      <c r="Y1048" s="279" t="s">
        <v>1693</v>
      </c>
      <c r="Z1048" s="282" t="s">
        <v>53</v>
      </c>
      <c r="AA1048" s="282">
        <v>6380759.0</v>
      </c>
      <c r="AB1048" s="283">
        <v>44370.0</v>
      </c>
      <c r="AC1048" s="284"/>
      <c r="AD1048" s="284"/>
    </row>
    <row r="1049" ht="14.25" customHeight="1">
      <c r="A1049" s="265">
        <v>44368.0</v>
      </c>
      <c r="B1049" s="266" t="s">
        <v>3677</v>
      </c>
      <c r="C1049" s="266"/>
      <c r="D1049" s="266" t="s">
        <v>1450</v>
      </c>
      <c r="E1049" s="268"/>
      <c r="F1049" s="358" t="s">
        <v>4437</v>
      </c>
      <c r="G1049" s="268" t="s">
        <v>2085</v>
      </c>
      <c r="H1049" s="270">
        <v>0.10019675925925926</v>
      </c>
      <c r="I1049" s="271">
        <v>44368.86666666667</v>
      </c>
      <c r="J1049" s="268"/>
      <c r="K1049" s="271">
        <v>44369.093136574076</v>
      </c>
      <c r="L1049" s="288" t="str">
        <f t="shared" ref="L1049:L1052" si="13">IFERROR(IF(OR(I1049="",K1049=""),"",K1049-I1049),"")</f>
        <v>5:26:07 AM</v>
      </c>
      <c r="M1049" s="307"/>
      <c r="N1049" s="273"/>
      <c r="O1049" s="276"/>
      <c r="P1049" s="275"/>
      <c r="Q1049" s="276"/>
      <c r="R1049" s="278"/>
      <c r="S1049" s="278"/>
      <c r="T1049" s="278"/>
      <c r="U1049" s="279"/>
      <c r="V1049" s="279" t="s">
        <v>2030</v>
      </c>
      <c r="W1049" s="280">
        <v>44369.0</v>
      </c>
      <c r="X1049" s="281">
        <v>0.22916666666666666</v>
      </c>
      <c r="Y1049" s="279" t="s">
        <v>1693</v>
      </c>
      <c r="Z1049" s="282" t="s">
        <v>53</v>
      </c>
      <c r="AA1049" s="282" t="s">
        <v>4437</v>
      </c>
      <c r="AB1049" s="283">
        <v>44369.0</v>
      </c>
      <c r="AC1049" s="284"/>
      <c r="AD1049" s="284"/>
    </row>
    <row r="1050" ht="14.25" customHeight="1">
      <c r="A1050" s="265">
        <v>44368.0</v>
      </c>
      <c r="B1050" s="266" t="s">
        <v>1824</v>
      </c>
      <c r="C1050" s="266"/>
      <c r="D1050" s="266" t="s">
        <v>1452</v>
      </c>
      <c r="E1050" s="268"/>
      <c r="F1050" s="358" t="s">
        <v>4438</v>
      </c>
      <c r="G1050" s="268" t="s">
        <v>2085</v>
      </c>
      <c r="H1050" s="270">
        <v>0.001967592592592593</v>
      </c>
      <c r="I1050" s="271">
        <v>44368.86736111111</v>
      </c>
      <c r="J1050" s="268"/>
      <c r="K1050" s="271">
        <v>44368.87126157407</v>
      </c>
      <c r="L1050" s="288" t="str">
        <f t="shared" si="13"/>
        <v>12:05:37 AM</v>
      </c>
      <c r="M1050" s="278"/>
      <c r="N1050" s="290"/>
      <c r="O1050" s="276"/>
      <c r="P1050" s="276"/>
      <c r="Q1050" s="276"/>
      <c r="R1050" s="278"/>
      <c r="S1050" s="278"/>
      <c r="T1050" s="278"/>
      <c r="U1050" s="279"/>
      <c r="V1050" s="279" t="s">
        <v>1824</v>
      </c>
      <c r="W1050" s="280">
        <v>44369.0</v>
      </c>
      <c r="X1050" s="281">
        <v>0.015277777777777777</v>
      </c>
      <c r="Y1050" s="279" t="s">
        <v>1693</v>
      </c>
      <c r="Z1050" s="282" t="s">
        <v>53</v>
      </c>
      <c r="AA1050" s="282" t="s">
        <v>4438</v>
      </c>
      <c r="AB1050" s="283">
        <v>44369.0</v>
      </c>
      <c r="AC1050" s="284"/>
      <c r="AD1050" s="284"/>
    </row>
    <row r="1051" ht="14.25" customHeight="1">
      <c r="A1051" s="265">
        <v>44368.0</v>
      </c>
      <c r="B1051" s="266" t="s">
        <v>1685</v>
      </c>
      <c r="C1051" s="266"/>
      <c r="D1051" s="266" t="s">
        <v>1686</v>
      </c>
      <c r="E1051" s="268"/>
      <c r="F1051" s="358" t="s">
        <v>4439</v>
      </c>
      <c r="G1051" s="268" t="s">
        <v>2085</v>
      </c>
      <c r="H1051" s="270">
        <v>0.03960648148148148</v>
      </c>
      <c r="I1051" s="271">
        <v>44368.86944444444</v>
      </c>
      <c r="J1051" s="268"/>
      <c r="K1051" s="271">
        <v>44368.91585648148</v>
      </c>
      <c r="L1051" s="288" t="str">
        <f t="shared" si="13"/>
        <v>1:06:50 AM</v>
      </c>
      <c r="M1051" s="278"/>
      <c r="N1051" s="290"/>
      <c r="O1051" s="276"/>
      <c r="P1051" s="276"/>
      <c r="Q1051" s="276"/>
      <c r="R1051" s="278"/>
      <c r="S1051" s="278"/>
      <c r="T1051" s="278"/>
      <c r="U1051" s="279"/>
      <c r="V1051" s="279" t="s">
        <v>1685</v>
      </c>
      <c r="W1051" s="280">
        <v>44369.0</v>
      </c>
      <c r="X1051" s="281">
        <v>0.16666666666666666</v>
      </c>
      <c r="Y1051" s="279" t="s">
        <v>1693</v>
      </c>
      <c r="Z1051" s="282" t="s">
        <v>53</v>
      </c>
      <c r="AA1051" s="282" t="s">
        <v>4439</v>
      </c>
      <c r="AB1051" s="283">
        <v>44369.0</v>
      </c>
      <c r="AC1051" s="284"/>
      <c r="AD1051" s="284"/>
    </row>
    <row r="1052" ht="14.25" customHeight="1">
      <c r="A1052" s="265">
        <v>44368.0</v>
      </c>
      <c r="B1052" s="266" t="s">
        <v>3677</v>
      </c>
      <c r="C1052" s="266"/>
      <c r="D1052" s="266" t="s">
        <v>1455</v>
      </c>
      <c r="E1052" s="268"/>
      <c r="F1052" s="358" t="s">
        <v>4440</v>
      </c>
      <c r="G1052" s="268" t="s">
        <v>2085</v>
      </c>
      <c r="H1052" s="270">
        <v>0.021354166666666664</v>
      </c>
      <c r="I1052" s="271">
        <v>44368.87152777778</v>
      </c>
      <c r="J1052" s="268"/>
      <c r="K1052" s="271">
        <v>44368.90491898148</v>
      </c>
      <c r="L1052" s="288" t="str">
        <f t="shared" si="13"/>
        <v>12:48:05 AM</v>
      </c>
      <c r="M1052" s="278"/>
      <c r="N1052" s="290"/>
      <c r="O1052" s="276"/>
      <c r="P1052" s="276"/>
      <c r="Q1052" s="276"/>
      <c r="R1052" s="278"/>
      <c r="S1052" s="278"/>
      <c r="T1052" s="278"/>
      <c r="U1052" s="279"/>
      <c r="V1052" s="279" t="s">
        <v>1824</v>
      </c>
      <c r="W1052" s="280">
        <v>44371.0</v>
      </c>
      <c r="X1052" s="281">
        <v>0.08263888888888889</v>
      </c>
      <c r="Y1052" s="279" t="s">
        <v>1693</v>
      </c>
      <c r="Z1052" s="282" t="s">
        <v>53</v>
      </c>
      <c r="AA1052" s="282" t="s">
        <v>4440</v>
      </c>
      <c r="AB1052" s="283">
        <v>44369.0</v>
      </c>
      <c r="AC1052" s="284"/>
      <c r="AD1052" s="284"/>
    </row>
    <row r="1053" ht="14.25" customHeight="1">
      <c r="A1053" s="265">
        <v>44369.0</v>
      </c>
      <c r="B1053" s="266" t="s">
        <v>1500</v>
      </c>
      <c r="C1053" s="266" t="s">
        <v>2641</v>
      </c>
      <c r="D1053" s="266" t="s">
        <v>1543</v>
      </c>
      <c r="E1053" s="268"/>
      <c r="F1053" s="291" t="s">
        <v>4441</v>
      </c>
      <c r="G1053" s="268" t="s">
        <v>1463</v>
      </c>
      <c r="H1053" s="270">
        <v>0.0014814814814814814</v>
      </c>
      <c r="I1053" s="271">
        <v>44371.81458333333</v>
      </c>
      <c r="J1053" s="268"/>
      <c r="K1053" s="271">
        <v>44372.15288194444</v>
      </c>
      <c r="L1053" s="288"/>
      <c r="M1053" s="278" t="s">
        <v>4442</v>
      </c>
      <c r="N1053" s="290"/>
      <c r="O1053" s="276"/>
      <c r="P1053" s="276"/>
      <c r="Q1053" s="276"/>
      <c r="R1053" s="278"/>
      <c r="S1053" s="278"/>
      <c r="T1053" s="278"/>
      <c r="U1053" s="279"/>
      <c r="V1053" s="279" t="s">
        <v>1570</v>
      </c>
      <c r="W1053" s="280">
        <v>44377.0</v>
      </c>
      <c r="X1053" s="281">
        <v>0.010416666666666666</v>
      </c>
      <c r="Y1053" s="279" t="s">
        <v>1693</v>
      </c>
      <c r="Z1053" s="282" t="s">
        <v>53</v>
      </c>
      <c r="AA1053" s="282">
        <v>6382272.0</v>
      </c>
      <c r="AB1053" s="283">
        <v>44373.0</v>
      </c>
      <c r="AC1053" s="284"/>
      <c r="AD1053" s="284"/>
    </row>
    <row r="1054" ht="14.25" customHeight="1">
      <c r="A1054" s="265">
        <v>44369.0</v>
      </c>
      <c r="B1054" s="266" t="s">
        <v>1500</v>
      </c>
      <c r="C1054" s="266" t="s">
        <v>2083</v>
      </c>
      <c r="D1054" s="266" t="s">
        <v>1543</v>
      </c>
      <c r="E1054" s="268"/>
      <c r="F1054" s="291" t="s">
        <v>4443</v>
      </c>
      <c r="G1054" s="268" t="s">
        <v>1463</v>
      </c>
      <c r="H1054" s="270">
        <v>0.002800925925925926</v>
      </c>
      <c r="I1054" s="271">
        <v>44369.73055555556</v>
      </c>
      <c r="J1054" s="268"/>
      <c r="K1054" s="271">
        <v>44372.80087962963</v>
      </c>
      <c r="L1054" s="288"/>
      <c r="M1054" s="278" t="s">
        <v>4444</v>
      </c>
      <c r="N1054" s="290"/>
      <c r="O1054" s="276"/>
      <c r="P1054" s="276"/>
      <c r="Q1054" s="276"/>
      <c r="R1054" s="278"/>
      <c r="S1054" s="278"/>
      <c r="T1054" s="278"/>
      <c r="U1054" s="279"/>
      <c r="V1054" s="279" t="s">
        <v>1570</v>
      </c>
      <c r="W1054" s="280">
        <v>44378.0</v>
      </c>
      <c r="X1054" s="281">
        <v>0.010416666666666666</v>
      </c>
      <c r="Y1054" s="279" t="s">
        <v>1693</v>
      </c>
      <c r="Z1054" s="282" t="s">
        <v>53</v>
      </c>
      <c r="AA1054" s="282">
        <v>6395557.0</v>
      </c>
      <c r="AB1054" s="283">
        <v>44390.0</v>
      </c>
      <c r="AC1054" s="284"/>
      <c r="AD1054" s="284"/>
    </row>
    <row r="1055" ht="14.25" customHeight="1">
      <c r="A1055" s="265">
        <v>44369.0</v>
      </c>
      <c r="B1055" s="266" t="s">
        <v>3677</v>
      </c>
      <c r="C1055" s="266"/>
      <c r="D1055" s="266" t="s">
        <v>1450</v>
      </c>
      <c r="E1055" s="268"/>
      <c r="F1055" s="358" t="s">
        <v>4445</v>
      </c>
      <c r="G1055" s="268" t="s">
        <v>2085</v>
      </c>
      <c r="H1055" s="270">
        <v>0.09891203703703703</v>
      </c>
      <c r="I1055" s="271">
        <v>44369.708333333336</v>
      </c>
      <c r="J1055" s="268"/>
      <c r="K1055" s="271">
        <v>44369.76236111111</v>
      </c>
      <c r="L1055" s="288" t="str">
        <f t="shared" ref="L1055:L1058" si="14">IFERROR(IF(OR(I1055="",K1055=""),"",K1055-I1055),"")</f>
        <v>1:17:48 AM</v>
      </c>
      <c r="M1055" s="278"/>
      <c r="N1055" s="290"/>
      <c r="O1055" s="276"/>
      <c r="P1055" s="276"/>
      <c r="Q1055" s="276"/>
      <c r="R1055" s="278"/>
      <c r="S1055" s="278"/>
      <c r="T1055" s="278"/>
      <c r="U1055" s="279"/>
      <c r="V1055" s="279" t="s">
        <v>2030</v>
      </c>
      <c r="W1055" s="280">
        <v>44370.0</v>
      </c>
      <c r="X1055" s="281">
        <v>0.2222222222222222</v>
      </c>
      <c r="Y1055" s="279" t="s">
        <v>1693</v>
      </c>
      <c r="Z1055" s="282" t="s">
        <v>53</v>
      </c>
      <c r="AA1055" s="282" t="s">
        <v>4445</v>
      </c>
      <c r="AB1055" s="283">
        <v>44370.0</v>
      </c>
      <c r="AC1055" s="284"/>
      <c r="AD1055" s="284"/>
    </row>
    <row r="1056" ht="14.25" customHeight="1">
      <c r="A1056" s="265">
        <v>44369.0</v>
      </c>
      <c r="B1056" s="266" t="s">
        <v>1824</v>
      </c>
      <c r="C1056" s="266"/>
      <c r="D1056" s="266" t="s">
        <v>1452</v>
      </c>
      <c r="E1056" s="268"/>
      <c r="F1056" s="358" t="s">
        <v>4446</v>
      </c>
      <c r="G1056" s="268" t="s">
        <v>2085</v>
      </c>
      <c r="H1056" s="270">
        <v>0.0043287037037037035</v>
      </c>
      <c r="I1056" s="271">
        <v>44369.71111111111</v>
      </c>
      <c r="J1056" s="268"/>
      <c r="K1056" s="271">
        <v>44369.716898148145</v>
      </c>
      <c r="L1056" s="288" t="str">
        <f t="shared" si="14"/>
        <v>12:08:20 AM</v>
      </c>
      <c r="M1056" s="278"/>
      <c r="N1056" s="290"/>
      <c r="O1056" s="276"/>
      <c r="P1056" s="276"/>
      <c r="Q1056" s="276"/>
      <c r="R1056" s="278"/>
      <c r="S1056" s="278"/>
      <c r="T1056" s="278"/>
      <c r="U1056" s="279"/>
      <c r="V1056" s="279" t="s">
        <v>1824</v>
      </c>
      <c r="W1056" s="280">
        <v>44369.0</v>
      </c>
      <c r="X1056" s="281">
        <v>0.018055555555555557</v>
      </c>
      <c r="Y1056" s="279" t="s">
        <v>1693</v>
      </c>
      <c r="Z1056" s="282" t="s">
        <v>53</v>
      </c>
      <c r="AA1056" s="282" t="s">
        <v>4446</v>
      </c>
      <c r="AB1056" s="283">
        <v>44370.0</v>
      </c>
      <c r="AC1056" s="284"/>
      <c r="AD1056" s="284"/>
    </row>
    <row r="1057" ht="14.25" customHeight="1">
      <c r="A1057" s="265">
        <v>44369.0</v>
      </c>
      <c r="B1057" s="266" t="s">
        <v>1685</v>
      </c>
      <c r="C1057" s="266"/>
      <c r="D1057" s="266" t="s">
        <v>1686</v>
      </c>
      <c r="E1057" s="268"/>
      <c r="F1057" s="358" t="s">
        <v>4447</v>
      </c>
      <c r="G1057" s="268" t="s">
        <v>2085</v>
      </c>
      <c r="H1057" s="270">
        <v>0.037280092592592594</v>
      </c>
      <c r="I1057" s="271">
        <v>44369.71319444444</v>
      </c>
      <c r="J1057" s="268"/>
      <c r="K1057" s="271">
        <v>44369.73893518518</v>
      </c>
      <c r="L1057" s="288" t="str">
        <f t="shared" si="14"/>
        <v>12:37:04 AM</v>
      </c>
      <c r="M1057" s="278"/>
      <c r="N1057" s="290"/>
      <c r="O1057" s="276"/>
      <c r="P1057" s="276"/>
      <c r="Q1057" s="276"/>
      <c r="R1057" s="278"/>
      <c r="S1057" s="278"/>
      <c r="T1057" s="278"/>
      <c r="U1057" s="279"/>
      <c r="V1057" s="279" t="s">
        <v>1685</v>
      </c>
      <c r="W1057" s="280">
        <v>44370.0</v>
      </c>
      <c r="X1057" s="281">
        <v>0.14583333333333334</v>
      </c>
      <c r="Y1057" s="279" t="s">
        <v>1693</v>
      </c>
      <c r="Z1057" s="282" t="s">
        <v>53</v>
      </c>
      <c r="AA1057" s="282" t="s">
        <v>4447</v>
      </c>
      <c r="AB1057" s="283">
        <v>44370.0</v>
      </c>
      <c r="AC1057" s="284"/>
      <c r="AD1057" s="284"/>
    </row>
    <row r="1058" ht="14.25" customHeight="1">
      <c r="A1058" s="265">
        <v>44369.0</v>
      </c>
      <c r="B1058" s="266" t="s">
        <v>3677</v>
      </c>
      <c r="C1058" s="266"/>
      <c r="D1058" s="266" t="s">
        <v>1455</v>
      </c>
      <c r="E1058" s="268"/>
      <c r="F1058" s="358" t="s">
        <v>4448</v>
      </c>
      <c r="G1058" s="268" t="s">
        <v>2085</v>
      </c>
      <c r="H1058" s="270">
        <v>0.020428240740740743</v>
      </c>
      <c r="I1058" s="271">
        <v>44369.88402777778</v>
      </c>
      <c r="J1058" s="268"/>
      <c r="K1058" s="271">
        <v>44369.89528935185</v>
      </c>
      <c r="L1058" s="288" t="str">
        <f t="shared" si="14"/>
        <v>12:16:13 AM</v>
      </c>
      <c r="M1058" s="278"/>
      <c r="N1058" s="290"/>
      <c r="O1058" s="276"/>
      <c r="P1058" s="276"/>
      <c r="Q1058" s="276"/>
      <c r="R1058" s="278"/>
      <c r="S1058" s="278"/>
      <c r="T1058" s="278"/>
      <c r="U1058" s="279"/>
      <c r="V1058" s="279" t="s">
        <v>1824</v>
      </c>
      <c r="W1058" s="280">
        <v>44371.0</v>
      </c>
      <c r="X1058" s="281">
        <v>0.0798611111111111</v>
      </c>
      <c r="Y1058" s="279" t="s">
        <v>1693</v>
      </c>
      <c r="Z1058" s="282" t="s">
        <v>53</v>
      </c>
      <c r="AA1058" s="282" t="s">
        <v>4448</v>
      </c>
      <c r="AB1058" s="283">
        <v>44370.0</v>
      </c>
      <c r="AC1058" s="284"/>
      <c r="AD1058" s="284"/>
    </row>
    <row r="1059" ht="14.25" customHeight="1">
      <c r="A1059" s="265">
        <v>44370.0</v>
      </c>
      <c r="B1059" s="266" t="s">
        <v>1500</v>
      </c>
      <c r="C1059" s="266" t="s">
        <v>2641</v>
      </c>
      <c r="D1059" s="266" t="s">
        <v>1543</v>
      </c>
      <c r="E1059" s="268"/>
      <c r="F1059" s="269" t="s">
        <v>4449</v>
      </c>
      <c r="G1059" s="268" t="s">
        <v>1463</v>
      </c>
      <c r="H1059" s="270">
        <v>0.0024537037037037036</v>
      </c>
      <c r="I1059" s="271">
        <v>44379.35138888889</v>
      </c>
      <c r="J1059" s="268"/>
      <c r="K1059" s="271">
        <v>44386.49842592593</v>
      </c>
      <c r="L1059" s="288"/>
      <c r="M1059" s="278" t="s">
        <v>4450</v>
      </c>
      <c r="N1059" s="290"/>
      <c r="O1059" s="276"/>
      <c r="P1059" s="276"/>
      <c r="Q1059" s="276"/>
      <c r="R1059" s="278"/>
      <c r="S1059" s="278"/>
      <c r="T1059" s="278"/>
      <c r="U1059" s="279"/>
      <c r="V1059" s="279" t="s">
        <v>1824</v>
      </c>
      <c r="W1059" s="280">
        <v>44391.0</v>
      </c>
      <c r="X1059" s="281">
        <v>0.013888888888888888</v>
      </c>
      <c r="Y1059" s="279" t="s">
        <v>1693</v>
      </c>
      <c r="Z1059" s="282" t="s">
        <v>53</v>
      </c>
      <c r="AA1059" s="282">
        <v>6397468.0</v>
      </c>
      <c r="AB1059" s="283">
        <v>44390.0</v>
      </c>
      <c r="AC1059" s="284"/>
      <c r="AD1059" s="284"/>
    </row>
    <row r="1060" ht="14.25" customHeight="1">
      <c r="A1060" s="265">
        <v>44370.0</v>
      </c>
      <c r="B1060" s="266" t="s">
        <v>1500</v>
      </c>
      <c r="C1060" s="266" t="s">
        <v>2179</v>
      </c>
      <c r="D1060" s="266" t="s">
        <v>1543</v>
      </c>
      <c r="E1060" s="268"/>
      <c r="F1060" s="269" t="s">
        <v>4451</v>
      </c>
      <c r="G1060" s="268" t="s">
        <v>1463</v>
      </c>
      <c r="H1060" s="270">
        <v>0.005405092592592592</v>
      </c>
      <c r="I1060" s="271">
        <v>44397.45763888889</v>
      </c>
      <c r="J1060" s="268"/>
      <c r="K1060" s="271">
        <v>44397.797326388885</v>
      </c>
      <c r="L1060" s="288"/>
      <c r="M1060" s="278" t="s">
        <v>4452</v>
      </c>
      <c r="N1060" s="290"/>
      <c r="O1060" s="276"/>
      <c r="P1060" s="276"/>
      <c r="Q1060" s="276"/>
      <c r="R1060" s="278"/>
      <c r="S1060" s="278"/>
      <c r="T1060" s="278"/>
      <c r="U1060" s="279"/>
      <c r="V1060" s="279" t="s">
        <v>1783</v>
      </c>
      <c r="W1060" s="280">
        <v>44400.0</v>
      </c>
      <c r="X1060" s="281">
        <v>0.008333333333333333</v>
      </c>
      <c r="Y1060" s="279" t="s">
        <v>1693</v>
      </c>
      <c r="Z1060" s="282" t="s">
        <v>53</v>
      </c>
      <c r="AA1060" s="282">
        <v>6415254.0</v>
      </c>
      <c r="AB1060" s="283">
        <v>44401.0</v>
      </c>
      <c r="AC1060" s="284"/>
      <c r="AD1060" s="284"/>
    </row>
    <row r="1061" ht="14.25" customHeight="1">
      <c r="A1061" s="265">
        <v>44370.0</v>
      </c>
      <c r="B1061" s="266" t="s">
        <v>1500</v>
      </c>
      <c r="C1061" s="266" t="s">
        <v>2812</v>
      </c>
      <c r="D1061" s="266" t="s">
        <v>1543</v>
      </c>
      <c r="E1061" s="268"/>
      <c r="F1061" s="269" t="s">
        <v>4453</v>
      </c>
      <c r="G1061" s="268" t="s">
        <v>1463</v>
      </c>
      <c r="H1061" s="270">
        <v>0.0010416666666666667</v>
      </c>
      <c r="I1061" s="271">
        <v>44426.52013888889</v>
      </c>
      <c r="J1061" s="268"/>
      <c r="K1061" s="271">
        <v>44426.85633101852</v>
      </c>
      <c r="L1061" s="288"/>
      <c r="M1061" s="278" t="s">
        <v>4454</v>
      </c>
      <c r="N1061" s="290"/>
      <c r="O1061" s="276"/>
      <c r="P1061" s="276"/>
      <c r="Q1061" s="276"/>
      <c r="R1061" s="278"/>
      <c r="S1061" s="278"/>
      <c r="T1061" s="278"/>
      <c r="U1061" s="279"/>
      <c r="V1061" s="279" t="s">
        <v>1738</v>
      </c>
      <c r="W1061" s="280">
        <v>44446.0</v>
      </c>
      <c r="X1061" s="281">
        <v>0.008333333333333333</v>
      </c>
      <c r="Y1061" s="279" t="s">
        <v>1693</v>
      </c>
      <c r="Z1061" s="282" t="s">
        <v>53</v>
      </c>
      <c r="AA1061" s="282">
        <v>6522194.0</v>
      </c>
      <c r="AB1061" s="283">
        <v>44431.0</v>
      </c>
      <c r="AC1061" s="284"/>
      <c r="AD1061" s="284"/>
    </row>
    <row r="1062" ht="14.25" customHeight="1">
      <c r="A1062" s="265">
        <v>44370.0</v>
      </c>
      <c r="B1062" s="266" t="s">
        <v>3677</v>
      </c>
      <c r="C1062" s="266"/>
      <c r="D1062" s="266" t="s">
        <v>1450</v>
      </c>
      <c r="E1062" s="268"/>
      <c r="F1062" s="358" t="s">
        <v>4455</v>
      </c>
      <c r="G1062" s="268" t="s">
        <v>2085</v>
      </c>
      <c r="H1062" s="270">
        <v>0.09949074074074075</v>
      </c>
      <c r="I1062" s="271">
        <v>44370.666666666664</v>
      </c>
      <c r="J1062" s="268"/>
      <c r="K1062" s="271">
        <v>44370.785729166666</v>
      </c>
      <c r="L1062" s="288" t="str">
        <f t="shared" ref="L1062:L1065" si="15">IFERROR(IF(OR(I1062="",K1062=""),"",K1062-I1062),"")</f>
        <v>2:51:27 AM</v>
      </c>
      <c r="M1062" s="278"/>
      <c r="N1062" s="290"/>
      <c r="O1062" s="276"/>
      <c r="P1062" s="276"/>
      <c r="Q1062" s="276"/>
      <c r="R1062" s="278"/>
      <c r="S1062" s="278"/>
      <c r="T1062" s="278"/>
      <c r="U1062" s="279"/>
      <c r="V1062" s="279" t="s">
        <v>2030</v>
      </c>
      <c r="W1062" s="280">
        <v>44371.0</v>
      </c>
      <c r="X1062" s="281">
        <v>0.22916666666666666</v>
      </c>
      <c r="Y1062" s="279" t="s">
        <v>1693</v>
      </c>
      <c r="Z1062" s="282" t="s">
        <v>1570</v>
      </c>
      <c r="AA1062" s="282" t="s">
        <v>4455</v>
      </c>
      <c r="AB1062" s="283">
        <v>44371.0</v>
      </c>
      <c r="AC1062" s="284"/>
      <c r="AD1062" s="284"/>
    </row>
    <row r="1063" ht="14.25" customHeight="1">
      <c r="A1063" s="265">
        <v>44370.0</v>
      </c>
      <c r="B1063" s="266" t="s">
        <v>1824</v>
      </c>
      <c r="C1063" s="266"/>
      <c r="D1063" s="266" t="s">
        <v>1452</v>
      </c>
      <c r="E1063" s="268"/>
      <c r="F1063" s="358" t="s">
        <v>4456</v>
      </c>
      <c r="G1063" s="268" t="s">
        <v>2085</v>
      </c>
      <c r="H1063" s="270">
        <v>0.00474537037037037</v>
      </c>
      <c r="I1063" s="271">
        <v>44370.65833333333</v>
      </c>
      <c r="J1063" s="268"/>
      <c r="K1063" s="271">
        <v>44370.6752662037</v>
      </c>
      <c r="L1063" s="288" t="str">
        <f t="shared" si="15"/>
        <v>12:24:23 AM</v>
      </c>
      <c r="M1063" s="278"/>
      <c r="N1063" s="290"/>
      <c r="O1063" s="276"/>
      <c r="P1063" s="276"/>
      <c r="Q1063" s="276"/>
      <c r="R1063" s="278"/>
      <c r="S1063" s="278"/>
      <c r="T1063" s="278"/>
      <c r="U1063" s="279"/>
      <c r="V1063" s="279" t="s">
        <v>1824</v>
      </c>
      <c r="W1063" s="280">
        <v>44371.0</v>
      </c>
      <c r="X1063" s="281">
        <v>0.017361111111111112</v>
      </c>
      <c r="Y1063" s="279" t="s">
        <v>1693</v>
      </c>
      <c r="Z1063" s="282" t="s">
        <v>1570</v>
      </c>
      <c r="AA1063" s="282" t="s">
        <v>4456</v>
      </c>
      <c r="AB1063" s="283">
        <v>44371.0</v>
      </c>
      <c r="AC1063" s="284"/>
      <c r="AD1063" s="284"/>
    </row>
    <row r="1064" ht="14.25" customHeight="1">
      <c r="A1064" s="265">
        <v>44370.0</v>
      </c>
      <c r="B1064" s="266" t="s">
        <v>1685</v>
      </c>
      <c r="C1064" s="266"/>
      <c r="D1064" s="266" t="s">
        <v>1686</v>
      </c>
      <c r="E1064" s="268"/>
      <c r="F1064" s="358" t="s">
        <v>4457</v>
      </c>
      <c r="G1064" s="268" t="s">
        <v>2085</v>
      </c>
      <c r="H1064" s="270">
        <v>0.03817129629629629</v>
      </c>
      <c r="I1064" s="271">
        <v>44370.65625</v>
      </c>
      <c r="J1064" s="268"/>
      <c r="K1064" s="271">
        <v>44370.67585648148</v>
      </c>
      <c r="L1064" s="288" t="str">
        <f t="shared" si="15"/>
        <v>12:28:14 AM</v>
      </c>
      <c r="M1064" s="278"/>
      <c r="N1064" s="290"/>
      <c r="O1064" s="276"/>
      <c r="P1064" s="276"/>
      <c r="Q1064" s="276"/>
      <c r="R1064" s="278"/>
      <c r="S1064" s="278"/>
      <c r="T1064" s="278"/>
      <c r="U1064" s="279"/>
      <c r="V1064" s="279" t="s">
        <v>1685</v>
      </c>
      <c r="W1064" s="280">
        <v>44371.0</v>
      </c>
      <c r="X1064" s="281">
        <v>0.16666666666666666</v>
      </c>
      <c r="Y1064" s="279" t="s">
        <v>1693</v>
      </c>
      <c r="Z1064" s="282" t="s">
        <v>1570</v>
      </c>
      <c r="AA1064" s="282" t="s">
        <v>4457</v>
      </c>
      <c r="AB1064" s="283">
        <v>44371.0</v>
      </c>
      <c r="AC1064" s="284"/>
      <c r="AD1064" s="284"/>
    </row>
    <row r="1065" ht="14.25" customHeight="1">
      <c r="A1065" s="265">
        <v>44370.0</v>
      </c>
      <c r="B1065" s="266" t="s">
        <v>3677</v>
      </c>
      <c r="C1065" s="266"/>
      <c r="D1065" s="266" t="s">
        <v>1455</v>
      </c>
      <c r="E1065" s="268"/>
      <c r="F1065" s="358" t="s">
        <v>4458</v>
      </c>
      <c r="G1065" s="268" t="s">
        <v>2085</v>
      </c>
      <c r="H1065" s="270">
        <v>0.02175925925925926</v>
      </c>
      <c r="I1065" s="271">
        <v>44370.916666666664</v>
      </c>
      <c r="J1065" s="268"/>
      <c r="K1065" s="271">
        <v>44370.939247685186</v>
      </c>
      <c r="L1065" s="288" t="str">
        <f t="shared" si="15"/>
        <v>12:32:31 AM</v>
      </c>
      <c r="M1065" s="278"/>
      <c r="N1065" s="290"/>
      <c r="O1065" s="276"/>
      <c r="P1065" s="276"/>
      <c r="Q1065" s="276"/>
      <c r="R1065" s="278"/>
      <c r="S1065" s="278"/>
      <c r="T1065" s="278"/>
      <c r="U1065" s="279"/>
      <c r="V1065" s="279" t="s">
        <v>1824</v>
      </c>
      <c r="W1065" s="280">
        <v>44372.0</v>
      </c>
      <c r="X1065" s="281">
        <v>0.0798611111111111</v>
      </c>
      <c r="Y1065" s="279" t="s">
        <v>1693</v>
      </c>
      <c r="Z1065" s="282" t="s">
        <v>1570</v>
      </c>
      <c r="AA1065" s="282" t="s">
        <v>4458</v>
      </c>
      <c r="AB1065" s="283">
        <v>44371.0</v>
      </c>
      <c r="AC1065" s="284"/>
      <c r="AD1065" s="284"/>
    </row>
    <row r="1066" ht="14.25" customHeight="1">
      <c r="A1066" s="265">
        <v>44371.0</v>
      </c>
      <c r="B1066" s="266" t="s">
        <v>1500</v>
      </c>
      <c r="C1066" s="266" t="s">
        <v>2641</v>
      </c>
      <c r="D1066" s="266" t="s">
        <v>1543</v>
      </c>
      <c r="E1066" s="268"/>
      <c r="F1066" s="291" t="s">
        <v>4459</v>
      </c>
      <c r="G1066" s="268" t="s">
        <v>1463</v>
      </c>
      <c r="H1066" s="270">
        <v>0.0017476851851851852</v>
      </c>
      <c r="I1066" s="271">
        <v>44371.81458333333</v>
      </c>
      <c r="J1066" s="268"/>
      <c r="K1066" s="271">
        <v>44372.152592592596</v>
      </c>
      <c r="L1066" s="288"/>
      <c r="M1066" s="278" t="s">
        <v>4460</v>
      </c>
      <c r="N1066" s="290"/>
      <c r="O1066" s="276"/>
      <c r="P1066" s="276"/>
      <c r="Q1066" s="276"/>
      <c r="R1066" s="278"/>
      <c r="S1066" s="278"/>
      <c r="T1066" s="278"/>
      <c r="U1066" s="279"/>
      <c r="V1066" s="279" t="s">
        <v>1570</v>
      </c>
      <c r="W1066" s="280">
        <v>44377.0</v>
      </c>
      <c r="X1066" s="281">
        <v>0.010416666666666666</v>
      </c>
      <c r="Y1066" s="279" t="s">
        <v>1693</v>
      </c>
      <c r="Z1066" s="282" t="s">
        <v>53</v>
      </c>
      <c r="AA1066" s="282">
        <v>6382271.0</v>
      </c>
      <c r="AB1066" s="283">
        <v>44373.0</v>
      </c>
      <c r="AC1066" s="284"/>
      <c r="AD1066" s="284"/>
    </row>
    <row r="1067" ht="14.25" customHeight="1">
      <c r="A1067" s="265">
        <v>44371.0</v>
      </c>
      <c r="B1067" s="266" t="s">
        <v>1500</v>
      </c>
      <c r="C1067" s="266" t="s">
        <v>2641</v>
      </c>
      <c r="D1067" s="266" t="s">
        <v>1543</v>
      </c>
      <c r="E1067" s="268"/>
      <c r="F1067" s="291" t="s">
        <v>4461</v>
      </c>
      <c r="G1067" s="268" t="s">
        <v>1463</v>
      </c>
      <c r="H1067" s="270">
        <v>0.002013888888888889</v>
      </c>
      <c r="I1067" s="271">
        <v>44372.48055555556</v>
      </c>
      <c r="J1067" s="268"/>
      <c r="K1067" s="271">
        <v>44372.817245370374</v>
      </c>
      <c r="L1067" s="288"/>
      <c r="M1067" s="278" t="s">
        <v>4462</v>
      </c>
      <c r="N1067" s="290"/>
      <c r="O1067" s="276"/>
      <c r="P1067" s="276"/>
      <c r="Q1067" s="276"/>
      <c r="R1067" s="278"/>
      <c r="S1067" s="278"/>
      <c r="T1067" s="278"/>
      <c r="U1067" s="279"/>
      <c r="V1067" s="279" t="s">
        <v>1570</v>
      </c>
      <c r="W1067" s="280">
        <v>44379.0</v>
      </c>
      <c r="X1067" s="281">
        <v>0.010416666666666666</v>
      </c>
      <c r="Y1067" s="279" t="s">
        <v>1693</v>
      </c>
      <c r="Z1067" s="282" t="s">
        <v>53</v>
      </c>
      <c r="AA1067" s="282">
        <v>6392600.0</v>
      </c>
      <c r="AB1067" s="283">
        <v>44384.0</v>
      </c>
      <c r="AC1067" s="284"/>
      <c r="AD1067" s="284"/>
    </row>
    <row r="1068" ht="14.25" customHeight="1">
      <c r="A1068" s="265">
        <v>44371.0</v>
      </c>
      <c r="B1068" s="266" t="s">
        <v>3677</v>
      </c>
      <c r="C1068" s="266"/>
      <c r="D1068" s="266" t="s">
        <v>1450</v>
      </c>
      <c r="E1068" s="268"/>
      <c r="F1068" s="358" t="s">
        <v>4463</v>
      </c>
      <c r="G1068" s="268" t="s">
        <v>2085</v>
      </c>
      <c r="H1068" s="270">
        <v>0.09876157407407408</v>
      </c>
      <c r="I1068" s="271">
        <v>44371.71527777778</v>
      </c>
      <c r="J1068" s="268"/>
      <c r="K1068" s="271">
        <v>44371.80364583333</v>
      </c>
      <c r="L1068" s="288" t="str">
        <f t="shared" ref="L1068:L1077" si="16">IFERROR(IF(OR(I1068="",K1068=""),"",K1068-I1068),"")</f>
        <v>2:07:15 AM</v>
      </c>
      <c r="M1068" s="278"/>
      <c r="N1068" s="290"/>
      <c r="O1068" s="276"/>
      <c r="P1068" s="276"/>
      <c r="Q1068" s="276"/>
      <c r="R1068" s="278"/>
      <c r="S1068" s="278"/>
      <c r="T1068" s="278"/>
      <c r="U1068" s="279"/>
      <c r="V1068" s="279" t="s">
        <v>2030</v>
      </c>
      <c r="W1068" s="280">
        <v>44372.0</v>
      </c>
      <c r="X1068" s="281">
        <v>0.2152777777777778</v>
      </c>
      <c r="Y1068" s="279" t="s">
        <v>1693</v>
      </c>
      <c r="Z1068" s="282" t="s">
        <v>1570</v>
      </c>
      <c r="AA1068" s="282" t="s">
        <v>4463</v>
      </c>
      <c r="AB1068" s="283">
        <v>44371.0</v>
      </c>
      <c r="AC1068" s="284"/>
      <c r="AD1068" s="284"/>
    </row>
    <row r="1069" ht="14.25" customHeight="1">
      <c r="A1069" s="265">
        <v>44371.0</v>
      </c>
      <c r="B1069" s="266" t="s">
        <v>1824</v>
      </c>
      <c r="C1069" s="266"/>
      <c r="D1069" s="266" t="s">
        <v>1452</v>
      </c>
      <c r="E1069" s="268"/>
      <c r="F1069" s="358" t="s">
        <v>4464</v>
      </c>
      <c r="G1069" s="268" t="s">
        <v>2085</v>
      </c>
      <c r="H1069" s="270">
        <v>0.004456018518518519</v>
      </c>
      <c r="I1069" s="271">
        <v>44371.70138888889</v>
      </c>
      <c r="J1069" s="268"/>
      <c r="K1069" s="271">
        <v>44371.726319444446</v>
      </c>
      <c r="L1069" s="288" t="str">
        <f t="shared" si="16"/>
        <v>12:35:54 AM</v>
      </c>
      <c r="M1069" s="278"/>
      <c r="N1069" s="290"/>
      <c r="O1069" s="276"/>
      <c r="P1069" s="276"/>
      <c r="Q1069" s="276"/>
      <c r="R1069" s="278"/>
      <c r="S1069" s="278"/>
      <c r="T1069" s="278"/>
      <c r="U1069" s="279"/>
      <c r="V1069" s="279" t="s">
        <v>1824</v>
      </c>
      <c r="W1069" s="280">
        <v>44372.0</v>
      </c>
      <c r="X1069" s="281">
        <v>0.011805555555555555</v>
      </c>
      <c r="Y1069" s="279" t="s">
        <v>1693</v>
      </c>
      <c r="Z1069" s="282" t="s">
        <v>1570</v>
      </c>
      <c r="AA1069" s="282" t="s">
        <v>4464</v>
      </c>
      <c r="AB1069" s="283">
        <v>44371.0</v>
      </c>
      <c r="AC1069" s="284"/>
      <c r="AD1069" s="284"/>
    </row>
    <row r="1070" ht="14.25" customHeight="1">
      <c r="A1070" s="265">
        <v>44371.0</v>
      </c>
      <c r="B1070" s="266" t="s">
        <v>1685</v>
      </c>
      <c r="C1070" s="266"/>
      <c r="D1070" s="266" t="s">
        <v>1686</v>
      </c>
      <c r="E1070" s="268"/>
      <c r="F1070" s="358" t="s">
        <v>4465</v>
      </c>
      <c r="G1070" s="268" t="s">
        <v>2085</v>
      </c>
      <c r="H1070" s="270">
        <v>0.037905092592592594</v>
      </c>
      <c r="I1070" s="271">
        <v>44371.73333333333</v>
      </c>
      <c r="J1070" s="268"/>
      <c r="K1070" s="271">
        <v>44371.782534722224</v>
      </c>
      <c r="L1070" s="288" t="str">
        <f t="shared" si="16"/>
        <v>1:10:51 AM</v>
      </c>
      <c r="M1070" s="278"/>
      <c r="N1070" s="290"/>
      <c r="O1070" s="276"/>
      <c r="P1070" s="276"/>
      <c r="Q1070" s="276"/>
      <c r="R1070" s="278"/>
      <c r="S1070" s="278"/>
      <c r="T1070" s="278"/>
      <c r="U1070" s="279"/>
      <c r="V1070" s="279" t="s">
        <v>1685</v>
      </c>
      <c r="W1070" s="280">
        <v>44372.0</v>
      </c>
      <c r="X1070" s="281">
        <v>0.125</v>
      </c>
      <c r="Y1070" s="279" t="s">
        <v>1693</v>
      </c>
      <c r="Z1070" s="282" t="s">
        <v>1570</v>
      </c>
      <c r="AA1070" s="282" t="s">
        <v>4465</v>
      </c>
      <c r="AB1070" s="283">
        <v>44371.0</v>
      </c>
      <c r="AC1070" s="284"/>
      <c r="AD1070" s="284"/>
    </row>
    <row r="1071" ht="14.25" customHeight="1">
      <c r="A1071" s="265">
        <v>44371.0</v>
      </c>
      <c r="B1071" s="266" t="s">
        <v>3677</v>
      </c>
      <c r="C1071" s="266"/>
      <c r="D1071" s="266" t="s">
        <v>1455</v>
      </c>
      <c r="E1071" s="268"/>
      <c r="F1071" s="358" t="s">
        <v>4466</v>
      </c>
      <c r="G1071" s="268" t="s">
        <v>2085</v>
      </c>
      <c r="H1071" s="270">
        <v>0.020474537037037038</v>
      </c>
      <c r="I1071" s="271">
        <v>44372.084027777775</v>
      </c>
      <c r="J1071" s="268"/>
      <c r="K1071" s="271">
        <v>44372.0958912037</v>
      </c>
      <c r="L1071" s="288" t="str">
        <f t="shared" si="16"/>
        <v>12:17:05 AM</v>
      </c>
      <c r="M1071" s="278"/>
      <c r="N1071" s="290"/>
      <c r="O1071" s="276"/>
      <c r="P1071" s="276"/>
      <c r="Q1071" s="276"/>
      <c r="R1071" s="278"/>
      <c r="S1071" s="278"/>
      <c r="T1071" s="278"/>
      <c r="U1071" s="279"/>
      <c r="V1071" s="279" t="s">
        <v>1824</v>
      </c>
      <c r="W1071" s="280">
        <v>44372.0</v>
      </c>
      <c r="X1071" s="281">
        <v>0.075</v>
      </c>
      <c r="Y1071" s="279" t="s">
        <v>1693</v>
      </c>
      <c r="Z1071" s="282" t="s">
        <v>53</v>
      </c>
      <c r="AA1071" s="282" t="s">
        <v>4466</v>
      </c>
      <c r="AB1071" s="283">
        <v>44372.0</v>
      </c>
      <c r="AC1071" s="284"/>
      <c r="AD1071" s="284"/>
    </row>
    <row r="1072" ht="14.25" customHeight="1">
      <c r="A1072" s="265">
        <v>44372.0</v>
      </c>
      <c r="B1072" s="266" t="s">
        <v>3677</v>
      </c>
      <c r="C1072" s="266"/>
      <c r="D1072" s="266" t="s">
        <v>1450</v>
      </c>
      <c r="E1072" s="268"/>
      <c r="F1072" s="358" t="s">
        <v>4467</v>
      </c>
      <c r="G1072" s="268" t="s">
        <v>2085</v>
      </c>
      <c r="H1072" s="270">
        <v>0.09905092592592592</v>
      </c>
      <c r="I1072" s="271">
        <v>44372.691666666666</v>
      </c>
      <c r="J1072" s="268"/>
      <c r="K1072" s="271">
        <v>44372.8</v>
      </c>
      <c r="L1072" s="288" t="str">
        <f t="shared" si="16"/>
        <v>2:36:00 AM</v>
      </c>
      <c r="M1072" s="278"/>
      <c r="N1072" s="290"/>
      <c r="O1072" s="276"/>
      <c r="P1072" s="276"/>
      <c r="Q1072" s="276"/>
      <c r="R1072" s="278"/>
      <c r="S1072" s="278"/>
      <c r="T1072" s="278"/>
      <c r="U1072" s="279"/>
      <c r="V1072" s="279" t="s">
        <v>1746</v>
      </c>
      <c r="W1072" s="280">
        <v>44375.0</v>
      </c>
      <c r="X1072" s="281">
        <v>0.25</v>
      </c>
      <c r="Y1072" s="279" t="s">
        <v>1693</v>
      </c>
      <c r="Z1072" s="282" t="s">
        <v>53</v>
      </c>
      <c r="AA1072" s="282" t="s">
        <v>4467</v>
      </c>
      <c r="AB1072" s="283">
        <v>44373.0</v>
      </c>
      <c r="AC1072" s="284"/>
      <c r="AD1072" s="284"/>
    </row>
    <row r="1073" ht="14.25" customHeight="1">
      <c r="A1073" s="265">
        <v>44372.0</v>
      </c>
      <c r="B1073" s="266" t="s">
        <v>1824</v>
      </c>
      <c r="C1073" s="266"/>
      <c r="D1073" s="266" t="s">
        <v>1452</v>
      </c>
      <c r="E1073" s="268"/>
      <c r="F1073" s="358" t="s">
        <v>4468</v>
      </c>
      <c r="G1073" s="268" t="s">
        <v>2085</v>
      </c>
      <c r="H1073" s="270">
        <v>0.001712962962962963</v>
      </c>
      <c r="I1073" s="271">
        <v>44372.69305555556</v>
      </c>
      <c r="J1073" s="268"/>
      <c r="K1073" s="271">
        <v>44372.69583333333</v>
      </c>
      <c r="L1073" s="288" t="str">
        <f t="shared" si="16"/>
        <v>12:04:00 AM</v>
      </c>
      <c r="M1073" s="278"/>
      <c r="N1073" s="290"/>
      <c r="O1073" s="276"/>
      <c r="P1073" s="276"/>
      <c r="Q1073" s="276"/>
      <c r="R1073" s="278"/>
      <c r="S1073" s="278"/>
      <c r="T1073" s="278"/>
      <c r="U1073" s="279"/>
      <c r="V1073" s="279" t="s">
        <v>1824</v>
      </c>
      <c r="W1073" s="280">
        <v>44375.0</v>
      </c>
      <c r="X1073" s="281">
        <v>0.011041666666666667</v>
      </c>
      <c r="Y1073" s="279" t="s">
        <v>1693</v>
      </c>
      <c r="Z1073" s="282" t="s">
        <v>53</v>
      </c>
      <c r="AA1073" s="282" t="s">
        <v>4468</v>
      </c>
      <c r="AB1073" s="283">
        <v>44373.0</v>
      </c>
      <c r="AC1073" s="284"/>
      <c r="AD1073" s="284"/>
    </row>
    <row r="1074" ht="14.25" customHeight="1">
      <c r="A1074" s="265">
        <v>44372.0</v>
      </c>
      <c r="B1074" s="266" t="s">
        <v>1685</v>
      </c>
      <c r="C1074" s="266"/>
      <c r="D1074" s="266" t="s">
        <v>1686</v>
      </c>
      <c r="E1074" s="268"/>
      <c r="F1074" s="358" t="s">
        <v>4469</v>
      </c>
      <c r="G1074" s="268" t="s">
        <v>2085</v>
      </c>
      <c r="H1074" s="270">
        <v>0.03702546296296296</v>
      </c>
      <c r="I1074" s="271">
        <v>44372.694444444445</v>
      </c>
      <c r="J1074" s="268"/>
      <c r="K1074" s="271">
        <v>44372.72152777778</v>
      </c>
      <c r="L1074" s="288" t="str">
        <f t="shared" si="16"/>
        <v>12:39:00 AM</v>
      </c>
      <c r="M1074" s="278"/>
      <c r="N1074" s="290"/>
      <c r="O1074" s="276"/>
      <c r="P1074" s="276"/>
      <c r="Q1074" s="276"/>
      <c r="R1074" s="278"/>
      <c r="S1074" s="278"/>
      <c r="T1074" s="278"/>
      <c r="U1074" s="279"/>
      <c r="V1074" s="279" t="s">
        <v>1685</v>
      </c>
      <c r="W1074" s="280">
        <v>44374.0</v>
      </c>
      <c r="X1074" s="281">
        <v>0.14583333333333334</v>
      </c>
      <c r="Y1074" s="279" t="s">
        <v>1693</v>
      </c>
      <c r="Z1074" s="282" t="s">
        <v>53</v>
      </c>
      <c r="AA1074" s="282" t="s">
        <v>4469</v>
      </c>
      <c r="AB1074" s="283">
        <v>44373.0</v>
      </c>
      <c r="AC1074" s="284"/>
      <c r="AD1074" s="284"/>
    </row>
    <row r="1075" ht="14.25" customHeight="1">
      <c r="A1075" s="265">
        <v>44372.0</v>
      </c>
      <c r="B1075" s="266" t="s">
        <v>1733</v>
      </c>
      <c r="C1075" s="266"/>
      <c r="D1075" s="266" t="s">
        <v>1455</v>
      </c>
      <c r="E1075" s="268"/>
      <c r="F1075" s="358" t="s">
        <v>4470</v>
      </c>
      <c r="G1075" s="268" t="s">
        <v>2085</v>
      </c>
      <c r="H1075" s="270">
        <v>0.02045138888888889</v>
      </c>
      <c r="I1075" s="271">
        <v>44372.95763888889</v>
      </c>
      <c r="J1075" s="268"/>
      <c r="K1075" s="271">
        <v>44372.97918981482</v>
      </c>
      <c r="L1075" s="288" t="str">
        <f t="shared" si="16"/>
        <v>12:31:02 AM</v>
      </c>
      <c r="M1075" s="278"/>
      <c r="N1075" s="290"/>
      <c r="O1075" s="276"/>
      <c r="P1075" s="276"/>
      <c r="Q1075" s="276"/>
      <c r="R1075" s="278"/>
      <c r="S1075" s="278"/>
      <c r="T1075" s="278"/>
      <c r="U1075" s="279"/>
      <c r="V1075" s="279" t="s">
        <v>1824</v>
      </c>
      <c r="W1075" s="280">
        <v>44375.0</v>
      </c>
      <c r="X1075" s="281">
        <v>0.07916666666666666</v>
      </c>
      <c r="Y1075" s="279" t="s">
        <v>1693</v>
      </c>
      <c r="Z1075" s="282" t="s">
        <v>53</v>
      </c>
      <c r="AA1075" s="282" t="s">
        <v>4470</v>
      </c>
      <c r="AB1075" s="283">
        <v>44373.0</v>
      </c>
      <c r="AC1075" s="284"/>
      <c r="AD1075" s="284"/>
    </row>
    <row r="1076" ht="14.25" customHeight="1">
      <c r="A1076" s="265">
        <v>44373.0</v>
      </c>
      <c r="B1076" s="266" t="s">
        <v>1733</v>
      </c>
      <c r="C1076" s="266"/>
      <c r="D1076" s="266" t="s">
        <v>1686</v>
      </c>
      <c r="E1076" s="268"/>
      <c r="F1076" s="358" t="s">
        <v>4471</v>
      </c>
      <c r="G1076" s="268" t="s">
        <v>2085</v>
      </c>
      <c r="H1076" s="270">
        <v>0.03715277777777778</v>
      </c>
      <c r="I1076" s="271">
        <v>44374.76875</v>
      </c>
      <c r="J1076" s="268"/>
      <c r="K1076" s="271">
        <v>44374.78361111111</v>
      </c>
      <c r="L1076" s="288" t="str">
        <f t="shared" si="16"/>
        <v>12:21:24 AM</v>
      </c>
      <c r="M1076" s="278"/>
      <c r="N1076" s="290"/>
      <c r="O1076" s="276"/>
      <c r="P1076" s="276"/>
      <c r="Q1076" s="276"/>
      <c r="R1076" s="278"/>
      <c r="S1076" s="278"/>
      <c r="T1076" s="278"/>
      <c r="U1076" s="279"/>
      <c r="V1076" s="279" t="s">
        <v>1685</v>
      </c>
      <c r="W1076" s="280">
        <v>44375.0</v>
      </c>
      <c r="X1076" s="281">
        <v>0.16666666666666666</v>
      </c>
      <c r="Y1076" s="279" t="s">
        <v>1693</v>
      </c>
      <c r="Z1076" s="282" t="s">
        <v>53</v>
      </c>
      <c r="AA1076" s="282" t="s">
        <v>4471</v>
      </c>
      <c r="AB1076" s="283">
        <v>44375.0</v>
      </c>
      <c r="AC1076" s="284"/>
      <c r="AD1076" s="284"/>
    </row>
    <row r="1077" ht="14.25" customHeight="1">
      <c r="A1077" s="265">
        <v>44373.0</v>
      </c>
      <c r="B1077" s="266" t="s">
        <v>3677</v>
      </c>
      <c r="C1077" s="266"/>
      <c r="D1077" s="266" t="s">
        <v>1455</v>
      </c>
      <c r="E1077" s="268"/>
      <c r="F1077" s="358" t="s">
        <v>4472</v>
      </c>
      <c r="G1077" s="268" t="s">
        <v>2085</v>
      </c>
      <c r="H1077" s="270">
        <v>0.014479166666666668</v>
      </c>
      <c r="I1077" s="271">
        <v>44374.785416666666</v>
      </c>
      <c r="J1077" s="268"/>
      <c r="K1077" s="271">
        <v>44374.798159722224</v>
      </c>
      <c r="L1077" s="288" t="str">
        <f t="shared" si="16"/>
        <v>12:18:21 AM</v>
      </c>
      <c r="M1077" s="278"/>
      <c r="N1077" s="290"/>
      <c r="O1077" s="276"/>
      <c r="P1077" s="276"/>
      <c r="Q1077" s="276"/>
      <c r="R1077" s="278"/>
      <c r="S1077" s="278"/>
      <c r="T1077" s="278"/>
      <c r="U1077" s="279"/>
      <c r="V1077" s="279" t="s">
        <v>1824</v>
      </c>
      <c r="W1077" s="280">
        <v>44376.0</v>
      </c>
      <c r="X1077" s="281">
        <v>0.0787037037037037</v>
      </c>
      <c r="Y1077" s="279" t="s">
        <v>1693</v>
      </c>
      <c r="Z1077" s="282" t="s">
        <v>53</v>
      </c>
      <c r="AA1077" s="282" t="s">
        <v>4472</v>
      </c>
      <c r="AB1077" s="283">
        <v>44375.0</v>
      </c>
      <c r="AC1077" s="284"/>
      <c r="AD1077" s="284"/>
    </row>
    <row r="1078" ht="14.25" customHeight="1">
      <c r="A1078" s="265">
        <v>44374.0</v>
      </c>
      <c r="B1078" s="266" t="s">
        <v>1733</v>
      </c>
      <c r="C1078" s="266" t="s">
        <v>4426</v>
      </c>
      <c r="D1078" s="266" t="s">
        <v>2179</v>
      </c>
      <c r="E1078" s="268"/>
      <c r="F1078" s="269" t="s">
        <v>4473</v>
      </c>
      <c r="G1078" s="268" t="s">
        <v>1463</v>
      </c>
      <c r="H1078" s="270">
        <v>0.007037037037037037</v>
      </c>
      <c r="I1078" s="271">
        <v>44378.990277777775</v>
      </c>
      <c r="J1078" s="268"/>
      <c r="K1078" s="271">
        <v>44379.000127314815</v>
      </c>
      <c r="L1078" s="288"/>
      <c r="M1078" s="272" t="s">
        <v>4474</v>
      </c>
      <c r="N1078" s="273"/>
      <c r="O1078" s="276"/>
      <c r="P1078" s="275"/>
      <c r="Q1078" s="276"/>
      <c r="R1078" s="277"/>
      <c r="S1078" s="278"/>
      <c r="T1078" s="278"/>
      <c r="U1078" s="279"/>
      <c r="V1078" s="279" t="s">
        <v>3851</v>
      </c>
      <c r="W1078" s="279" t="s">
        <v>28</v>
      </c>
      <c r="X1078" s="279" t="s">
        <v>28</v>
      </c>
      <c r="Y1078" s="279" t="s">
        <v>1693</v>
      </c>
      <c r="Z1078" s="282" t="s">
        <v>53</v>
      </c>
      <c r="AA1078" s="282">
        <v>6386254.0</v>
      </c>
      <c r="AB1078" s="283">
        <v>44379.0</v>
      </c>
      <c r="AC1078" s="284"/>
      <c r="AD1078" s="284"/>
    </row>
    <row r="1079" ht="14.25" customHeight="1">
      <c r="A1079" s="265">
        <v>44374.0</v>
      </c>
      <c r="B1079" s="266" t="s">
        <v>1733</v>
      </c>
      <c r="C1079" s="266"/>
      <c r="D1079" s="266" t="s">
        <v>3509</v>
      </c>
      <c r="E1079" s="268"/>
      <c r="F1079" s="269" t="s">
        <v>4036</v>
      </c>
      <c r="G1079" s="268"/>
      <c r="H1079" s="270"/>
      <c r="I1079" s="271"/>
      <c r="J1079" s="268"/>
      <c r="K1079" s="268"/>
      <c r="L1079" s="288"/>
      <c r="M1079" s="307"/>
      <c r="N1079" s="273"/>
      <c r="O1079" s="276"/>
      <c r="P1079" s="275"/>
      <c r="Q1079" s="276"/>
      <c r="R1079" s="277"/>
      <c r="S1079" s="278"/>
      <c r="T1079" s="278"/>
      <c r="U1079" s="279"/>
      <c r="V1079" s="279"/>
      <c r="W1079" s="279"/>
      <c r="X1079" s="279"/>
      <c r="Y1079" s="279"/>
      <c r="Z1079" s="282" t="s">
        <v>28</v>
      </c>
      <c r="AA1079" s="282" t="s">
        <v>28</v>
      </c>
      <c r="AB1079" s="283" t="s">
        <v>28</v>
      </c>
      <c r="AC1079" s="284"/>
      <c r="AD1079" s="284"/>
    </row>
    <row r="1080" ht="14.25" customHeight="1">
      <c r="A1080" s="265">
        <v>44374.0</v>
      </c>
      <c r="B1080" s="266" t="s">
        <v>1733</v>
      </c>
      <c r="C1080" s="266"/>
      <c r="D1080" s="266" t="s">
        <v>1457</v>
      </c>
      <c r="E1080" s="268"/>
      <c r="F1080" s="358" t="s">
        <v>4475</v>
      </c>
      <c r="G1080" s="268" t="s">
        <v>2085</v>
      </c>
      <c r="H1080" s="270">
        <v>0.017511574074074072</v>
      </c>
      <c r="I1080" s="271">
        <v>44374.774305555555</v>
      </c>
      <c r="J1080" s="268"/>
      <c r="K1080" s="271">
        <v>44374.78587962963</v>
      </c>
      <c r="L1080" s="288" t="str">
        <f t="shared" ref="L1080:L1081" si="17">IFERROR(IF(OR(I1080="",K1080=""),"",K1080-I1080),"")</f>
        <v>12:16:40 AM</v>
      </c>
      <c r="M1080" s="278"/>
      <c r="N1080" s="290"/>
      <c r="O1080" s="276"/>
      <c r="P1080" s="276"/>
      <c r="Q1080" s="276"/>
      <c r="R1080" s="278"/>
      <c r="S1080" s="278"/>
      <c r="T1080" s="278"/>
      <c r="U1080" s="279"/>
      <c r="V1080" s="279" t="s">
        <v>1570</v>
      </c>
      <c r="W1080" s="280">
        <v>44376.0</v>
      </c>
      <c r="X1080" s="281">
        <v>0.034722222222222224</v>
      </c>
      <c r="Y1080" s="279" t="s">
        <v>1693</v>
      </c>
      <c r="Z1080" s="282" t="s">
        <v>53</v>
      </c>
      <c r="AA1080" s="282" t="s">
        <v>4475</v>
      </c>
      <c r="AB1080" s="283">
        <v>44375.0</v>
      </c>
      <c r="AC1080" s="284"/>
      <c r="AD1080" s="284"/>
    </row>
    <row r="1081" ht="14.25" customHeight="1">
      <c r="A1081" s="265">
        <v>44374.0</v>
      </c>
      <c r="B1081" s="266" t="s">
        <v>1733</v>
      </c>
      <c r="C1081" s="266"/>
      <c r="D1081" s="266" t="s">
        <v>2829</v>
      </c>
      <c r="E1081" s="268"/>
      <c r="F1081" s="358" t="s">
        <v>4476</v>
      </c>
      <c r="G1081" s="268" t="s">
        <v>2085</v>
      </c>
      <c r="H1081" s="270">
        <v>0.01877314814814815</v>
      </c>
      <c r="I1081" s="271">
        <v>44374.782638888886</v>
      </c>
      <c r="J1081" s="268"/>
      <c r="K1081" s="268"/>
      <c r="L1081" s="288" t="str">
        <f t="shared" si="17"/>
        <v/>
      </c>
      <c r="M1081" s="307" t="s">
        <v>2808</v>
      </c>
      <c r="N1081" s="273">
        <v>44374.7875</v>
      </c>
      <c r="O1081" s="276" t="s">
        <v>4477</v>
      </c>
      <c r="P1081" s="275" t="s">
        <v>1463</v>
      </c>
      <c r="Q1081" s="276" t="s">
        <v>1819</v>
      </c>
      <c r="R1081" s="277">
        <v>44374.799675925926</v>
      </c>
      <c r="S1081" s="278"/>
      <c r="T1081" s="278"/>
      <c r="U1081" s="279"/>
      <c r="V1081" s="279"/>
      <c r="W1081" s="279"/>
      <c r="X1081" s="279"/>
      <c r="Y1081" s="279"/>
      <c r="Z1081" s="282" t="s">
        <v>53</v>
      </c>
      <c r="AA1081" s="282" t="s">
        <v>4476</v>
      </c>
      <c r="AB1081" s="283">
        <v>44375.0</v>
      </c>
      <c r="AC1081" s="284"/>
      <c r="AD1081" s="284"/>
    </row>
    <row r="1082" ht="14.25" customHeight="1">
      <c r="A1082" s="265">
        <v>44375.0</v>
      </c>
      <c r="B1082" s="266" t="s">
        <v>1733</v>
      </c>
      <c r="C1082" s="266" t="s">
        <v>4478</v>
      </c>
      <c r="D1082" s="266" t="s">
        <v>2083</v>
      </c>
      <c r="E1082" s="268"/>
      <c r="F1082" s="269" t="s">
        <v>4479</v>
      </c>
      <c r="G1082" s="268" t="s">
        <v>1463</v>
      </c>
      <c r="H1082" s="270" t="s">
        <v>4480</v>
      </c>
      <c r="I1082" s="271">
        <v>44378.802083333336</v>
      </c>
      <c r="J1082" s="268"/>
      <c r="K1082" s="271">
        <v>44378.80972222222</v>
      </c>
      <c r="L1082" s="288"/>
      <c r="M1082" s="278" t="s">
        <v>4481</v>
      </c>
      <c r="N1082" s="290"/>
      <c r="O1082" s="276"/>
      <c r="P1082" s="276"/>
      <c r="Q1082" s="276"/>
      <c r="R1082" s="278"/>
      <c r="S1082" s="278"/>
      <c r="T1082" s="278"/>
      <c r="U1082" s="279"/>
      <c r="V1082" s="279" t="s">
        <v>3851</v>
      </c>
      <c r="W1082" s="280" t="s">
        <v>28</v>
      </c>
      <c r="X1082" s="281" t="s">
        <v>28</v>
      </c>
      <c r="Y1082" s="279" t="s">
        <v>1693</v>
      </c>
      <c r="Z1082" s="282" t="s">
        <v>53</v>
      </c>
      <c r="AA1082" s="282">
        <v>6386255.0</v>
      </c>
      <c r="AB1082" s="283">
        <v>44379.0</v>
      </c>
      <c r="AC1082" s="284"/>
      <c r="AD1082" s="284"/>
    </row>
    <row r="1083" ht="14.25" customHeight="1">
      <c r="A1083" s="265">
        <v>44375.0</v>
      </c>
      <c r="B1083" s="266" t="s">
        <v>1500</v>
      </c>
      <c r="C1083" s="266" t="s">
        <v>2641</v>
      </c>
      <c r="D1083" s="266" t="s">
        <v>1543</v>
      </c>
      <c r="E1083" s="268"/>
      <c r="F1083" s="269" t="s">
        <v>4482</v>
      </c>
      <c r="G1083" s="268" t="s">
        <v>1463</v>
      </c>
      <c r="H1083" s="270">
        <v>0.0014351851851851854</v>
      </c>
      <c r="I1083" s="271">
        <v>44379.375</v>
      </c>
      <c r="J1083" s="268"/>
      <c r="K1083" s="271">
        <v>44383.46063657408</v>
      </c>
      <c r="L1083" s="288"/>
      <c r="M1083" s="278" t="s">
        <v>4483</v>
      </c>
      <c r="N1083" s="290"/>
      <c r="O1083" s="276"/>
      <c r="P1083" s="276"/>
      <c r="Q1083" s="276"/>
      <c r="R1083" s="278"/>
      <c r="S1083" s="278"/>
      <c r="T1083" s="278"/>
      <c r="U1083" s="279"/>
      <c r="V1083" s="279" t="s">
        <v>1824</v>
      </c>
      <c r="W1083" s="280">
        <v>44383.0</v>
      </c>
      <c r="X1083" s="281">
        <v>0.005555555555555556</v>
      </c>
      <c r="Y1083" s="279" t="s">
        <v>1693</v>
      </c>
      <c r="Z1083" s="282" t="s">
        <v>53</v>
      </c>
      <c r="AA1083" s="282">
        <v>6397469.0</v>
      </c>
      <c r="AB1083" s="283">
        <v>44390.0</v>
      </c>
      <c r="AC1083" s="284"/>
      <c r="AD1083" s="284"/>
    </row>
    <row r="1084" ht="14.25" customHeight="1">
      <c r="A1084" s="265">
        <v>44375.0</v>
      </c>
      <c r="B1084" s="266" t="s">
        <v>3677</v>
      </c>
      <c r="C1084" s="266"/>
      <c r="D1084" s="266" t="s">
        <v>1450</v>
      </c>
      <c r="E1084" s="268"/>
      <c r="F1084" s="358" t="s">
        <v>4484</v>
      </c>
      <c r="G1084" s="268" t="s">
        <v>2085</v>
      </c>
      <c r="H1084" s="270">
        <v>0.09898148148148149</v>
      </c>
      <c r="I1084" s="271">
        <v>44375.736805555556</v>
      </c>
      <c r="J1084" s="268"/>
      <c r="K1084" s="271">
        <v>44375.78979166667</v>
      </c>
      <c r="L1084" s="288" t="str">
        <f t="shared" ref="L1084:L1087" si="18">IFERROR(IF(OR(I1084="",K1084=""),"",K1084-I1084),"")</f>
        <v>1:16:18 AM</v>
      </c>
      <c r="M1084" s="278"/>
      <c r="N1084" s="290"/>
      <c r="O1084" s="276"/>
      <c r="P1084" s="276"/>
      <c r="Q1084" s="276"/>
      <c r="R1084" s="278"/>
      <c r="S1084" s="278"/>
      <c r="T1084" s="278"/>
      <c r="U1084" s="279"/>
      <c r="V1084" s="279" t="s">
        <v>1746</v>
      </c>
      <c r="W1084" s="280">
        <v>44376.0</v>
      </c>
      <c r="X1084" s="281">
        <v>0.2916666666666667</v>
      </c>
      <c r="Y1084" s="279" t="s">
        <v>1693</v>
      </c>
      <c r="Z1084" s="282" t="s">
        <v>53</v>
      </c>
      <c r="AA1084" s="282" t="s">
        <v>4485</v>
      </c>
      <c r="AB1084" s="283">
        <v>44376.0</v>
      </c>
      <c r="AC1084" s="284"/>
      <c r="AD1084" s="284"/>
    </row>
    <row r="1085" ht="14.25" customHeight="1">
      <c r="A1085" s="265">
        <v>44375.0</v>
      </c>
      <c r="B1085" s="266" t="s">
        <v>1824</v>
      </c>
      <c r="C1085" s="266"/>
      <c r="D1085" s="266" t="s">
        <v>1452</v>
      </c>
      <c r="E1085" s="268"/>
      <c r="F1085" s="358" t="s">
        <v>4486</v>
      </c>
      <c r="G1085" s="268" t="s">
        <v>2085</v>
      </c>
      <c r="H1085" s="270">
        <v>0.0035763888888888894</v>
      </c>
      <c r="I1085" s="271">
        <v>44375.73819444444</v>
      </c>
      <c r="J1085" s="268"/>
      <c r="K1085" s="271">
        <v>44375.744259259256</v>
      </c>
      <c r="L1085" s="288" t="str">
        <f t="shared" si="18"/>
        <v>12:08:44 AM</v>
      </c>
      <c r="M1085" s="278"/>
      <c r="N1085" s="290"/>
      <c r="O1085" s="276"/>
      <c r="P1085" s="276"/>
      <c r="Q1085" s="276"/>
      <c r="R1085" s="278"/>
      <c r="S1085" s="278"/>
      <c r="T1085" s="278"/>
      <c r="U1085" s="279"/>
      <c r="V1085" s="279" t="s">
        <v>1824</v>
      </c>
      <c r="W1085" s="280">
        <v>44376.0</v>
      </c>
      <c r="X1085" s="281">
        <v>0.011111111111111112</v>
      </c>
      <c r="Y1085" s="279" t="s">
        <v>1693</v>
      </c>
      <c r="Z1085" s="282" t="s">
        <v>53</v>
      </c>
      <c r="AA1085" s="282" t="s">
        <v>4486</v>
      </c>
      <c r="AB1085" s="283">
        <v>44376.0</v>
      </c>
      <c r="AC1085" s="284"/>
      <c r="AD1085" s="284"/>
    </row>
    <row r="1086" ht="14.25" customHeight="1">
      <c r="A1086" s="265">
        <v>44375.0</v>
      </c>
      <c r="B1086" s="266" t="s">
        <v>1733</v>
      </c>
      <c r="C1086" s="266"/>
      <c r="D1086" s="266" t="s">
        <v>1686</v>
      </c>
      <c r="E1086" s="268"/>
      <c r="F1086" s="358" t="s">
        <v>4487</v>
      </c>
      <c r="G1086" s="268" t="s">
        <v>2085</v>
      </c>
      <c r="H1086" s="270">
        <v>0.037800925925925925</v>
      </c>
      <c r="I1086" s="271">
        <v>44375.731944444444</v>
      </c>
      <c r="J1086" s="268"/>
      <c r="K1086" s="271">
        <v>44375.759050925924</v>
      </c>
      <c r="L1086" s="288" t="str">
        <f t="shared" si="18"/>
        <v>12:39:02 AM</v>
      </c>
      <c r="M1086" s="278"/>
      <c r="N1086" s="290"/>
      <c r="O1086" s="276"/>
      <c r="P1086" s="276"/>
      <c r="Q1086" s="276"/>
      <c r="R1086" s="278"/>
      <c r="S1086" s="278"/>
      <c r="T1086" s="278"/>
      <c r="U1086" s="279"/>
      <c r="V1086" s="279" t="s">
        <v>1685</v>
      </c>
      <c r="W1086" s="280">
        <v>44376.0</v>
      </c>
      <c r="X1086" s="281">
        <v>0.14583333333333334</v>
      </c>
      <c r="Y1086" s="279" t="s">
        <v>1693</v>
      </c>
      <c r="Z1086" s="282" t="s">
        <v>53</v>
      </c>
      <c r="AA1086" s="282" t="s">
        <v>4487</v>
      </c>
      <c r="AB1086" s="283">
        <v>44376.0</v>
      </c>
      <c r="AC1086" s="284"/>
      <c r="AD1086" s="284"/>
    </row>
    <row r="1087" ht="14.25" customHeight="1">
      <c r="A1087" s="265">
        <v>44375.0</v>
      </c>
      <c r="B1087" s="266" t="s">
        <v>3677</v>
      </c>
      <c r="C1087" s="266"/>
      <c r="D1087" s="266" t="s">
        <v>1455</v>
      </c>
      <c r="E1087" s="268"/>
      <c r="F1087" s="358" t="s">
        <v>4488</v>
      </c>
      <c r="G1087" s="268" t="s">
        <v>2085</v>
      </c>
      <c r="H1087" s="270">
        <v>0.024849537037037035</v>
      </c>
      <c r="I1087" s="271">
        <v>44375.96597222222</v>
      </c>
      <c r="J1087" s="268"/>
      <c r="K1087" s="271">
        <v>44375.98829861111</v>
      </c>
      <c r="L1087" s="288" t="str">
        <f t="shared" si="18"/>
        <v>12:32:09 AM</v>
      </c>
      <c r="M1087" s="278"/>
      <c r="N1087" s="290"/>
      <c r="O1087" s="276"/>
      <c r="P1087" s="276"/>
      <c r="Q1087" s="276"/>
      <c r="R1087" s="278"/>
      <c r="S1087" s="278"/>
      <c r="T1087" s="278"/>
      <c r="U1087" s="279"/>
      <c r="V1087" s="279" t="s">
        <v>1824</v>
      </c>
      <c r="W1087" s="280">
        <v>44376.0</v>
      </c>
      <c r="X1087" s="281">
        <v>0.07777777777777778</v>
      </c>
      <c r="Y1087" s="279" t="s">
        <v>1693</v>
      </c>
      <c r="Z1087" s="282" t="s">
        <v>53</v>
      </c>
      <c r="AA1087" s="282" t="s">
        <v>4489</v>
      </c>
      <c r="AB1087" s="283">
        <v>44376.0</v>
      </c>
      <c r="AC1087" s="284"/>
      <c r="AD1087" s="284"/>
    </row>
    <row r="1088" ht="14.25" customHeight="1">
      <c r="A1088" s="265">
        <v>44376.0</v>
      </c>
      <c r="B1088" s="266" t="s">
        <v>1500</v>
      </c>
      <c r="C1088" s="266" t="s">
        <v>2641</v>
      </c>
      <c r="D1088" s="266" t="s">
        <v>1543</v>
      </c>
      <c r="E1088" s="268"/>
      <c r="F1088" s="269" t="s">
        <v>4490</v>
      </c>
      <c r="G1088" s="268" t="s">
        <v>1463</v>
      </c>
      <c r="H1088" s="270">
        <v>0.003194444444444444</v>
      </c>
      <c r="I1088" s="271">
        <v>44379.38888888889</v>
      </c>
      <c r="J1088" s="268"/>
      <c r="K1088" s="271">
        <v>44379.7296412037</v>
      </c>
      <c r="L1088" s="288"/>
      <c r="M1088" s="278" t="s">
        <v>4491</v>
      </c>
      <c r="N1088" s="290"/>
      <c r="O1088" s="276"/>
      <c r="P1088" s="276"/>
      <c r="Q1088" s="276"/>
      <c r="R1088" s="278"/>
      <c r="S1088" s="278"/>
      <c r="T1088" s="278"/>
      <c r="U1088" s="279"/>
      <c r="V1088" s="279" t="s">
        <v>1824</v>
      </c>
      <c r="W1088" s="280">
        <v>44383.0</v>
      </c>
      <c r="X1088" s="281">
        <v>0.014583333333333332</v>
      </c>
      <c r="Y1088" s="279" t="s">
        <v>1693</v>
      </c>
      <c r="Z1088" s="282" t="s">
        <v>53</v>
      </c>
      <c r="AA1088" s="282">
        <v>6392601.0</v>
      </c>
      <c r="AB1088" s="283">
        <v>44384.0</v>
      </c>
      <c r="AC1088" s="284"/>
      <c r="AD1088" s="284"/>
    </row>
    <row r="1089" ht="14.25" customHeight="1">
      <c r="A1089" s="265">
        <v>44376.0</v>
      </c>
      <c r="B1089" s="266" t="s">
        <v>3677</v>
      </c>
      <c r="C1089" s="266"/>
      <c r="D1089" s="266" t="s">
        <v>1450</v>
      </c>
      <c r="E1089" s="268"/>
      <c r="F1089" s="358" t="s">
        <v>4492</v>
      </c>
      <c r="G1089" s="268" t="s">
        <v>2085</v>
      </c>
      <c r="H1089" s="270">
        <v>0.0999074074074074</v>
      </c>
      <c r="I1089" s="271">
        <v>44376.714583333334</v>
      </c>
      <c r="J1089" s="268"/>
      <c r="K1089" s="271">
        <v>44376.83143518519</v>
      </c>
      <c r="L1089" s="288" t="str">
        <f t="shared" ref="L1089:L1092" si="19">IFERROR(IF(OR(I1089="",K1089=""),"",K1089-I1089),"")</f>
        <v>2:48:16 AM</v>
      </c>
      <c r="M1089" s="278"/>
      <c r="N1089" s="290"/>
      <c r="O1089" s="276"/>
      <c r="P1089" s="276"/>
      <c r="Q1089" s="276"/>
      <c r="R1089" s="278"/>
      <c r="S1089" s="278"/>
      <c r="T1089" s="278"/>
      <c r="U1089" s="279"/>
      <c r="V1089" s="279" t="s">
        <v>1746</v>
      </c>
      <c r="W1089" s="280">
        <v>44377.0</v>
      </c>
      <c r="X1089" s="281">
        <v>0.2916666666666667</v>
      </c>
      <c r="Y1089" s="279" t="s">
        <v>1693</v>
      </c>
      <c r="Z1089" s="282" t="s">
        <v>1570</v>
      </c>
      <c r="AA1089" s="282" t="s">
        <v>4493</v>
      </c>
      <c r="AB1089" s="283">
        <v>44377.0</v>
      </c>
      <c r="AC1089" s="284"/>
      <c r="AD1089" s="284"/>
    </row>
    <row r="1090" ht="14.25" customHeight="1">
      <c r="A1090" s="265">
        <v>44376.0</v>
      </c>
      <c r="B1090" s="266" t="s">
        <v>3950</v>
      </c>
      <c r="C1090" s="266"/>
      <c r="D1090" s="266" t="s">
        <v>1452</v>
      </c>
      <c r="E1090" s="268"/>
      <c r="F1090" s="358" t="s">
        <v>4494</v>
      </c>
      <c r="G1090" s="268" t="s">
        <v>2085</v>
      </c>
      <c r="H1090" s="270">
        <v>0.005555555555555556</v>
      </c>
      <c r="I1090" s="271">
        <v>44376.71597222222</v>
      </c>
      <c r="J1090" s="268"/>
      <c r="K1090" s="271">
        <v>44376.72415509259</v>
      </c>
      <c r="L1090" s="288" t="str">
        <f t="shared" si="19"/>
        <v>12:11:47 AM</v>
      </c>
      <c r="M1090" s="278"/>
      <c r="N1090" s="290"/>
      <c r="O1090" s="276"/>
      <c r="P1090" s="276"/>
      <c r="Q1090" s="276"/>
      <c r="R1090" s="278"/>
      <c r="S1090" s="278"/>
      <c r="T1090" s="278"/>
      <c r="U1090" s="279"/>
      <c r="V1090" s="279" t="s">
        <v>1824</v>
      </c>
      <c r="W1090" s="280">
        <v>44377.0</v>
      </c>
      <c r="X1090" s="281">
        <v>0.015972222222222224</v>
      </c>
      <c r="Y1090" s="279" t="s">
        <v>1693</v>
      </c>
      <c r="Z1090" s="282" t="s">
        <v>1570</v>
      </c>
      <c r="AA1090" s="282" t="s">
        <v>4495</v>
      </c>
      <c r="AB1090" s="283">
        <v>44377.0</v>
      </c>
      <c r="AC1090" s="284"/>
      <c r="AD1090" s="284"/>
    </row>
    <row r="1091" ht="14.25" customHeight="1">
      <c r="A1091" s="265">
        <v>44376.0</v>
      </c>
      <c r="B1091" s="266" t="s">
        <v>1685</v>
      </c>
      <c r="C1091" s="266"/>
      <c r="D1091" s="266" t="s">
        <v>1686</v>
      </c>
      <c r="E1091" s="268"/>
      <c r="F1091" s="358" t="s">
        <v>4496</v>
      </c>
      <c r="G1091" s="268" t="s">
        <v>2085</v>
      </c>
      <c r="H1091" s="270">
        <v>0.03456018518518519</v>
      </c>
      <c r="I1091" s="271">
        <v>44376.72083333333</v>
      </c>
      <c r="J1091" s="268"/>
      <c r="K1091" s="271">
        <v>44376.75388888889</v>
      </c>
      <c r="L1091" s="288" t="str">
        <f t="shared" si="19"/>
        <v>12:47:36 AM</v>
      </c>
      <c r="M1091" s="278"/>
      <c r="N1091" s="290"/>
      <c r="O1091" s="276"/>
      <c r="P1091" s="276"/>
      <c r="Q1091" s="276"/>
      <c r="R1091" s="278"/>
      <c r="S1091" s="278"/>
      <c r="T1091" s="278"/>
      <c r="U1091" s="279"/>
      <c r="V1091" s="279" t="s">
        <v>1685</v>
      </c>
      <c r="W1091" s="280">
        <v>44377.0</v>
      </c>
      <c r="X1091" s="281">
        <v>0.16666666666666666</v>
      </c>
      <c r="Y1091" s="279" t="s">
        <v>1693</v>
      </c>
      <c r="Z1091" s="282" t="s">
        <v>1570</v>
      </c>
      <c r="AA1091" s="282" t="s">
        <v>4496</v>
      </c>
      <c r="AB1091" s="283">
        <v>44377.0</v>
      </c>
      <c r="AC1091" s="284"/>
      <c r="AD1091" s="284"/>
    </row>
    <row r="1092" ht="14.25" customHeight="1">
      <c r="A1092" s="265">
        <v>44376.0</v>
      </c>
      <c r="B1092" s="266" t="s">
        <v>3677</v>
      </c>
      <c r="C1092" s="266"/>
      <c r="D1092" s="266" t="s">
        <v>1455</v>
      </c>
      <c r="E1092" s="268"/>
      <c r="F1092" s="358" t="s">
        <v>4497</v>
      </c>
      <c r="G1092" s="268" t="s">
        <v>2085</v>
      </c>
      <c r="H1092" s="270">
        <v>0.02153935185185185</v>
      </c>
      <c r="I1092" s="271">
        <v>44376.90972222222</v>
      </c>
      <c r="J1092" s="268"/>
      <c r="K1092" s="271">
        <v>44376.92574074074</v>
      </c>
      <c r="L1092" s="288" t="str">
        <f t="shared" si="19"/>
        <v>12:23:04 AM</v>
      </c>
      <c r="M1092" s="278"/>
      <c r="N1092" s="290"/>
      <c r="O1092" s="276"/>
      <c r="P1092" s="276"/>
      <c r="Q1092" s="276"/>
      <c r="R1092" s="278"/>
      <c r="S1092" s="278"/>
      <c r="T1092" s="278"/>
      <c r="U1092" s="279"/>
      <c r="V1092" s="279" t="s">
        <v>1824</v>
      </c>
      <c r="W1092" s="280">
        <v>44377.0</v>
      </c>
      <c r="X1092" s="281">
        <v>0.09027777777777778</v>
      </c>
      <c r="Y1092" s="279" t="s">
        <v>1693</v>
      </c>
      <c r="Z1092" s="282" t="s">
        <v>1570</v>
      </c>
      <c r="AA1092" s="282" t="s">
        <v>4498</v>
      </c>
      <c r="AB1092" s="283">
        <v>44377.0</v>
      </c>
      <c r="AC1092" s="284"/>
      <c r="AD1092" s="284"/>
    </row>
    <row r="1093" ht="14.25" customHeight="1">
      <c r="A1093" s="265">
        <v>44377.0</v>
      </c>
      <c r="B1093" s="266" t="s">
        <v>1733</v>
      </c>
      <c r="C1093" s="266" t="s">
        <v>4478</v>
      </c>
      <c r="D1093" s="266" t="s">
        <v>2083</v>
      </c>
      <c r="E1093" s="268"/>
      <c r="F1093" s="269" t="s">
        <v>4499</v>
      </c>
      <c r="G1093" s="268" t="s">
        <v>1463</v>
      </c>
      <c r="H1093" s="270">
        <v>0.004074074074074075</v>
      </c>
      <c r="I1093" s="271">
        <v>44378.81458333333</v>
      </c>
      <c r="J1093" s="268"/>
      <c r="K1093" s="271">
        <v>44378.82638888889</v>
      </c>
      <c r="L1093" s="288"/>
      <c r="M1093" s="278" t="s">
        <v>4500</v>
      </c>
      <c r="N1093" s="290"/>
      <c r="O1093" s="276"/>
      <c r="P1093" s="276"/>
      <c r="Q1093" s="276"/>
      <c r="R1093" s="278"/>
      <c r="S1093" s="278"/>
      <c r="T1093" s="278"/>
      <c r="U1093" s="279"/>
      <c r="V1093" s="279" t="s">
        <v>3851</v>
      </c>
      <c r="W1093" s="280" t="s">
        <v>28</v>
      </c>
      <c r="X1093" s="279" t="s">
        <v>28</v>
      </c>
      <c r="Y1093" s="279" t="s">
        <v>1693</v>
      </c>
      <c r="Z1093" s="282" t="s">
        <v>53</v>
      </c>
      <c r="AA1093" s="282">
        <v>6386256.0</v>
      </c>
      <c r="AB1093" s="283">
        <v>44379.0</v>
      </c>
      <c r="AC1093" s="284"/>
      <c r="AD1093" s="284"/>
    </row>
    <row r="1094" ht="14.25" customHeight="1">
      <c r="A1094" s="265">
        <v>44377.0</v>
      </c>
      <c r="B1094" s="266" t="s">
        <v>1733</v>
      </c>
      <c r="C1094" s="266"/>
      <c r="D1094" s="266" t="s">
        <v>1450</v>
      </c>
      <c r="E1094" s="268"/>
      <c r="F1094" s="358" t="s">
        <v>4501</v>
      </c>
      <c r="G1094" s="268" t="s">
        <v>2085</v>
      </c>
      <c r="H1094" s="270">
        <v>0.09890046296296295</v>
      </c>
      <c r="I1094" s="271">
        <v>44377.73611111111</v>
      </c>
      <c r="J1094" s="268"/>
      <c r="K1094" s="271">
        <v>44377.81623842593</v>
      </c>
      <c r="L1094" s="288" t="str">
        <f t="shared" ref="L1094:L1097" si="20">IFERROR(IF(OR(I1094="",K1094=""),"",K1094-I1094),"")</f>
        <v>1:55:23 AM</v>
      </c>
      <c r="M1094" s="278"/>
      <c r="N1094" s="290"/>
      <c r="O1094" s="276"/>
      <c r="P1094" s="276"/>
      <c r="Q1094" s="276"/>
      <c r="R1094" s="278"/>
      <c r="S1094" s="278"/>
      <c r="T1094" s="278"/>
      <c r="U1094" s="279"/>
      <c r="V1094" s="279" t="s">
        <v>1746</v>
      </c>
      <c r="W1094" s="280">
        <v>44378.0</v>
      </c>
      <c r="X1094" s="281">
        <v>0.25</v>
      </c>
      <c r="Y1094" s="279" t="s">
        <v>1693</v>
      </c>
      <c r="Z1094" s="282" t="s">
        <v>1570</v>
      </c>
      <c r="AA1094" s="282" t="s">
        <v>4501</v>
      </c>
      <c r="AB1094" s="283">
        <v>44377.0</v>
      </c>
      <c r="AC1094" s="284"/>
      <c r="AD1094" s="284"/>
    </row>
    <row r="1095" ht="14.25" customHeight="1">
      <c r="A1095" s="265">
        <v>44377.0</v>
      </c>
      <c r="B1095" s="266" t="s">
        <v>1824</v>
      </c>
      <c r="C1095" s="266"/>
      <c r="D1095" s="266" t="s">
        <v>1452</v>
      </c>
      <c r="E1095" s="268"/>
      <c r="F1095" s="358" t="s">
        <v>4502</v>
      </c>
      <c r="G1095" s="268" t="s">
        <v>2085</v>
      </c>
      <c r="H1095" s="270">
        <v>0.0034375</v>
      </c>
      <c r="I1095" s="271">
        <v>44377.736805555556</v>
      </c>
      <c r="J1095" s="268"/>
      <c r="K1095" s="271">
        <v>44377.74283564815</v>
      </c>
      <c r="L1095" s="288" t="str">
        <f t="shared" si="20"/>
        <v>12:08:41 AM</v>
      </c>
      <c r="M1095" s="278"/>
      <c r="N1095" s="290"/>
      <c r="O1095" s="276"/>
      <c r="P1095" s="276"/>
      <c r="Q1095" s="276"/>
      <c r="R1095" s="278"/>
      <c r="S1095" s="278"/>
      <c r="T1095" s="278"/>
      <c r="U1095" s="279"/>
      <c r="V1095" s="279" t="s">
        <v>1824</v>
      </c>
      <c r="W1095" s="280">
        <v>44378.0</v>
      </c>
      <c r="X1095" s="281">
        <v>0.016666666666666666</v>
      </c>
      <c r="Y1095" s="279" t="s">
        <v>1693</v>
      </c>
      <c r="Z1095" s="282" t="s">
        <v>1570</v>
      </c>
      <c r="AA1095" s="282" t="s">
        <v>4502</v>
      </c>
      <c r="AB1095" s="283">
        <v>44377.0</v>
      </c>
      <c r="AC1095" s="284"/>
      <c r="AD1095" s="284"/>
    </row>
    <row r="1096" ht="14.25" customHeight="1">
      <c r="A1096" s="265">
        <v>44377.0</v>
      </c>
      <c r="B1096" s="266" t="s">
        <v>1685</v>
      </c>
      <c r="C1096" s="266"/>
      <c r="D1096" s="266" t="s">
        <v>1686</v>
      </c>
      <c r="E1096" s="268"/>
      <c r="F1096" s="358" t="s">
        <v>4503</v>
      </c>
      <c r="G1096" s="268" t="s">
        <v>2085</v>
      </c>
      <c r="H1096" s="270">
        <v>0.03697916666666667</v>
      </c>
      <c r="I1096" s="271">
        <v>44377.73888888889</v>
      </c>
      <c r="J1096" s="268"/>
      <c r="K1096" s="271">
        <v>44377.777974537035</v>
      </c>
      <c r="L1096" s="288" t="str">
        <f t="shared" si="20"/>
        <v>12:56:17 AM</v>
      </c>
      <c r="M1096" s="278"/>
      <c r="N1096" s="290"/>
      <c r="O1096" s="276"/>
      <c r="P1096" s="276"/>
      <c r="Q1096" s="276"/>
      <c r="R1096" s="278"/>
      <c r="S1096" s="278"/>
      <c r="T1096" s="278"/>
      <c r="U1096" s="279"/>
      <c r="V1096" s="279" t="s">
        <v>1685</v>
      </c>
      <c r="W1096" s="280">
        <v>44378.0</v>
      </c>
      <c r="X1096" s="281">
        <v>0.14583333333333334</v>
      </c>
      <c r="Y1096" s="279" t="s">
        <v>1693</v>
      </c>
      <c r="Z1096" s="282" t="s">
        <v>1570</v>
      </c>
      <c r="AA1096" s="282" t="s">
        <v>4503</v>
      </c>
      <c r="AB1096" s="283">
        <v>44377.0</v>
      </c>
      <c r="AC1096" s="284"/>
      <c r="AD1096" s="284"/>
    </row>
    <row r="1097" ht="14.25" customHeight="1">
      <c r="A1097" s="265">
        <v>44377.0</v>
      </c>
      <c r="B1097" s="266" t="s">
        <v>3677</v>
      </c>
      <c r="C1097" s="266"/>
      <c r="D1097" s="266" t="s">
        <v>1455</v>
      </c>
      <c r="E1097" s="268"/>
      <c r="F1097" s="358" t="s">
        <v>4504</v>
      </c>
      <c r="G1097" s="268" t="s">
        <v>2085</v>
      </c>
      <c r="H1097" s="270">
        <v>0.019560185185185184</v>
      </c>
      <c r="I1097" s="271">
        <v>44377.9</v>
      </c>
      <c r="J1097" s="268"/>
      <c r="K1097" s="268"/>
      <c r="L1097" s="288" t="str">
        <f t="shared" si="20"/>
        <v/>
      </c>
      <c r="M1097" s="307" t="s">
        <v>3482</v>
      </c>
      <c r="N1097" s="273">
        <v>44378.02777777778</v>
      </c>
      <c r="O1097" s="276" t="s">
        <v>4505</v>
      </c>
      <c r="P1097" s="275" t="s">
        <v>1463</v>
      </c>
      <c r="Q1097" s="276" t="s">
        <v>1819</v>
      </c>
      <c r="R1097" s="277">
        <v>44378.03983796296</v>
      </c>
      <c r="S1097" s="278"/>
      <c r="T1097" s="278" t="s">
        <v>4506</v>
      </c>
      <c r="U1097" s="279"/>
      <c r="V1097" s="279" t="s">
        <v>1824</v>
      </c>
      <c r="W1097" s="280">
        <v>44378.0</v>
      </c>
      <c r="X1097" s="281">
        <v>0.08333333333333333</v>
      </c>
      <c r="Y1097" s="279" t="s">
        <v>1693</v>
      </c>
      <c r="Z1097" s="282" t="s">
        <v>53</v>
      </c>
      <c r="AA1097" s="282" t="s">
        <v>4507</v>
      </c>
      <c r="AB1097" s="283">
        <v>44378.0</v>
      </c>
      <c r="AC1097" s="284"/>
      <c r="AD1097" s="284"/>
    </row>
    <row r="1098" ht="14.25" customHeight="1">
      <c r="A1098" s="265">
        <v>44378.0</v>
      </c>
      <c r="B1098" s="266" t="s">
        <v>1733</v>
      </c>
      <c r="C1098" s="266" t="s">
        <v>4478</v>
      </c>
      <c r="D1098" s="266" t="s">
        <v>2083</v>
      </c>
      <c r="E1098" s="268"/>
      <c r="F1098" s="269" t="s">
        <v>4508</v>
      </c>
      <c r="G1098" s="268" t="s">
        <v>1463</v>
      </c>
      <c r="H1098" s="270">
        <v>0.004074074074074075</v>
      </c>
      <c r="I1098" s="271">
        <v>44378.84722222222</v>
      </c>
      <c r="J1098" s="268"/>
      <c r="K1098" s="271">
        <v>44378.85208333333</v>
      </c>
      <c r="L1098" s="288"/>
      <c r="M1098" s="278" t="s">
        <v>4509</v>
      </c>
      <c r="N1098" s="290"/>
      <c r="O1098" s="276"/>
      <c r="P1098" s="276"/>
      <c r="Q1098" s="276"/>
      <c r="R1098" s="278"/>
      <c r="S1098" s="278"/>
      <c r="T1098" s="278"/>
      <c r="U1098" s="279"/>
      <c r="V1098" s="279" t="s">
        <v>3851</v>
      </c>
      <c r="W1098" s="279" t="s">
        <v>28</v>
      </c>
      <c r="X1098" s="279" t="s">
        <v>28</v>
      </c>
      <c r="Y1098" s="279" t="s">
        <v>1693</v>
      </c>
      <c r="Z1098" s="282" t="s">
        <v>53</v>
      </c>
      <c r="AA1098" s="282">
        <v>6386257.0</v>
      </c>
      <c r="AB1098" s="283">
        <v>44379.0</v>
      </c>
      <c r="AC1098" s="284"/>
      <c r="AD1098" s="284"/>
    </row>
    <row r="1099" ht="14.25" customHeight="1">
      <c r="A1099" s="265">
        <v>44378.0</v>
      </c>
      <c r="B1099" s="266" t="s">
        <v>3677</v>
      </c>
      <c r="C1099" s="266"/>
      <c r="D1099" s="266" t="s">
        <v>1450</v>
      </c>
      <c r="E1099" s="268"/>
      <c r="F1099" s="358" t="s">
        <v>4510</v>
      </c>
      <c r="G1099" s="268" t="s">
        <v>2085</v>
      </c>
      <c r="H1099" s="270">
        <v>0.09976851851851852</v>
      </c>
      <c r="I1099" s="271">
        <v>44378.709027777775</v>
      </c>
      <c r="J1099" s="268"/>
      <c r="K1099" s="271">
        <v>44378.784050925926</v>
      </c>
      <c r="L1099" s="288" t="str">
        <f t="shared" ref="L1099:L1102" si="21">IFERROR(IF(OR(I1099="",K1099=""),"",K1099-I1099),"")</f>
        <v>1:48:02 AM</v>
      </c>
      <c r="M1099" s="278"/>
      <c r="N1099" s="290"/>
      <c r="O1099" s="276"/>
      <c r="P1099" s="276"/>
      <c r="Q1099" s="276"/>
      <c r="R1099" s="278"/>
      <c r="S1099" s="278"/>
      <c r="T1099" s="278"/>
      <c r="U1099" s="279"/>
      <c r="V1099" s="279" t="s">
        <v>1746</v>
      </c>
      <c r="W1099" s="280">
        <v>44379.0</v>
      </c>
      <c r="X1099" s="281">
        <v>0.25</v>
      </c>
      <c r="Y1099" s="279" t="s">
        <v>1693</v>
      </c>
      <c r="Z1099" s="282" t="s">
        <v>53</v>
      </c>
      <c r="AA1099" s="282" t="s">
        <v>4511</v>
      </c>
      <c r="AB1099" s="283">
        <v>44379.0</v>
      </c>
      <c r="AC1099" s="284"/>
      <c r="AD1099" s="284"/>
    </row>
    <row r="1100" ht="14.25" customHeight="1">
      <c r="A1100" s="265">
        <v>44378.0</v>
      </c>
      <c r="B1100" s="266" t="s">
        <v>1824</v>
      </c>
      <c r="C1100" s="266"/>
      <c r="D1100" s="266" t="s">
        <v>1452</v>
      </c>
      <c r="E1100" s="268"/>
      <c r="F1100" s="358" t="s">
        <v>4512</v>
      </c>
      <c r="G1100" s="268" t="s">
        <v>2085</v>
      </c>
      <c r="H1100" s="270">
        <v>0.0043287037037037035</v>
      </c>
      <c r="I1100" s="271">
        <v>44378.71041666667</v>
      </c>
      <c r="J1100" s="268"/>
      <c r="K1100" s="271">
        <v>44378.71800925926</v>
      </c>
      <c r="L1100" s="288" t="str">
        <f t="shared" si="21"/>
        <v>12:10:56 AM</v>
      </c>
      <c r="M1100" s="278"/>
      <c r="N1100" s="290"/>
      <c r="O1100" s="276"/>
      <c r="P1100" s="276"/>
      <c r="Q1100" s="276"/>
      <c r="R1100" s="278"/>
      <c r="S1100" s="278"/>
      <c r="T1100" s="278"/>
      <c r="U1100" s="279"/>
      <c r="V1100" s="279" t="s">
        <v>1824</v>
      </c>
      <c r="W1100" s="280">
        <v>44379.0</v>
      </c>
      <c r="X1100" s="281">
        <v>0.013888888888888888</v>
      </c>
      <c r="Y1100" s="279" t="s">
        <v>1693</v>
      </c>
      <c r="Z1100" s="282" t="s">
        <v>53</v>
      </c>
      <c r="AA1100" s="282" t="s">
        <v>4512</v>
      </c>
      <c r="AB1100" s="283">
        <v>44379.0</v>
      </c>
      <c r="AC1100" s="284"/>
      <c r="AD1100" s="284"/>
    </row>
    <row r="1101" ht="14.25" customHeight="1">
      <c r="A1101" s="265">
        <v>44378.0</v>
      </c>
      <c r="B1101" s="266" t="s">
        <v>1685</v>
      </c>
      <c r="C1101" s="266"/>
      <c r="D1101" s="266" t="s">
        <v>1686</v>
      </c>
      <c r="E1101" s="268"/>
      <c r="F1101" s="358" t="s">
        <v>4513</v>
      </c>
      <c r="G1101" s="268" t="s">
        <v>2085</v>
      </c>
      <c r="H1101" s="270">
        <v>0.03834490740740741</v>
      </c>
      <c r="I1101" s="271">
        <v>44378.7125</v>
      </c>
      <c r="J1101" s="268"/>
      <c r="K1101" s="271">
        <v>44378.7465625</v>
      </c>
      <c r="L1101" s="288" t="str">
        <f t="shared" si="21"/>
        <v>12:49:03 AM</v>
      </c>
      <c r="M1101" s="278"/>
      <c r="N1101" s="290"/>
      <c r="O1101" s="276"/>
      <c r="P1101" s="276"/>
      <c r="Q1101" s="276"/>
      <c r="R1101" s="278"/>
      <c r="S1101" s="278"/>
      <c r="T1101" s="278"/>
      <c r="U1101" s="279"/>
      <c r="V1101" s="279" t="s">
        <v>1685</v>
      </c>
      <c r="W1101" s="280">
        <v>44379.0</v>
      </c>
      <c r="X1101" s="281">
        <v>0.14583333333333334</v>
      </c>
      <c r="Y1101" s="279" t="s">
        <v>1693</v>
      </c>
      <c r="Z1101" s="282" t="s">
        <v>53</v>
      </c>
      <c r="AA1101" s="282" t="s">
        <v>4513</v>
      </c>
      <c r="AB1101" s="283">
        <v>44379.0</v>
      </c>
      <c r="AC1101" s="284"/>
      <c r="AD1101" s="284"/>
    </row>
    <row r="1102" ht="14.25" customHeight="1">
      <c r="A1102" s="265">
        <v>44378.0</v>
      </c>
      <c r="B1102" s="266" t="s">
        <v>3677</v>
      </c>
      <c r="C1102" s="266"/>
      <c r="D1102" s="266" t="s">
        <v>1455</v>
      </c>
      <c r="E1102" s="268"/>
      <c r="F1102" s="358" t="s">
        <v>4514</v>
      </c>
      <c r="G1102" s="268" t="s">
        <v>2085</v>
      </c>
      <c r="H1102" s="270">
        <v>0.021145833333333332</v>
      </c>
      <c r="I1102" s="271">
        <v>44378.91805555556</v>
      </c>
      <c r="J1102" s="268"/>
      <c r="K1102" s="271">
        <v>44378.93997685185</v>
      </c>
      <c r="L1102" s="288" t="str">
        <f t="shared" si="21"/>
        <v>12:31:34 AM</v>
      </c>
      <c r="M1102" s="278"/>
      <c r="N1102" s="290"/>
      <c r="O1102" s="276"/>
      <c r="P1102" s="276"/>
      <c r="Q1102" s="276"/>
      <c r="R1102" s="278"/>
      <c r="S1102" s="278"/>
      <c r="T1102" s="278"/>
      <c r="U1102" s="279"/>
      <c r="V1102" s="279" t="s">
        <v>1824</v>
      </c>
      <c r="W1102" s="280">
        <v>44379.0</v>
      </c>
      <c r="X1102" s="281">
        <v>0.08333333333333333</v>
      </c>
      <c r="Y1102" s="279" t="s">
        <v>1693</v>
      </c>
      <c r="Z1102" s="282" t="s">
        <v>53</v>
      </c>
      <c r="AA1102" s="282" t="s">
        <v>4515</v>
      </c>
      <c r="AB1102" s="283">
        <v>44379.0</v>
      </c>
      <c r="AC1102" s="284"/>
      <c r="AD1102" s="284"/>
    </row>
    <row r="1103" ht="14.25" customHeight="1">
      <c r="A1103" s="265">
        <v>44379.0</v>
      </c>
      <c r="B1103" s="266" t="s">
        <v>1733</v>
      </c>
      <c r="C1103" s="266"/>
      <c r="D1103" s="266" t="s">
        <v>2083</v>
      </c>
      <c r="E1103" s="268"/>
      <c r="F1103" s="291" t="s">
        <v>4516</v>
      </c>
      <c r="G1103" s="268" t="s">
        <v>1463</v>
      </c>
      <c r="H1103" s="270">
        <v>0.003935185185185186</v>
      </c>
      <c r="I1103" s="271">
        <v>44379.69930555556</v>
      </c>
      <c r="J1103" s="268"/>
      <c r="K1103" s="271">
        <v>44379.70694444444</v>
      </c>
      <c r="L1103" s="288"/>
      <c r="M1103" s="278" t="s">
        <v>4517</v>
      </c>
      <c r="N1103" s="290"/>
      <c r="O1103" s="276"/>
      <c r="P1103" s="276"/>
      <c r="Q1103" s="276"/>
      <c r="R1103" s="278"/>
      <c r="S1103" s="278"/>
      <c r="T1103" s="278"/>
      <c r="U1103" s="279"/>
      <c r="V1103" s="279" t="s">
        <v>3851</v>
      </c>
      <c r="W1103" s="279"/>
      <c r="X1103" s="279"/>
      <c r="Y1103" s="279"/>
      <c r="Z1103" s="282" t="s">
        <v>53</v>
      </c>
      <c r="AA1103" s="282">
        <v>6387748.0</v>
      </c>
      <c r="AB1103" s="283">
        <v>44382.0</v>
      </c>
      <c r="AC1103" s="284"/>
      <c r="AD1103" s="284"/>
    </row>
    <row r="1104" ht="14.25" customHeight="1">
      <c r="A1104" s="265">
        <v>44379.0</v>
      </c>
      <c r="B1104" s="266" t="s">
        <v>1746</v>
      </c>
      <c r="C1104" s="266"/>
      <c r="D1104" s="266" t="s">
        <v>1450</v>
      </c>
      <c r="E1104" s="268"/>
      <c r="F1104" s="358" t="s">
        <v>4518</v>
      </c>
      <c r="G1104" s="268" t="s">
        <v>2085</v>
      </c>
      <c r="H1104" s="270">
        <v>0.1002199074074074</v>
      </c>
      <c r="I1104" s="271">
        <v>44379.77847222222</v>
      </c>
      <c r="J1104" s="268"/>
      <c r="K1104" s="271">
        <v>44379.82738425926</v>
      </c>
      <c r="L1104" s="288" t="str">
        <f t="shared" ref="L1104:L1107" si="22">IFERROR(IF(OR(I1104="",K1104=""),"",K1104-I1104),"")</f>
        <v>1:10:26 AM</v>
      </c>
      <c r="M1104" s="278"/>
      <c r="N1104" s="290"/>
      <c r="O1104" s="276"/>
      <c r="P1104" s="276"/>
      <c r="Q1104" s="276"/>
      <c r="R1104" s="278"/>
      <c r="S1104" s="278"/>
      <c r="T1104" s="278"/>
      <c r="U1104" s="279"/>
      <c r="V1104" s="279" t="s">
        <v>1783</v>
      </c>
      <c r="W1104" s="280">
        <v>44382.0</v>
      </c>
      <c r="X1104" s="281">
        <v>0.2916666666666667</v>
      </c>
      <c r="Y1104" s="279" t="s">
        <v>1693</v>
      </c>
      <c r="Z1104" s="282" t="s">
        <v>53</v>
      </c>
      <c r="AA1104" s="282" t="s">
        <v>4519</v>
      </c>
      <c r="AB1104" s="283">
        <v>44380.0</v>
      </c>
      <c r="AC1104" s="284"/>
      <c r="AD1104" s="284"/>
    </row>
    <row r="1105" ht="14.25" customHeight="1">
      <c r="A1105" s="265">
        <v>44379.0</v>
      </c>
      <c r="B1105" s="266" t="s">
        <v>1824</v>
      </c>
      <c r="C1105" s="266"/>
      <c r="D1105" s="266" t="s">
        <v>1452</v>
      </c>
      <c r="E1105" s="268"/>
      <c r="F1105" s="358" t="s">
        <v>4520</v>
      </c>
      <c r="G1105" s="268" t="s">
        <v>2085</v>
      </c>
      <c r="H1105" s="270">
        <v>0.0020601851851851853</v>
      </c>
      <c r="I1105" s="271">
        <v>44379.68958333333</v>
      </c>
      <c r="J1105" s="268"/>
      <c r="K1105" s="271">
        <v>44379.69252314815</v>
      </c>
      <c r="L1105" s="288" t="str">
        <f t="shared" si="22"/>
        <v>12:04:14 AM</v>
      </c>
      <c r="M1105" s="278"/>
      <c r="N1105" s="290"/>
      <c r="O1105" s="276"/>
      <c r="P1105" s="276"/>
      <c r="Q1105" s="276"/>
      <c r="R1105" s="278"/>
      <c r="S1105" s="278"/>
      <c r="T1105" s="278"/>
      <c r="U1105" s="279"/>
      <c r="V1105" s="279" t="s">
        <v>1824</v>
      </c>
      <c r="W1105" s="280">
        <v>44382.0</v>
      </c>
      <c r="X1105" s="281">
        <v>0.006944444444444444</v>
      </c>
      <c r="Y1105" s="279" t="s">
        <v>1693</v>
      </c>
      <c r="Z1105" s="282" t="s">
        <v>53</v>
      </c>
      <c r="AA1105" s="282" t="s">
        <v>4521</v>
      </c>
      <c r="AB1105" s="283">
        <v>44380.0</v>
      </c>
      <c r="AC1105" s="284"/>
      <c r="AD1105" s="284"/>
    </row>
    <row r="1106" ht="14.25" customHeight="1">
      <c r="A1106" s="265">
        <v>44379.0</v>
      </c>
      <c r="B1106" s="266" t="s">
        <v>1685</v>
      </c>
      <c r="C1106" s="266"/>
      <c r="D1106" s="266" t="s">
        <v>1686</v>
      </c>
      <c r="E1106" s="268"/>
      <c r="F1106" s="358" t="s">
        <v>4522</v>
      </c>
      <c r="G1106" s="268" t="s">
        <v>2085</v>
      </c>
      <c r="H1106" s="270">
        <v>0.03908564814814815</v>
      </c>
      <c r="I1106" s="271">
        <v>44379.68819444445</v>
      </c>
      <c r="J1106" s="268"/>
      <c r="K1106" s="271">
        <v>44379.72090277778</v>
      </c>
      <c r="L1106" s="288" t="str">
        <f t="shared" si="22"/>
        <v>12:47:06 AM</v>
      </c>
      <c r="M1106" s="278"/>
      <c r="N1106" s="290"/>
      <c r="O1106" s="276"/>
      <c r="P1106" s="276"/>
      <c r="Q1106" s="276"/>
      <c r="R1106" s="278"/>
      <c r="S1106" s="278"/>
      <c r="T1106" s="278"/>
      <c r="U1106" s="279"/>
      <c r="V1106" s="279" t="s">
        <v>1685</v>
      </c>
      <c r="W1106" s="280">
        <v>44382.0</v>
      </c>
      <c r="X1106" s="281">
        <v>0.125</v>
      </c>
      <c r="Y1106" s="279" t="s">
        <v>1693</v>
      </c>
      <c r="Z1106" s="282" t="s">
        <v>53</v>
      </c>
      <c r="AA1106" s="282" t="s">
        <v>4522</v>
      </c>
      <c r="AB1106" s="283">
        <v>44380.0</v>
      </c>
      <c r="AC1106" s="284"/>
      <c r="AD1106" s="284"/>
    </row>
    <row r="1107" ht="14.25" customHeight="1">
      <c r="A1107" s="265">
        <v>44379.0</v>
      </c>
      <c r="B1107" s="266" t="s">
        <v>1733</v>
      </c>
      <c r="C1107" s="266"/>
      <c r="D1107" s="266" t="s">
        <v>1455</v>
      </c>
      <c r="E1107" s="268"/>
      <c r="F1107" s="358" t="s">
        <v>4523</v>
      </c>
      <c r="G1107" s="268" t="s">
        <v>2085</v>
      </c>
      <c r="H1107" s="270">
        <v>0.019016203703703705</v>
      </c>
      <c r="I1107" s="271">
        <v>44379.93402777778</v>
      </c>
      <c r="J1107" s="268"/>
      <c r="K1107" s="271">
        <v>44379.94820601852</v>
      </c>
      <c r="L1107" s="288" t="str">
        <f t="shared" si="22"/>
        <v>12:20:25 AM</v>
      </c>
      <c r="M1107" s="278"/>
      <c r="N1107" s="290"/>
      <c r="O1107" s="276"/>
      <c r="P1107" s="276"/>
      <c r="Q1107" s="276"/>
      <c r="R1107" s="278"/>
      <c r="S1107" s="278"/>
      <c r="T1107" s="278"/>
      <c r="U1107" s="279"/>
      <c r="V1107" s="279" t="s">
        <v>1685</v>
      </c>
      <c r="W1107" s="280">
        <v>44382.0</v>
      </c>
      <c r="X1107" s="281">
        <v>0.125</v>
      </c>
      <c r="Y1107" s="279" t="s">
        <v>1693</v>
      </c>
      <c r="Z1107" s="282" t="s">
        <v>53</v>
      </c>
      <c r="AA1107" s="282" t="s">
        <v>4523</v>
      </c>
      <c r="AB1107" s="283">
        <v>44380.0</v>
      </c>
      <c r="AC1107" s="284"/>
      <c r="AD1107" s="284"/>
    </row>
    <row r="1108" ht="14.25" customHeight="1">
      <c r="A1108" s="265">
        <v>44380.0</v>
      </c>
      <c r="B1108" s="266" t="s">
        <v>1733</v>
      </c>
      <c r="C1108" s="266" t="s">
        <v>4478</v>
      </c>
      <c r="D1108" s="266" t="s">
        <v>2083</v>
      </c>
      <c r="E1108" s="268"/>
      <c r="F1108" s="269" t="s">
        <v>4524</v>
      </c>
      <c r="G1108" s="268" t="s">
        <v>1463</v>
      </c>
      <c r="H1108" s="270">
        <v>0.0038194444444444443</v>
      </c>
      <c r="I1108" s="271">
        <v>44379.77638888889</v>
      </c>
      <c r="J1108" s="268"/>
      <c r="K1108" s="271">
        <v>44382.782638888886</v>
      </c>
      <c r="L1108" s="288"/>
      <c r="M1108" s="278" t="s">
        <v>4525</v>
      </c>
      <c r="N1108" s="290"/>
      <c r="O1108" s="276"/>
      <c r="P1108" s="276"/>
      <c r="Q1108" s="276"/>
      <c r="R1108" s="278"/>
      <c r="S1108" s="278"/>
      <c r="T1108" s="278"/>
      <c r="U1108" s="279"/>
      <c r="V1108" s="279" t="s">
        <v>3851</v>
      </c>
      <c r="W1108" s="279" t="s">
        <v>28</v>
      </c>
      <c r="X1108" s="279" t="s">
        <v>28</v>
      </c>
      <c r="Y1108" s="279" t="s">
        <v>1693</v>
      </c>
      <c r="Z1108" s="282" t="s">
        <v>53</v>
      </c>
      <c r="AA1108" s="282">
        <v>6389968.0</v>
      </c>
      <c r="AB1108" s="283">
        <v>44383.0</v>
      </c>
      <c r="AC1108" s="284"/>
      <c r="AD1108" s="284"/>
    </row>
    <row r="1109" ht="14.25" customHeight="1">
      <c r="A1109" s="265">
        <v>44380.0</v>
      </c>
      <c r="B1109" s="266" t="s">
        <v>1500</v>
      </c>
      <c r="C1109" s="266"/>
      <c r="D1109" s="266" t="s">
        <v>1686</v>
      </c>
      <c r="E1109" s="268"/>
      <c r="F1109" s="358" t="s">
        <v>4526</v>
      </c>
      <c r="G1109" s="268" t="s">
        <v>2085</v>
      </c>
      <c r="H1109" s="270">
        <v>0.039247685185185184</v>
      </c>
      <c r="I1109" s="271">
        <v>44382.72361111111</v>
      </c>
      <c r="J1109" s="268"/>
      <c r="K1109" s="271">
        <v>44382.75790509259</v>
      </c>
      <c r="L1109" s="288" t="str">
        <f t="shared" ref="L1109:L1110" si="23">IFERROR(IF(OR(I1109="",K1109=""),"",K1109-I1109),"")</f>
        <v>12:49:23 AM</v>
      </c>
      <c r="M1109" s="278"/>
      <c r="N1109" s="290"/>
      <c r="O1109" s="276"/>
      <c r="P1109" s="276"/>
      <c r="Q1109" s="276"/>
      <c r="R1109" s="278"/>
      <c r="S1109" s="278"/>
      <c r="T1109" s="278"/>
      <c r="U1109" s="279"/>
      <c r="V1109" s="279" t="s">
        <v>1685</v>
      </c>
      <c r="W1109" s="280">
        <v>44383.0</v>
      </c>
      <c r="X1109" s="281">
        <v>0.125</v>
      </c>
      <c r="Y1109" s="279" t="s">
        <v>1693</v>
      </c>
      <c r="Z1109" s="282" t="s">
        <v>53</v>
      </c>
      <c r="AA1109" s="282" t="s">
        <v>4526</v>
      </c>
      <c r="AB1109" s="283">
        <v>44383.0</v>
      </c>
      <c r="AC1109" s="284"/>
      <c r="AD1109" s="284"/>
    </row>
    <row r="1110" ht="14.25" customHeight="1">
      <c r="A1110" s="265">
        <v>44380.0</v>
      </c>
      <c r="B1110" s="266" t="s">
        <v>1746</v>
      </c>
      <c r="C1110" s="266"/>
      <c r="D1110" s="266" t="s">
        <v>1455</v>
      </c>
      <c r="E1110" s="268"/>
      <c r="F1110" s="358" t="s">
        <v>4527</v>
      </c>
      <c r="G1110" s="268" t="s">
        <v>2085</v>
      </c>
      <c r="H1110" s="270">
        <v>0.01542824074074074</v>
      </c>
      <c r="I1110" s="271">
        <v>44382.72152777778</v>
      </c>
      <c r="J1110" s="268"/>
      <c r="K1110" s="271">
        <v>44382.73716435185</v>
      </c>
      <c r="L1110" s="288" t="str">
        <f t="shared" si="23"/>
        <v>12:22:31 AM</v>
      </c>
      <c r="M1110" s="278"/>
      <c r="N1110" s="290"/>
      <c r="O1110" s="276"/>
      <c r="P1110" s="276"/>
      <c r="Q1110" s="276"/>
      <c r="R1110" s="278"/>
      <c r="S1110" s="278"/>
      <c r="T1110" s="278"/>
      <c r="U1110" s="279"/>
      <c r="V1110" s="279" t="s">
        <v>1685</v>
      </c>
      <c r="W1110" s="280">
        <v>44382.0</v>
      </c>
      <c r="X1110" s="281">
        <v>0.08333333333333333</v>
      </c>
      <c r="Y1110" s="279" t="s">
        <v>1693</v>
      </c>
      <c r="Z1110" s="282" t="s">
        <v>53</v>
      </c>
      <c r="AA1110" s="282" t="s">
        <v>4528</v>
      </c>
      <c r="AB1110" s="283">
        <v>44383.0</v>
      </c>
      <c r="AC1110" s="284"/>
      <c r="AD1110" s="284"/>
    </row>
    <row r="1111" ht="14.25" customHeight="1">
      <c r="A1111" s="265">
        <v>44381.0</v>
      </c>
      <c r="B1111" s="266" t="s">
        <v>1733</v>
      </c>
      <c r="C1111" s="266"/>
      <c r="D1111" s="266" t="s">
        <v>3509</v>
      </c>
      <c r="E1111" s="268"/>
      <c r="F1111" s="358">
        <v>6382571.0</v>
      </c>
      <c r="G1111" s="268" t="s">
        <v>3839</v>
      </c>
      <c r="H1111" s="270">
        <v>0.05644675925925926</v>
      </c>
      <c r="I1111" s="271">
        <v>44382.770833333336</v>
      </c>
      <c r="J1111" s="268"/>
      <c r="K1111" s="271">
        <v>44382.794652777775</v>
      </c>
      <c r="L1111" s="288"/>
      <c r="M1111" s="272"/>
      <c r="N1111" s="273"/>
      <c r="O1111" s="276"/>
      <c r="P1111" s="275"/>
      <c r="Q1111" s="276"/>
      <c r="R1111" s="278"/>
      <c r="S1111" s="278"/>
      <c r="T1111" s="278"/>
      <c r="U1111" s="279"/>
      <c r="V1111" s="279"/>
      <c r="W1111" s="279"/>
      <c r="X1111" s="279"/>
      <c r="Y1111" s="279"/>
      <c r="Z1111" s="282" t="s">
        <v>101</v>
      </c>
      <c r="AA1111" s="282">
        <v>6382571.0</v>
      </c>
      <c r="AB1111" s="283">
        <v>44382.0</v>
      </c>
      <c r="AC1111" s="284"/>
      <c r="AD1111" s="284"/>
    </row>
    <row r="1112" ht="14.25" customHeight="1">
      <c r="A1112" s="419">
        <v>44381.0</v>
      </c>
      <c r="B1112" s="266" t="s">
        <v>1733</v>
      </c>
      <c r="C1112" s="266"/>
      <c r="D1112" s="266" t="s">
        <v>1457</v>
      </c>
      <c r="E1112" s="268"/>
      <c r="F1112" s="358" t="s">
        <v>4529</v>
      </c>
      <c r="G1112" s="268" t="s">
        <v>2085</v>
      </c>
      <c r="H1112" s="270">
        <v>0.017465277777777777</v>
      </c>
      <c r="I1112" s="271">
        <v>44382.72986111111</v>
      </c>
      <c r="J1112" s="268"/>
      <c r="K1112" s="271">
        <v>44382.74827546296</v>
      </c>
      <c r="L1112" s="288" t="str">
        <f t="shared" ref="L1112:L1113" si="24">IFERROR(IF(OR(I1112="",K1112=""),"",K1112-I1112),"")</f>
        <v>12:26:31 AM</v>
      </c>
      <c r="M1112" s="278"/>
      <c r="N1112" s="290"/>
      <c r="O1112" s="276"/>
      <c r="P1112" s="276"/>
      <c r="Q1112" s="276"/>
      <c r="R1112" s="278"/>
      <c r="S1112" s="278"/>
      <c r="T1112" s="278"/>
      <c r="U1112" s="279"/>
      <c r="V1112" s="279" t="s">
        <v>1824</v>
      </c>
      <c r="W1112" s="280">
        <v>44383.0</v>
      </c>
      <c r="X1112" s="281">
        <v>0.034722222222222224</v>
      </c>
      <c r="Y1112" s="279" t="s">
        <v>1693</v>
      </c>
      <c r="Z1112" s="282" t="s">
        <v>53</v>
      </c>
      <c r="AA1112" s="282" t="s">
        <v>4529</v>
      </c>
      <c r="AB1112" s="283">
        <v>44383.0</v>
      </c>
      <c r="AC1112" s="284"/>
      <c r="AD1112" s="284"/>
    </row>
    <row r="1113" ht="14.25" customHeight="1">
      <c r="A1113" s="265">
        <v>44381.0</v>
      </c>
      <c r="B1113" s="266" t="s">
        <v>1733</v>
      </c>
      <c r="C1113" s="266"/>
      <c r="D1113" s="266" t="s">
        <v>2829</v>
      </c>
      <c r="E1113" s="268"/>
      <c r="F1113" s="358" t="s">
        <v>4530</v>
      </c>
      <c r="G1113" s="268" t="s">
        <v>2085</v>
      </c>
      <c r="H1113" s="270">
        <v>0.01877314814814815</v>
      </c>
      <c r="I1113" s="271">
        <v>44382.740277777775</v>
      </c>
      <c r="J1113" s="268"/>
      <c r="K1113" s="271">
        <v>44382.764328703706</v>
      </c>
      <c r="L1113" s="288" t="str">
        <f t="shared" si="24"/>
        <v>12:34:38 AM</v>
      </c>
      <c r="M1113" s="307"/>
      <c r="N1113" s="273"/>
      <c r="O1113" s="276"/>
      <c r="P1113" s="275" t="s">
        <v>1463</v>
      </c>
      <c r="Q1113" s="276"/>
      <c r="R1113" s="278"/>
      <c r="S1113" s="278"/>
      <c r="T1113" s="278"/>
      <c r="U1113" s="279"/>
      <c r="V1113" s="279"/>
      <c r="W1113" s="279"/>
      <c r="X1113" s="279"/>
      <c r="Y1113" s="279"/>
      <c r="Z1113" s="282" t="s">
        <v>53</v>
      </c>
      <c r="AA1113" s="282" t="s">
        <v>4530</v>
      </c>
      <c r="AB1113" s="283">
        <v>44383.0</v>
      </c>
      <c r="AC1113" s="284"/>
      <c r="AD1113" s="284"/>
    </row>
    <row r="1114" ht="14.25" customHeight="1">
      <c r="A1114" s="265">
        <v>44382.0</v>
      </c>
      <c r="B1114" s="266" t="s">
        <v>1783</v>
      </c>
      <c r="C1114" s="266" t="s">
        <v>4403</v>
      </c>
      <c r="D1114" s="266" t="s">
        <v>1450</v>
      </c>
      <c r="E1114" s="268"/>
      <c r="F1114" s="417" t="s">
        <v>4531</v>
      </c>
      <c r="G1114" s="268" t="s">
        <v>1463</v>
      </c>
      <c r="H1114" s="270">
        <v>0.0014930555555555556</v>
      </c>
      <c r="I1114" s="271">
        <v>44384.44861111111</v>
      </c>
      <c r="J1114" s="268"/>
      <c r="K1114" s="271">
        <v>44384.51556712963</v>
      </c>
      <c r="L1114" s="288"/>
      <c r="M1114" s="278" t="s">
        <v>4532</v>
      </c>
      <c r="N1114" s="290"/>
      <c r="O1114" s="276"/>
      <c r="P1114" s="276"/>
      <c r="Q1114" s="276"/>
      <c r="R1114" s="278"/>
      <c r="S1114" s="278"/>
      <c r="T1114" s="278"/>
      <c r="U1114" s="279"/>
      <c r="V1114" s="279" t="s">
        <v>1783</v>
      </c>
      <c r="W1114" s="280">
        <v>44384.0</v>
      </c>
      <c r="X1114" s="281">
        <v>0.0020833333333333333</v>
      </c>
      <c r="Y1114" s="279" t="s">
        <v>1693</v>
      </c>
      <c r="Z1114" s="282" t="s">
        <v>53</v>
      </c>
      <c r="AA1114" s="282">
        <v>6394218.0</v>
      </c>
      <c r="AB1114" s="283">
        <v>44386.0</v>
      </c>
      <c r="AC1114" s="284"/>
      <c r="AD1114" s="284"/>
    </row>
    <row r="1115" ht="14.25" customHeight="1">
      <c r="A1115" s="265">
        <v>44382.0</v>
      </c>
      <c r="B1115" s="266" t="s">
        <v>1783</v>
      </c>
      <c r="C1115" s="266"/>
      <c r="D1115" s="266" t="s">
        <v>1450</v>
      </c>
      <c r="E1115" s="268"/>
      <c r="F1115" s="358" t="s">
        <v>4533</v>
      </c>
      <c r="G1115" s="268" t="s">
        <v>2085</v>
      </c>
      <c r="H1115" s="270">
        <v>0.09966435185185185</v>
      </c>
      <c r="I1115" s="271">
        <v>44382.714583333334</v>
      </c>
      <c r="J1115" s="268"/>
      <c r="K1115" s="271">
        <v>44382.78790509259</v>
      </c>
      <c r="L1115" s="288" t="str">
        <f t="shared" ref="L1115:L1118" si="25">IFERROR(IF(OR(I1115="",K1115=""),"",K1115-I1115),"")</f>
        <v>1:45:35 AM</v>
      </c>
      <c r="M1115" s="278"/>
      <c r="N1115" s="290"/>
      <c r="O1115" s="276"/>
      <c r="P1115" s="276"/>
      <c r="Q1115" s="276"/>
      <c r="R1115" s="278"/>
      <c r="S1115" s="278"/>
      <c r="T1115" s="278"/>
      <c r="U1115" s="279"/>
      <c r="V1115" s="279" t="s">
        <v>1783</v>
      </c>
      <c r="W1115" s="280">
        <v>44383.0</v>
      </c>
      <c r="X1115" s="281">
        <v>0.2777777777777778</v>
      </c>
      <c r="Y1115" s="279" t="s">
        <v>1693</v>
      </c>
      <c r="Z1115" s="282" t="s">
        <v>53</v>
      </c>
      <c r="AA1115" s="282" t="s">
        <v>4533</v>
      </c>
      <c r="AB1115" s="283">
        <v>44383.0</v>
      </c>
      <c r="AC1115" s="284"/>
      <c r="AD1115" s="284"/>
    </row>
    <row r="1116" ht="14.25" customHeight="1">
      <c r="A1116" s="265">
        <v>44382.0</v>
      </c>
      <c r="B1116" s="266" t="s">
        <v>1824</v>
      </c>
      <c r="C1116" s="266"/>
      <c r="D1116" s="266" t="s">
        <v>1452</v>
      </c>
      <c r="E1116" s="268"/>
      <c r="F1116" s="358" t="s">
        <v>4534</v>
      </c>
      <c r="G1116" s="268" t="s">
        <v>2085</v>
      </c>
      <c r="H1116" s="270">
        <v>0.008680555555555556</v>
      </c>
      <c r="I1116" s="271">
        <v>44382.71597222222</v>
      </c>
      <c r="J1116" s="268"/>
      <c r="K1116" s="271">
        <v>44382.72928240741</v>
      </c>
      <c r="L1116" s="288" t="str">
        <f t="shared" si="25"/>
        <v>12:19:10 AM</v>
      </c>
      <c r="M1116" s="278"/>
      <c r="N1116" s="290"/>
      <c r="O1116" s="276"/>
      <c r="P1116" s="276"/>
      <c r="Q1116" s="276"/>
      <c r="R1116" s="278"/>
      <c r="S1116" s="278"/>
      <c r="T1116" s="278"/>
      <c r="U1116" s="279"/>
      <c r="V1116" s="279" t="s">
        <v>1824</v>
      </c>
      <c r="W1116" s="280">
        <v>44383.0</v>
      </c>
      <c r="X1116" s="281">
        <v>0.020833333333333332</v>
      </c>
      <c r="Y1116" s="279" t="s">
        <v>1693</v>
      </c>
      <c r="Z1116" s="282" t="s">
        <v>53</v>
      </c>
      <c r="AA1116" s="282" t="s">
        <v>4535</v>
      </c>
      <c r="AB1116" s="283">
        <v>44383.0</v>
      </c>
      <c r="AC1116" s="284"/>
      <c r="AD1116" s="284"/>
    </row>
    <row r="1117" ht="14.25" customHeight="1">
      <c r="A1117" s="265">
        <v>44382.0</v>
      </c>
      <c r="B1117" s="266" t="s">
        <v>1685</v>
      </c>
      <c r="C1117" s="266"/>
      <c r="D1117" s="266" t="s">
        <v>1686</v>
      </c>
      <c r="E1117" s="268"/>
      <c r="F1117" s="358" t="s">
        <v>4536</v>
      </c>
      <c r="G1117" s="268" t="s">
        <v>2085</v>
      </c>
      <c r="H1117" s="270">
        <v>0.040046296296296295</v>
      </c>
      <c r="I1117" s="271">
        <v>44382.71944444445</v>
      </c>
      <c r="J1117" s="268"/>
      <c r="K1117" s="271">
        <v>44382.77173611111</v>
      </c>
      <c r="L1117" s="288" t="str">
        <f t="shared" si="25"/>
        <v>1:15:18 AM</v>
      </c>
      <c r="M1117" s="278"/>
      <c r="N1117" s="290"/>
      <c r="O1117" s="276"/>
      <c r="P1117" s="276"/>
      <c r="Q1117" s="276"/>
      <c r="R1117" s="278"/>
      <c r="S1117" s="278"/>
      <c r="T1117" s="278"/>
      <c r="U1117" s="279"/>
      <c r="V1117" s="279" t="s">
        <v>1685</v>
      </c>
      <c r="W1117" s="280">
        <v>44383.0</v>
      </c>
      <c r="X1117" s="281">
        <v>0.125</v>
      </c>
      <c r="Y1117" s="279" t="s">
        <v>1693</v>
      </c>
      <c r="Z1117" s="282" t="s">
        <v>53</v>
      </c>
      <c r="AA1117" s="282" t="s">
        <v>4536</v>
      </c>
      <c r="AB1117" s="283">
        <v>44383.0</v>
      </c>
      <c r="AC1117" s="284"/>
      <c r="AD1117" s="284"/>
    </row>
    <row r="1118" ht="14.25" customHeight="1">
      <c r="A1118" s="265">
        <v>44382.0</v>
      </c>
      <c r="B1118" s="266" t="s">
        <v>1733</v>
      </c>
      <c r="C1118" s="266"/>
      <c r="D1118" s="266" t="s">
        <v>1455</v>
      </c>
      <c r="E1118" s="268"/>
      <c r="F1118" s="358" t="s">
        <v>4537</v>
      </c>
      <c r="G1118" s="268" t="s">
        <v>2085</v>
      </c>
      <c r="H1118" s="270">
        <v>0.020925925925925928</v>
      </c>
      <c r="I1118" s="271">
        <v>44382.86736111111</v>
      </c>
      <c r="J1118" s="268"/>
      <c r="K1118" s="271">
        <v>44382.89722222222</v>
      </c>
      <c r="L1118" s="288" t="str">
        <f t="shared" si="25"/>
        <v>12:43:00 AM</v>
      </c>
      <c r="M1118" s="278"/>
      <c r="N1118" s="290"/>
      <c r="O1118" s="276"/>
      <c r="P1118" s="276"/>
      <c r="Q1118" s="276"/>
      <c r="R1118" s="278"/>
      <c r="S1118" s="278"/>
      <c r="T1118" s="278"/>
      <c r="U1118" s="279"/>
      <c r="V1118" s="279" t="s">
        <v>1685</v>
      </c>
      <c r="W1118" s="280">
        <v>44383.0</v>
      </c>
      <c r="X1118" s="281">
        <v>0.08333333333333333</v>
      </c>
      <c r="Y1118" s="279" t="s">
        <v>1693</v>
      </c>
      <c r="Z1118" s="282" t="s">
        <v>53</v>
      </c>
      <c r="AA1118" s="282" t="s">
        <v>4537</v>
      </c>
      <c r="AB1118" s="283">
        <v>44383.0</v>
      </c>
      <c r="AC1118" s="284"/>
      <c r="AD1118" s="284"/>
    </row>
    <row r="1119" ht="14.25" customHeight="1">
      <c r="A1119" s="265">
        <v>44382.0</v>
      </c>
      <c r="B1119" s="266" t="s">
        <v>1685</v>
      </c>
      <c r="C1119" s="266" t="s">
        <v>1831</v>
      </c>
      <c r="D1119" s="266" t="s">
        <v>1686</v>
      </c>
      <c r="E1119" s="268"/>
      <c r="F1119" s="358" t="s">
        <v>4538</v>
      </c>
      <c r="G1119" s="268" t="s">
        <v>1463</v>
      </c>
      <c r="H1119" s="270">
        <v>0.0021180555555555553</v>
      </c>
      <c r="I1119" s="271"/>
      <c r="J1119" s="268"/>
      <c r="K1119" s="271">
        <v>44389.870671296296</v>
      </c>
      <c r="L1119" s="288"/>
      <c r="M1119" s="278"/>
      <c r="N1119" s="290"/>
      <c r="O1119" s="276"/>
      <c r="P1119" s="276"/>
      <c r="Q1119" s="276"/>
      <c r="R1119" s="278"/>
      <c r="S1119" s="278"/>
      <c r="T1119" s="278"/>
      <c r="U1119" s="279"/>
      <c r="V1119" s="279" t="s">
        <v>1685</v>
      </c>
      <c r="W1119" s="280">
        <v>44390.0</v>
      </c>
      <c r="X1119" s="281">
        <v>0.001388888888888889</v>
      </c>
      <c r="Y1119" s="279"/>
      <c r="Z1119" s="282"/>
      <c r="AA1119" s="282"/>
      <c r="AB1119" s="283"/>
      <c r="AC1119" s="284"/>
      <c r="AD1119" s="284"/>
    </row>
    <row r="1120" ht="14.25" customHeight="1">
      <c r="A1120" s="265">
        <v>44383.0</v>
      </c>
      <c r="B1120" s="266" t="s">
        <v>1783</v>
      </c>
      <c r="C1120" s="266" t="s">
        <v>4403</v>
      </c>
      <c r="D1120" s="266" t="s">
        <v>1450</v>
      </c>
      <c r="E1120" s="268"/>
      <c r="F1120" s="417" t="s">
        <v>4539</v>
      </c>
      <c r="G1120" s="268" t="s">
        <v>1463</v>
      </c>
      <c r="H1120" s="270">
        <v>0.0013541666666666667</v>
      </c>
      <c r="I1120" s="271">
        <v>44384.441666666666</v>
      </c>
      <c r="J1120" s="268"/>
      <c r="K1120" s="271">
        <v>44384.4503587963</v>
      </c>
      <c r="L1120" s="288"/>
      <c r="M1120" s="278" t="s">
        <v>4540</v>
      </c>
      <c r="N1120" s="290"/>
      <c r="O1120" s="276"/>
      <c r="P1120" s="276"/>
      <c r="Q1120" s="276"/>
      <c r="R1120" s="278"/>
      <c r="S1120" s="278"/>
      <c r="T1120" s="278"/>
      <c r="U1120" s="279"/>
      <c r="V1120" s="279" t="s">
        <v>1783</v>
      </c>
      <c r="W1120" s="280">
        <v>44384.0</v>
      </c>
      <c r="X1120" s="281">
        <v>0.001388888888888889</v>
      </c>
      <c r="Y1120" s="279" t="s">
        <v>1693</v>
      </c>
      <c r="Z1120" s="282" t="s">
        <v>53</v>
      </c>
      <c r="AA1120" s="282">
        <v>6394219.0</v>
      </c>
      <c r="AB1120" s="283">
        <v>44386.0</v>
      </c>
      <c r="AC1120" s="284"/>
      <c r="AD1120" s="284"/>
    </row>
    <row r="1121" ht="14.25" customHeight="1">
      <c r="A1121" s="265">
        <v>44383.0</v>
      </c>
      <c r="B1121" s="266" t="s">
        <v>2030</v>
      </c>
      <c r="C1121" s="266" t="s">
        <v>1450</v>
      </c>
      <c r="D1121" s="266" t="s">
        <v>1543</v>
      </c>
      <c r="E1121" s="268"/>
      <c r="F1121" s="269" t="s">
        <v>4541</v>
      </c>
      <c r="G1121" s="268" t="s">
        <v>1463</v>
      </c>
      <c r="H1121" s="270">
        <v>0.0017245370370370372</v>
      </c>
      <c r="I1121" s="271">
        <v>44389.40833333333</v>
      </c>
      <c r="J1121" s="268"/>
      <c r="K1121" s="271">
        <v>44389.41180555556</v>
      </c>
      <c r="L1121" s="288"/>
      <c r="M1121" s="278" t="s">
        <v>4542</v>
      </c>
      <c r="N1121" s="290"/>
      <c r="O1121" s="276"/>
      <c r="P1121" s="276"/>
      <c r="Q1121" s="276"/>
      <c r="R1121" s="278"/>
      <c r="S1121" s="278"/>
      <c r="T1121" s="278"/>
      <c r="U1121" s="279"/>
      <c r="V1121" s="279" t="s">
        <v>1824</v>
      </c>
      <c r="W1121" s="280">
        <v>44391.0</v>
      </c>
      <c r="X1121" s="281">
        <v>0.008333333333333333</v>
      </c>
      <c r="Y1121" s="279" t="s">
        <v>1693</v>
      </c>
      <c r="Z1121" s="282" t="s">
        <v>53</v>
      </c>
      <c r="AA1121" s="282">
        <v>6397473.0</v>
      </c>
      <c r="AB1121" s="283">
        <v>44390.0</v>
      </c>
      <c r="AC1121" s="284"/>
      <c r="AD1121" s="284"/>
    </row>
    <row r="1122" ht="14.25" customHeight="1">
      <c r="A1122" s="265">
        <v>44383.0</v>
      </c>
      <c r="B1122" s="266" t="s">
        <v>1500</v>
      </c>
      <c r="C1122" s="267" t="s">
        <v>1457</v>
      </c>
      <c r="D1122" s="266" t="s">
        <v>1543</v>
      </c>
      <c r="E1122" s="268"/>
      <c r="F1122" s="269" t="s">
        <v>4543</v>
      </c>
      <c r="G1122" s="268" t="s">
        <v>1463</v>
      </c>
      <c r="H1122" s="270">
        <v>0.005104166666666667</v>
      </c>
      <c r="I1122" s="271">
        <v>44399.54722222222</v>
      </c>
      <c r="J1122" s="268"/>
      <c r="K1122" s="271">
        <v>44399.55798611111</v>
      </c>
      <c r="L1122" s="288"/>
      <c r="M1122" s="278" t="s">
        <v>4544</v>
      </c>
      <c r="N1122" s="290"/>
      <c r="O1122" s="276"/>
      <c r="P1122" s="276"/>
      <c r="Q1122" s="276"/>
      <c r="R1122" s="278"/>
      <c r="S1122" s="278"/>
      <c r="T1122" s="278"/>
      <c r="U1122" s="279"/>
      <c r="V1122" s="279" t="s">
        <v>2124</v>
      </c>
      <c r="W1122" s="280">
        <v>44400.0</v>
      </c>
      <c r="X1122" s="281">
        <v>0.010416666666666666</v>
      </c>
      <c r="Y1122" s="279" t="s">
        <v>1693</v>
      </c>
      <c r="Z1122" s="282" t="s">
        <v>53</v>
      </c>
      <c r="AA1122" s="282">
        <v>6415255.0</v>
      </c>
      <c r="AB1122" s="283">
        <v>44400.0</v>
      </c>
      <c r="AC1122" s="284"/>
      <c r="AD1122" s="284"/>
    </row>
    <row r="1123" ht="14.25" customHeight="1">
      <c r="A1123" s="265">
        <v>44383.0</v>
      </c>
      <c r="B1123" s="266" t="s">
        <v>1783</v>
      </c>
      <c r="C1123" s="266"/>
      <c r="D1123" s="266" t="s">
        <v>1450</v>
      </c>
      <c r="E1123" s="268"/>
      <c r="F1123" s="358" t="s">
        <v>4545</v>
      </c>
      <c r="G1123" s="268" t="s">
        <v>2085</v>
      </c>
      <c r="H1123" s="270">
        <v>0.09980324074074075</v>
      </c>
      <c r="I1123" s="271">
        <v>44383.76527777778</v>
      </c>
      <c r="J1123" s="268"/>
      <c r="K1123" s="271">
        <v>44383.88469907407</v>
      </c>
      <c r="L1123" s="288" t="str">
        <f t="shared" ref="L1123:L1126" si="26">IFERROR(IF(OR(I1123="",K1123=""),"",K1123-I1123),"")</f>
        <v>2:51:58 AM</v>
      </c>
      <c r="M1123" s="278"/>
      <c r="N1123" s="290"/>
      <c r="O1123" s="276"/>
      <c r="P1123" s="276"/>
      <c r="Q1123" s="276"/>
      <c r="R1123" s="278"/>
      <c r="S1123" s="278"/>
      <c r="T1123" s="278"/>
      <c r="U1123" s="279"/>
      <c r="V1123" s="279" t="s">
        <v>1783</v>
      </c>
      <c r="W1123" s="280">
        <v>44384.0</v>
      </c>
      <c r="X1123" s="281">
        <v>0.2847222222222222</v>
      </c>
      <c r="Y1123" s="279" t="s">
        <v>1693</v>
      </c>
      <c r="Z1123" s="282" t="s">
        <v>53</v>
      </c>
      <c r="AA1123" s="282" t="s">
        <v>4545</v>
      </c>
      <c r="AB1123" s="283">
        <v>44384.0</v>
      </c>
      <c r="AC1123" s="284"/>
      <c r="AD1123" s="284"/>
    </row>
    <row r="1124" ht="14.25" customHeight="1">
      <c r="A1124" s="265">
        <v>44383.0</v>
      </c>
      <c r="B1124" s="266" t="s">
        <v>1824</v>
      </c>
      <c r="C1124" s="266"/>
      <c r="D1124" s="266" t="s">
        <v>1452</v>
      </c>
      <c r="E1124" s="268"/>
      <c r="F1124" s="358" t="s">
        <v>4546</v>
      </c>
      <c r="G1124" s="268" t="s">
        <v>2085</v>
      </c>
      <c r="H1124" s="270">
        <v>0.003923611111111111</v>
      </c>
      <c r="I1124" s="271">
        <v>44383.76666666667</v>
      </c>
      <c r="J1124" s="268"/>
      <c r="K1124" s="271">
        <v>44383.774675925924</v>
      </c>
      <c r="L1124" s="288" t="str">
        <f t="shared" si="26"/>
        <v>12:11:32 AM</v>
      </c>
      <c r="M1124" s="278"/>
      <c r="N1124" s="290"/>
      <c r="O1124" s="276"/>
      <c r="P1124" s="276"/>
      <c r="Q1124" s="276"/>
      <c r="R1124" s="278"/>
      <c r="S1124" s="278"/>
      <c r="T1124" s="278"/>
      <c r="U1124" s="279"/>
      <c r="V1124" s="279" t="s">
        <v>1824</v>
      </c>
      <c r="W1124" s="280">
        <v>44384.0</v>
      </c>
      <c r="X1124" s="281">
        <v>0.011111111111111112</v>
      </c>
      <c r="Y1124" s="279" t="s">
        <v>1693</v>
      </c>
      <c r="Z1124" s="282" t="s">
        <v>53</v>
      </c>
      <c r="AA1124" s="282" t="s">
        <v>4547</v>
      </c>
      <c r="AB1124" s="283">
        <v>44384.0</v>
      </c>
      <c r="AC1124" s="284"/>
      <c r="AD1124" s="284"/>
    </row>
    <row r="1125" ht="14.25" customHeight="1">
      <c r="A1125" s="265">
        <v>44383.0</v>
      </c>
      <c r="B1125" s="266" t="s">
        <v>1685</v>
      </c>
      <c r="C1125" s="266"/>
      <c r="D1125" s="266" t="s">
        <v>1686</v>
      </c>
      <c r="E1125" s="268"/>
      <c r="F1125" s="358" t="s">
        <v>4548</v>
      </c>
      <c r="G1125" s="268" t="s">
        <v>2085</v>
      </c>
      <c r="H1125" s="270">
        <v>0.03875</v>
      </c>
      <c r="I1125" s="271">
        <v>44383.768055555556</v>
      </c>
      <c r="J1125" s="268"/>
      <c r="K1125" s="271">
        <v>44383.79050925926</v>
      </c>
      <c r="L1125" s="288" t="str">
        <f t="shared" si="26"/>
        <v>12:32:20 AM</v>
      </c>
      <c r="M1125" s="278"/>
      <c r="N1125" s="290"/>
      <c r="O1125" s="276"/>
      <c r="P1125" s="276"/>
      <c r="Q1125" s="276"/>
      <c r="R1125" s="278"/>
      <c r="S1125" s="278"/>
      <c r="T1125" s="278"/>
      <c r="U1125" s="279"/>
      <c r="V1125" s="279" t="s">
        <v>1685</v>
      </c>
      <c r="W1125" s="280">
        <v>44384.0</v>
      </c>
      <c r="X1125" s="281">
        <v>0.14583333333333334</v>
      </c>
      <c r="Y1125" s="279" t="s">
        <v>1693</v>
      </c>
      <c r="Z1125" s="282" t="s">
        <v>53</v>
      </c>
      <c r="AA1125" s="282" t="s">
        <v>4548</v>
      </c>
      <c r="AB1125" s="283">
        <v>44384.0</v>
      </c>
      <c r="AC1125" s="284"/>
      <c r="AD1125" s="284"/>
    </row>
    <row r="1126" ht="14.25" customHeight="1">
      <c r="A1126" s="265">
        <v>44383.0</v>
      </c>
      <c r="B1126" s="266" t="s">
        <v>1733</v>
      </c>
      <c r="C1126" s="266"/>
      <c r="D1126" s="266" t="s">
        <v>1455</v>
      </c>
      <c r="E1126" s="268"/>
      <c r="F1126" s="358" t="s">
        <v>4549</v>
      </c>
      <c r="G1126" s="268" t="s">
        <v>2085</v>
      </c>
      <c r="H1126" s="270">
        <v>0.019398148148148147</v>
      </c>
      <c r="I1126" s="271">
        <v>44383.98541666667</v>
      </c>
      <c r="J1126" s="268"/>
      <c r="K1126" s="271">
        <v>44384.000601851854</v>
      </c>
      <c r="L1126" s="288" t="str">
        <f t="shared" si="26"/>
        <v>12:21:52 AM</v>
      </c>
      <c r="M1126" s="278"/>
      <c r="N1126" s="290"/>
      <c r="O1126" s="276"/>
      <c r="P1126" s="276"/>
      <c r="Q1126" s="276"/>
      <c r="R1126" s="278"/>
      <c r="S1126" s="278"/>
      <c r="T1126" s="278"/>
      <c r="U1126" s="279"/>
      <c r="V1126" s="279" t="s">
        <v>1685</v>
      </c>
      <c r="W1126" s="280">
        <v>44384.0</v>
      </c>
      <c r="X1126" s="281">
        <v>0.08333333333333333</v>
      </c>
      <c r="Y1126" s="279" t="s">
        <v>1693</v>
      </c>
      <c r="Z1126" s="282" t="s">
        <v>53</v>
      </c>
      <c r="AA1126" s="282" t="s">
        <v>4549</v>
      </c>
      <c r="AB1126" s="283">
        <v>44384.0</v>
      </c>
      <c r="AC1126" s="284"/>
      <c r="AD1126" s="284"/>
    </row>
    <row r="1127" ht="14.25" customHeight="1">
      <c r="A1127" s="265">
        <v>44384.0</v>
      </c>
      <c r="B1127" s="266" t="s">
        <v>1500</v>
      </c>
      <c r="C1127" s="266" t="s">
        <v>1597</v>
      </c>
      <c r="D1127" s="266" t="s">
        <v>1502</v>
      </c>
      <c r="E1127" s="268"/>
      <c r="F1127" s="269" t="s">
        <v>1602</v>
      </c>
      <c r="G1127" s="268" t="s">
        <v>1463</v>
      </c>
      <c r="H1127" s="270">
        <v>0.03244212962962963</v>
      </c>
      <c r="I1127" s="271">
        <v>44386.595717592594</v>
      </c>
      <c r="J1127" s="268"/>
      <c r="K1127" s="271">
        <v>44386.62122685185</v>
      </c>
      <c r="L1127" s="288"/>
      <c r="M1127" s="278" t="s">
        <v>1603</v>
      </c>
      <c r="N1127" s="290"/>
      <c r="O1127" s="276"/>
      <c r="P1127" s="276"/>
      <c r="Q1127" s="276"/>
      <c r="R1127" s="278"/>
      <c r="S1127" s="278"/>
      <c r="T1127" s="278"/>
      <c r="U1127" s="279"/>
      <c r="V1127" s="279"/>
      <c r="W1127" s="279"/>
      <c r="X1127" s="279"/>
      <c r="Y1127" s="279"/>
      <c r="Z1127" s="282" t="s">
        <v>53</v>
      </c>
      <c r="AA1127" s="282">
        <v>6351357.0</v>
      </c>
      <c r="AB1127" s="283">
        <v>44389.0</v>
      </c>
      <c r="AC1127" s="284"/>
      <c r="AD1127" s="284"/>
    </row>
    <row r="1128" ht="14.25" customHeight="1">
      <c r="A1128" s="265">
        <v>44384.0</v>
      </c>
      <c r="B1128" s="266" t="s">
        <v>1500</v>
      </c>
      <c r="C1128" s="266" t="s">
        <v>1597</v>
      </c>
      <c r="D1128" s="266" t="s">
        <v>1502</v>
      </c>
      <c r="E1128" s="268"/>
      <c r="F1128" s="269" t="s">
        <v>1608</v>
      </c>
      <c r="G1128" s="268" t="s">
        <v>1463</v>
      </c>
      <c r="H1128" s="270">
        <v>0.03409722222222222</v>
      </c>
      <c r="I1128" s="271">
        <v>44386.59594907407</v>
      </c>
      <c r="J1128" s="268"/>
      <c r="K1128" s="271">
        <v>44386.621828703705</v>
      </c>
      <c r="L1128" s="288"/>
      <c r="M1128" s="278" t="s">
        <v>1609</v>
      </c>
      <c r="N1128" s="290"/>
      <c r="O1128" s="276"/>
      <c r="P1128" s="276"/>
      <c r="Q1128" s="276"/>
      <c r="R1128" s="278"/>
      <c r="S1128" s="278"/>
      <c r="T1128" s="278"/>
      <c r="U1128" s="279"/>
      <c r="V1128" s="279"/>
      <c r="W1128" s="279"/>
      <c r="X1128" s="279"/>
      <c r="Y1128" s="279"/>
      <c r="Z1128" s="282" t="s">
        <v>53</v>
      </c>
      <c r="AA1128" s="282">
        <v>6351358.0</v>
      </c>
      <c r="AB1128" s="283">
        <v>44389.0</v>
      </c>
      <c r="AC1128" s="284"/>
      <c r="AD1128" s="284"/>
    </row>
    <row r="1129" ht="14.25" customHeight="1">
      <c r="A1129" s="265">
        <v>44384.0</v>
      </c>
      <c r="B1129" s="266" t="s">
        <v>1500</v>
      </c>
      <c r="C1129" s="266" t="s">
        <v>1597</v>
      </c>
      <c r="D1129" s="266" t="s">
        <v>1502</v>
      </c>
      <c r="E1129" s="268"/>
      <c r="F1129" s="269" t="s">
        <v>1614</v>
      </c>
      <c r="G1129" s="268" t="s">
        <v>1463</v>
      </c>
      <c r="H1129" s="270">
        <v>0.032615740740740744</v>
      </c>
      <c r="I1129" s="271">
        <v>44384.63284722222</v>
      </c>
      <c r="J1129" s="268"/>
      <c r="K1129" s="271">
        <v>44384.980578703704</v>
      </c>
      <c r="L1129" s="288"/>
      <c r="M1129" s="278" t="s">
        <v>1615</v>
      </c>
      <c r="N1129" s="290"/>
      <c r="O1129" s="276"/>
      <c r="P1129" s="276"/>
      <c r="Q1129" s="276"/>
      <c r="R1129" s="278"/>
      <c r="S1129" s="278"/>
      <c r="T1129" s="278"/>
      <c r="U1129" s="279"/>
      <c r="V1129" s="279"/>
      <c r="W1129" s="279"/>
      <c r="X1129" s="279"/>
      <c r="Y1129" s="279"/>
      <c r="Z1129" s="282" t="s">
        <v>53</v>
      </c>
      <c r="AA1129" s="282">
        <v>6351359.0</v>
      </c>
      <c r="AB1129" s="283">
        <v>44389.0</v>
      </c>
      <c r="AC1129" s="284"/>
      <c r="AD1129" s="284"/>
    </row>
    <row r="1130" ht="14.25" customHeight="1">
      <c r="A1130" s="265">
        <v>44384.0</v>
      </c>
      <c r="B1130" s="266" t="s">
        <v>1500</v>
      </c>
      <c r="C1130" s="266" t="s">
        <v>1597</v>
      </c>
      <c r="D1130" s="266" t="s">
        <v>1502</v>
      </c>
      <c r="E1130" s="268"/>
      <c r="F1130" s="269" t="s">
        <v>1620</v>
      </c>
      <c r="G1130" s="268" t="s">
        <v>1463</v>
      </c>
      <c r="H1130" s="270">
        <v>0.030393518518518518</v>
      </c>
      <c r="I1130" s="271">
        <v>44384.63193287037</v>
      </c>
      <c r="J1130" s="268"/>
      <c r="K1130" s="271">
        <v>44384.97554398148</v>
      </c>
      <c r="L1130" s="288"/>
      <c r="M1130" s="278" t="s">
        <v>1621</v>
      </c>
      <c r="N1130" s="290"/>
      <c r="O1130" s="276"/>
      <c r="P1130" s="276"/>
      <c r="Q1130" s="276"/>
      <c r="R1130" s="278"/>
      <c r="S1130" s="278"/>
      <c r="T1130" s="278"/>
      <c r="U1130" s="279"/>
      <c r="V1130" s="279"/>
      <c r="W1130" s="279"/>
      <c r="X1130" s="279"/>
      <c r="Y1130" s="279"/>
      <c r="Z1130" s="282" t="s">
        <v>53</v>
      </c>
      <c r="AA1130" s="282">
        <v>6351360.0</v>
      </c>
      <c r="AB1130" s="283">
        <v>44390.0</v>
      </c>
      <c r="AC1130" s="284"/>
      <c r="AD1130" s="284"/>
    </row>
    <row r="1131" ht="14.25" customHeight="1">
      <c r="A1131" s="265">
        <v>44384.0</v>
      </c>
      <c r="B1131" s="266" t="s">
        <v>1500</v>
      </c>
      <c r="C1131" s="266" t="s">
        <v>1597</v>
      </c>
      <c r="D1131" s="266" t="s">
        <v>1502</v>
      </c>
      <c r="E1131" s="268"/>
      <c r="F1131" s="269" t="s">
        <v>1626</v>
      </c>
      <c r="G1131" s="268" t="s">
        <v>1463</v>
      </c>
      <c r="H1131" s="270">
        <v>0.03435185185185185</v>
      </c>
      <c r="I1131" s="271">
        <v>44384.65844907407</v>
      </c>
      <c r="J1131" s="268"/>
      <c r="K1131" s="271">
        <v>44385.00665509259</v>
      </c>
      <c r="L1131" s="288"/>
      <c r="M1131" s="278" t="s">
        <v>1627</v>
      </c>
      <c r="N1131" s="290"/>
      <c r="O1131" s="276"/>
      <c r="P1131" s="276"/>
      <c r="Q1131" s="276"/>
      <c r="R1131" s="278"/>
      <c r="S1131" s="278"/>
      <c r="T1131" s="278"/>
      <c r="U1131" s="279"/>
      <c r="V1131" s="279"/>
      <c r="W1131" s="279"/>
      <c r="X1131" s="279"/>
      <c r="Y1131" s="279"/>
      <c r="Z1131" s="282" t="s">
        <v>53</v>
      </c>
      <c r="AA1131" s="282">
        <v>6351361.0</v>
      </c>
      <c r="AB1131" s="283">
        <v>44389.0</v>
      </c>
      <c r="AC1131" s="284"/>
      <c r="AD1131" s="284"/>
    </row>
    <row r="1132" ht="14.25" customHeight="1">
      <c r="A1132" s="265">
        <v>44384.0</v>
      </c>
      <c r="B1132" s="266" t="s">
        <v>1500</v>
      </c>
      <c r="C1132" s="266" t="s">
        <v>1597</v>
      </c>
      <c r="D1132" s="266" t="s">
        <v>1502</v>
      </c>
      <c r="E1132" s="268"/>
      <c r="F1132" s="269" t="s">
        <v>1632</v>
      </c>
      <c r="G1132" s="268" t="s">
        <v>1463</v>
      </c>
      <c r="H1132" s="270">
        <v>0.031111111111111107</v>
      </c>
      <c r="I1132" s="271">
        <v>44383.64596064815</v>
      </c>
      <c r="J1132" s="268"/>
      <c r="K1132" s="271">
        <v>44384.57444444444</v>
      </c>
      <c r="L1132" s="288"/>
      <c r="M1132" s="278" t="s">
        <v>1633</v>
      </c>
      <c r="N1132" s="290"/>
      <c r="O1132" s="276"/>
      <c r="P1132" s="276"/>
      <c r="Q1132" s="276"/>
      <c r="R1132" s="278"/>
      <c r="S1132" s="278"/>
      <c r="T1132" s="278"/>
      <c r="U1132" s="279"/>
      <c r="V1132" s="279"/>
      <c r="W1132" s="279"/>
      <c r="X1132" s="279"/>
      <c r="Y1132" s="279"/>
      <c r="Z1132" s="282" t="s">
        <v>53</v>
      </c>
      <c r="AA1132" s="282">
        <v>6362317.0</v>
      </c>
      <c r="AB1132" s="283">
        <v>44389.0</v>
      </c>
      <c r="AC1132" s="284"/>
      <c r="AD1132" s="284"/>
    </row>
    <row r="1133" ht="14.25" customHeight="1">
      <c r="A1133" s="265">
        <v>44384.0</v>
      </c>
      <c r="B1133" s="266" t="s">
        <v>1783</v>
      </c>
      <c r="C1133" s="266" t="s">
        <v>4403</v>
      </c>
      <c r="D1133" s="266" t="s">
        <v>1450</v>
      </c>
      <c r="E1133" s="268"/>
      <c r="F1133" s="417" t="s">
        <v>4550</v>
      </c>
      <c r="G1133" s="268" t="s">
        <v>1463</v>
      </c>
      <c r="H1133" s="270">
        <v>0.004062499999999999</v>
      </c>
      <c r="I1133" s="271">
        <v>44385.46805555555</v>
      </c>
      <c r="J1133" s="268"/>
      <c r="K1133" s="271" t="s">
        <v>4551</v>
      </c>
      <c r="L1133" s="288"/>
      <c r="M1133" s="278" t="s">
        <v>4552</v>
      </c>
      <c r="N1133" s="290"/>
      <c r="O1133" s="276"/>
      <c r="P1133" s="276"/>
      <c r="Q1133" s="276"/>
      <c r="R1133" s="278"/>
      <c r="S1133" s="278"/>
      <c r="T1133" s="278"/>
      <c r="U1133" s="279"/>
      <c r="V1133" s="279" t="s">
        <v>1783</v>
      </c>
      <c r="W1133" s="280">
        <v>44385.0</v>
      </c>
      <c r="X1133" s="281">
        <v>0.0020833333333333333</v>
      </c>
      <c r="Y1133" s="279" t="s">
        <v>1693</v>
      </c>
      <c r="Z1133" s="282" t="s">
        <v>53</v>
      </c>
      <c r="AA1133" s="282">
        <v>6394996.0</v>
      </c>
      <c r="AB1133" s="283">
        <v>44386.0</v>
      </c>
      <c r="AC1133" s="284"/>
      <c r="AD1133" s="284"/>
    </row>
    <row r="1134" ht="14.25" customHeight="1">
      <c r="A1134" s="265">
        <v>44384.0</v>
      </c>
      <c r="B1134" s="266" t="s">
        <v>1500</v>
      </c>
      <c r="C1134" s="266" t="s">
        <v>1597</v>
      </c>
      <c r="D1134" s="266" t="s">
        <v>1502</v>
      </c>
      <c r="E1134" s="268"/>
      <c r="F1134" s="269" t="s">
        <v>1598</v>
      </c>
      <c r="G1134" s="268" t="s">
        <v>1463</v>
      </c>
      <c r="H1134" s="270">
        <v>0.03164351851851852</v>
      </c>
      <c r="I1134" s="271">
        <v>44384.6505787037</v>
      </c>
      <c r="J1134" s="268"/>
      <c r="K1134" s="271">
        <v>44384.99931712963</v>
      </c>
      <c r="L1134" s="288"/>
      <c r="M1134" s="278" t="s">
        <v>1599</v>
      </c>
      <c r="N1134" s="290"/>
      <c r="O1134" s="276"/>
      <c r="P1134" s="276"/>
      <c r="Q1134" s="276"/>
      <c r="R1134" s="278"/>
      <c r="S1134" s="278"/>
      <c r="T1134" s="278"/>
      <c r="U1134" s="279"/>
      <c r="V1134" s="279"/>
      <c r="W1134" s="280"/>
      <c r="X1134" s="279"/>
      <c r="Y1134" s="279"/>
      <c r="Z1134" s="282" t="s">
        <v>53</v>
      </c>
      <c r="AA1134" s="282">
        <v>6395380.0</v>
      </c>
      <c r="AB1134" s="283">
        <v>44389.0</v>
      </c>
      <c r="AC1134" s="284"/>
      <c r="AD1134" s="284"/>
    </row>
    <row r="1135" ht="14.25" customHeight="1">
      <c r="A1135" s="265">
        <v>44384.0</v>
      </c>
      <c r="B1135" s="266" t="s">
        <v>1500</v>
      </c>
      <c r="C1135" s="266" t="s">
        <v>1597</v>
      </c>
      <c r="D1135" s="266" t="s">
        <v>1502</v>
      </c>
      <c r="E1135" s="268"/>
      <c r="F1135" s="269" t="s">
        <v>1600</v>
      </c>
      <c r="G1135" s="268" t="s">
        <v>1463</v>
      </c>
      <c r="H1135" s="270">
        <v>0.03244212962962963</v>
      </c>
      <c r="I1135" s="271">
        <v>44384.64910879629</v>
      </c>
      <c r="J1135" s="268"/>
      <c r="K1135" s="271">
        <v>44384.995833333334</v>
      </c>
      <c r="L1135" s="288"/>
      <c r="M1135" s="278" t="s">
        <v>1601</v>
      </c>
      <c r="N1135" s="290"/>
      <c r="O1135" s="276"/>
      <c r="P1135" s="276"/>
      <c r="Q1135" s="276"/>
      <c r="R1135" s="278"/>
      <c r="S1135" s="278"/>
      <c r="T1135" s="278"/>
      <c r="U1135" s="279"/>
      <c r="V1135" s="279"/>
      <c r="W1135" s="279"/>
      <c r="X1135" s="279"/>
      <c r="Y1135" s="279"/>
      <c r="Z1135" s="282" t="s">
        <v>53</v>
      </c>
      <c r="AA1135" s="282">
        <v>6395383.0</v>
      </c>
      <c r="AB1135" s="283">
        <v>44389.0</v>
      </c>
      <c r="AC1135" s="284"/>
      <c r="AD1135" s="284"/>
    </row>
    <row r="1136" ht="14.25" customHeight="1">
      <c r="A1136" s="265">
        <v>44384.0</v>
      </c>
      <c r="B1136" s="266" t="s">
        <v>1500</v>
      </c>
      <c r="C1136" s="266" t="s">
        <v>1597</v>
      </c>
      <c r="D1136" s="266" t="s">
        <v>1502</v>
      </c>
      <c r="E1136" s="268"/>
      <c r="F1136" s="269" t="s">
        <v>1604</v>
      </c>
      <c r="G1136" s="268" t="s">
        <v>1463</v>
      </c>
      <c r="H1136" s="270">
        <v>0.03239583333333333</v>
      </c>
      <c r="I1136" s="271">
        <v>44384.65712962963</v>
      </c>
      <c r="J1136" s="268"/>
      <c r="K1136" s="271">
        <v>44385.00450231481</v>
      </c>
      <c r="L1136" s="288"/>
      <c r="M1136" s="278" t="s">
        <v>1605</v>
      </c>
      <c r="N1136" s="290"/>
      <c r="O1136" s="276"/>
      <c r="P1136" s="276"/>
      <c r="Q1136" s="276"/>
      <c r="R1136" s="278"/>
      <c r="S1136" s="278"/>
      <c r="T1136" s="278"/>
      <c r="U1136" s="279"/>
      <c r="V1136" s="279"/>
      <c r="W1136" s="279"/>
      <c r="X1136" s="279"/>
      <c r="Y1136" s="279"/>
      <c r="Z1136" s="282" t="s">
        <v>53</v>
      </c>
      <c r="AA1136" s="282">
        <v>6395384.0</v>
      </c>
      <c r="AB1136" s="283">
        <v>44389.0</v>
      </c>
      <c r="AC1136" s="284"/>
      <c r="AD1136" s="284"/>
    </row>
    <row r="1137" ht="14.25" customHeight="1">
      <c r="A1137" s="265">
        <v>44384.0</v>
      </c>
      <c r="B1137" s="266" t="s">
        <v>1500</v>
      </c>
      <c r="C1137" s="266" t="s">
        <v>1597</v>
      </c>
      <c r="D1137" s="266" t="s">
        <v>1502</v>
      </c>
      <c r="E1137" s="268"/>
      <c r="F1137" s="269" t="s">
        <v>1606</v>
      </c>
      <c r="G1137" s="268" t="s">
        <v>1463</v>
      </c>
      <c r="H1137" s="270">
        <v>0.03409722222222222</v>
      </c>
      <c r="I1137" s="271">
        <v>44384.632835648146</v>
      </c>
      <c r="J1137" s="268"/>
      <c r="K1137" s="271">
        <v>44384.980787037035</v>
      </c>
      <c r="L1137" s="288"/>
      <c r="M1137" s="278" t="s">
        <v>1607</v>
      </c>
      <c r="N1137" s="290"/>
      <c r="O1137" s="276"/>
      <c r="P1137" s="276"/>
      <c r="Q1137" s="276"/>
      <c r="R1137" s="278"/>
      <c r="S1137" s="278"/>
      <c r="T1137" s="278"/>
      <c r="U1137" s="279"/>
      <c r="V1137" s="279"/>
      <c r="W1137" s="279"/>
      <c r="X1137" s="279"/>
      <c r="Y1137" s="279"/>
      <c r="Z1137" s="282" t="s">
        <v>53</v>
      </c>
      <c r="AA1137" s="282">
        <v>6395386.0</v>
      </c>
      <c r="AB1137" s="283">
        <v>44389.0</v>
      </c>
      <c r="AC1137" s="284"/>
      <c r="AD1137" s="284"/>
    </row>
    <row r="1138" ht="14.25" customHeight="1">
      <c r="A1138" s="265">
        <v>44384.0</v>
      </c>
      <c r="B1138" s="266" t="s">
        <v>1500</v>
      </c>
      <c r="C1138" s="266" t="s">
        <v>1597</v>
      </c>
      <c r="D1138" s="266" t="s">
        <v>1502</v>
      </c>
      <c r="E1138" s="268"/>
      <c r="F1138" s="269" t="s">
        <v>1610</v>
      </c>
      <c r="G1138" s="268" t="s">
        <v>1463</v>
      </c>
      <c r="H1138" s="270">
        <v>0.031053240740740742</v>
      </c>
      <c r="I1138" s="271">
        <v>44384.64140046296</v>
      </c>
      <c r="J1138" s="268"/>
      <c r="K1138" s="271">
        <v>44384.98519675926</v>
      </c>
      <c r="L1138" s="288"/>
      <c r="M1138" s="278" t="s">
        <v>1611</v>
      </c>
      <c r="N1138" s="290"/>
      <c r="O1138" s="276"/>
      <c r="P1138" s="276"/>
      <c r="Q1138" s="276"/>
      <c r="R1138" s="278"/>
      <c r="S1138" s="278"/>
      <c r="T1138" s="278"/>
      <c r="U1138" s="279"/>
      <c r="V1138" s="279"/>
      <c r="W1138" s="279"/>
      <c r="X1138" s="279"/>
      <c r="Y1138" s="279"/>
      <c r="Z1138" s="282" t="s">
        <v>53</v>
      </c>
      <c r="AA1138" s="282">
        <v>6395387.0</v>
      </c>
      <c r="AB1138" s="283">
        <v>44389.0</v>
      </c>
      <c r="AC1138" s="284"/>
      <c r="AD1138" s="284"/>
    </row>
    <row r="1139" ht="14.25" customHeight="1">
      <c r="A1139" s="265">
        <v>44384.0</v>
      </c>
      <c r="B1139" s="266" t="s">
        <v>1500</v>
      </c>
      <c r="C1139" s="266" t="s">
        <v>1597</v>
      </c>
      <c r="D1139" s="266" t="s">
        <v>1502</v>
      </c>
      <c r="E1139" s="268"/>
      <c r="F1139" s="269" t="s">
        <v>1612</v>
      </c>
      <c r="G1139" s="268" t="s">
        <v>1463</v>
      </c>
      <c r="H1139" s="270">
        <v>0.032615740740740744</v>
      </c>
      <c r="I1139" s="271">
        <v>44384.657118055555</v>
      </c>
      <c r="J1139" s="268"/>
      <c r="K1139" s="271">
        <v>44385.004282407404</v>
      </c>
      <c r="L1139" s="288"/>
      <c r="M1139" s="278" t="s">
        <v>1613</v>
      </c>
      <c r="N1139" s="290"/>
      <c r="O1139" s="276"/>
      <c r="P1139" s="276"/>
      <c r="Q1139" s="276"/>
      <c r="R1139" s="278"/>
      <c r="S1139" s="278"/>
      <c r="T1139" s="278"/>
      <c r="U1139" s="279"/>
      <c r="V1139" s="279"/>
      <c r="W1139" s="279"/>
      <c r="X1139" s="279"/>
      <c r="Y1139" s="279"/>
      <c r="Z1139" s="282" t="s">
        <v>53</v>
      </c>
      <c r="AA1139" s="282">
        <v>6395388.0</v>
      </c>
      <c r="AB1139" s="283">
        <v>44389.0</v>
      </c>
      <c r="AC1139" s="284"/>
      <c r="AD1139" s="284"/>
    </row>
    <row r="1140" ht="14.25" customHeight="1">
      <c r="A1140" s="265">
        <v>44384.0</v>
      </c>
      <c r="B1140" s="266" t="s">
        <v>1500</v>
      </c>
      <c r="C1140" s="266" t="s">
        <v>1597</v>
      </c>
      <c r="D1140" s="266" t="s">
        <v>1502</v>
      </c>
      <c r="E1140" s="268"/>
      <c r="F1140" s="269" t="s">
        <v>1616</v>
      </c>
      <c r="G1140" s="268" t="s">
        <v>1463</v>
      </c>
      <c r="H1140" s="270">
        <v>0.028749999999999998</v>
      </c>
      <c r="I1140" s="271">
        <v>44386.596180555556</v>
      </c>
      <c r="J1140" s="268"/>
      <c r="K1140" s="271">
        <v>44386.622615740744</v>
      </c>
      <c r="L1140" s="288"/>
      <c r="M1140" s="278" t="s">
        <v>1617</v>
      </c>
      <c r="N1140" s="290"/>
      <c r="O1140" s="276"/>
      <c r="P1140" s="276"/>
      <c r="Q1140" s="276"/>
      <c r="R1140" s="278"/>
      <c r="S1140" s="278"/>
      <c r="T1140" s="278"/>
      <c r="U1140" s="279"/>
      <c r="V1140" s="279"/>
      <c r="W1140" s="279"/>
      <c r="X1140" s="279"/>
      <c r="Y1140" s="279"/>
      <c r="Z1140" s="282" t="s">
        <v>53</v>
      </c>
      <c r="AA1140" s="282">
        <v>6395389.0</v>
      </c>
      <c r="AB1140" s="283">
        <v>44390.0</v>
      </c>
      <c r="AC1140" s="284"/>
      <c r="AD1140" s="284"/>
    </row>
    <row r="1141" ht="14.25" customHeight="1">
      <c r="A1141" s="265">
        <v>44384.0</v>
      </c>
      <c r="B1141" s="266" t="s">
        <v>1500</v>
      </c>
      <c r="C1141" s="266" t="s">
        <v>1597</v>
      </c>
      <c r="D1141" s="266" t="s">
        <v>1502</v>
      </c>
      <c r="E1141" s="268"/>
      <c r="F1141" s="269" t="s">
        <v>1618</v>
      </c>
      <c r="G1141" s="268" t="s">
        <v>1463</v>
      </c>
      <c r="H1141" s="270">
        <v>0.030393518518518518</v>
      </c>
      <c r="I1141" s="271">
        <v>44384.63193287037</v>
      </c>
      <c r="J1141" s="268"/>
      <c r="K1141" s="271">
        <v>44384.97554398148</v>
      </c>
      <c r="L1141" s="288"/>
      <c r="M1141" s="278" t="s">
        <v>1619</v>
      </c>
      <c r="N1141" s="290"/>
      <c r="O1141" s="276"/>
      <c r="P1141" s="276"/>
      <c r="Q1141" s="276"/>
      <c r="R1141" s="278"/>
      <c r="S1141" s="278"/>
      <c r="T1141" s="278"/>
      <c r="U1141" s="279"/>
      <c r="V1141" s="279"/>
      <c r="W1141" s="279"/>
      <c r="X1141" s="279"/>
      <c r="Y1141" s="279"/>
      <c r="Z1141" s="282" t="s">
        <v>53</v>
      </c>
      <c r="AA1141" s="282">
        <v>6395390.0</v>
      </c>
      <c r="AB1141" s="283">
        <v>44390.0</v>
      </c>
      <c r="AC1141" s="284"/>
      <c r="AD1141" s="284"/>
    </row>
    <row r="1142" ht="14.25" customHeight="1">
      <c r="A1142" s="265">
        <v>44384.0</v>
      </c>
      <c r="B1142" s="266" t="s">
        <v>1500</v>
      </c>
      <c r="C1142" s="266" t="s">
        <v>1597</v>
      </c>
      <c r="D1142" s="266" t="s">
        <v>1502</v>
      </c>
      <c r="E1142" s="268"/>
      <c r="F1142" s="269" t="s">
        <v>1622</v>
      </c>
      <c r="G1142" s="268" t="s">
        <v>1463</v>
      </c>
      <c r="H1142" s="270">
        <v>0.030590277777777775</v>
      </c>
      <c r="I1142" s="271">
        <v>44384.611979166664</v>
      </c>
      <c r="J1142" s="268"/>
      <c r="K1142" s="271">
        <v>44384.9558912037</v>
      </c>
      <c r="L1142" s="288"/>
      <c r="M1142" s="278" t="s">
        <v>1623</v>
      </c>
      <c r="N1142" s="290"/>
      <c r="O1142" s="276"/>
      <c r="P1142" s="276"/>
      <c r="Q1142" s="276"/>
      <c r="R1142" s="278"/>
      <c r="S1142" s="278"/>
      <c r="T1142" s="278"/>
      <c r="U1142" s="279"/>
      <c r="V1142" s="279"/>
      <c r="W1142" s="279"/>
      <c r="X1142" s="279"/>
      <c r="Y1142" s="279"/>
      <c r="Z1142" s="282" t="s">
        <v>53</v>
      </c>
      <c r="AA1142" s="282">
        <v>6395391.0</v>
      </c>
      <c r="AB1142" s="283">
        <v>44389.0</v>
      </c>
      <c r="AC1142" s="284"/>
      <c r="AD1142" s="284"/>
    </row>
    <row r="1143" ht="14.25" customHeight="1">
      <c r="A1143" s="265">
        <v>44384.0</v>
      </c>
      <c r="B1143" s="266" t="s">
        <v>1500</v>
      </c>
      <c r="C1143" s="266" t="s">
        <v>1597</v>
      </c>
      <c r="D1143" s="266" t="s">
        <v>1502</v>
      </c>
      <c r="E1143" s="268"/>
      <c r="F1143" s="269" t="s">
        <v>1624</v>
      </c>
      <c r="G1143" s="268" t="s">
        <v>1463</v>
      </c>
      <c r="H1143" s="270">
        <v>0.03435185185185185</v>
      </c>
      <c r="I1143" s="271">
        <v>44384.61599537037</v>
      </c>
      <c r="J1143" s="268"/>
      <c r="K1143" s="271">
        <v>44384.962685185186</v>
      </c>
      <c r="L1143" s="288"/>
      <c r="M1143" s="278" t="s">
        <v>1625</v>
      </c>
      <c r="N1143" s="290"/>
      <c r="O1143" s="276"/>
      <c r="P1143" s="276"/>
      <c r="Q1143" s="276"/>
      <c r="R1143" s="278"/>
      <c r="S1143" s="278"/>
      <c r="T1143" s="278"/>
      <c r="U1143" s="279"/>
      <c r="V1143" s="279"/>
      <c r="W1143" s="279"/>
      <c r="X1143" s="279"/>
      <c r="Y1143" s="279"/>
      <c r="Z1143" s="282" t="s">
        <v>53</v>
      </c>
      <c r="AA1143" s="282">
        <v>6395474.0</v>
      </c>
      <c r="AB1143" s="283">
        <v>44389.0</v>
      </c>
      <c r="AC1143" s="284"/>
      <c r="AD1143" s="284"/>
    </row>
    <row r="1144" ht="14.25" customHeight="1">
      <c r="A1144" s="265">
        <v>44384.0</v>
      </c>
      <c r="B1144" s="266" t="s">
        <v>1500</v>
      </c>
      <c r="C1144" s="266" t="s">
        <v>1597</v>
      </c>
      <c r="D1144" s="266" t="s">
        <v>1502</v>
      </c>
      <c r="E1144" s="268"/>
      <c r="F1144" s="269" t="s">
        <v>1628</v>
      </c>
      <c r="G1144" s="268" t="s">
        <v>1463</v>
      </c>
      <c r="H1144" s="270">
        <v>0.03054398148148148</v>
      </c>
      <c r="I1144" s="271">
        <v>44383.63379629629</v>
      </c>
      <c r="J1144" s="268"/>
      <c r="K1144" s="271">
        <v>44384.573159722226</v>
      </c>
      <c r="L1144" s="288"/>
      <c r="M1144" s="278" t="s">
        <v>1629</v>
      </c>
      <c r="N1144" s="290"/>
      <c r="O1144" s="276"/>
      <c r="P1144" s="276"/>
      <c r="Q1144" s="276"/>
      <c r="R1144" s="278"/>
      <c r="S1144" s="278"/>
      <c r="T1144" s="278"/>
      <c r="U1144" s="279"/>
      <c r="V1144" s="279"/>
      <c r="W1144" s="279"/>
      <c r="X1144" s="279"/>
      <c r="Y1144" s="279"/>
      <c r="Z1144" s="282" t="s">
        <v>53</v>
      </c>
      <c r="AA1144" s="282">
        <v>6395475.0</v>
      </c>
      <c r="AB1144" s="283">
        <v>44389.0</v>
      </c>
      <c r="AC1144" s="284"/>
      <c r="AD1144" s="284"/>
    </row>
    <row r="1145" ht="14.25" customHeight="1">
      <c r="A1145" s="265">
        <v>44384.0</v>
      </c>
      <c r="B1145" s="266" t="s">
        <v>1500</v>
      </c>
      <c r="C1145" s="266" t="s">
        <v>1597</v>
      </c>
      <c r="D1145" s="266" t="s">
        <v>1502</v>
      </c>
      <c r="E1145" s="268"/>
      <c r="F1145" s="269" t="s">
        <v>1630</v>
      </c>
      <c r="G1145" s="268" t="s">
        <v>1463</v>
      </c>
      <c r="H1145" s="270">
        <v>0.031111111111111107</v>
      </c>
      <c r="I1145" s="271">
        <v>44383.64597222222</v>
      </c>
      <c r="J1145" s="268"/>
      <c r="K1145" s="271">
        <v>44384.575</v>
      </c>
      <c r="L1145" s="288"/>
      <c r="M1145" s="278" t="s">
        <v>1631</v>
      </c>
      <c r="N1145" s="290"/>
      <c r="O1145" s="276"/>
      <c r="P1145" s="276"/>
      <c r="Q1145" s="276"/>
      <c r="R1145" s="278"/>
      <c r="S1145" s="278"/>
      <c r="T1145" s="278"/>
      <c r="U1145" s="279"/>
      <c r="V1145" s="279"/>
      <c r="W1145" s="279"/>
      <c r="X1145" s="279"/>
      <c r="Y1145" s="279"/>
      <c r="Z1145" s="282" t="s">
        <v>53</v>
      </c>
      <c r="AA1145" s="282">
        <v>6395476.0</v>
      </c>
      <c r="AB1145" s="283">
        <v>44389.0</v>
      </c>
      <c r="AC1145" s="284"/>
      <c r="AD1145" s="284"/>
    </row>
    <row r="1146" ht="14.25" customHeight="1">
      <c r="A1146" s="265">
        <v>44384.0</v>
      </c>
      <c r="B1146" s="266" t="s">
        <v>2030</v>
      </c>
      <c r="C1146" s="266" t="s">
        <v>1686</v>
      </c>
      <c r="D1146" s="266" t="s">
        <v>1543</v>
      </c>
      <c r="E1146" s="268"/>
      <c r="F1146" s="269" t="s">
        <v>4553</v>
      </c>
      <c r="G1146" s="268" t="s">
        <v>1463</v>
      </c>
      <c r="H1146" s="270">
        <v>9.490740740740741E-4</v>
      </c>
      <c r="I1146" s="271">
        <v>44390.52569444444</v>
      </c>
      <c r="J1146" s="268"/>
      <c r="K1146" s="271">
        <v>44390.52916666667</v>
      </c>
      <c r="L1146" s="288"/>
      <c r="M1146" s="278" t="s">
        <v>4554</v>
      </c>
      <c r="N1146" s="290"/>
      <c r="O1146" s="276"/>
      <c r="P1146" s="276"/>
      <c r="Q1146" s="276"/>
      <c r="R1146" s="278"/>
      <c r="S1146" s="278"/>
      <c r="T1146" s="278"/>
      <c r="U1146" s="279"/>
      <c r="V1146" s="279" t="s">
        <v>1824</v>
      </c>
      <c r="W1146" s="280">
        <v>44391.0</v>
      </c>
      <c r="X1146" s="281">
        <v>0.009027777777777779</v>
      </c>
      <c r="Y1146" s="279" t="s">
        <v>1693</v>
      </c>
      <c r="Z1146" s="282" t="s">
        <v>53</v>
      </c>
      <c r="AA1146" s="282">
        <v>6400066.0</v>
      </c>
      <c r="AB1146" s="283">
        <v>44391.0</v>
      </c>
      <c r="AC1146" s="284"/>
      <c r="AD1146" s="284"/>
    </row>
    <row r="1147" ht="14.25" customHeight="1">
      <c r="A1147" s="265">
        <v>44384.0</v>
      </c>
      <c r="B1147" s="266" t="s">
        <v>1783</v>
      </c>
      <c r="C1147" s="266"/>
      <c r="D1147" s="266" t="s">
        <v>1450</v>
      </c>
      <c r="E1147" s="268"/>
      <c r="F1147" s="358" t="s">
        <v>4555</v>
      </c>
      <c r="G1147" s="268" t="s">
        <v>2085</v>
      </c>
      <c r="H1147" s="270">
        <v>0.09994212962962963</v>
      </c>
      <c r="I1147" s="271">
        <v>44384.73819444444</v>
      </c>
      <c r="J1147" s="268"/>
      <c r="K1147" s="271">
        <v>44384.81150462963</v>
      </c>
      <c r="L1147" s="288" t="str">
        <f t="shared" ref="L1147:L1150" si="27">IFERROR(IF(OR(I1147="",K1147=""),"",K1147-I1147),"")</f>
        <v>1:45:34 AM</v>
      </c>
      <c r="M1147" s="278"/>
      <c r="N1147" s="290"/>
      <c r="O1147" s="276"/>
      <c r="P1147" s="276"/>
      <c r="Q1147" s="276"/>
      <c r="R1147" s="278"/>
      <c r="S1147" s="278"/>
      <c r="T1147" s="278"/>
      <c r="U1147" s="279"/>
      <c r="V1147" s="279" t="s">
        <v>1783</v>
      </c>
      <c r="W1147" s="280">
        <v>44385.0</v>
      </c>
      <c r="X1147" s="281">
        <v>0.28125</v>
      </c>
      <c r="Y1147" s="279" t="s">
        <v>1693</v>
      </c>
      <c r="Z1147" s="282" t="s">
        <v>53</v>
      </c>
      <c r="AA1147" s="282" t="s">
        <v>4555</v>
      </c>
      <c r="AB1147" s="283">
        <v>44385.0</v>
      </c>
      <c r="AC1147" s="284"/>
      <c r="AD1147" s="284"/>
    </row>
    <row r="1148" ht="14.25" customHeight="1">
      <c r="A1148" s="265">
        <v>44384.0</v>
      </c>
      <c r="B1148" s="266" t="s">
        <v>1824</v>
      </c>
      <c r="C1148" s="266"/>
      <c r="D1148" s="266" t="s">
        <v>1452</v>
      </c>
      <c r="E1148" s="268"/>
      <c r="F1148" s="358" t="s">
        <v>4556</v>
      </c>
      <c r="G1148" s="268" t="s">
        <v>2085</v>
      </c>
      <c r="H1148" s="270">
        <v>0.004756944444444445</v>
      </c>
      <c r="I1148" s="271">
        <v>44384.739583333336</v>
      </c>
      <c r="J1148" s="268"/>
      <c r="K1148" s="271">
        <v>44384.74611111111</v>
      </c>
      <c r="L1148" s="288" t="str">
        <f t="shared" si="27"/>
        <v>12:09:24 AM</v>
      </c>
      <c r="M1148" s="278"/>
      <c r="N1148" s="290"/>
      <c r="O1148" s="276"/>
      <c r="P1148" s="276"/>
      <c r="Q1148" s="276"/>
      <c r="R1148" s="278"/>
      <c r="S1148" s="278"/>
      <c r="T1148" s="278"/>
      <c r="U1148" s="279"/>
      <c r="V1148" s="279" t="s">
        <v>1824</v>
      </c>
      <c r="W1148" s="280">
        <v>44385.0</v>
      </c>
      <c r="X1148" s="281">
        <v>0.013888888888888888</v>
      </c>
      <c r="Y1148" s="279" t="s">
        <v>1693</v>
      </c>
      <c r="Z1148" s="282" t="s">
        <v>53</v>
      </c>
      <c r="AA1148" s="282" t="s">
        <v>4556</v>
      </c>
      <c r="AB1148" s="283">
        <v>44385.0</v>
      </c>
      <c r="AC1148" s="284"/>
      <c r="AD1148" s="284"/>
    </row>
    <row r="1149" ht="14.25" customHeight="1">
      <c r="A1149" s="265">
        <v>44384.0</v>
      </c>
      <c r="B1149" s="266" t="s">
        <v>1685</v>
      </c>
      <c r="C1149" s="266"/>
      <c r="D1149" s="266" t="s">
        <v>1686</v>
      </c>
      <c r="E1149" s="268"/>
      <c r="F1149" s="358" t="s">
        <v>4557</v>
      </c>
      <c r="G1149" s="268" t="s">
        <v>2085</v>
      </c>
      <c r="H1149" s="270">
        <v>0.040462962962962964</v>
      </c>
      <c r="I1149" s="271">
        <v>44384.79861111111</v>
      </c>
      <c r="J1149" s="268"/>
      <c r="K1149" s="271">
        <v>44384.788668981484</v>
      </c>
      <c r="L1149" s="288" t="str">
        <f t="shared" si="27"/>
        <v>11:45:41 PM</v>
      </c>
      <c r="M1149" s="278"/>
      <c r="N1149" s="290"/>
      <c r="O1149" s="276"/>
      <c r="P1149" s="276"/>
      <c r="Q1149" s="276"/>
      <c r="R1149" s="278"/>
      <c r="S1149" s="278"/>
      <c r="T1149" s="278"/>
      <c r="U1149" s="279"/>
      <c r="V1149" s="279" t="s">
        <v>1685</v>
      </c>
      <c r="W1149" s="280">
        <v>44385.0</v>
      </c>
      <c r="X1149" s="281">
        <v>0.14583333333333334</v>
      </c>
      <c r="Y1149" s="279" t="s">
        <v>1693</v>
      </c>
      <c r="Z1149" s="282" t="s">
        <v>53</v>
      </c>
      <c r="AA1149" s="282" t="s">
        <v>4557</v>
      </c>
      <c r="AB1149" s="283">
        <v>44385.0</v>
      </c>
      <c r="AC1149" s="284"/>
      <c r="AD1149" s="284"/>
    </row>
    <row r="1150" ht="14.25" customHeight="1">
      <c r="A1150" s="265">
        <v>44384.0</v>
      </c>
      <c r="B1150" s="266" t="s">
        <v>1733</v>
      </c>
      <c r="C1150" s="266"/>
      <c r="D1150" s="266" t="s">
        <v>1455</v>
      </c>
      <c r="E1150" s="268"/>
      <c r="F1150" s="358" t="s">
        <v>4558</v>
      </c>
      <c r="G1150" s="268" t="s">
        <v>2085</v>
      </c>
      <c r="H1150" s="270">
        <v>0.020891203703703703</v>
      </c>
      <c r="I1150" s="271">
        <v>44384.959027777775</v>
      </c>
      <c r="J1150" s="268"/>
      <c r="K1150" s="271">
        <v>44384.976956018516</v>
      </c>
      <c r="L1150" s="288" t="str">
        <f t="shared" si="27"/>
        <v>12:25:49 AM</v>
      </c>
      <c r="M1150" s="278"/>
      <c r="N1150" s="290"/>
      <c r="O1150" s="276"/>
      <c r="P1150" s="276"/>
      <c r="Q1150" s="276"/>
      <c r="R1150" s="278"/>
      <c r="S1150" s="278"/>
      <c r="T1150" s="278"/>
      <c r="U1150" s="279"/>
      <c r="V1150" s="279" t="s">
        <v>1685</v>
      </c>
      <c r="W1150" s="280">
        <v>44385.0</v>
      </c>
      <c r="X1150" s="281">
        <v>0.08333333333333333</v>
      </c>
      <c r="Y1150" s="279" t="s">
        <v>1693</v>
      </c>
      <c r="Z1150" s="282" t="s">
        <v>53</v>
      </c>
      <c r="AA1150" s="282" t="s">
        <v>4558</v>
      </c>
      <c r="AB1150" s="283">
        <v>44385.0</v>
      </c>
      <c r="AC1150" s="284"/>
      <c r="AD1150" s="284"/>
    </row>
    <row r="1151" ht="14.25" customHeight="1">
      <c r="A1151" s="265">
        <v>44385.0</v>
      </c>
      <c r="B1151" s="266" t="s">
        <v>2030</v>
      </c>
      <c r="C1151" s="266" t="s">
        <v>1686</v>
      </c>
      <c r="D1151" s="266" t="s">
        <v>1543</v>
      </c>
      <c r="E1151" s="268"/>
      <c r="F1151" s="269" t="s">
        <v>4559</v>
      </c>
      <c r="G1151" s="268" t="s">
        <v>1463</v>
      </c>
      <c r="H1151" s="270">
        <v>0.002002314814814815</v>
      </c>
      <c r="I1151" s="271">
        <v>44389.53402777778</v>
      </c>
      <c r="J1151" s="268"/>
      <c r="K1151" s="271">
        <v>44389.53680555556</v>
      </c>
      <c r="L1151" s="288"/>
      <c r="M1151" s="278" t="s">
        <v>4560</v>
      </c>
      <c r="N1151" s="290"/>
      <c r="O1151" s="276"/>
      <c r="P1151" s="276"/>
      <c r="Q1151" s="276"/>
      <c r="R1151" s="278"/>
      <c r="S1151" s="278"/>
      <c r="T1151" s="278"/>
      <c r="U1151" s="279"/>
      <c r="V1151" s="279" t="s">
        <v>1824</v>
      </c>
      <c r="W1151" s="280">
        <v>44391.0</v>
      </c>
      <c r="X1151" s="281">
        <v>0.006944444444444444</v>
      </c>
      <c r="Y1151" s="279" t="s">
        <v>1693</v>
      </c>
      <c r="Z1151" s="282" t="s">
        <v>53</v>
      </c>
      <c r="AA1151" s="282">
        <v>6397474.0</v>
      </c>
      <c r="AB1151" s="283">
        <v>44390.0</v>
      </c>
      <c r="AC1151" s="284"/>
      <c r="AD1151" s="284"/>
    </row>
    <row r="1152" ht="14.25" customHeight="1">
      <c r="A1152" s="265">
        <v>44385.0</v>
      </c>
      <c r="B1152" s="266" t="s">
        <v>2030</v>
      </c>
      <c r="C1152" s="266" t="s">
        <v>2641</v>
      </c>
      <c r="D1152" s="266" t="s">
        <v>1543</v>
      </c>
      <c r="E1152" s="268"/>
      <c r="F1152" s="269" t="s">
        <v>4561</v>
      </c>
      <c r="G1152" s="268" t="s">
        <v>1463</v>
      </c>
      <c r="H1152" s="270">
        <v>0.0038773148148148143</v>
      </c>
      <c r="I1152" s="271">
        <v>44390.39236111111</v>
      </c>
      <c r="J1152" s="268"/>
      <c r="K1152" s="271">
        <v>44390.425</v>
      </c>
      <c r="L1152" s="288"/>
      <c r="M1152" s="278" t="s">
        <v>4562</v>
      </c>
      <c r="N1152" s="290"/>
      <c r="O1152" s="276"/>
      <c r="P1152" s="276"/>
      <c r="Q1152" s="276"/>
      <c r="R1152" s="278"/>
      <c r="S1152" s="278"/>
      <c r="T1152" s="278"/>
      <c r="U1152" s="279"/>
      <c r="V1152" s="279" t="s">
        <v>1824</v>
      </c>
      <c r="W1152" s="280">
        <v>44392.0</v>
      </c>
      <c r="X1152" s="281">
        <v>0.017361111111111112</v>
      </c>
      <c r="Y1152" s="279" t="s">
        <v>1693</v>
      </c>
      <c r="Z1152" s="282" t="s">
        <v>53</v>
      </c>
      <c r="AA1152" s="282">
        <v>6400067.0</v>
      </c>
      <c r="AB1152" s="283">
        <v>44392.0</v>
      </c>
      <c r="AC1152" s="284"/>
      <c r="AD1152" s="284"/>
    </row>
    <row r="1153" ht="14.25" customHeight="1">
      <c r="A1153" s="265">
        <v>44385.0</v>
      </c>
      <c r="B1153" s="266" t="s">
        <v>2030</v>
      </c>
      <c r="C1153" s="266" t="s">
        <v>1455</v>
      </c>
      <c r="D1153" s="266" t="s">
        <v>1543</v>
      </c>
      <c r="E1153" s="268"/>
      <c r="F1153" s="269" t="s">
        <v>4563</v>
      </c>
      <c r="G1153" s="268" t="s">
        <v>1463</v>
      </c>
      <c r="H1153" s="270">
        <v>6.597222222222221E-4</v>
      </c>
      <c r="I1153" s="271">
        <v>44391.53611111111</v>
      </c>
      <c r="J1153" s="268"/>
      <c r="K1153" s="271">
        <v>44391.538194444445</v>
      </c>
      <c r="L1153" s="288"/>
      <c r="M1153" s="278" t="s">
        <v>4564</v>
      </c>
      <c r="N1153" s="290"/>
      <c r="O1153" s="276"/>
      <c r="P1153" s="276"/>
      <c r="Q1153" s="276"/>
      <c r="R1153" s="278"/>
      <c r="S1153" s="278"/>
      <c r="T1153" s="278"/>
      <c r="U1153" s="279"/>
      <c r="V1153" s="279" t="s">
        <v>1824</v>
      </c>
      <c r="W1153" s="280">
        <v>44392.0</v>
      </c>
      <c r="X1153" s="281">
        <v>0.009722222222222222</v>
      </c>
      <c r="Y1153" s="279" t="s">
        <v>1693</v>
      </c>
      <c r="Z1153" s="282" t="s">
        <v>53</v>
      </c>
      <c r="AA1153" s="282">
        <v>6402998.0</v>
      </c>
      <c r="AB1153" s="283">
        <v>44392.0</v>
      </c>
      <c r="AC1153" s="284"/>
      <c r="AD1153" s="284"/>
    </row>
    <row r="1154" ht="14.25" customHeight="1">
      <c r="A1154" s="265">
        <v>44385.0</v>
      </c>
      <c r="B1154" s="266" t="s">
        <v>2030</v>
      </c>
      <c r="C1154" s="266" t="s">
        <v>1455</v>
      </c>
      <c r="D1154" s="266" t="s">
        <v>1543</v>
      </c>
      <c r="E1154" s="268"/>
      <c r="F1154" s="269" t="s">
        <v>4565</v>
      </c>
      <c r="G1154" s="268" t="s">
        <v>1463</v>
      </c>
      <c r="H1154" s="270">
        <v>0.0011226851851851851</v>
      </c>
      <c r="I1154" s="271">
        <v>44391.525</v>
      </c>
      <c r="J1154" s="268"/>
      <c r="K1154" s="271">
        <v>44399.7990625</v>
      </c>
      <c r="L1154" s="288"/>
      <c r="M1154" s="278" t="s">
        <v>4566</v>
      </c>
      <c r="N1154" s="290"/>
      <c r="O1154" s="276"/>
      <c r="P1154" s="276"/>
      <c r="Q1154" s="276"/>
      <c r="R1154" s="278"/>
      <c r="S1154" s="278"/>
      <c r="T1154" s="278"/>
      <c r="U1154" s="279"/>
      <c r="V1154" s="279" t="s">
        <v>2124</v>
      </c>
      <c r="W1154" s="280">
        <v>44400.0</v>
      </c>
      <c r="X1154" s="281">
        <v>0.006944444444444444</v>
      </c>
      <c r="Y1154" s="279" t="s">
        <v>1693</v>
      </c>
      <c r="Z1154" s="282" t="s">
        <v>53</v>
      </c>
      <c r="AA1154" s="282">
        <v>6415256.0</v>
      </c>
      <c r="AB1154" s="283">
        <v>44400.0</v>
      </c>
      <c r="AC1154" s="284"/>
      <c r="AD1154" s="284"/>
    </row>
    <row r="1155" ht="14.25" customHeight="1">
      <c r="A1155" s="265">
        <v>44385.0</v>
      </c>
      <c r="B1155" s="266" t="s">
        <v>1500</v>
      </c>
      <c r="C1155" s="266" t="s">
        <v>4567</v>
      </c>
      <c r="D1155" s="266" t="s">
        <v>1543</v>
      </c>
      <c r="E1155" s="268"/>
      <c r="F1155" s="269" t="s">
        <v>4568</v>
      </c>
      <c r="G1155" s="268" t="s">
        <v>1463</v>
      </c>
      <c r="H1155" s="270">
        <v>0.0034490740740740745</v>
      </c>
      <c r="I1155" s="271">
        <v>44432.42013888889</v>
      </c>
      <c r="J1155" s="268"/>
      <c r="K1155" s="271">
        <v>44432.758622685185</v>
      </c>
      <c r="L1155" s="288"/>
      <c r="M1155" s="278" t="s">
        <v>4569</v>
      </c>
      <c r="N1155" s="290"/>
      <c r="O1155" s="276"/>
      <c r="P1155" s="276"/>
      <c r="Q1155" s="276"/>
      <c r="R1155" s="278"/>
      <c r="S1155" s="278"/>
      <c r="T1155" s="278"/>
      <c r="U1155" s="279"/>
      <c r="V1155" s="279" t="s">
        <v>2030</v>
      </c>
      <c r="W1155" s="280">
        <v>44438.0</v>
      </c>
      <c r="X1155" s="281">
        <v>0.006944444444444444</v>
      </c>
      <c r="Y1155" s="279" t="s">
        <v>1693</v>
      </c>
      <c r="Z1155" s="282" t="s">
        <v>53</v>
      </c>
      <c r="AA1155" s="282">
        <v>6533044.0</v>
      </c>
      <c r="AB1155" s="283">
        <v>44434.0</v>
      </c>
      <c r="AC1155" s="284"/>
      <c r="AD1155" s="284"/>
    </row>
    <row r="1156" ht="14.25" customHeight="1">
      <c r="A1156" s="265">
        <v>44385.0</v>
      </c>
      <c r="B1156" s="266" t="s">
        <v>1500</v>
      </c>
      <c r="C1156" s="266" t="s">
        <v>4567</v>
      </c>
      <c r="D1156" s="266" t="s">
        <v>1543</v>
      </c>
      <c r="E1156" s="268"/>
      <c r="F1156" s="269" t="s">
        <v>4570</v>
      </c>
      <c r="G1156" s="268" t="s">
        <v>1463</v>
      </c>
      <c r="H1156" s="270">
        <v>9.143518518518518E-4</v>
      </c>
      <c r="I1156" s="271">
        <v>44434.572916666664</v>
      </c>
      <c r="J1156" s="268"/>
      <c r="K1156" s="271">
        <v>44434.57842592592</v>
      </c>
      <c r="L1156" s="288"/>
      <c r="M1156" s="278" t="s">
        <v>4571</v>
      </c>
      <c r="N1156" s="290"/>
      <c r="O1156" s="276"/>
      <c r="P1156" s="276"/>
      <c r="Q1156" s="276"/>
      <c r="R1156" s="278"/>
      <c r="S1156" s="278"/>
      <c r="T1156" s="278"/>
      <c r="U1156" s="279"/>
      <c r="V1156" s="279" t="s">
        <v>2030</v>
      </c>
      <c r="W1156" s="280">
        <v>44438.0</v>
      </c>
      <c r="X1156" s="281">
        <v>0.006944444444444444</v>
      </c>
      <c r="Y1156" s="279" t="s">
        <v>1693</v>
      </c>
      <c r="Z1156" s="282" t="s">
        <v>53</v>
      </c>
      <c r="AA1156" s="282">
        <v>6536963.0</v>
      </c>
      <c r="AB1156" s="283">
        <v>44435.0</v>
      </c>
      <c r="AC1156" s="284"/>
      <c r="AD1156" s="284"/>
    </row>
    <row r="1157" ht="14.25" customHeight="1">
      <c r="A1157" s="265">
        <v>44385.0</v>
      </c>
      <c r="B1157" s="266" t="s">
        <v>1500</v>
      </c>
      <c r="C1157" s="266" t="s">
        <v>4567</v>
      </c>
      <c r="D1157" s="266" t="s">
        <v>1543</v>
      </c>
      <c r="E1157" s="268"/>
      <c r="F1157" s="269" t="s">
        <v>4572</v>
      </c>
      <c r="G1157" s="268" t="s">
        <v>1463</v>
      </c>
      <c r="H1157" s="270">
        <v>0.0012731481481481483</v>
      </c>
      <c r="I1157" s="271">
        <v>44434.572916666664</v>
      </c>
      <c r="J1157" s="268"/>
      <c r="K1157" s="271">
        <v>44434.578622685185</v>
      </c>
      <c r="L1157" s="288"/>
      <c r="M1157" s="278" t="s">
        <v>4573</v>
      </c>
      <c r="N1157" s="290"/>
      <c r="O1157" s="276"/>
      <c r="P1157" s="276"/>
      <c r="Q1157" s="276"/>
      <c r="R1157" s="278"/>
      <c r="S1157" s="278"/>
      <c r="T1157" s="278"/>
      <c r="U1157" s="279"/>
      <c r="V1157" s="279" t="s">
        <v>2030</v>
      </c>
      <c r="W1157" s="280">
        <v>44438.0</v>
      </c>
      <c r="X1157" s="281">
        <v>0.010416666666666666</v>
      </c>
      <c r="Y1157" s="279" t="s">
        <v>1693</v>
      </c>
      <c r="Z1157" s="282" t="s">
        <v>53</v>
      </c>
      <c r="AA1157" s="282">
        <v>6536964.0</v>
      </c>
      <c r="AB1157" s="283">
        <v>44435.0</v>
      </c>
      <c r="AC1157" s="284"/>
      <c r="AD1157" s="284"/>
    </row>
    <row r="1158" ht="14.25" customHeight="1">
      <c r="A1158" s="265">
        <v>44385.0</v>
      </c>
      <c r="B1158" s="266" t="s">
        <v>1783</v>
      </c>
      <c r="C1158" s="266"/>
      <c r="D1158" s="266" t="s">
        <v>1450</v>
      </c>
      <c r="E1158" s="268"/>
      <c r="F1158" s="358" t="s">
        <v>4574</v>
      </c>
      <c r="G1158" s="268" t="s">
        <v>2085</v>
      </c>
      <c r="H1158" s="270">
        <v>0.09988425925925926</v>
      </c>
      <c r="I1158" s="271">
        <v>44385.74722222222</v>
      </c>
      <c r="J1158" s="268"/>
      <c r="K1158" s="271">
        <v>44385.81825231481</v>
      </c>
      <c r="L1158" s="288" t="str">
        <f t="shared" ref="L1158:L1161" si="28">IFERROR(IF(OR(I1158="",K1158=""),"",K1158-I1158),"")</f>
        <v>1:42:17 AM</v>
      </c>
      <c r="M1158" s="278"/>
      <c r="N1158" s="290"/>
      <c r="O1158" s="276"/>
      <c r="P1158" s="276"/>
      <c r="Q1158" s="276"/>
      <c r="R1158" s="278"/>
      <c r="S1158" s="278"/>
      <c r="T1158" s="278"/>
      <c r="U1158" s="279"/>
      <c r="V1158" s="279" t="s">
        <v>1783</v>
      </c>
      <c r="W1158" s="280">
        <v>44386.0</v>
      </c>
      <c r="X1158" s="281">
        <v>0.2777777777777778</v>
      </c>
      <c r="Y1158" s="279" t="s">
        <v>1693</v>
      </c>
      <c r="Z1158" s="282" t="s">
        <v>53</v>
      </c>
      <c r="AA1158" s="282" t="s">
        <v>4574</v>
      </c>
      <c r="AB1158" s="283">
        <v>44389.0</v>
      </c>
      <c r="AC1158" s="284"/>
      <c r="AD1158" s="284"/>
    </row>
    <row r="1159" ht="14.25" customHeight="1">
      <c r="A1159" s="265">
        <v>44385.0</v>
      </c>
      <c r="B1159" s="266" t="s">
        <v>1824</v>
      </c>
      <c r="C1159" s="266"/>
      <c r="D1159" s="266" t="s">
        <v>1452</v>
      </c>
      <c r="E1159" s="268"/>
      <c r="F1159" s="358" t="s">
        <v>4575</v>
      </c>
      <c r="G1159" s="268" t="s">
        <v>2085</v>
      </c>
      <c r="H1159" s="270">
        <v>0.0031134259259259257</v>
      </c>
      <c r="I1159" s="271">
        <v>44385.748611111114</v>
      </c>
      <c r="J1159" s="268"/>
      <c r="K1159" s="271">
        <v>44385.753587962965</v>
      </c>
      <c r="L1159" s="288" t="str">
        <f t="shared" si="28"/>
        <v>12:07:10 AM</v>
      </c>
      <c r="M1159" s="278"/>
      <c r="N1159" s="290"/>
      <c r="O1159" s="276"/>
      <c r="P1159" s="276"/>
      <c r="Q1159" s="276"/>
      <c r="R1159" s="278"/>
      <c r="S1159" s="278"/>
      <c r="T1159" s="278"/>
      <c r="U1159" s="279"/>
      <c r="V1159" s="279" t="s">
        <v>1824</v>
      </c>
      <c r="W1159" s="280">
        <v>44390.0</v>
      </c>
      <c r="X1159" s="281">
        <v>0.012499999999999999</v>
      </c>
      <c r="Y1159" s="279" t="s">
        <v>1693</v>
      </c>
      <c r="Z1159" s="282" t="s">
        <v>53</v>
      </c>
      <c r="AA1159" s="282" t="s">
        <v>4576</v>
      </c>
      <c r="AB1159" s="283">
        <v>44389.0</v>
      </c>
      <c r="AC1159" s="284"/>
      <c r="AD1159" s="284"/>
    </row>
    <row r="1160" ht="14.25" customHeight="1">
      <c r="A1160" s="265">
        <v>44385.0</v>
      </c>
      <c r="B1160" s="266" t="s">
        <v>1685</v>
      </c>
      <c r="C1160" s="266"/>
      <c r="D1160" s="266" t="s">
        <v>1686</v>
      </c>
      <c r="E1160" s="268"/>
      <c r="F1160" s="358" t="s">
        <v>4577</v>
      </c>
      <c r="G1160" s="268" t="s">
        <v>2085</v>
      </c>
      <c r="H1160" s="270">
        <v>0.039872685185185185</v>
      </c>
      <c r="I1160" s="271">
        <v>44385.751388888886</v>
      </c>
      <c r="J1160" s="268"/>
      <c r="K1160" s="271">
        <v>44385.77491898148</v>
      </c>
      <c r="L1160" s="288" t="str">
        <f t="shared" si="28"/>
        <v>12:33:53 AM</v>
      </c>
      <c r="M1160" s="278"/>
      <c r="N1160" s="290"/>
      <c r="O1160" s="276"/>
      <c r="P1160" s="276"/>
      <c r="Q1160" s="276"/>
      <c r="R1160" s="278"/>
      <c r="S1160" s="278"/>
      <c r="T1160" s="278"/>
      <c r="U1160" s="279"/>
      <c r="V1160" s="279" t="s">
        <v>1685</v>
      </c>
      <c r="W1160" s="280">
        <v>44386.0</v>
      </c>
      <c r="X1160" s="281">
        <v>0.14583333333333334</v>
      </c>
      <c r="Y1160" s="279" t="s">
        <v>1693</v>
      </c>
      <c r="Z1160" s="282" t="s">
        <v>53</v>
      </c>
      <c r="AA1160" s="282" t="s">
        <v>4577</v>
      </c>
      <c r="AB1160" s="283">
        <v>44389.0</v>
      </c>
      <c r="AC1160" s="284"/>
      <c r="AD1160" s="284"/>
    </row>
    <row r="1161" ht="14.25" customHeight="1">
      <c r="A1161" s="265">
        <v>44385.0</v>
      </c>
      <c r="B1161" s="266" t="s">
        <v>1733</v>
      </c>
      <c r="C1161" s="266"/>
      <c r="D1161" s="266" t="s">
        <v>1455</v>
      </c>
      <c r="E1161" s="268"/>
      <c r="F1161" s="358" t="s">
        <v>4578</v>
      </c>
      <c r="G1161" s="268" t="s">
        <v>2085</v>
      </c>
      <c r="H1161" s="270">
        <v>0.020844907407407406</v>
      </c>
      <c r="I1161" s="271">
        <v>44385.870833333334</v>
      </c>
      <c r="J1161" s="268"/>
      <c r="K1161" s="271">
        <v>44385.88097222222</v>
      </c>
      <c r="L1161" s="288" t="str">
        <f t="shared" si="28"/>
        <v>12:14:36 AM</v>
      </c>
      <c r="M1161" s="278"/>
      <c r="N1161" s="290"/>
      <c r="O1161" s="276"/>
      <c r="P1161" s="276"/>
      <c r="Q1161" s="276"/>
      <c r="R1161" s="278"/>
      <c r="S1161" s="278"/>
      <c r="T1161" s="278"/>
      <c r="U1161" s="279"/>
      <c r="V1161" s="279" t="s">
        <v>1685</v>
      </c>
      <c r="W1161" s="280">
        <v>44386.0</v>
      </c>
      <c r="X1161" s="279"/>
      <c r="Y1161" s="279" t="s">
        <v>1693</v>
      </c>
      <c r="Z1161" s="282" t="s">
        <v>53</v>
      </c>
      <c r="AA1161" s="282" t="s">
        <v>4579</v>
      </c>
      <c r="AB1161" s="283">
        <v>44389.0</v>
      </c>
      <c r="AC1161" s="284"/>
      <c r="AD1161" s="284"/>
    </row>
    <row r="1162" ht="14.25" customHeight="1">
      <c r="A1162" s="265">
        <v>44386.0</v>
      </c>
      <c r="B1162" s="266" t="s">
        <v>1783</v>
      </c>
      <c r="C1162" s="266" t="s">
        <v>4403</v>
      </c>
      <c r="D1162" s="266" t="s">
        <v>1450</v>
      </c>
      <c r="E1162" s="268"/>
      <c r="F1162" s="417" t="s">
        <v>4580</v>
      </c>
      <c r="G1162" s="268" t="s">
        <v>1463</v>
      </c>
      <c r="H1162" s="270">
        <v>0.003472222222222222</v>
      </c>
      <c r="I1162" s="271">
        <v>44386.52361111111</v>
      </c>
      <c r="J1162" s="268"/>
      <c r="K1162" s="271">
        <v>44386.527083333334</v>
      </c>
      <c r="L1162" s="288"/>
      <c r="M1162" s="278" t="s">
        <v>4581</v>
      </c>
      <c r="N1162" s="290"/>
      <c r="O1162" s="276"/>
      <c r="P1162" s="276"/>
      <c r="Q1162" s="276"/>
      <c r="R1162" s="278"/>
      <c r="S1162" s="278"/>
      <c r="T1162" s="278"/>
      <c r="U1162" s="279"/>
      <c r="V1162" s="279" t="s">
        <v>1783</v>
      </c>
      <c r="W1162" s="280">
        <v>44389.0</v>
      </c>
      <c r="X1162" s="281">
        <v>0.0020833333333333333</v>
      </c>
      <c r="Y1162" s="279" t="s">
        <v>1693</v>
      </c>
      <c r="Z1162" s="282" t="s">
        <v>53</v>
      </c>
      <c r="AA1162" s="282">
        <v>6397475.0</v>
      </c>
      <c r="AB1162" s="283">
        <v>44390.0</v>
      </c>
      <c r="AC1162" s="284"/>
      <c r="AD1162" s="284"/>
    </row>
    <row r="1163" ht="14.25" customHeight="1">
      <c r="A1163" s="265">
        <v>44386.0</v>
      </c>
      <c r="B1163" s="266" t="s">
        <v>2030</v>
      </c>
      <c r="C1163" s="267" t="s">
        <v>1450</v>
      </c>
      <c r="D1163" s="266" t="s">
        <v>1543</v>
      </c>
      <c r="E1163" s="268"/>
      <c r="F1163" s="291" t="s">
        <v>4582</v>
      </c>
      <c r="G1163" s="268" t="s">
        <v>1463</v>
      </c>
      <c r="H1163" s="270">
        <v>0.0022453703703703702</v>
      </c>
      <c r="I1163" s="271">
        <v>44389.50555555556</v>
      </c>
      <c r="J1163" s="268"/>
      <c r="K1163" s="271">
        <v>44389.509722222225</v>
      </c>
      <c r="L1163" s="288"/>
      <c r="M1163" s="278" t="s">
        <v>4583</v>
      </c>
      <c r="N1163" s="290"/>
      <c r="O1163" s="276"/>
      <c r="P1163" s="276"/>
      <c r="Q1163" s="276"/>
      <c r="R1163" s="278"/>
      <c r="S1163" s="278"/>
      <c r="T1163" s="278"/>
      <c r="U1163" s="279"/>
      <c r="V1163" s="279" t="s">
        <v>1824</v>
      </c>
      <c r="W1163" s="280">
        <v>44392.0</v>
      </c>
      <c r="X1163" s="281">
        <v>0.008333333333333333</v>
      </c>
      <c r="Y1163" s="279" t="s">
        <v>1693</v>
      </c>
      <c r="Z1163" s="282" t="s">
        <v>53</v>
      </c>
      <c r="AA1163" s="282">
        <v>6397476.0</v>
      </c>
      <c r="AB1163" s="283">
        <v>44390.0</v>
      </c>
      <c r="AC1163" s="284"/>
      <c r="AD1163" s="284"/>
    </row>
    <row r="1164" ht="14.25" customHeight="1">
      <c r="A1164" s="265">
        <v>44386.0</v>
      </c>
      <c r="B1164" s="266" t="s">
        <v>2030</v>
      </c>
      <c r="C1164" s="267" t="s">
        <v>1455</v>
      </c>
      <c r="D1164" s="266" t="s">
        <v>1543</v>
      </c>
      <c r="E1164" s="268"/>
      <c r="F1164" s="291" t="s">
        <v>4584</v>
      </c>
      <c r="G1164" s="268" t="s">
        <v>1463</v>
      </c>
      <c r="H1164" s="270">
        <v>7.523148148148147E-4</v>
      </c>
      <c r="I1164" s="271">
        <v>44391.37708333333</v>
      </c>
      <c r="J1164" s="268"/>
      <c r="K1164" s="271">
        <v>44391.37847222222</v>
      </c>
      <c r="L1164" s="288"/>
      <c r="M1164" s="278" t="s">
        <v>4585</v>
      </c>
      <c r="N1164" s="290"/>
      <c r="O1164" s="276"/>
      <c r="P1164" s="276"/>
      <c r="Q1164" s="276"/>
      <c r="R1164" s="278"/>
      <c r="S1164" s="278"/>
      <c r="T1164" s="278"/>
      <c r="U1164" s="279"/>
      <c r="V1164" s="279" t="s">
        <v>1824</v>
      </c>
      <c r="W1164" s="280">
        <v>44392.0</v>
      </c>
      <c r="X1164" s="281">
        <v>0.003472222222222222</v>
      </c>
      <c r="Y1164" s="279" t="s">
        <v>1693</v>
      </c>
      <c r="Z1164" s="282" t="s">
        <v>53</v>
      </c>
      <c r="AA1164" s="282">
        <v>6401766.0</v>
      </c>
      <c r="AB1164" s="283">
        <v>44391.0</v>
      </c>
      <c r="AC1164" s="284"/>
      <c r="AD1164" s="284"/>
    </row>
    <row r="1165" ht="14.25" customHeight="1">
      <c r="A1165" s="265">
        <v>44386.0</v>
      </c>
      <c r="B1165" s="266" t="s">
        <v>2030</v>
      </c>
      <c r="C1165" s="267" t="s">
        <v>1455</v>
      </c>
      <c r="D1165" s="266" t="s">
        <v>1543</v>
      </c>
      <c r="E1165" s="268"/>
      <c r="F1165" s="291" t="s">
        <v>4586</v>
      </c>
      <c r="G1165" s="268" t="s">
        <v>1463</v>
      </c>
      <c r="H1165" s="270">
        <v>0.001261574074074074</v>
      </c>
      <c r="I1165" s="271">
        <v>44391.416666666664</v>
      </c>
      <c r="J1165" s="268"/>
      <c r="K1165" s="271">
        <v>44391.419444444444</v>
      </c>
      <c r="L1165" s="288"/>
      <c r="M1165" s="278" t="s">
        <v>4587</v>
      </c>
      <c r="N1165" s="290"/>
      <c r="O1165" s="276"/>
      <c r="P1165" s="276"/>
      <c r="Q1165" s="276"/>
      <c r="R1165" s="278"/>
      <c r="S1165" s="278"/>
      <c r="T1165" s="278"/>
      <c r="U1165" s="279"/>
      <c r="V1165" s="279" t="s">
        <v>1824</v>
      </c>
      <c r="W1165" s="280">
        <v>44392.0</v>
      </c>
      <c r="X1165" s="281">
        <v>0.003472222222222222</v>
      </c>
      <c r="Y1165" s="279" t="s">
        <v>1693</v>
      </c>
      <c r="Z1165" s="282" t="s">
        <v>53</v>
      </c>
      <c r="AA1165" s="282">
        <v>6402999.0</v>
      </c>
      <c r="AB1165" s="283">
        <v>44392.0</v>
      </c>
      <c r="AC1165" s="284"/>
      <c r="AD1165" s="284"/>
    </row>
    <row r="1166" ht="14.25" customHeight="1">
      <c r="A1166" s="265">
        <v>44386.0</v>
      </c>
      <c r="B1166" s="266" t="s">
        <v>2030</v>
      </c>
      <c r="C1166" s="267" t="s">
        <v>1455</v>
      </c>
      <c r="D1166" s="266" t="s">
        <v>1543</v>
      </c>
      <c r="E1166" s="268"/>
      <c r="F1166" s="291" t="s">
        <v>4588</v>
      </c>
      <c r="G1166" s="268" t="s">
        <v>1463</v>
      </c>
      <c r="H1166" s="270">
        <v>0.0019097222222222222</v>
      </c>
      <c r="I1166" s="271">
        <v>44391.45277777778</v>
      </c>
      <c r="J1166" s="268"/>
      <c r="K1166" s="271">
        <v>44391.45694444444</v>
      </c>
      <c r="L1166" s="288"/>
      <c r="M1166" s="278" t="s">
        <v>4589</v>
      </c>
      <c r="N1166" s="290"/>
      <c r="O1166" s="276"/>
      <c r="P1166" s="276"/>
      <c r="Q1166" s="276"/>
      <c r="R1166" s="278"/>
      <c r="S1166" s="278"/>
      <c r="T1166" s="278"/>
      <c r="U1166" s="279"/>
      <c r="V1166" s="279" t="s">
        <v>1824</v>
      </c>
      <c r="W1166" s="280">
        <v>44392.0</v>
      </c>
      <c r="X1166" s="281">
        <v>0.003472222222222222</v>
      </c>
      <c r="Y1166" s="279" t="s">
        <v>1693</v>
      </c>
      <c r="Z1166" s="282" t="s">
        <v>53</v>
      </c>
      <c r="AA1166" s="282">
        <v>6403000.0</v>
      </c>
      <c r="AB1166" s="283">
        <v>44392.0</v>
      </c>
      <c r="AC1166" s="284"/>
      <c r="AD1166" s="284"/>
    </row>
    <row r="1167" ht="14.25" customHeight="1">
      <c r="A1167" s="265">
        <v>44386.0</v>
      </c>
      <c r="B1167" s="266" t="s">
        <v>2030</v>
      </c>
      <c r="C1167" s="267" t="s">
        <v>2083</v>
      </c>
      <c r="D1167" s="266" t="s">
        <v>1543</v>
      </c>
      <c r="E1167" s="268"/>
      <c r="F1167" s="291" t="s">
        <v>4590</v>
      </c>
      <c r="G1167" s="268" t="s">
        <v>1463</v>
      </c>
      <c r="H1167" s="270">
        <v>0.0011689814814814816</v>
      </c>
      <c r="I1167" s="271">
        <v>44392.319444444445</v>
      </c>
      <c r="J1167" s="268"/>
      <c r="K1167" s="271">
        <v>44392.322222222225</v>
      </c>
      <c r="L1167" s="288"/>
      <c r="M1167" s="278" t="s">
        <v>4591</v>
      </c>
      <c r="N1167" s="290"/>
      <c r="O1167" s="276"/>
      <c r="P1167" s="276"/>
      <c r="Q1167" s="276"/>
      <c r="R1167" s="278"/>
      <c r="S1167" s="278"/>
      <c r="T1167" s="278"/>
      <c r="U1167" s="279"/>
      <c r="V1167" s="279" t="s">
        <v>1824</v>
      </c>
      <c r="W1167" s="280">
        <v>44392.0</v>
      </c>
      <c r="X1167" s="281">
        <v>0.008333333333333333</v>
      </c>
      <c r="Y1167" s="279" t="s">
        <v>1693</v>
      </c>
      <c r="Z1167" s="282" t="s">
        <v>53</v>
      </c>
      <c r="AA1167" s="282">
        <v>6403001.0</v>
      </c>
      <c r="AB1167" s="283">
        <v>44392.0</v>
      </c>
      <c r="AC1167" s="284"/>
      <c r="AD1167" s="284"/>
    </row>
    <row r="1168" ht="14.25" customHeight="1">
      <c r="A1168" s="265">
        <v>44386.0</v>
      </c>
      <c r="B1168" s="266" t="s">
        <v>2030</v>
      </c>
      <c r="C1168" s="267" t="s">
        <v>2083</v>
      </c>
      <c r="D1168" s="266" t="s">
        <v>1543</v>
      </c>
      <c r="E1168" s="268"/>
      <c r="F1168" s="291" t="s">
        <v>4592</v>
      </c>
      <c r="G1168" s="268" t="s">
        <v>1463</v>
      </c>
      <c r="H1168" s="270">
        <v>0.0022800925925925927</v>
      </c>
      <c r="I1168" s="271">
        <v>44392.35625</v>
      </c>
      <c r="J1168" s="268"/>
      <c r="K1168" s="271">
        <v>44392.35902777778</v>
      </c>
      <c r="L1168" s="288"/>
      <c r="M1168" s="278" t="s">
        <v>4593</v>
      </c>
      <c r="N1168" s="290"/>
      <c r="O1168" s="276"/>
      <c r="P1168" s="276"/>
      <c r="Q1168" s="276"/>
      <c r="R1168" s="278"/>
      <c r="S1168" s="278"/>
      <c r="T1168" s="278"/>
      <c r="U1168" s="279"/>
      <c r="V1168" s="279" t="s">
        <v>1824</v>
      </c>
      <c r="W1168" s="280">
        <v>44393.0</v>
      </c>
      <c r="X1168" s="281">
        <v>0.004166666666666667</v>
      </c>
      <c r="Y1168" s="279" t="s">
        <v>1693</v>
      </c>
      <c r="Z1168" s="282" t="s">
        <v>53</v>
      </c>
      <c r="AA1168" s="282">
        <v>6404780.0</v>
      </c>
      <c r="AB1168" s="283">
        <v>44393.0</v>
      </c>
      <c r="AC1168" s="284"/>
      <c r="AD1168" s="284"/>
    </row>
    <row r="1169" ht="14.25" customHeight="1">
      <c r="A1169" s="265">
        <v>44386.0</v>
      </c>
      <c r="B1169" s="266" t="s">
        <v>1783</v>
      </c>
      <c r="C1169" s="266"/>
      <c r="D1169" s="266" t="s">
        <v>1450</v>
      </c>
      <c r="E1169" s="268"/>
      <c r="F1169" s="358" t="s">
        <v>4594</v>
      </c>
      <c r="G1169" s="268" t="s">
        <v>2085</v>
      </c>
      <c r="H1169" s="270">
        <v>0.09879629629629628</v>
      </c>
      <c r="I1169" s="271">
        <v>44386.7125</v>
      </c>
      <c r="J1169" s="268"/>
      <c r="K1169" s="271">
        <v>44386.762453703705</v>
      </c>
      <c r="L1169" s="288" t="str">
        <f>IFERROR(IF(OR(I1170="",K1169=""),"",K1169-I1170),"")</f>
        <v>12:01:56 AM</v>
      </c>
      <c r="M1169" s="278"/>
      <c r="N1169" s="290"/>
      <c r="O1169" s="276"/>
      <c r="P1169" s="276"/>
      <c r="Q1169" s="276"/>
      <c r="R1169" s="278"/>
      <c r="S1169" s="278"/>
      <c r="T1169" s="278"/>
      <c r="U1169" s="279"/>
      <c r="V1169" s="279" t="s">
        <v>1783</v>
      </c>
      <c r="W1169" s="280">
        <v>44389.0</v>
      </c>
      <c r="X1169" s="281">
        <v>0.2638888888888889</v>
      </c>
      <c r="Y1169" s="279" t="s">
        <v>1693</v>
      </c>
      <c r="Z1169" s="282" t="s">
        <v>53</v>
      </c>
      <c r="AA1169" s="282" t="s">
        <v>4594</v>
      </c>
      <c r="AB1169" s="283">
        <v>44389.0</v>
      </c>
      <c r="AC1169" s="284"/>
      <c r="AD1169" s="284"/>
    </row>
    <row r="1170" ht="14.25" customHeight="1">
      <c r="A1170" s="265">
        <v>44386.0</v>
      </c>
      <c r="B1170" s="266" t="s">
        <v>1733</v>
      </c>
      <c r="C1170" s="266"/>
      <c r="D1170" s="266" t="s">
        <v>1452</v>
      </c>
      <c r="E1170" s="268"/>
      <c r="F1170" s="358" t="s">
        <v>4595</v>
      </c>
      <c r="G1170" s="268" t="s">
        <v>2085</v>
      </c>
      <c r="H1170" s="270">
        <v>0.0043518518518518515</v>
      </c>
      <c r="I1170" s="271">
        <v>44386.76111111111</v>
      </c>
      <c r="J1170" s="268"/>
      <c r="K1170" s="271">
        <v>44386.76646990741</v>
      </c>
      <c r="L1170" s="288" t="str">
        <f t="shared" ref="L1170:L1172" si="29">IFERROR(IF(OR(I1170="",K1170=""),"",K1170-I1170),"")</f>
        <v>12:07:43 AM</v>
      </c>
      <c r="M1170" s="278"/>
      <c r="N1170" s="290"/>
      <c r="O1170" s="276"/>
      <c r="P1170" s="276"/>
      <c r="Q1170" s="276"/>
      <c r="R1170" s="278"/>
      <c r="S1170" s="278"/>
      <c r="T1170" s="278"/>
      <c r="U1170" s="279"/>
      <c r="V1170" s="279" t="s">
        <v>1824</v>
      </c>
      <c r="W1170" s="280">
        <v>44390.0</v>
      </c>
      <c r="X1170" s="281">
        <v>0.017361111111111112</v>
      </c>
      <c r="Y1170" s="279" t="s">
        <v>1693</v>
      </c>
      <c r="Z1170" s="282" t="s">
        <v>53</v>
      </c>
      <c r="AA1170" s="282" t="s">
        <v>4595</v>
      </c>
      <c r="AB1170" s="283">
        <v>44389.0</v>
      </c>
      <c r="AC1170" s="284"/>
      <c r="AD1170" s="284"/>
    </row>
    <row r="1171" ht="14.25" customHeight="1">
      <c r="A1171" s="265">
        <v>44386.0</v>
      </c>
      <c r="B1171" s="266" t="s">
        <v>1685</v>
      </c>
      <c r="C1171" s="266"/>
      <c r="D1171" s="266" t="s">
        <v>1686</v>
      </c>
      <c r="E1171" s="268"/>
      <c r="F1171" s="358" t="s">
        <v>4596</v>
      </c>
      <c r="G1171" s="268" t="s">
        <v>2085</v>
      </c>
      <c r="H1171" s="270">
        <v>0.03635416666666667</v>
      </c>
      <c r="I1171" s="271">
        <v>44386.71597222222</v>
      </c>
      <c r="J1171" s="268"/>
      <c r="K1171" s="271">
        <v>44386.75077546296</v>
      </c>
      <c r="L1171" s="288" t="str">
        <f t="shared" si="29"/>
        <v>12:50:07 AM</v>
      </c>
      <c r="M1171" s="278"/>
      <c r="N1171" s="290"/>
      <c r="O1171" s="276"/>
      <c r="P1171" s="276"/>
      <c r="Q1171" s="276"/>
      <c r="R1171" s="278"/>
      <c r="S1171" s="278"/>
      <c r="T1171" s="278"/>
      <c r="U1171" s="279"/>
      <c r="V1171" s="279" t="s">
        <v>1685</v>
      </c>
      <c r="W1171" s="280">
        <v>44389.0</v>
      </c>
      <c r="X1171" s="281">
        <v>0.125</v>
      </c>
      <c r="Y1171" s="279" t="s">
        <v>1693</v>
      </c>
      <c r="Z1171" s="282" t="s">
        <v>53</v>
      </c>
      <c r="AA1171" s="282" t="s">
        <v>4597</v>
      </c>
      <c r="AB1171" s="283">
        <v>44389.0</v>
      </c>
      <c r="AC1171" s="284"/>
      <c r="AD1171" s="284"/>
    </row>
    <row r="1172" ht="14.25" customHeight="1">
      <c r="A1172" s="265">
        <v>44386.0</v>
      </c>
      <c r="B1172" s="266" t="s">
        <v>1733</v>
      </c>
      <c r="C1172" s="266"/>
      <c r="D1172" s="266" t="s">
        <v>1455</v>
      </c>
      <c r="E1172" s="268"/>
      <c r="F1172" s="358" t="s">
        <v>4598</v>
      </c>
      <c r="G1172" s="268" t="s">
        <v>2085</v>
      </c>
      <c r="H1172" s="270">
        <v>0.02096064814814815</v>
      </c>
      <c r="I1172" s="271">
        <v>44386.94375</v>
      </c>
      <c r="J1172" s="268"/>
      <c r="K1172" s="271">
        <v>44386.96668981481</v>
      </c>
      <c r="L1172" s="288" t="str">
        <f t="shared" si="29"/>
        <v>12:33:02 AM</v>
      </c>
      <c r="M1172" s="278"/>
      <c r="N1172" s="290"/>
      <c r="O1172" s="276"/>
      <c r="P1172" s="276"/>
      <c r="Q1172" s="276"/>
      <c r="R1172" s="278"/>
      <c r="S1172" s="278"/>
      <c r="T1172" s="278"/>
      <c r="U1172" s="279"/>
      <c r="V1172" s="279" t="s">
        <v>1685</v>
      </c>
      <c r="W1172" s="280">
        <v>44389.0</v>
      </c>
      <c r="X1172" s="281">
        <v>0.08333333333333333</v>
      </c>
      <c r="Y1172" s="279" t="s">
        <v>1693</v>
      </c>
      <c r="Z1172" s="282" t="s">
        <v>53</v>
      </c>
      <c r="AA1172" s="282" t="s">
        <v>4598</v>
      </c>
      <c r="AB1172" s="283">
        <v>44389.0</v>
      </c>
      <c r="AC1172" s="284"/>
      <c r="AD1172" s="284"/>
    </row>
    <row r="1173" ht="14.25" customHeight="1">
      <c r="A1173" s="265">
        <v>44387.0</v>
      </c>
      <c r="B1173" s="266" t="s">
        <v>2030</v>
      </c>
      <c r="C1173" s="266" t="s">
        <v>1686</v>
      </c>
      <c r="D1173" s="266" t="s">
        <v>1543</v>
      </c>
      <c r="E1173" s="268"/>
      <c r="F1173" s="269" t="s">
        <v>4599</v>
      </c>
      <c r="G1173" s="268" t="s">
        <v>1463</v>
      </c>
      <c r="H1173" s="270">
        <v>8.912037037037036E-4</v>
      </c>
      <c r="I1173" s="271">
        <v>44390.51527777778</v>
      </c>
      <c r="J1173" s="268"/>
      <c r="K1173" s="271">
        <v>44390.52916666667</v>
      </c>
      <c r="L1173" s="288"/>
      <c r="M1173" s="278" t="s">
        <v>4600</v>
      </c>
      <c r="N1173" s="290"/>
      <c r="O1173" s="276"/>
      <c r="P1173" s="276"/>
      <c r="Q1173" s="276"/>
      <c r="R1173" s="278"/>
      <c r="S1173" s="278"/>
      <c r="T1173" s="278"/>
      <c r="U1173" s="279"/>
      <c r="V1173" s="279" t="s">
        <v>1824</v>
      </c>
      <c r="W1173" s="280">
        <v>44392.0</v>
      </c>
      <c r="X1173" s="281">
        <v>0.003472222222222222</v>
      </c>
      <c r="Y1173" s="279" t="s">
        <v>1693</v>
      </c>
      <c r="Z1173" s="282" t="s">
        <v>53</v>
      </c>
      <c r="AA1173" s="282">
        <v>6400068.0</v>
      </c>
      <c r="AB1173" s="283">
        <v>44391.0</v>
      </c>
      <c r="AC1173" s="284"/>
      <c r="AD1173" s="284"/>
    </row>
    <row r="1174" ht="14.25" customHeight="1">
      <c r="A1174" s="265">
        <v>44387.0</v>
      </c>
      <c r="B1174" s="266" t="s">
        <v>2030</v>
      </c>
      <c r="C1174" s="266" t="s">
        <v>1686</v>
      </c>
      <c r="D1174" s="266" t="s">
        <v>1543</v>
      </c>
      <c r="E1174" s="268"/>
      <c r="F1174" s="269" t="s">
        <v>4601</v>
      </c>
      <c r="G1174" s="268" t="s">
        <v>1463</v>
      </c>
      <c r="H1174" s="270">
        <v>7.98611111111111E-4</v>
      </c>
      <c r="I1174" s="271">
        <v>44391.34027777778</v>
      </c>
      <c r="J1174" s="268"/>
      <c r="K1174" s="271">
        <v>44391.342361111114</v>
      </c>
      <c r="L1174" s="288"/>
      <c r="M1174" s="278" t="s">
        <v>4602</v>
      </c>
      <c r="N1174" s="290"/>
      <c r="O1174" s="276"/>
      <c r="P1174" s="276"/>
      <c r="Q1174" s="276"/>
      <c r="R1174" s="278"/>
      <c r="S1174" s="278"/>
      <c r="T1174" s="278"/>
      <c r="U1174" s="279"/>
      <c r="V1174" s="279" t="s">
        <v>1824</v>
      </c>
      <c r="W1174" s="280">
        <v>44392.0</v>
      </c>
      <c r="X1174" s="281">
        <v>0.006944444444444444</v>
      </c>
      <c r="Y1174" s="279" t="s">
        <v>1693</v>
      </c>
      <c r="Z1174" s="282" t="s">
        <v>53</v>
      </c>
      <c r="AA1174" s="282">
        <v>6401767.0</v>
      </c>
      <c r="AB1174" s="283">
        <v>44391.0</v>
      </c>
      <c r="AC1174" s="284"/>
      <c r="AD1174" s="284"/>
    </row>
    <row r="1175" ht="14.25" customHeight="1">
      <c r="A1175" s="265">
        <v>44387.0</v>
      </c>
      <c r="B1175" s="266" t="s">
        <v>2030</v>
      </c>
      <c r="C1175" s="266" t="s">
        <v>1686</v>
      </c>
      <c r="D1175" s="266" t="s">
        <v>1543</v>
      </c>
      <c r="E1175" s="268"/>
      <c r="F1175" s="269" t="s">
        <v>4603</v>
      </c>
      <c r="G1175" s="268" t="s">
        <v>1463</v>
      </c>
      <c r="H1175" s="270">
        <v>0.0013078703703703705</v>
      </c>
      <c r="I1175" s="271">
        <v>44391.36111111111</v>
      </c>
      <c r="J1175" s="268"/>
      <c r="K1175" s="271">
        <v>44391.36319444444</v>
      </c>
      <c r="L1175" s="288"/>
      <c r="M1175" s="278" t="s">
        <v>4604</v>
      </c>
      <c r="N1175" s="290"/>
      <c r="O1175" s="276"/>
      <c r="P1175" s="276"/>
      <c r="Q1175" s="276"/>
      <c r="R1175" s="278"/>
      <c r="S1175" s="278"/>
      <c r="T1175" s="278"/>
      <c r="U1175" s="279"/>
      <c r="V1175" s="279" t="s">
        <v>1824</v>
      </c>
      <c r="W1175" s="280">
        <v>44392.0</v>
      </c>
      <c r="X1175" s="281">
        <v>0.004166666666666667</v>
      </c>
      <c r="Y1175" s="279" t="s">
        <v>1693</v>
      </c>
      <c r="Z1175" s="282" t="s">
        <v>53</v>
      </c>
      <c r="AA1175" s="282">
        <v>6401768.0</v>
      </c>
      <c r="AB1175" s="283">
        <v>44391.0</v>
      </c>
      <c r="AC1175" s="284"/>
      <c r="AD1175" s="284"/>
    </row>
    <row r="1176" ht="14.25" customHeight="1">
      <c r="A1176" s="265">
        <v>44387.0</v>
      </c>
      <c r="B1176" s="266" t="s">
        <v>2030</v>
      </c>
      <c r="C1176" s="266" t="s">
        <v>1686</v>
      </c>
      <c r="D1176" s="266" t="s">
        <v>1543</v>
      </c>
      <c r="E1176" s="268"/>
      <c r="F1176" s="269" t="s">
        <v>4605</v>
      </c>
      <c r="G1176" s="268" t="s">
        <v>1463</v>
      </c>
      <c r="H1176" s="270">
        <v>0.001689814814814815</v>
      </c>
      <c r="I1176" s="271">
        <v>44390.532638888886</v>
      </c>
      <c r="J1176" s="268"/>
      <c r="K1176" s="271">
        <v>44390.535416666666</v>
      </c>
      <c r="L1176" s="288"/>
      <c r="M1176" s="278" t="s">
        <v>4606</v>
      </c>
      <c r="N1176" s="290"/>
      <c r="O1176" s="276"/>
      <c r="P1176" s="276"/>
      <c r="Q1176" s="276"/>
      <c r="R1176" s="278"/>
      <c r="S1176" s="278"/>
      <c r="T1176" s="278"/>
      <c r="U1176" s="279"/>
      <c r="V1176" s="279" t="s">
        <v>1824</v>
      </c>
      <c r="W1176" s="280">
        <v>44393.0</v>
      </c>
      <c r="X1176" s="281">
        <v>0.008333333333333333</v>
      </c>
      <c r="Y1176" s="279" t="s">
        <v>1693</v>
      </c>
      <c r="Z1176" s="282" t="s">
        <v>53</v>
      </c>
      <c r="AA1176" s="282">
        <v>6404781.0</v>
      </c>
      <c r="AB1176" s="283">
        <v>44393.0</v>
      </c>
      <c r="AC1176" s="284"/>
      <c r="AD1176" s="284"/>
    </row>
    <row r="1177" ht="14.25" customHeight="1">
      <c r="A1177" s="265">
        <v>44387.0</v>
      </c>
      <c r="B1177" s="266" t="s">
        <v>1733</v>
      </c>
      <c r="C1177" s="266"/>
      <c r="D1177" s="266" t="s">
        <v>1686</v>
      </c>
      <c r="E1177" s="268"/>
      <c r="F1177" s="358" t="s">
        <v>4607</v>
      </c>
      <c r="G1177" s="268" t="s">
        <v>2085</v>
      </c>
      <c r="H1177" s="270">
        <v>0.03857638888888889</v>
      </c>
      <c r="I1177" s="271">
        <v>44387.665972222225</v>
      </c>
      <c r="J1177" s="268"/>
      <c r="K1177" s="271">
        <v>44387.68944444445</v>
      </c>
      <c r="L1177" s="288" t="str">
        <f t="shared" ref="L1177:L1178" si="30">IFERROR(IF(OR(I1177="",K1177=""),"",K1177-I1177),"")</f>
        <v>12:33:48 AM</v>
      </c>
      <c r="M1177" s="278"/>
      <c r="N1177" s="290"/>
      <c r="O1177" s="276"/>
      <c r="P1177" s="276"/>
      <c r="Q1177" s="276"/>
      <c r="R1177" s="278"/>
      <c r="S1177" s="278"/>
      <c r="T1177" s="278"/>
      <c r="U1177" s="279"/>
      <c r="V1177" s="279" t="s">
        <v>1685</v>
      </c>
      <c r="W1177" s="280">
        <v>44389.0</v>
      </c>
      <c r="X1177" s="281">
        <v>0.125</v>
      </c>
      <c r="Y1177" s="279" t="s">
        <v>1693</v>
      </c>
      <c r="Z1177" s="282" t="s">
        <v>53</v>
      </c>
      <c r="AA1177" s="282" t="s">
        <v>4607</v>
      </c>
      <c r="AB1177" s="283">
        <v>44389.0</v>
      </c>
      <c r="AC1177" s="284"/>
      <c r="AD1177" s="284"/>
    </row>
    <row r="1178" ht="14.25" customHeight="1">
      <c r="A1178" s="265">
        <v>44387.0</v>
      </c>
      <c r="B1178" s="266" t="s">
        <v>1746</v>
      </c>
      <c r="C1178" s="266"/>
      <c r="D1178" s="266" t="s">
        <v>1455</v>
      </c>
      <c r="E1178" s="268"/>
      <c r="F1178" s="358" t="s">
        <v>4608</v>
      </c>
      <c r="G1178" s="268" t="s">
        <v>2085</v>
      </c>
      <c r="H1178" s="270">
        <v>0.015983796296296295</v>
      </c>
      <c r="I1178" s="271">
        <v>44389.72430555556</v>
      </c>
      <c r="J1178" s="268"/>
      <c r="K1178" s="271">
        <v>44389.74451388889</v>
      </c>
      <c r="L1178" s="288" t="str">
        <f t="shared" si="30"/>
        <v>12:29:06 AM</v>
      </c>
      <c r="M1178" s="278"/>
      <c r="N1178" s="290"/>
      <c r="O1178" s="276"/>
      <c r="P1178" s="276"/>
      <c r="Q1178" s="276"/>
      <c r="R1178" s="278"/>
      <c r="S1178" s="278"/>
      <c r="T1178" s="278"/>
      <c r="U1178" s="279"/>
      <c r="V1178" s="279" t="s">
        <v>1685</v>
      </c>
      <c r="W1178" s="280">
        <v>44390.0</v>
      </c>
      <c r="X1178" s="281">
        <v>0.0625</v>
      </c>
      <c r="Y1178" s="279" t="s">
        <v>1693</v>
      </c>
      <c r="Z1178" s="282" t="s">
        <v>53</v>
      </c>
      <c r="AA1178" s="282" t="s">
        <v>4609</v>
      </c>
      <c r="AB1178" s="283">
        <v>44390.0</v>
      </c>
      <c r="AC1178" s="284"/>
      <c r="AD1178" s="284"/>
    </row>
    <row r="1179" ht="14.25" customHeight="1">
      <c r="A1179" s="265">
        <v>44388.0</v>
      </c>
      <c r="B1179" s="266" t="s">
        <v>1733</v>
      </c>
      <c r="C1179" s="266"/>
      <c r="D1179" s="266" t="s">
        <v>4610</v>
      </c>
      <c r="E1179" s="268"/>
      <c r="F1179" s="358">
        <v>6386419.0</v>
      </c>
      <c r="G1179" s="268" t="s">
        <v>3839</v>
      </c>
      <c r="H1179" s="270">
        <v>0.028645833333333332</v>
      </c>
      <c r="I1179" s="271">
        <v>44389.77638888889</v>
      </c>
      <c r="J1179" s="268"/>
      <c r="K1179" s="271">
        <v>44389.78125</v>
      </c>
      <c r="L1179" s="288"/>
      <c r="M1179" s="307"/>
      <c r="N1179" s="273"/>
      <c r="O1179" s="276"/>
      <c r="P1179" s="276"/>
      <c r="Q1179" s="276"/>
      <c r="R1179" s="278"/>
      <c r="S1179" s="278"/>
      <c r="T1179" s="278"/>
      <c r="U1179" s="279"/>
      <c r="V1179" s="279"/>
      <c r="W1179" s="279"/>
      <c r="X1179" s="279"/>
      <c r="Y1179" s="279"/>
      <c r="Z1179" s="282" t="s">
        <v>101</v>
      </c>
      <c r="AA1179" s="282">
        <v>6386419.0</v>
      </c>
      <c r="AB1179" s="283">
        <v>44390.0</v>
      </c>
      <c r="AC1179" s="284"/>
      <c r="AD1179" s="284"/>
    </row>
    <row r="1180" ht="14.25" customHeight="1">
      <c r="A1180" s="265">
        <v>44388.0</v>
      </c>
      <c r="B1180" s="266" t="s">
        <v>1733</v>
      </c>
      <c r="C1180" s="266"/>
      <c r="D1180" s="266" t="s">
        <v>1457</v>
      </c>
      <c r="E1180" s="268"/>
      <c r="F1180" s="358" t="s">
        <v>4611</v>
      </c>
      <c r="G1180" s="268" t="s">
        <v>2085</v>
      </c>
      <c r="H1180" s="270">
        <v>0.01761574074074074</v>
      </c>
      <c r="I1180" s="271">
        <v>44389.72986111111</v>
      </c>
      <c r="J1180" s="268"/>
      <c r="K1180" s="271">
        <v>44389.74696759259</v>
      </c>
      <c r="L1180" s="288" t="str">
        <f t="shared" ref="L1180:L1181" si="31">IFERROR(IF(OR(I1180="",K1180=""),"",K1180-I1180),"")</f>
        <v>12:24:38 AM</v>
      </c>
      <c r="M1180" s="278"/>
      <c r="N1180" s="290"/>
      <c r="O1180" s="276"/>
      <c r="P1180" s="276"/>
      <c r="Q1180" s="276"/>
      <c r="R1180" s="278"/>
      <c r="S1180" s="278"/>
      <c r="T1180" s="278"/>
      <c r="U1180" s="279"/>
      <c r="V1180" s="279" t="s">
        <v>1824</v>
      </c>
      <c r="W1180" s="280">
        <v>44390.0</v>
      </c>
      <c r="X1180" s="281">
        <v>0.034722222222222224</v>
      </c>
      <c r="Y1180" s="279" t="s">
        <v>1693</v>
      </c>
      <c r="Z1180" s="282" t="s">
        <v>53</v>
      </c>
      <c r="AA1180" s="282" t="s">
        <v>4611</v>
      </c>
      <c r="AB1180" s="283">
        <v>44390.0</v>
      </c>
      <c r="AC1180" s="284"/>
      <c r="AD1180" s="284"/>
    </row>
    <row r="1181" ht="14.25" customHeight="1">
      <c r="A1181" s="265">
        <v>44388.0</v>
      </c>
      <c r="B1181" s="266" t="s">
        <v>1733</v>
      </c>
      <c r="C1181" s="266"/>
      <c r="D1181" s="266" t="s">
        <v>2829</v>
      </c>
      <c r="E1181" s="268"/>
      <c r="F1181" s="358" t="s">
        <v>4612</v>
      </c>
      <c r="G1181" s="268" t="s">
        <v>2085</v>
      </c>
      <c r="H1181" s="270">
        <v>0.018726851851851852</v>
      </c>
      <c r="I1181" s="271">
        <v>44389.73819444444</v>
      </c>
      <c r="J1181" s="268"/>
      <c r="K1181" s="268"/>
      <c r="L1181" s="288" t="str">
        <f t="shared" si="31"/>
        <v/>
      </c>
      <c r="M1181" s="307" t="s">
        <v>3482</v>
      </c>
      <c r="N1181" s="273">
        <v>44389.75</v>
      </c>
      <c r="O1181" s="276" t="s">
        <v>4613</v>
      </c>
      <c r="P1181" s="276" t="s">
        <v>1819</v>
      </c>
      <c r="Q1181" s="276"/>
      <c r="R1181" s="278"/>
      <c r="S1181" s="278"/>
      <c r="T1181" s="278" t="s">
        <v>4614</v>
      </c>
      <c r="U1181" s="279"/>
      <c r="V1181" s="279"/>
      <c r="W1181" s="279"/>
      <c r="X1181" s="279"/>
      <c r="Y1181" s="279"/>
      <c r="Z1181" s="282" t="s">
        <v>53</v>
      </c>
      <c r="AA1181" s="282" t="s">
        <v>4612</v>
      </c>
      <c r="AB1181" s="283">
        <v>44390.0</v>
      </c>
      <c r="AC1181" s="284"/>
      <c r="AD1181" s="284"/>
    </row>
    <row r="1182" ht="14.25" customHeight="1">
      <c r="A1182" s="265">
        <v>44389.0</v>
      </c>
      <c r="B1182" s="266" t="s">
        <v>1783</v>
      </c>
      <c r="C1182" s="266" t="s">
        <v>4403</v>
      </c>
      <c r="D1182" s="266" t="s">
        <v>1450</v>
      </c>
      <c r="E1182" s="268"/>
      <c r="F1182" s="417" t="s">
        <v>4615</v>
      </c>
      <c r="G1182" s="268" t="s">
        <v>1463</v>
      </c>
      <c r="H1182" s="270">
        <v>0.0023958333333333336</v>
      </c>
      <c r="I1182" s="271">
        <v>44389.700694444444</v>
      </c>
      <c r="J1182" s="268"/>
      <c r="K1182" s="271">
        <v>44389.70894675926</v>
      </c>
      <c r="L1182" s="288"/>
      <c r="M1182" s="278" t="s">
        <v>4616</v>
      </c>
      <c r="N1182" s="290"/>
      <c r="O1182" s="276"/>
      <c r="P1182" s="276"/>
      <c r="Q1182" s="276"/>
      <c r="R1182" s="278"/>
      <c r="S1182" s="278"/>
      <c r="T1182" s="278"/>
      <c r="U1182" s="279"/>
      <c r="V1182" s="279" t="s">
        <v>1783</v>
      </c>
      <c r="W1182" s="280">
        <v>44390.0</v>
      </c>
      <c r="X1182" s="281">
        <v>0.0020833333333333333</v>
      </c>
      <c r="Y1182" s="279" t="s">
        <v>1693</v>
      </c>
      <c r="Z1182" s="282" t="s">
        <v>53</v>
      </c>
      <c r="AA1182" s="282">
        <v>6399707.0</v>
      </c>
      <c r="AB1182" s="283">
        <v>44390.0</v>
      </c>
      <c r="AC1182" s="284"/>
      <c r="AD1182" s="284"/>
    </row>
    <row r="1183" ht="14.25" customHeight="1">
      <c r="A1183" s="265">
        <v>44389.0</v>
      </c>
      <c r="B1183" s="266" t="s">
        <v>2030</v>
      </c>
      <c r="C1183" s="266" t="s">
        <v>1450</v>
      </c>
      <c r="D1183" s="266" t="s">
        <v>1543</v>
      </c>
      <c r="E1183" s="268"/>
      <c r="F1183" s="269" t="s">
        <v>4617</v>
      </c>
      <c r="G1183" s="268" t="s">
        <v>1463</v>
      </c>
      <c r="H1183" s="270">
        <v>0.0020717592592592593</v>
      </c>
      <c r="I1183" s="271">
        <v>44392.498611111114</v>
      </c>
      <c r="J1183" s="268"/>
      <c r="K1183" s="271">
        <v>44392.50277777778</v>
      </c>
      <c r="L1183" s="288"/>
      <c r="M1183" s="278" t="s">
        <v>4618</v>
      </c>
      <c r="N1183" s="290"/>
      <c r="O1183" s="276"/>
      <c r="P1183" s="276"/>
      <c r="Q1183" s="276"/>
      <c r="R1183" s="278"/>
      <c r="S1183" s="278"/>
      <c r="T1183" s="278"/>
      <c r="U1183" s="279"/>
      <c r="V1183" s="279" t="s">
        <v>1824</v>
      </c>
      <c r="W1183" s="280">
        <v>44393.0</v>
      </c>
      <c r="X1183" s="281">
        <v>0.004166666666666667</v>
      </c>
      <c r="Y1183" s="279" t="s">
        <v>1693</v>
      </c>
      <c r="Z1183" s="282" t="s">
        <v>53</v>
      </c>
      <c r="AA1183" s="282">
        <v>6404782.0</v>
      </c>
      <c r="AB1183" s="283">
        <v>44393.0</v>
      </c>
      <c r="AC1183" s="284"/>
      <c r="AD1183" s="284"/>
    </row>
    <row r="1184" ht="14.25" customHeight="1">
      <c r="A1184" s="265">
        <v>44389.0</v>
      </c>
      <c r="B1184" s="266" t="s">
        <v>2030</v>
      </c>
      <c r="C1184" s="266" t="s">
        <v>1450</v>
      </c>
      <c r="D1184" s="266" t="s">
        <v>1543</v>
      </c>
      <c r="E1184" s="268"/>
      <c r="F1184" s="269" t="s">
        <v>4619</v>
      </c>
      <c r="G1184" s="268" t="s">
        <v>1463</v>
      </c>
      <c r="H1184" s="270">
        <v>0.0014930555555555556</v>
      </c>
      <c r="I1184" s="271">
        <v>44392.47222222222</v>
      </c>
      <c r="J1184" s="268"/>
      <c r="K1184" s="271">
        <v>44393.70259259259</v>
      </c>
      <c r="L1184" s="288"/>
      <c r="M1184" s="359" t="s">
        <v>4620</v>
      </c>
      <c r="N1184" s="273">
        <v>44393.33125</v>
      </c>
      <c r="O1184" s="276" t="s">
        <v>4621</v>
      </c>
      <c r="P1184" s="275" t="s">
        <v>1463</v>
      </c>
      <c r="Q1184" s="276"/>
      <c r="R1184" s="277">
        <v>44393.333333333336</v>
      </c>
      <c r="S1184" s="278"/>
      <c r="T1184" s="278" t="s">
        <v>4622</v>
      </c>
      <c r="U1184" s="279"/>
      <c r="V1184" s="279" t="s">
        <v>1824</v>
      </c>
      <c r="W1184" s="280">
        <v>44393.0</v>
      </c>
      <c r="X1184" s="281">
        <v>0.003472222222222222</v>
      </c>
      <c r="Y1184" s="279" t="s">
        <v>1693</v>
      </c>
      <c r="Z1184" s="282" t="s">
        <v>53</v>
      </c>
      <c r="AA1184" s="282">
        <v>6404783.0</v>
      </c>
      <c r="AB1184" s="283">
        <v>44393.0</v>
      </c>
      <c r="AC1184" s="284"/>
      <c r="AD1184" s="284"/>
    </row>
    <row r="1185" ht="14.25" customHeight="1">
      <c r="A1185" s="265">
        <v>44389.0</v>
      </c>
      <c r="B1185" s="266" t="s">
        <v>2030</v>
      </c>
      <c r="C1185" s="266" t="s">
        <v>1450</v>
      </c>
      <c r="D1185" s="266" t="s">
        <v>1543</v>
      </c>
      <c r="E1185" s="268"/>
      <c r="F1185" s="269" t="s">
        <v>4623</v>
      </c>
      <c r="G1185" s="268" t="s">
        <v>1463</v>
      </c>
      <c r="H1185" s="270">
        <v>0.031261574074074074</v>
      </c>
      <c r="I1185" s="271">
        <v>44392.48888888889</v>
      </c>
      <c r="J1185" s="268"/>
      <c r="K1185" s="271">
        <v>44392.49097222222</v>
      </c>
      <c r="L1185" s="288"/>
      <c r="M1185" s="278" t="s">
        <v>4624</v>
      </c>
      <c r="N1185" s="290"/>
      <c r="O1185" s="276"/>
      <c r="P1185" s="276"/>
      <c r="Q1185" s="276"/>
      <c r="R1185" s="278"/>
      <c r="S1185" s="278"/>
      <c r="T1185" s="278"/>
      <c r="U1185" s="279"/>
      <c r="V1185" s="279" t="s">
        <v>1824</v>
      </c>
      <c r="W1185" s="280">
        <v>44393.0</v>
      </c>
      <c r="X1185" s="281">
        <v>0.0020833333333333333</v>
      </c>
      <c r="Y1185" s="279" t="s">
        <v>1693</v>
      </c>
      <c r="Z1185" s="282" t="s">
        <v>53</v>
      </c>
      <c r="AA1185" s="282">
        <v>6404784.0</v>
      </c>
      <c r="AB1185" s="283">
        <v>44393.0</v>
      </c>
      <c r="AC1185" s="284"/>
      <c r="AD1185" s="284"/>
    </row>
    <row r="1186" ht="14.25" customHeight="1">
      <c r="A1186" s="265">
        <v>44389.0</v>
      </c>
      <c r="B1186" s="266" t="s">
        <v>2030</v>
      </c>
      <c r="C1186" s="266" t="s">
        <v>1450</v>
      </c>
      <c r="D1186" s="266" t="s">
        <v>1543</v>
      </c>
      <c r="E1186" s="268"/>
      <c r="F1186" s="269" t="s">
        <v>4625</v>
      </c>
      <c r="G1186" s="268" t="s">
        <v>1463</v>
      </c>
      <c r="H1186" s="270">
        <v>0.0015277777777777779</v>
      </c>
      <c r="I1186" s="271">
        <v>44392.52777777778</v>
      </c>
      <c r="J1186" s="268"/>
      <c r="K1186" s="271">
        <v>44392.529861111114</v>
      </c>
      <c r="L1186" s="288"/>
      <c r="M1186" s="278" t="s">
        <v>4626</v>
      </c>
      <c r="N1186" s="290"/>
      <c r="O1186" s="276"/>
      <c r="P1186" s="276"/>
      <c r="Q1186" s="276"/>
      <c r="R1186" s="278"/>
      <c r="S1186" s="278"/>
      <c r="T1186" s="278"/>
      <c r="U1186" s="279"/>
      <c r="V1186" s="279" t="s">
        <v>1824</v>
      </c>
      <c r="W1186" s="280">
        <v>44393.0</v>
      </c>
      <c r="X1186" s="281">
        <v>0.003472222222222222</v>
      </c>
      <c r="Y1186" s="279" t="s">
        <v>1693</v>
      </c>
      <c r="Z1186" s="282" t="s">
        <v>53</v>
      </c>
      <c r="AA1186" s="282">
        <v>6404937.0</v>
      </c>
      <c r="AB1186" s="283">
        <v>44393.0</v>
      </c>
      <c r="AC1186" s="284"/>
      <c r="AD1186" s="284"/>
    </row>
    <row r="1187" ht="14.25" customHeight="1">
      <c r="A1187" s="265">
        <v>44389.0</v>
      </c>
      <c r="B1187" s="266" t="s">
        <v>2030</v>
      </c>
      <c r="C1187" s="266" t="s">
        <v>1450</v>
      </c>
      <c r="D1187" s="266" t="s">
        <v>1543</v>
      </c>
      <c r="E1187" s="268"/>
      <c r="F1187" s="269" t="s">
        <v>4627</v>
      </c>
      <c r="G1187" s="268" t="s">
        <v>1463</v>
      </c>
      <c r="H1187" s="270">
        <v>0.0022106481481481478</v>
      </c>
      <c r="I1187" s="271">
        <v>44393.39236111111</v>
      </c>
      <c r="J1187" s="268"/>
      <c r="K1187" s="271">
        <v>44393.39444444444</v>
      </c>
      <c r="L1187" s="288"/>
      <c r="M1187" s="278" t="s">
        <v>4628</v>
      </c>
      <c r="N1187" s="290"/>
      <c r="O1187" s="276"/>
      <c r="P1187" s="276"/>
      <c r="Q1187" s="276"/>
      <c r="R1187" s="278"/>
      <c r="S1187" s="278"/>
      <c r="T1187" s="278"/>
      <c r="U1187" s="279"/>
      <c r="V1187" s="279" t="s">
        <v>1824</v>
      </c>
      <c r="W1187" s="280">
        <v>44393.0</v>
      </c>
      <c r="X1187" s="281">
        <v>0.004861111111111111</v>
      </c>
      <c r="Y1187" s="279" t="s">
        <v>1693</v>
      </c>
      <c r="Z1187" s="282" t="s">
        <v>53</v>
      </c>
      <c r="AA1187" s="282">
        <v>6404981.0</v>
      </c>
      <c r="AB1187" s="283">
        <v>44393.0</v>
      </c>
      <c r="AC1187" s="284"/>
      <c r="AD1187" s="284"/>
    </row>
    <row r="1188" ht="14.25" customHeight="1">
      <c r="A1188" s="265">
        <v>44389.0</v>
      </c>
      <c r="B1188" s="266" t="s">
        <v>2030</v>
      </c>
      <c r="C1188" s="266" t="s">
        <v>1686</v>
      </c>
      <c r="D1188" s="266" t="s">
        <v>1543</v>
      </c>
      <c r="E1188" s="268"/>
      <c r="F1188" s="269" t="s">
        <v>4629</v>
      </c>
      <c r="G1188" s="268" t="s">
        <v>1463</v>
      </c>
      <c r="H1188" s="270">
        <v>0.0018981481481481482</v>
      </c>
      <c r="I1188" s="271">
        <v>44393.44930555556</v>
      </c>
      <c r="J1188" s="268"/>
      <c r="K1188" s="271">
        <v>44393.45347222222</v>
      </c>
      <c r="L1188" s="288"/>
      <c r="M1188" s="278" t="s">
        <v>4630</v>
      </c>
      <c r="N1188" s="290"/>
      <c r="O1188" s="276"/>
      <c r="P1188" s="276"/>
      <c r="Q1188" s="276"/>
      <c r="R1188" s="278"/>
      <c r="S1188" s="278"/>
      <c r="T1188" s="278"/>
      <c r="U1188" s="279"/>
      <c r="V1188" s="279" t="s">
        <v>1783</v>
      </c>
      <c r="W1188" s="280">
        <v>44394.0</v>
      </c>
      <c r="X1188" s="281">
        <v>0.006944444444444444</v>
      </c>
      <c r="Y1188" s="279" t="s">
        <v>1693</v>
      </c>
      <c r="Z1188" s="282" t="s">
        <v>53</v>
      </c>
      <c r="AA1188" s="282">
        <v>6413051.0</v>
      </c>
      <c r="AB1188" s="283">
        <v>44399.0</v>
      </c>
      <c r="AC1188" s="284"/>
      <c r="AD1188" s="284"/>
    </row>
    <row r="1189" ht="14.25" customHeight="1">
      <c r="A1189" s="419">
        <v>44389.0</v>
      </c>
      <c r="B1189" s="266" t="s">
        <v>2030</v>
      </c>
      <c r="C1189" s="266" t="s">
        <v>1686</v>
      </c>
      <c r="D1189" s="266" t="s">
        <v>1543</v>
      </c>
      <c r="E1189" s="268"/>
      <c r="F1189" s="269" t="s">
        <v>4631</v>
      </c>
      <c r="G1189" s="268" t="s">
        <v>1463</v>
      </c>
      <c r="H1189" s="270">
        <v>5.902777777777778E-4</v>
      </c>
      <c r="I1189" s="271">
        <v>44394.493055555555</v>
      </c>
      <c r="J1189" s="268"/>
      <c r="K1189" s="271">
        <v>44364.49791666667</v>
      </c>
      <c r="L1189" s="288"/>
      <c r="M1189" s="278" t="s">
        <v>4632</v>
      </c>
      <c r="N1189" s="290"/>
      <c r="O1189" s="276"/>
      <c r="P1189" s="276"/>
      <c r="Q1189" s="276"/>
      <c r="R1189" s="278"/>
      <c r="S1189" s="278"/>
      <c r="T1189" s="278"/>
      <c r="U1189" s="279"/>
      <c r="V1189" s="279" t="s">
        <v>1783</v>
      </c>
      <c r="W1189" s="280">
        <v>44397.0</v>
      </c>
      <c r="X1189" s="281">
        <v>0.004861111111111111</v>
      </c>
      <c r="Y1189" s="279" t="s">
        <v>1693</v>
      </c>
      <c r="Z1189" s="282" t="s">
        <v>53</v>
      </c>
      <c r="AA1189" s="282">
        <v>6413052.0</v>
      </c>
      <c r="AB1189" s="283">
        <v>44399.0</v>
      </c>
      <c r="AC1189" s="284"/>
      <c r="AD1189" s="284"/>
    </row>
    <row r="1190" ht="14.25" customHeight="1">
      <c r="A1190" s="419">
        <v>44389.0</v>
      </c>
      <c r="B1190" s="266" t="s">
        <v>2030</v>
      </c>
      <c r="C1190" s="266" t="s">
        <v>1686</v>
      </c>
      <c r="D1190" s="266" t="s">
        <v>1543</v>
      </c>
      <c r="E1190" s="268"/>
      <c r="F1190" s="269" t="s">
        <v>4633</v>
      </c>
      <c r="G1190" s="268" t="s">
        <v>1463</v>
      </c>
      <c r="H1190" s="270">
        <v>8.449074074074075E-4</v>
      </c>
      <c r="I1190" s="271">
        <v>44399.70486111111</v>
      </c>
      <c r="J1190" s="268"/>
      <c r="K1190" s="271">
        <v>44399.70922453704</v>
      </c>
      <c r="L1190" s="288"/>
      <c r="M1190" s="278" t="s">
        <v>4634</v>
      </c>
      <c r="N1190" s="290"/>
      <c r="O1190" s="276"/>
      <c r="P1190" s="276"/>
      <c r="Q1190" s="276"/>
      <c r="R1190" s="278"/>
      <c r="S1190" s="278"/>
      <c r="T1190" s="278"/>
      <c r="U1190" s="279"/>
      <c r="V1190" s="279" t="s">
        <v>1783</v>
      </c>
      <c r="W1190" s="280">
        <v>44400.0</v>
      </c>
      <c r="X1190" s="281">
        <v>0.002777777777777778</v>
      </c>
      <c r="Y1190" s="279" t="s">
        <v>1693</v>
      </c>
      <c r="Z1190" s="282" t="s">
        <v>53</v>
      </c>
      <c r="AA1190" s="282">
        <v>6415257.0</v>
      </c>
      <c r="AB1190" s="283">
        <v>44400.0</v>
      </c>
      <c r="AC1190" s="284"/>
      <c r="AD1190" s="284"/>
    </row>
    <row r="1191" ht="14.25" customHeight="1">
      <c r="A1191" s="265">
        <v>44389.0</v>
      </c>
      <c r="B1191" s="266" t="s">
        <v>1783</v>
      </c>
      <c r="C1191" s="266" t="s">
        <v>4403</v>
      </c>
      <c r="D1191" s="266" t="s">
        <v>1450</v>
      </c>
      <c r="E1191" s="268"/>
      <c r="F1191" s="286" t="s">
        <v>4635</v>
      </c>
      <c r="G1191" s="268" t="s">
        <v>3742</v>
      </c>
      <c r="H1191" s="270"/>
      <c r="I1191" s="271"/>
      <c r="J1191" s="268"/>
      <c r="K1191" s="271"/>
      <c r="L1191" s="288"/>
      <c r="M1191" s="307" t="s">
        <v>3915</v>
      </c>
      <c r="N1191" s="290"/>
      <c r="O1191" s="276"/>
      <c r="P1191" s="276"/>
      <c r="Q1191" s="276"/>
      <c r="R1191" s="278"/>
      <c r="S1191" s="307"/>
      <c r="T1191" s="307" t="s">
        <v>3915</v>
      </c>
      <c r="U1191" s="279"/>
      <c r="V1191" s="279" t="s">
        <v>28</v>
      </c>
      <c r="W1191" s="279" t="s">
        <v>28</v>
      </c>
      <c r="X1191" s="279" t="s">
        <v>28</v>
      </c>
      <c r="Y1191" s="279" t="s">
        <v>28</v>
      </c>
      <c r="Z1191" s="282" t="s">
        <v>28</v>
      </c>
      <c r="AA1191" s="282" t="s">
        <v>28</v>
      </c>
      <c r="AB1191" s="282" t="s">
        <v>28</v>
      </c>
      <c r="AC1191" s="284"/>
      <c r="AD1191" s="284"/>
    </row>
    <row r="1192" ht="14.25" customHeight="1">
      <c r="A1192" s="265">
        <v>44389.0</v>
      </c>
      <c r="B1192" s="266" t="s">
        <v>1783</v>
      </c>
      <c r="C1192" s="266"/>
      <c r="D1192" s="266" t="s">
        <v>1450</v>
      </c>
      <c r="E1192" s="268"/>
      <c r="F1192" s="358" t="s">
        <v>4636</v>
      </c>
      <c r="G1192" s="268" t="s">
        <v>2085</v>
      </c>
      <c r="H1192" s="270">
        <v>0.10024305555555556</v>
      </c>
      <c r="I1192" s="271">
        <v>44389.74166666667</v>
      </c>
      <c r="J1192" s="268"/>
      <c r="K1192" s="271">
        <v>44389.821076388886</v>
      </c>
      <c r="L1192" s="288" t="str">
        <f t="shared" ref="L1192:L1195" si="32">IFERROR(IF(OR(I1192="",K1192=""),"",K1192-I1192),"")</f>
        <v>1:54:21 AM</v>
      </c>
      <c r="M1192" s="307"/>
      <c r="N1192" s="273"/>
      <c r="O1192" s="276"/>
      <c r="P1192" s="276"/>
      <c r="Q1192" s="276"/>
      <c r="R1192" s="278"/>
      <c r="S1192" s="278"/>
      <c r="T1192" s="278"/>
      <c r="U1192" s="279"/>
      <c r="V1192" s="279" t="s">
        <v>1783</v>
      </c>
      <c r="W1192" s="280">
        <v>44390.0</v>
      </c>
      <c r="X1192" s="281">
        <v>0.2708333333333333</v>
      </c>
      <c r="Y1192" s="279" t="s">
        <v>1693</v>
      </c>
      <c r="Z1192" s="282" t="s">
        <v>53</v>
      </c>
      <c r="AA1192" s="282" t="s">
        <v>4636</v>
      </c>
      <c r="AB1192" s="283">
        <v>44390.0</v>
      </c>
      <c r="AC1192" s="284"/>
      <c r="AD1192" s="284"/>
    </row>
    <row r="1193" ht="14.25" customHeight="1">
      <c r="A1193" s="265">
        <v>44389.0</v>
      </c>
      <c r="B1193" s="266" t="s">
        <v>1824</v>
      </c>
      <c r="C1193" s="266"/>
      <c r="D1193" s="266" t="s">
        <v>1452</v>
      </c>
      <c r="E1193" s="268"/>
      <c r="F1193" s="358" t="s">
        <v>4637</v>
      </c>
      <c r="G1193" s="268" t="s">
        <v>2085</v>
      </c>
      <c r="H1193" s="270">
        <v>0.005046296296296296</v>
      </c>
      <c r="I1193" s="271">
        <v>44389.743055555555</v>
      </c>
      <c r="J1193" s="268"/>
      <c r="K1193" s="271">
        <v>44389.75021990741</v>
      </c>
      <c r="L1193" s="288" t="str">
        <f t="shared" si="32"/>
        <v>12:10:19 AM</v>
      </c>
      <c r="M1193" s="278"/>
      <c r="N1193" s="290"/>
      <c r="O1193" s="276"/>
      <c r="P1193" s="276"/>
      <c r="Q1193" s="276"/>
      <c r="R1193" s="278"/>
      <c r="S1193" s="278"/>
      <c r="T1193" s="278"/>
      <c r="U1193" s="279"/>
      <c r="V1193" s="279" t="s">
        <v>1824</v>
      </c>
      <c r="W1193" s="280">
        <v>44390.0</v>
      </c>
      <c r="X1193" s="281">
        <v>0.024305555555555556</v>
      </c>
      <c r="Y1193" s="279" t="s">
        <v>1693</v>
      </c>
      <c r="Z1193" s="282" t="s">
        <v>53</v>
      </c>
      <c r="AA1193" s="282" t="s">
        <v>4637</v>
      </c>
      <c r="AB1193" s="283">
        <v>44390.0</v>
      </c>
      <c r="AC1193" s="284"/>
      <c r="AD1193" s="284"/>
    </row>
    <row r="1194" ht="14.25" customHeight="1">
      <c r="A1194" s="265">
        <v>44389.0</v>
      </c>
      <c r="B1194" s="266" t="s">
        <v>1685</v>
      </c>
      <c r="C1194" s="266"/>
      <c r="D1194" s="266" t="s">
        <v>1686</v>
      </c>
      <c r="E1194" s="268"/>
      <c r="F1194" s="358" t="s">
        <v>4638</v>
      </c>
      <c r="G1194" s="268" t="s">
        <v>2085</v>
      </c>
      <c r="H1194" s="270">
        <v>0.038564814814814816</v>
      </c>
      <c r="I1194" s="271">
        <v>44389.74444444444</v>
      </c>
      <c r="J1194" s="268"/>
      <c r="K1194" s="271">
        <v>44389.779861111114</v>
      </c>
      <c r="L1194" s="288" t="str">
        <f t="shared" si="32"/>
        <v>12:51:00 AM</v>
      </c>
      <c r="M1194" s="278"/>
      <c r="N1194" s="290"/>
      <c r="O1194" s="276"/>
      <c r="P1194" s="276"/>
      <c r="Q1194" s="276"/>
      <c r="R1194" s="278"/>
      <c r="S1194" s="278"/>
      <c r="T1194" s="278"/>
      <c r="U1194" s="279"/>
      <c r="V1194" s="279" t="s">
        <v>1685</v>
      </c>
      <c r="W1194" s="280">
        <v>44390.0</v>
      </c>
      <c r="X1194" s="281">
        <v>0.125</v>
      </c>
      <c r="Y1194" s="279" t="s">
        <v>1693</v>
      </c>
      <c r="Z1194" s="282" t="s">
        <v>53</v>
      </c>
      <c r="AA1194" s="282" t="s">
        <v>4638</v>
      </c>
      <c r="AB1194" s="283">
        <v>44390.0</v>
      </c>
      <c r="AC1194" s="284"/>
      <c r="AD1194" s="284"/>
    </row>
    <row r="1195" ht="14.25" customHeight="1">
      <c r="A1195" s="265">
        <v>44389.0</v>
      </c>
      <c r="B1195" s="266" t="s">
        <v>1733</v>
      </c>
      <c r="C1195" s="266"/>
      <c r="D1195" s="266" t="s">
        <v>1455</v>
      </c>
      <c r="E1195" s="268"/>
      <c r="F1195" s="358" t="s">
        <v>4639</v>
      </c>
      <c r="G1195" s="268" t="s">
        <v>2085</v>
      </c>
      <c r="H1195" s="270">
        <v>0.01960648148148148</v>
      </c>
      <c r="I1195" s="271">
        <v>44389.989583333336</v>
      </c>
      <c r="J1195" s="268"/>
      <c r="K1195" s="271">
        <v>44390.01315972222</v>
      </c>
      <c r="L1195" s="288" t="str">
        <f t="shared" si="32"/>
        <v>12:33:57 AM</v>
      </c>
      <c r="M1195" s="278"/>
      <c r="N1195" s="290"/>
      <c r="O1195" s="276"/>
      <c r="P1195" s="276"/>
      <c r="Q1195" s="276"/>
      <c r="R1195" s="278"/>
      <c r="S1195" s="278"/>
      <c r="T1195" s="278"/>
      <c r="U1195" s="279"/>
      <c r="V1195" s="279" t="s">
        <v>1685</v>
      </c>
      <c r="W1195" s="280">
        <v>44390.0</v>
      </c>
      <c r="X1195" s="281">
        <v>0.08333333333333333</v>
      </c>
      <c r="Y1195" s="279" t="s">
        <v>1693</v>
      </c>
      <c r="Z1195" s="282" t="s">
        <v>53</v>
      </c>
      <c r="AA1195" s="282" t="s">
        <v>4639</v>
      </c>
      <c r="AB1195" s="283">
        <v>44390.0</v>
      </c>
      <c r="AC1195" s="284"/>
      <c r="AD1195" s="284"/>
    </row>
    <row r="1196" ht="14.25" customHeight="1">
      <c r="A1196" s="265">
        <v>44390.0</v>
      </c>
      <c r="B1196" s="266" t="s">
        <v>1783</v>
      </c>
      <c r="C1196" s="266" t="s">
        <v>4403</v>
      </c>
      <c r="D1196" s="266" t="s">
        <v>1450</v>
      </c>
      <c r="E1196" s="268"/>
      <c r="F1196" s="417" t="s">
        <v>4640</v>
      </c>
      <c r="G1196" s="268" t="s">
        <v>1463</v>
      </c>
      <c r="H1196" s="270">
        <v>0.0022916666666666667</v>
      </c>
      <c r="I1196" s="271">
        <v>44390.55486111111</v>
      </c>
      <c r="J1196" s="268"/>
      <c r="K1196" s="271">
        <v>44390.57848379629</v>
      </c>
      <c r="L1196" s="288"/>
      <c r="M1196" s="278" t="s">
        <v>4641</v>
      </c>
      <c r="N1196" s="290"/>
      <c r="O1196" s="276"/>
      <c r="P1196" s="276"/>
      <c r="Q1196" s="276"/>
      <c r="R1196" s="278"/>
      <c r="S1196" s="278"/>
      <c r="T1196" s="278"/>
      <c r="U1196" s="279"/>
      <c r="V1196" s="279" t="s">
        <v>1783</v>
      </c>
      <c r="W1196" s="280">
        <v>44392.0</v>
      </c>
      <c r="X1196" s="281">
        <v>0.0020833333333333333</v>
      </c>
      <c r="Y1196" s="279" t="s">
        <v>1691</v>
      </c>
      <c r="Z1196" s="282" t="s">
        <v>53</v>
      </c>
      <c r="AA1196" s="282">
        <v>6401769.0</v>
      </c>
      <c r="AB1196" s="283">
        <v>44391.0</v>
      </c>
      <c r="AC1196" s="284"/>
      <c r="AD1196" s="284"/>
    </row>
    <row r="1197" ht="14.25" customHeight="1">
      <c r="A1197" s="265">
        <v>44390.0</v>
      </c>
      <c r="B1197" s="266" t="s">
        <v>2030</v>
      </c>
      <c r="C1197" s="266" t="s">
        <v>2083</v>
      </c>
      <c r="D1197" s="266" t="s">
        <v>1543</v>
      </c>
      <c r="E1197" s="268"/>
      <c r="F1197" s="269" t="s">
        <v>4642</v>
      </c>
      <c r="G1197" s="268" t="s">
        <v>1463</v>
      </c>
      <c r="H1197" s="270">
        <v>8.912037037037036E-4</v>
      </c>
      <c r="I1197" s="271">
        <v>44392.39236111111</v>
      </c>
      <c r="J1197" s="268"/>
      <c r="K1197" s="271">
        <v>44392.39375</v>
      </c>
      <c r="L1197" s="288"/>
      <c r="M1197" s="278" t="s">
        <v>4643</v>
      </c>
      <c r="N1197" s="290"/>
      <c r="O1197" s="276"/>
      <c r="P1197" s="276"/>
      <c r="Q1197" s="276"/>
      <c r="R1197" s="278"/>
      <c r="S1197" s="278"/>
      <c r="T1197" s="278"/>
      <c r="U1197" s="279"/>
      <c r="V1197" s="279" t="s">
        <v>1824</v>
      </c>
      <c r="W1197" s="280">
        <v>44393.0</v>
      </c>
      <c r="X1197" s="281">
        <v>0.0020833333333333333</v>
      </c>
      <c r="Y1197" s="279" t="s">
        <v>1693</v>
      </c>
      <c r="Z1197" s="282" t="s">
        <v>53</v>
      </c>
      <c r="AA1197" s="282">
        <v>6404938.0</v>
      </c>
      <c r="AB1197" s="283">
        <v>44393.0</v>
      </c>
      <c r="AC1197" s="284"/>
      <c r="AD1197" s="284"/>
    </row>
    <row r="1198" ht="14.25" customHeight="1">
      <c r="A1198" s="265">
        <v>44390.0</v>
      </c>
      <c r="B1198" s="266" t="s">
        <v>2030</v>
      </c>
      <c r="C1198" s="266" t="s">
        <v>1450</v>
      </c>
      <c r="D1198" s="266" t="s">
        <v>1543</v>
      </c>
      <c r="E1198" s="268"/>
      <c r="F1198" s="269" t="s">
        <v>4644</v>
      </c>
      <c r="G1198" s="268" t="s">
        <v>1463</v>
      </c>
      <c r="H1198" s="270">
        <v>0.034722222222222224</v>
      </c>
      <c r="I1198" s="271">
        <v>44393.41875</v>
      </c>
      <c r="J1198" s="268"/>
      <c r="K1198" s="271">
        <v>44393.42013888889</v>
      </c>
      <c r="L1198" s="288"/>
      <c r="M1198" s="278" t="s">
        <v>4645</v>
      </c>
      <c r="N1198" s="290"/>
      <c r="O1198" s="276"/>
      <c r="P1198" s="276"/>
      <c r="Q1198" s="276"/>
      <c r="R1198" s="278"/>
      <c r="S1198" s="278"/>
      <c r="T1198" s="278"/>
      <c r="U1198" s="279"/>
      <c r="V1198" s="279" t="s">
        <v>1824</v>
      </c>
      <c r="W1198" s="280">
        <v>44393.0</v>
      </c>
      <c r="X1198" s="281">
        <v>0.004166666666666667</v>
      </c>
      <c r="Y1198" s="279" t="s">
        <v>1693</v>
      </c>
      <c r="Z1198" s="282" t="s">
        <v>53</v>
      </c>
      <c r="AA1198" s="282">
        <v>6404980.0</v>
      </c>
      <c r="AB1198" s="283">
        <v>44393.0</v>
      </c>
      <c r="AC1198" s="284"/>
      <c r="AD1198" s="284"/>
    </row>
    <row r="1199" ht="14.25" customHeight="1">
      <c r="A1199" s="265">
        <v>44390.0</v>
      </c>
      <c r="B1199" s="266" t="s">
        <v>1824</v>
      </c>
      <c r="C1199" s="266"/>
      <c r="D1199" s="266" t="s">
        <v>1452</v>
      </c>
      <c r="E1199" s="268"/>
      <c r="F1199" s="291" t="s">
        <v>3918</v>
      </c>
      <c r="G1199" s="268"/>
      <c r="H1199" s="268"/>
      <c r="I1199" s="268"/>
      <c r="J1199" s="268"/>
      <c r="K1199" s="268"/>
      <c r="L1199" s="288" t="str">
        <f t="shared" ref="L1199:L1202" si="33">IFERROR(IF(OR(I1199="",K1199=""),"",K1199-I1199),"")</f>
        <v/>
      </c>
      <c r="M1199" s="278"/>
      <c r="N1199" s="290"/>
      <c r="O1199" s="276"/>
      <c r="P1199" s="276"/>
      <c r="Q1199" s="276"/>
      <c r="R1199" s="278"/>
      <c r="S1199" s="278"/>
      <c r="T1199" s="278"/>
      <c r="U1199" s="279"/>
      <c r="V1199" s="279" t="s">
        <v>28</v>
      </c>
      <c r="W1199" s="279" t="s">
        <v>28</v>
      </c>
      <c r="X1199" s="279" t="s">
        <v>28</v>
      </c>
      <c r="Y1199" s="279" t="s">
        <v>28</v>
      </c>
      <c r="Z1199" s="282" t="s">
        <v>28</v>
      </c>
      <c r="AA1199" s="282" t="s">
        <v>28</v>
      </c>
      <c r="AB1199" s="282" t="s">
        <v>28</v>
      </c>
      <c r="AC1199" s="284"/>
      <c r="AD1199" s="284"/>
    </row>
    <row r="1200" ht="14.25" customHeight="1">
      <c r="A1200" s="265">
        <v>44390.0</v>
      </c>
      <c r="B1200" s="266" t="s">
        <v>1783</v>
      </c>
      <c r="C1200" s="266"/>
      <c r="D1200" s="266" t="s">
        <v>1450</v>
      </c>
      <c r="E1200" s="268"/>
      <c r="F1200" s="358" t="s">
        <v>4646</v>
      </c>
      <c r="G1200" s="268" t="s">
        <v>2085</v>
      </c>
      <c r="H1200" s="270">
        <v>0.09959490740740741</v>
      </c>
      <c r="I1200" s="271">
        <v>44390.74444444444</v>
      </c>
      <c r="J1200" s="268"/>
      <c r="K1200" s="271">
        <v>44390.824421296296</v>
      </c>
      <c r="L1200" s="288" t="str">
        <f t="shared" si="33"/>
        <v>1:55:10 AM</v>
      </c>
      <c r="M1200" s="278"/>
      <c r="N1200" s="290"/>
      <c r="O1200" s="276"/>
      <c r="P1200" s="276"/>
      <c r="Q1200" s="276"/>
      <c r="R1200" s="278"/>
      <c r="S1200" s="278"/>
      <c r="T1200" s="278"/>
      <c r="U1200" s="279"/>
      <c r="V1200" s="279" t="s">
        <v>1783</v>
      </c>
      <c r="W1200" s="279" t="s">
        <v>4647</v>
      </c>
      <c r="X1200" s="281">
        <v>0.2708333333333333</v>
      </c>
      <c r="Y1200" s="279" t="s">
        <v>1693</v>
      </c>
      <c r="Z1200" s="282" t="s">
        <v>53</v>
      </c>
      <c r="AA1200" s="282" t="s">
        <v>4646</v>
      </c>
      <c r="AB1200" s="283">
        <v>44392.0</v>
      </c>
      <c r="AC1200" s="284"/>
      <c r="AD1200" s="284"/>
    </row>
    <row r="1201" ht="14.25" customHeight="1">
      <c r="A1201" s="265">
        <v>44390.0</v>
      </c>
      <c r="B1201" s="266" t="s">
        <v>1685</v>
      </c>
      <c r="C1201" s="266"/>
      <c r="D1201" s="266" t="s">
        <v>1686</v>
      </c>
      <c r="E1201" s="268"/>
      <c r="F1201" s="358" t="s">
        <v>4648</v>
      </c>
      <c r="G1201" s="268" t="s">
        <v>2085</v>
      </c>
      <c r="H1201" s="270">
        <v>0.037245370370370366</v>
      </c>
      <c r="I1201" s="271">
        <v>44390.74722222222</v>
      </c>
      <c r="J1201" s="268"/>
      <c r="K1201" s="271">
        <v>44390.77502314815</v>
      </c>
      <c r="L1201" s="288" t="str">
        <f t="shared" si="33"/>
        <v>12:40:02 AM</v>
      </c>
      <c r="M1201" s="278"/>
      <c r="N1201" s="290"/>
      <c r="O1201" s="276"/>
      <c r="P1201" s="276"/>
      <c r="Q1201" s="276"/>
      <c r="R1201" s="278"/>
      <c r="S1201" s="278"/>
      <c r="T1201" s="278"/>
      <c r="U1201" s="279"/>
      <c r="V1201" s="279" t="s">
        <v>1685</v>
      </c>
      <c r="W1201" s="280">
        <v>44391.0</v>
      </c>
      <c r="X1201" s="281">
        <v>0.125</v>
      </c>
      <c r="Y1201" s="279" t="s">
        <v>1693</v>
      </c>
      <c r="Z1201" s="282" t="s">
        <v>53</v>
      </c>
      <c r="AA1201" s="282" t="s">
        <v>4648</v>
      </c>
      <c r="AB1201" s="283">
        <v>44391.0</v>
      </c>
      <c r="AC1201" s="284"/>
      <c r="AD1201" s="284"/>
    </row>
    <row r="1202" ht="14.25" customHeight="1">
      <c r="A1202" s="265">
        <v>44390.0</v>
      </c>
      <c r="B1202" s="266" t="s">
        <v>1733</v>
      </c>
      <c r="C1202" s="266"/>
      <c r="D1202" s="266" t="s">
        <v>1455</v>
      </c>
      <c r="E1202" s="268"/>
      <c r="F1202" s="358" t="s">
        <v>4649</v>
      </c>
      <c r="G1202" s="268" t="s">
        <v>2085</v>
      </c>
      <c r="H1202" s="270">
        <v>0.021180555555555553</v>
      </c>
      <c r="I1202" s="271">
        <v>44390.88402777778</v>
      </c>
      <c r="J1202" s="268"/>
      <c r="K1202" s="271">
        <v>44390.9065162037</v>
      </c>
      <c r="L1202" s="288" t="str">
        <f t="shared" si="33"/>
        <v>12:32:23 AM</v>
      </c>
      <c r="M1202" s="278"/>
      <c r="N1202" s="290"/>
      <c r="O1202" s="276"/>
      <c r="P1202" s="276"/>
      <c r="Q1202" s="276"/>
      <c r="R1202" s="278"/>
      <c r="S1202" s="278"/>
      <c r="T1202" s="278"/>
      <c r="U1202" s="279"/>
      <c r="V1202" s="279" t="s">
        <v>1685</v>
      </c>
      <c r="W1202" s="280">
        <v>44391.0</v>
      </c>
      <c r="X1202" s="281">
        <v>0.08333333333333333</v>
      </c>
      <c r="Y1202" s="279" t="s">
        <v>1693</v>
      </c>
      <c r="Z1202" s="282" t="s">
        <v>53</v>
      </c>
      <c r="AA1202" s="282" t="s">
        <v>4649</v>
      </c>
      <c r="AB1202" s="283">
        <v>44391.0</v>
      </c>
      <c r="AC1202" s="284"/>
      <c r="AD1202" s="284"/>
    </row>
    <row r="1203" ht="14.25" customHeight="1">
      <c r="A1203" s="265">
        <v>44391.0</v>
      </c>
      <c r="B1203" s="266" t="s">
        <v>1783</v>
      </c>
      <c r="C1203" s="266" t="s">
        <v>4403</v>
      </c>
      <c r="D1203" s="266" t="s">
        <v>1450</v>
      </c>
      <c r="E1203" s="268"/>
      <c r="F1203" s="417" t="s">
        <v>4650</v>
      </c>
      <c r="G1203" s="268" t="s">
        <v>1463</v>
      </c>
      <c r="H1203" s="270">
        <v>0.0027662037037037034</v>
      </c>
      <c r="I1203" s="271">
        <v>44391.50208333333</v>
      </c>
      <c r="J1203" s="268"/>
      <c r="K1203" s="271">
        <v>44391.505960648145</v>
      </c>
      <c r="L1203" s="288"/>
      <c r="M1203" s="278" t="s">
        <v>4651</v>
      </c>
      <c r="N1203" s="290"/>
      <c r="O1203" s="276"/>
      <c r="P1203" s="276"/>
      <c r="Q1203" s="276"/>
      <c r="R1203" s="278"/>
      <c r="S1203" s="278"/>
      <c r="T1203" s="278"/>
      <c r="U1203" s="279"/>
      <c r="V1203" s="279" t="s">
        <v>1783</v>
      </c>
      <c r="W1203" s="280">
        <v>44392.0</v>
      </c>
      <c r="X1203" s="281">
        <v>0.0020833333333333333</v>
      </c>
      <c r="Y1203" s="279" t="s">
        <v>1693</v>
      </c>
      <c r="Z1203" s="282" t="s">
        <v>53</v>
      </c>
      <c r="AA1203" s="282">
        <v>6404939.0</v>
      </c>
      <c r="AB1203" s="283">
        <v>44393.0</v>
      </c>
      <c r="AC1203" s="284"/>
      <c r="AD1203" s="284"/>
    </row>
    <row r="1204" ht="14.25" customHeight="1">
      <c r="A1204" s="265">
        <v>44391.0</v>
      </c>
      <c r="B1204" s="266" t="s">
        <v>1500</v>
      </c>
      <c r="C1204" s="266" t="s">
        <v>1686</v>
      </c>
      <c r="D1204" s="266" t="s">
        <v>1543</v>
      </c>
      <c r="E1204" s="268"/>
      <c r="F1204" s="269" t="s">
        <v>4652</v>
      </c>
      <c r="G1204" s="268" t="s">
        <v>1463</v>
      </c>
      <c r="H1204" s="270">
        <v>0.0019328703703703704</v>
      </c>
      <c r="I1204" s="271">
        <v>44396.572916666664</v>
      </c>
      <c r="J1204" s="268"/>
      <c r="K1204" s="271">
        <v>44396.929756944446</v>
      </c>
      <c r="L1204" s="288"/>
      <c r="M1204" s="278" t="s">
        <v>4653</v>
      </c>
      <c r="N1204" s="290"/>
      <c r="O1204" s="276"/>
      <c r="P1204" s="276"/>
      <c r="Q1204" s="276"/>
      <c r="R1204" s="278"/>
      <c r="S1204" s="278"/>
      <c r="T1204" s="278"/>
      <c r="U1204" s="279"/>
      <c r="V1204" s="279" t="s">
        <v>1783</v>
      </c>
      <c r="W1204" s="280">
        <v>44397.0</v>
      </c>
      <c r="X1204" s="281">
        <v>0.010416666666666666</v>
      </c>
      <c r="Y1204" s="279" t="s">
        <v>1693</v>
      </c>
      <c r="Z1204" s="282" t="s">
        <v>53</v>
      </c>
      <c r="AA1204" s="282">
        <v>6413053.0</v>
      </c>
      <c r="AB1204" s="283">
        <v>44399.0</v>
      </c>
      <c r="AC1204" s="284"/>
      <c r="AD1204" s="284"/>
    </row>
    <row r="1205" ht="14.25" customHeight="1">
      <c r="A1205" s="265">
        <v>44391.0</v>
      </c>
      <c r="B1205" s="266" t="s">
        <v>1783</v>
      </c>
      <c r="C1205" s="266"/>
      <c r="D1205" s="266" t="s">
        <v>1450</v>
      </c>
      <c r="E1205" s="268"/>
      <c r="F1205" s="358" t="s">
        <v>4654</v>
      </c>
      <c r="G1205" s="268" t="s">
        <v>2085</v>
      </c>
      <c r="H1205" s="270">
        <v>0.09934027777777778</v>
      </c>
      <c r="I1205" s="271">
        <v>44391.73819444444</v>
      </c>
      <c r="J1205" s="268"/>
      <c r="K1205" s="271">
        <v>44391.79210648148</v>
      </c>
      <c r="L1205" s="288" t="str">
        <f t="shared" ref="L1205:L1208" si="34">IFERROR(IF(OR(I1205="",K1205=""),"",K1205-I1205),"")</f>
        <v>1:17:38 AM</v>
      </c>
      <c r="M1205" s="278"/>
      <c r="N1205" s="290"/>
      <c r="O1205" s="276"/>
      <c r="P1205" s="276"/>
      <c r="Q1205" s="276"/>
      <c r="R1205" s="278"/>
      <c r="S1205" s="278"/>
      <c r="T1205" s="278"/>
      <c r="U1205" s="279"/>
      <c r="V1205" s="279" t="s">
        <v>1783</v>
      </c>
      <c r="W1205" s="279" t="s">
        <v>4655</v>
      </c>
      <c r="X1205" s="281">
        <v>0.2708333333333333</v>
      </c>
      <c r="Y1205" s="279" t="s">
        <v>1693</v>
      </c>
      <c r="Z1205" s="282" t="s">
        <v>53</v>
      </c>
      <c r="AA1205" s="282" t="s">
        <v>4654</v>
      </c>
      <c r="AB1205" s="283">
        <v>44392.0</v>
      </c>
      <c r="AC1205" s="284"/>
      <c r="AD1205" s="284"/>
    </row>
    <row r="1206" ht="14.25" customHeight="1">
      <c r="A1206" s="265">
        <v>44391.0</v>
      </c>
      <c r="B1206" s="266" t="s">
        <v>1824</v>
      </c>
      <c r="C1206" s="266"/>
      <c r="D1206" s="266" t="s">
        <v>1452</v>
      </c>
      <c r="E1206" s="268"/>
      <c r="F1206" s="358" t="s">
        <v>4656</v>
      </c>
      <c r="G1206" s="268" t="s">
        <v>2085</v>
      </c>
      <c r="H1206" s="270">
        <v>3.5879629629629635E-4</v>
      </c>
      <c r="I1206" s="271">
        <v>44391.739583333336</v>
      </c>
      <c r="J1206" s="268"/>
      <c r="K1206" s="271">
        <v>44391.74318287037</v>
      </c>
      <c r="L1206" s="288" t="str">
        <f t="shared" si="34"/>
        <v>12:05:11 AM</v>
      </c>
      <c r="M1206" s="278"/>
      <c r="N1206" s="290"/>
      <c r="O1206" s="276"/>
      <c r="P1206" s="276"/>
      <c r="Q1206" s="276"/>
      <c r="R1206" s="278"/>
      <c r="S1206" s="278"/>
      <c r="T1206" s="278"/>
      <c r="U1206" s="279"/>
      <c r="V1206" s="279" t="s">
        <v>1824</v>
      </c>
      <c r="W1206" s="280">
        <v>44392.0</v>
      </c>
      <c r="X1206" s="281">
        <v>0.001388888888888889</v>
      </c>
      <c r="Y1206" s="279" t="s">
        <v>1693</v>
      </c>
      <c r="Z1206" s="282" t="s">
        <v>53</v>
      </c>
      <c r="AA1206" s="282" t="s">
        <v>4657</v>
      </c>
      <c r="AB1206" s="283">
        <v>44392.0</v>
      </c>
      <c r="AC1206" s="284"/>
      <c r="AD1206" s="284"/>
    </row>
    <row r="1207" ht="14.25" customHeight="1">
      <c r="A1207" s="265">
        <v>44391.0</v>
      </c>
      <c r="B1207" s="266" t="s">
        <v>1685</v>
      </c>
      <c r="C1207" s="266"/>
      <c r="D1207" s="266" t="s">
        <v>1686</v>
      </c>
      <c r="E1207" s="268"/>
      <c r="F1207" s="358" t="s">
        <v>4658</v>
      </c>
      <c r="G1207" s="268" t="s">
        <v>2085</v>
      </c>
      <c r="H1207" s="270">
        <v>0.03670138888888889</v>
      </c>
      <c r="I1207" s="271">
        <v>44391.75</v>
      </c>
      <c r="J1207" s="268"/>
      <c r="K1207" s="271">
        <v>44391.77074074074</v>
      </c>
      <c r="L1207" s="288" t="str">
        <f t="shared" si="34"/>
        <v>12:29:52 AM</v>
      </c>
      <c r="M1207" s="278"/>
      <c r="N1207" s="290"/>
      <c r="O1207" s="276"/>
      <c r="P1207" s="276"/>
      <c r="Q1207" s="276"/>
      <c r="R1207" s="278"/>
      <c r="S1207" s="278"/>
      <c r="T1207" s="278"/>
      <c r="U1207" s="279"/>
      <c r="V1207" s="279" t="s">
        <v>1685</v>
      </c>
      <c r="W1207" s="280">
        <v>44392.0</v>
      </c>
      <c r="X1207" s="281">
        <v>0.14583333333333334</v>
      </c>
      <c r="Y1207" s="279" t="s">
        <v>1693</v>
      </c>
      <c r="Z1207" s="282" t="s">
        <v>53</v>
      </c>
      <c r="AA1207" s="282" t="s">
        <v>4658</v>
      </c>
      <c r="AB1207" s="283">
        <v>44392.0</v>
      </c>
      <c r="AC1207" s="284"/>
      <c r="AD1207" s="284"/>
    </row>
    <row r="1208" ht="14.25" customHeight="1">
      <c r="A1208" s="265">
        <v>44391.0</v>
      </c>
      <c r="B1208" s="266" t="s">
        <v>1733</v>
      </c>
      <c r="C1208" s="266"/>
      <c r="D1208" s="266" t="s">
        <v>1455</v>
      </c>
      <c r="E1208" s="268"/>
      <c r="F1208" s="358" t="s">
        <v>4659</v>
      </c>
      <c r="G1208" s="268" t="s">
        <v>2085</v>
      </c>
      <c r="H1208" s="270">
        <v>0.0212962962962963</v>
      </c>
      <c r="I1208" s="271">
        <v>44391.99097222222</v>
      </c>
      <c r="J1208" s="268"/>
      <c r="K1208" s="271">
        <v>44392.010104166664</v>
      </c>
      <c r="L1208" s="288" t="str">
        <f t="shared" si="34"/>
        <v>12:27:33 AM</v>
      </c>
      <c r="M1208" s="278"/>
      <c r="N1208" s="290"/>
      <c r="O1208" s="276"/>
      <c r="P1208" s="276"/>
      <c r="Q1208" s="276"/>
      <c r="R1208" s="278"/>
      <c r="S1208" s="278"/>
      <c r="T1208" s="278"/>
      <c r="U1208" s="279"/>
      <c r="V1208" s="279" t="s">
        <v>1685</v>
      </c>
      <c r="W1208" s="280">
        <v>44392.0</v>
      </c>
      <c r="X1208" s="281">
        <v>0.08333333333333333</v>
      </c>
      <c r="Y1208" s="279" t="s">
        <v>1693</v>
      </c>
      <c r="Z1208" s="282" t="s">
        <v>53</v>
      </c>
      <c r="AA1208" s="282" t="s">
        <v>4659</v>
      </c>
      <c r="AB1208" s="283">
        <v>44392.0</v>
      </c>
      <c r="AC1208" s="284"/>
      <c r="AD1208" s="284"/>
    </row>
    <row r="1209" ht="14.25" customHeight="1">
      <c r="A1209" s="265">
        <v>44392.0</v>
      </c>
      <c r="B1209" s="266" t="s">
        <v>2030</v>
      </c>
      <c r="C1209" s="266" t="s">
        <v>1696</v>
      </c>
      <c r="D1209" s="266" t="s">
        <v>1543</v>
      </c>
      <c r="E1209" s="268"/>
      <c r="F1209" s="269" t="s">
        <v>4660</v>
      </c>
      <c r="G1209" s="268" t="s">
        <v>1463</v>
      </c>
      <c r="H1209" s="270">
        <v>6.944444444444445E-4</v>
      </c>
      <c r="I1209" s="271">
        <v>44393.49166666667</v>
      </c>
      <c r="J1209" s="268"/>
      <c r="K1209" s="271">
        <v>44393.49375</v>
      </c>
      <c r="L1209" s="288"/>
      <c r="M1209" s="278" t="s">
        <v>4661</v>
      </c>
      <c r="N1209" s="290"/>
      <c r="O1209" s="276"/>
      <c r="P1209" s="276"/>
      <c r="Q1209" s="276"/>
      <c r="R1209" s="278"/>
      <c r="S1209" s="278"/>
      <c r="T1209" s="278"/>
      <c r="U1209" s="279"/>
      <c r="V1209" s="279" t="s">
        <v>1824</v>
      </c>
      <c r="W1209" s="280">
        <v>44393.0</v>
      </c>
      <c r="X1209" s="281">
        <v>0.004166666666666667</v>
      </c>
      <c r="Y1209" s="279" t="s">
        <v>1693</v>
      </c>
      <c r="Z1209" s="282" t="s">
        <v>53</v>
      </c>
      <c r="AA1209" s="282">
        <v>6413054.0</v>
      </c>
      <c r="AB1209" s="283">
        <v>44399.0</v>
      </c>
      <c r="AC1209" s="284"/>
      <c r="AD1209" s="284"/>
    </row>
    <row r="1210" ht="14.25" customHeight="1">
      <c r="A1210" s="265">
        <v>44392.0</v>
      </c>
      <c r="B1210" s="266" t="s">
        <v>2030</v>
      </c>
      <c r="C1210" s="266" t="s">
        <v>1686</v>
      </c>
      <c r="D1210" s="266" t="s">
        <v>1543</v>
      </c>
      <c r="E1210" s="268"/>
      <c r="F1210" s="269" t="s">
        <v>4662</v>
      </c>
      <c r="G1210" s="268" t="s">
        <v>1463</v>
      </c>
      <c r="H1210" s="270">
        <v>0.0015856481481481479</v>
      </c>
      <c r="I1210" s="271">
        <v>44394.52569444444</v>
      </c>
      <c r="J1210" s="268"/>
      <c r="K1210" s="271">
        <v>44394.52916666667</v>
      </c>
      <c r="L1210" s="288"/>
      <c r="M1210" s="278" t="s">
        <v>4663</v>
      </c>
      <c r="N1210" s="290"/>
      <c r="O1210" s="276"/>
      <c r="P1210" s="276"/>
      <c r="Q1210" s="276"/>
      <c r="R1210" s="278"/>
      <c r="S1210" s="278"/>
      <c r="T1210" s="278"/>
      <c r="U1210" s="279"/>
      <c r="V1210" s="279" t="s">
        <v>1783</v>
      </c>
      <c r="W1210" s="280">
        <v>44397.0</v>
      </c>
      <c r="X1210" s="281">
        <v>0.004861111111111111</v>
      </c>
      <c r="Y1210" s="279" t="s">
        <v>1693</v>
      </c>
      <c r="Z1210" s="282" t="s">
        <v>53</v>
      </c>
      <c r="AA1210" s="282">
        <v>6413055.0</v>
      </c>
      <c r="AB1210" s="283">
        <v>44399.0</v>
      </c>
      <c r="AC1210" s="284"/>
      <c r="AD1210" s="284"/>
    </row>
    <row r="1211" ht="14.25" customHeight="1">
      <c r="A1211" s="265">
        <v>44392.0</v>
      </c>
      <c r="B1211" s="266" t="s">
        <v>1500</v>
      </c>
      <c r="C1211" s="266" t="s">
        <v>1686</v>
      </c>
      <c r="D1211" s="266" t="s">
        <v>1543</v>
      </c>
      <c r="E1211" s="268"/>
      <c r="F1211" s="269" t="s">
        <v>4664</v>
      </c>
      <c r="G1211" s="268" t="s">
        <v>1463</v>
      </c>
      <c r="H1211" s="270">
        <v>0.0012731481481481483</v>
      </c>
      <c r="I1211" s="271">
        <v>44397.46944444445</v>
      </c>
      <c r="J1211" s="268"/>
      <c r="K1211" s="271">
        <v>44397.808229166665</v>
      </c>
      <c r="L1211" s="288"/>
      <c r="M1211" s="278" t="s">
        <v>4665</v>
      </c>
      <c r="N1211" s="290"/>
      <c r="O1211" s="276"/>
      <c r="P1211" s="276"/>
      <c r="Q1211" s="276"/>
      <c r="R1211" s="278"/>
      <c r="S1211" s="278"/>
      <c r="T1211" s="278"/>
      <c r="U1211" s="279"/>
      <c r="V1211" s="279" t="s">
        <v>1783</v>
      </c>
      <c r="W1211" s="280">
        <v>44398.0</v>
      </c>
      <c r="X1211" s="281">
        <v>0.003472222222222222</v>
      </c>
      <c r="Y1211" s="279" t="s">
        <v>1693</v>
      </c>
      <c r="Z1211" s="282" t="s">
        <v>53</v>
      </c>
      <c r="AA1211" s="282">
        <v>6413334.0</v>
      </c>
      <c r="AB1211" s="283">
        <v>44399.0</v>
      </c>
      <c r="AC1211" s="284"/>
      <c r="AD1211" s="284"/>
    </row>
    <row r="1212" ht="14.25" customHeight="1">
      <c r="A1212" s="265">
        <v>44392.0</v>
      </c>
      <c r="B1212" s="266" t="s">
        <v>1500</v>
      </c>
      <c r="C1212" s="266" t="s">
        <v>1450</v>
      </c>
      <c r="D1212" s="266" t="s">
        <v>1543</v>
      </c>
      <c r="E1212" s="268"/>
      <c r="F1212" s="269" t="s">
        <v>4666</v>
      </c>
      <c r="G1212" s="268" t="s">
        <v>1463</v>
      </c>
      <c r="H1212" s="270">
        <v>0.001979166666666667</v>
      </c>
      <c r="I1212" s="271">
        <v>44397.73611111111</v>
      </c>
      <c r="J1212" s="268"/>
      <c r="K1212" s="271">
        <v>44399.799363425926</v>
      </c>
      <c r="L1212" s="288"/>
      <c r="M1212" s="278" t="s">
        <v>4667</v>
      </c>
      <c r="N1212" s="290"/>
      <c r="O1212" s="276"/>
      <c r="P1212" s="276"/>
      <c r="Q1212" s="276"/>
      <c r="R1212" s="278"/>
      <c r="S1212" s="278"/>
      <c r="T1212" s="278"/>
      <c r="U1212" s="279"/>
      <c r="V1212" s="279" t="s">
        <v>1783</v>
      </c>
      <c r="W1212" s="280">
        <v>44400.0</v>
      </c>
      <c r="X1212" s="281">
        <v>0.003472222222222222</v>
      </c>
      <c r="Y1212" s="279" t="s">
        <v>1693</v>
      </c>
      <c r="Z1212" s="282" t="s">
        <v>53</v>
      </c>
      <c r="AA1212" s="282">
        <v>6415258.0</v>
      </c>
      <c r="AB1212" s="283">
        <v>44400.0</v>
      </c>
      <c r="AC1212" s="284"/>
      <c r="AD1212" s="284"/>
    </row>
    <row r="1213" ht="14.25" customHeight="1">
      <c r="A1213" s="265">
        <v>44392.0</v>
      </c>
      <c r="B1213" s="266" t="s">
        <v>1783</v>
      </c>
      <c r="C1213" s="266"/>
      <c r="D1213" s="266" t="s">
        <v>1450</v>
      </c>
      <c r="E1213" s="268"/>
      <c r="F1213" s="358" t="s">
        <v>4668</v>
      </c>
      <c r="G1213" s="268" t="s">
        <v>2085</v>
      </c>
      <c r="H1213" s="270">
        <v>0.09916666666666667</v>
      </c>
      <c r="I1213" s="271">
        <v>44392.7375</v>
      </c>
      <c r="J1213" s="268"/>
      <c r="K1213" s="271">
        <v>44392.81234953704</v>
      </c>
      <c r="L1213" s="288" t="str">
        <f t="shared" ref="L1213:L1216" si="35">IFERROR(IF(OR(I1213="",K1213=""),"",K1213-I1213),"")</f>
        <v>1:47:47 AM</v>
      </c>
      <c r="M1213" s="278"/>
      <c r="N1213" s="290"/>
      <c r="O1213" s="276"/>
      <c r="P1213" s="276"/>
      <c r="Q1213" s="276"/>
      <c r="R1213" s="278"/>
      <c r="S1213" s="278"/>
      <c r="T1213" s="278"/>
      <c r="U1213" s="279"/>
      <c r="V1213" s="279" t="s">
        <v>1783</v>
      </c>
      <c r="W1213" s="280">
        <v>44393.0</v>
      </c>
      <c r="X1213" s="281">
        <v>0.25</v>
      </c>
      <c r="Y1213" s="279" t="s">
        <v>1693</v>
      </c>
      <c r="Z1213" s="282" t="s">
        <v>53</v>
      </c>
      <c r="AA1213" s="282" t="s">
        <v>4668</v>
      </c>
      <c r="AB1213" s="283">
        <v>44393.0</v>
      </c>
      <c r="AC1213" s="284"/>
      <c r="AD1213" s="284"/>
    </row>
    <row r="1214" ht="14.25" customHeight="1">
      <c r="A1214" s="265">
        <v>44392.0</v>
      </c>
      <c r="B1214" s="266" t="s">
        <v>1824</v>
      </c>
      <c r="C1214" s="266"/>
      <c r="D1214" s="266" t="s">
        <v>1452</v>
      </c>
      <c r="E1214" s="268"/>
      <c r="F1214" s="358" t="s">
        <v>4669</v>
      </c>
      <c r="G1214" s="268" t="s">
        <v>2085</v>
      </c>
      <c r="H1214" s="270">
        <v>0.005555555555555556</v>
      </c>
      <c r="I1214" s="271">
        <v>44392.73888888889</v>
      </c>
      <c r="J1214" s="268"/>
      <c r="K1214" s="271">
        <v>44392.75928240741</v>
      </c>
      <c r="L1214" s="288" t="str">
        <f t="shared" si="35"/>
        <v>12:29:22 AM</v>
      </c>
      <c r="M1214" s="278"/>
      <c r="N1214" s="290"/>
      <c r="O1214" s="276"/>
      <c r="P1214" s="276"/>
      <c r="Q1214" s="276"/>
      <c r="R1214" s="278"/>
      <c r="S1214" s="278"/>
      <c r="T1214" s="278"/>
      <c r="U1214" s="279"/>
      <c r="V1214" s="279" t="s">
        <v>1824</v>
      </c>
      <c r="W1214" s="280">
        <v>44393.0</v>
      </c>
      <c r="X1214" s="281">
        <v>0.020833333333333332</v>
      </c>
      <c r="Y1214" s="279" t="s">
        <v>1693</v>
      </c>
      <c r="Z1214" s="282" t="s">
        <v>53</v>
      </c>
      <c r="AA1214" s="282" t="s">
        <v>4670</v>
      </c>
      <c r="AB1214" s="283">
        <v>44393.0</v>
      </c>
      <c r="AC1214" s="284"/>
      <c r="AD1214" s="284"/>
    </row>
    <row r="1215" ht="14.25" customHeight="1">
      <c r="A1215" s="265">
        <v>44392.0</v>
      </c>
      <c r="B1215" s="266" t="s">
        <v>1685</v>
      </c>
      <c r="C1215" s="266"/>
      <c r="D1215" s="266" t="s">
        <v>1686</v>
      </c>
      <c r="E1215" s="268"/>
      <c r="F1215" s="358" t="s">
        <v>4671</v>
      </c>
      <c r="G1215" s="268" t="s">
        <v>2085</v>
      </c>
      <c r="H1215" s="270">
        <v>0.03821759259259259</v>
      </c>
      <c r="I1215" s="271">
        <v>44392.743055555555</v>
      </c>
      <c r="J1215" s="268"/>
      <c r="K1215" s="271">
        <v>44392.78208333333</v>
      </c>
      <c r="L1215" s="288" t="str">
        <f t="shared" si="35"/>
        <v>12:56:12 AM</v>
      </c>
      <c r="M1215" s="278"/>
      <c r="N1215" s="290"/>
      <c r="O1215" s="276"/>
      <c r="P1215" s="276"/>
      <c r="Q1215" s="276"/>
      <c r="R1215" s="278"/>
      <c r="S1215" s="278"/>
      <c r="T1215" s="278"/>
      <c r="U1215" s="279"/>
      <c r="V1215" s="279" t="s">
        <v>1685</v>
      </c>
      <c r="W1215" s="280">
        <v>44393.0</v>
      </c>
      <c r="X1215" s="281">
        <v>0.125</v>
      </c>
      <c r="Y1215" s="279" t="s">
        <v>1693</v>
      </c>
      <c r="Z1215" s="282" t="s">
        <v>53</v>
      </c>
      <c r="AA1215" s="282" t="s">
        <v>4671</v>
      </c>
      <c r="AB1215" s="283">
        <v>44393.0</v>
      </c>
      <c r="AC1215" s="284"/>
      <c r="AD1215" s="284"/>
    </row>
    <row r="1216" ht="14.25" customHeight="1">
      <c r="A1216" s="265">
        <v>44392.0</v>
      </c>
      <c r="B1216" s="266" t="s">
        <v>1733</v>
      </c>
      <c r="C1216" s="266"/>
      <c r="D1216" s="266" t="s">
        <v>1455</v>
      </c>
      <c r="E1216" s="268"/>
      <c r="F1216" s="358" t="s">
        <v>4672</v>
      </c>
      <c r="G1216" s="268" t="s">
        <v>2085</v>
      </c>
      <c r="H1216" s="270">
        <v>0.020636574074074075</v>
      </c>
      <c r="I1216" s="271">
        <v>44392.856944444444</v>
      </c>
      <c r="J1216" s="268"/>
      <c r="K1216" s="271">
        <v>44392.872928240744</v>
      </c>
      <c r="L1216" s="288" t="str">
        <f t="shared" si="35"/>
        <v>12:23:01 AM</v>
      </c>
      <c r="M1216" s="278"/>
      <c r="N1216" s="290"/>
      <c r="O1216" s="276"/>
      <c r="P1216" s="276"/>
      <c r="Q1216" s="276"/>
      <c r="R1216" s="278"/>
      <c r="S1216" s="278"/>
      <c r="T1216" s="278"/>
      <c r="U1216" s="279"/>
      <c r="V1216" s="279" t="s">
        <v>1685</v>
      </c>
      <c r="W1216" s="280">
        <v>44393.0</v>
      </c>
      <c r="X1216" s="281">
        <v>0.08333333333333333</v>
      </c>
      <c r="Y1216" s="279" t="s">
        <v>1693</v>
      </c>
      <c r="Z1216" s="282" t="s">
        <v>53</v>
      </c>
      <c r="AA1216" s="282" t="s">
        <v>4672</v>
      </c>
      <c r="AB1216" s="283">
        <v>44393.0</v>
      </c>
      <c r="AC1216" s="284"/>
      <c r="AD1216" s="284"/>
    </row>
    <row r="1217" ht="14.25" customHeight="1">
      <c r="A1217" s="265">
        <v>44393.0</v>
      </c>
      <c r="B1217" s="266" t="s">
        <v>1738</v>
      </c>
      <c r="C1217" s="266" t="s">
        <v>2158</v>
      </c>
      <c r="D1217" s="266" t="s">
        <v>1450</v>
      </c>
      <c r="E1217" s="268"/>
      <c r="F1217" s="358" t="s">
        <v>4673</v>
      </c>
      <c r="G1217" s="268" t="s">
        <v>1463</v>
      </c>
      <c r="H1217" s="270">
        <v>0.0024305555555555556</v>
      </c>
      <c r="I1217" s="271">
        <v>44396.540972222225</v>
      </c>
      <c r="J1217" s="268"/>
      <c r="K1217" s="271">
        <v>44396.54890046296</v>
      </c>
      <c r="L1217" s="288"/>
      <c r="M1217" s="278" t="s">
        <v>4674</v>
      </c>
      <c r="N1217" s="290"/>
      <c r="O1217" s="276"/>
      <c r="P1217" s="276"/>
      <c r="Q1217" s="276"/>
      <c r="R1217" s="278"/>
      <c r="S1217" s="278"/>
      <c r="T1217" s="278"/>
      <c r="U1217" s="279"/>
      <c r="V1217" s="279" t="s">
        <v>1738</v>
      </c>
      <c r="W1217" s="280">
        <v>44396.0</v>
      </c>
      <c r="X1217" s="281">
        <v>0.004861111111111111</v>
      </c>
      <c r="Y1217" s="279" t="s">
        <v>1693</v>
      </c>
      <c r="Z1217" s="282" t="s">
        <v>53</v>
      </c>
      <c r="AA1217" s="282">
        <v>6413056.0</v>
      </c>
      <c r="AB1217" s="283">
        <v>44399.0</v>
      </c>
      <c r="AC1217" s="284"/>
      <c r="AD1217" s="284"/>
    </row>
    <row r="1218" ht="14.25" customHeight="1">
      <c r="A1218" s="265">
        <v>44393.0</v>
      </c>
      <c r="B1218" s="266" t="s">
        <v>1738</v>
      </c>
      <c r="C1218" s="266" t="s">
        <v>2158</v>
      </c>
      <c r="D1218" s="266" t="s">
        <v>1450</v>
      </c>
      <c r="E1218" s="268"/>
      <c r="F1218" s="420" t="s">
        <v>4675</v>
      </c>
      <c r="G1218" s="268" t="s">
        <v>1463</v>
      </c>
      <c r="H1218" s="270">
        <v>0.005185185185185185</v>
      </c>
      <c r="I1218" s="271">
        <v>44397.40625</v>
      </c>
      <c r="J1218" s="268"/>
      <c r="K1218" s="271">
        <v>44397.41087962963</v>
      </c>
      <c r="L1218" s="288"/>
      <c r="M1218" s="278" t="s">
        <v>4676</v>
      </c>
      <c r="N1218" s="290"/>
      <c r="O1218" s="276"/>
      <c r="P1218" s="276"/>
      <c r="Q1218" s="276"/>
      <c r="R1218" s="278"/>
      <c r="S1218" s="278"/>
      <c r="T1218" s="278"/>
      <c r="U1218" s="279"/>
      <c r="V1218" s="279" t="s">
        <v>1738</v>
      </c>
      <c r="W1218" s="280">
        <v>44396.0</v>
      </c>
      <c r="X1218" s="281">
        <v>0.003472222222222222</v>
      </c>
      <c r="Y1218" s="279" t="s">
        <v>1693</v>
      </c>
      <c r="Z1218" s="282" t="s">
        <v>53</v>
      </c>
      <c r="AA1218" s="282">
        <v>6413057.0</v>
      </c>
      <c r="AB1218" s="283">
        <v>44399.0</v>
      </c>
      <c r="AC1218" s="284"/>
      <c r="AD1218" s="284"/>
    </row>
    <row r="1219" ht="14.25" customHeight="1">
      <c r="A1219" s="265">
        <v>44393.0</v>
      </c>
      <c r="B1219" s="266" t="s">
        <v>1500</v>
      </c>
      <c r="C1219" s="266" t="s">
        <v>1686</v>
      </c>
      <c r="D1219" s="266" t="s">
        <v>1543</v>
      </c>
      <c r="E1219" s="268"/>
      <c r="F1219" s="269" t="s">
        <v>4677</v>
      </c>
      <c r="G1219" s="268" t="s">
        <v>1463</v>
      </c>
      <c r="H1219" s="270">
        <v>0.002939814814814815</v>
      </c>
      <c r="I1219" s="271">
        <v>44397.5</v>
      </c>
      <c r="J1219" s="268"/>
      <c r="K1219" s="271">
        <v>44397.83939814815</v>
      </c>
      <c r="L1219" s="288"/>
      <c r="M1219" s="278" t="s">
        <v>4678</v>
      </c>
      <c r="N1219" s="290"/>
      <c r="O1219" s="276"/>
      <c r="P1219" s="276"/>
      <c r="Q1219" s="276"/>
      <c r="R1219" s="278"/>
      <c r="S1219" s="278"/>
      <c r="T1219" s="278"/>
      <c r="U1219" s="279"/>
      <c r="V1219" s="279" t="s">
        <v>1783</v>
      </c>
      <c r="W1219" s="280">
        <v>44398.0</v>
      </c>
      <c r="X1219" s="281">
        <v>0.006944444444444444</v>
      </c>
      <c r="Y1219" s="279" t="s">
        <v>1693</v>
      </c>
      <c r="Z1219" s="282" t="s">
        <v>53</v>
      </c>
      <c r="AA1219" s="282">
        <v>6413331.0</v>
      </c>
      <c r="AB1219" s="283">
        <v>44399.0</v>
      </c>
      <c r="AC1219" s="284"/>
      <c r="AD1219" s="284"/>
    </row>
    <row r="1220" ht="14.25" customHeight="1">
      <c r="A1220" s="265">
        <v>44393.0</v>
      </c>
      <c r="B1220" s="266" t="s">
        <v>1500</v>
      </c>
      <c r="C1220" s="266" t="s">
        <v>1686</v>
      </c>
      <c r="D1220" s="266" t="s">
        <v>1543</v>
      </c>
      <c r="E1220" s="268"/>
      <c r="F1220" s="269" t="s">
        <v>4679</v>
      </c>
      <c r="G1220" s="268" t="s">
        <v>1463</v>
      </c>
      <c r="H1220" s="270">
        <v>0.0021180555555555553</v>
      </c>
      <c r="I1220" s="271">
        <v>44397.50833333333</v>
      </c>
      <c r="J1220" s="268"/>
      <c r="K1220" s="271">
        <v>44397.84763888889</v>
      </c>
      <c r="L1220" s="288"/>
      <c r="M1220" s="278" t="s">
        <v>4680</v>
      </c>
      <c r="N1220" s="290"/>
      <c r="O1220" s="276"/>
      <c r="P1220" s="276"/>
      <c r="Q1220" s="276"/>
      <c r="R1220" s="278"/>
      <c r="S1220" s="278"/>
      <c r="T1220" s="278"/>
      <c r="U1220" s="279"/>
      <c r="V1220" s="279" t="s">
        <v>1783</v>
      </c>
      <c r="W1220" s="280">
        <v>44398.0</v>
      </c>
      <c r="X1220" s="281">
        <v>0.006944444444444444</v>
      </c>
      <c r="Y1220" s="279" t="s">
        <v>1693</v>
      </c>
      <c r="Z1220" s="282" t="s">
        <v>53</v>
      </c>
      <c r="AA1220" s="282">
        <v>6413332.0</v>
      </c>
      <c r="AB1220" s="283">
        <v>44399.0</v>
      </c>
      <c r="AC1220" s="284"/>
      <c r="AD1220" s="284"/>
    </row>
    <row r="1221" ht="14.25" customHeight="1">
      <c r="A1221" s="265">
        <v>44393.0</v>
      </c>
      <c r="B1221" s="266" t="s">
        <v>1500</v>
      </c>
      <c r="C1221" s="266" t="s">
        <v>1455</v>
      </c>
      <c r="D1221" s="266" t="s">
        <v>1543</v>
      </c>
      <c r="E1221" s="268"/>
      <c r="F1221" s="269" t="s">
        <v>4681</v>
      </c>
      <c r="G1221" s="268" t="s">
        <v>1463</v>
      </c>
      <c r="H1221" s="270">
        <v>0.0014467592592592594</v>
      </c>
      <c r="I1221" s="271">
        <v>44397.52291666667</v>
      </c>
      <c r="J1221" s="268"/>
      <c r="K1221" s="271">
        <v>44397.86261574074</v>
      </c>
      <c r="L1221" s="288"/>
      <c r="M1221" s="278" t="s">
        <v>4682</v>
      </c>
      <c r="N1221" s="290"/>
      <c r="O1221" s="276"/>
      <c r="P1221" s="276"/>
      <c r="Q1221" s="276"/>
      <c r="R1221" s="278"/>
      <c r="S1221" s="278"/>
      <c r="T1221" s="278"/>
      <c r="U1221" s="279"/>
      <c r="V1221" s="279" t="s">
        <v>1783</v>
      </c>
      <c r="W1221" s="280">
        <v>44398.0</v>
      </c>
      <c r="X1221" s="281">
        <v>0.006944444444444444</v>
      </c>
      <c r="Y1221" s="279" t="s">
        <v>1693</v>
      </c>
      <c r="Z1221" s="282" t="s">
        <v>53</v>
      </c>
      <c r="AA1221" s="282">
        <v>6413333.0</v>
      </c>
      <c r="AB1221" s="283">
        <v>44399.0</v>
      </c>
      <c r="AC1221" s="284"/>
      <c r="AD1221" s="284"/>
    </row>
    <row r="1222" ht="14.25" customHeight="1">
      <c r="A1222" s="265">
        <v>44393.0</v>
      </c>
      <c r="B1222" s="266" t="s">
        <v>1500</v>
      </c>
      <c r="C1222" s="266" t="s">
        <v>2812</v>
      </c>
      <c r="D1222" s="266" t="s">
        <v>1543</v>
      </c>
      <c r="E1222" s="268"/>
      <c r="F1222" s="269" t="s">
        <v>4683</v>
      </c>
      <c r="G1222" s="268" t="s">
        <v>1463</v>
      </c>
      <c r="H1222" s="270">
        <v>0.0022337962962962967</v>
      </c>
      <c r="I1222" s="271">
        <v>44425.83819444444</v>
      </c>
      <c r="J1222" s="268"/>
      <c r="K1222" s="271">
        <v>44426.49496527778</v>
      </c>
      <c r="L1222" s="288"/>
      <c r="M1222" s="278" t="s">
        <v>4684</v>
      </c>
      <c r="N1222" s="290"/>
      <c r="O1222" s="276"/>
      <c r="P1222" s="276"/>
      <c r="Q1222" s="276"/>
      <c r="R1222" s="278"/>
      <c r="S1222" s="278"/>
      <c r="T1222" s="278"/>
      <c r="U1222" s="279"/>
      <c r="V1222" s="279" t="s">
        <v>1738</v>
      </c>
      <c r="W1222" s="280">
        <v>44446.0</v>
      </c>
      <c r="X1222" s="281">
        <v>0.006944444444444444</v>
      </c>
      <c r="Y1222" s="279" t="s">
        <v>1693</v>
      </c>
      <c r="Z1222" s="282" t="s">
        <v>53</v>
      </c>
      <c r="AA1222" s="282">
        <v>6499295.0</v>
      </c>
      <c r="AB1222" s="283">
        <v>44427.0</v>
      </c>
      <c r="AC1222" s="284"/>
      <c r="AD1222" s="284"/>
    </row>
    <row r="1223" ht="14.25" customHeight="1">
      <c r="A1223" s="265">
        <v>44393.0</v>
      </c>
      <c r="B1223" s="266" t="s">
        <v>1783</v>
      </c>
      <c r="C1223" s="266"/>
      <c r="D1223" s="266" t="s">
        <v>1450</v>
      </c>
      <c r="E1223" s="268"/>
      <c r="F1223" s="358" t="s">
        <v>4685</v>
      </c>
      <c r="G1223" s="268" t="s">
        <v>2085</v>
      </c>
      <c r="H1223" s="270">
        <v>0.10150462962962963</v>
      </c>
      <c r="I1223" s="271">
        <v>44393.739583333336</v>
      </c>
      <c r="J1223" s="268"/>
      <c r="K1223" s="271">
        <v>44393.860138888886</v>
      </c>
      <c r="L1223" s="288" t="str">
        <f t="shared" ref="L1223:L1228" si="36">IFERROR(IF(OR(I1223="",K1223=""),"",K1223-I1223),"")</f>
        <v>2:53:36 AM</v>
      </c>
      <c r="M1223" s="278"/>
      <c r="N1223" s="290"/>
      <c r="O1223" s="276"/>
      <c r="P1223" s="276"/>
      <c r="Q1223" s="276"/>
      <c r="R1223" s="278"/>
      <c r="S1223" s="278"/>
      <c r="T1223" s="278"/>
      <c r="U1223" s="279"/>
      <c r="V1223" s="279" t="s">
        <v>1738</v>
      </c>
      <c r="W1223" s="280">
        <v>44396.0</v>
      </c>
      <c r="X1223" s="281">
        <v>0.25</v>
      </c>
      <c r="Y1223" s="279" t="s">
        <v>1693</v>
      </c>
      <c r="Z1223" s="282" t="s">
        <v>53</v>
      </c>
      <c r="AA1223" s="282" t="s">
        <v>4685</v>
      </c>
      <c r="AB1223" s="283">
        <v>44397.0</v>
      </c>
      <c r="AC1223" s="284"/>
      <c r="AD1223" s="284"/>
    </row>
    <row r="1224" ht="14.25" customHeight="1">
      <c r="A1224" s="265">
        <v>44393.0</v>
      </c>
      <c r="B1224" s="266" t="s">
        <v>1824</v>
      </c>
      <c r="C1224" s="266"/>
      <c r="D1224" s="266" t="s">
        <v>1452</v>
      </c>
      <c r="E1224" s="268"/>
      <c r="F1224" s="358" t="s">
        <v>4686</v>
      </c>
      <c r="G1224" s="268" t="s">
        <v>2085</v>
      </c>
      <c r="H1224" s="270">
        <v>0.002488425925925926</v>
      </c>
      <c r="I1224" s="271">
        <v>44393.74097222222</v>
      </c>
      <c r="J1224" s="268"/>
      <c r="K1224" s="271">
        <v>44393.7449537037</v>
      </c>
      <c r="L1224" s="288" t="str">
        <f t="shared" si="36"/>
        <v>12:05:44 AM</v>
      </c>
      <c r="M1224" s="278"/>
      <c r="N1224" s="290"/>
      <c r="O1224" s="276"/>
      <c r="P1224" s="276"/>
      <c r="Q1224" s="276"/>
      <c r="R1224" s="278"/>
      <c r="S1224" s="278"/>
      <c r="T1224" s="278"/>
      <c r="U1224" s="279"/>
      <c r="V1224" s="279" t="s">
        <v>1783</v>
      </c>
      <c r="W1224" s="280">
        <v>44394.0</v>
      </c>
      <c r="X1224" s="281">
        <v>0.008333333333333333</v>
      </c>
      <c r="Y1224" s="279" t="s">
        <v>1693</v>
      </c>
      <c r="Z1224" s="282" t="s">
        <v>53</v>
      </c>
      <c r="AA1224" s="282" t="s">
        <v>4687</v>
      </c>
      <c r="AB1224" s="283">
        <v>44397.0</v>
      </c>
      <c r="AC1224" s="284"/>
      <c r="AD1224" s="284"/>
    </row>
    <row r="1225" ht="14.25" customHeight="1">
      <c r="A1225" s="265">
        <v>44393.0</v>
      </c>
      <c r="B1225" s="266" t="s">
        <v>1685</v>
      </c>
      <c r="C1225" s="266"/>
      <c r="D1225" s="266" t="s">
        <v>1686</v>
      </c>
      <c r="E1225" s="268"/>
      <c r="F1225" s="358" t="s">
        <v>4688</v>
      </c>
      <c r="G1225" s="268" t="s">
        <v>2085</v>
      </c>
      <c r="H1225" s="270">
        <v>0.037939814814814815</v>
      </c>
      <c r="I1225" s="271">
        <v>44393.74236111111</v>
      </c>
      <c r="J1225" s="268"/>
      <c r="K1225" s="271">
        <v>44393.76657407408</v>
      </c>
      <c r="L1225" s="288" t="str">
        <f t="shared" si="36"/>
        <v>12:34:52 AM</v>
      </c>
      <c r="M1225" s="278"/>
      <c r="N1225" s="290"/>
      <c r="O1225" s="276"/>
      <c r="P1225" s="276"/>
      <c r="Q1225" s="276"/>
      <c r="R1225" s="278"/>
      <c r="S1225" s="278"/>
      <c r="T1225" s="278"/>
      <c r="U1225" s="279"/>
      <c r="V1225" s="279" t="s">
        <v>1685</v>
      </c>
      <c r="W1225" s="280">
        <v>44396.0</v>
      </c>
      <c r="X1225" s="281">
        <v>0.14583333333333334</v>
      </c>
      <c r="Y1225" s="279" t="s">
        <v>1693</v>
      </c>
      <c r="Z1225" s="282" t="s">
        <v>53</v>
      </c>
      <c r="AA1225" s="282" t="s">
        <v>4688</v>
      </c>
      <c r="AB1225" s="283">
        <v>44397.0</v>
      </c>
      <c r="AC1225" s="284"/>
      <c r="AD1225" s="284"/>
    </row>
    <row r="1226" ht="14.25" customHeight="1">
      <c r="A1226" s="265">
        <v>44393.0</v>
      </c>
      <c r="B1226" s="266" t="s">
        <v>1733</v>
      </c>
      <c r="C1226" s="266"/>
      <c r="D1226" s="266" t="s">
        <v>1455</v>
      </c>
      <c r="E1226" s="268"/>
      <c r="F1226" s="358" t="s">
        <v>4689</v>
      </c>
      <c r="G1226" s="268" t="s">
        <v>2085</v>
      </c>
      <c r="H1226" s="270">
        <v>0.020636574074074075</v>
      </c>
      <c r="I1226" s="271">
        <v>44393.87777777778</v>
      </c>
      <c r="J1226" s="268"/>
      <c r="K1226" s="271">
        <v>44393.90008101852</v>
      </c>
      <c r="L1226" s="288" t="str">
        <f t="shared" si="36"/>
        <v>12:32:07 AM</v>
      </c>
      <c r="M1226" s="278"/>
      <c r="N1226" s="290"/>
      <c r="O1226" s="276"/>
      <c r="P1226" s="276"/>
      <c r="Q1226" s="276"/>
      <c r="R1226" s="278"/>
      <c r="S1226" s="278"/>
      <c r="T1226" s="278"/>
      <c r="U1226" s="279"/>
      <c r="V1226" s="279" t="s">
        <v>1783</v>
      </c>
      <c r="W1226" s="280">
        <v>44394.0</v>
      </c>
      <c r="X1226" s="281">
        <v>0.08333333333333333</v>
      </c>
      <c r="Y1226" s="279" t="s">
        <v>1693</v>
      </c>
      <c r="Z1226" s="282" t="s">
        <v>53</v>
      </c>
      <c r="AA1226" s="282" t="s">
        <v>4689</v>
      </c>
      <c r="AB1226" s="283">
        <v>44397.0</v>
      </c>
      <c r="AC1226" s="284"/>
      <c r="AD1226" s="284"/>
    </row>
    <row r="1227" ht="14.25" customHeight="1">
      <c r="A1227" s="265">
        <v>44394.0</v>
      </c>
      <c r="B1227" s="266" t="s">
        <v>1733</v>
      </c>
      <c r="C1227" s="266"/>
      <c r="D1227" s="266" t="s">
        <v>1686</v>
      </c>
      <c r="E1227" s="268"/>
      <c r="F1227" s="358" t="s">
        <v>4690</v>
      </c>
      <c r="G1227" s="268" t="s">
        <v>2085</v>
      </c>
      <c r="H1227" s="270">
        <v>0.04002314814814815</v>
      </c>
      <c r="I1227" s="271">
        <v>44394.68819444445</v>
      </c>
      <c r="J1227" s="268"/>
      <c r="K1227" s="271">
        <v>44396.790868055556</v>
      </c>
      <c r="L1227" s="288" t="str">
        <f t="shared" si="36"/>
        <v>2:27:51 AM</v>
      </c>
      <c r="M1227" s="278"/>
      <c r="N1227" s="290"/>
      <c r="O1227" s="276"/>
      <c r="P1227" s="276"/>
      <c r="Q1227" s="276"/>
      <c r="R1227" s="278"/>
      <c r="S1227" s="278"/>
      <c r="T1227" s="278"/>
      <c r="U1227" s="279"/>
      <c r="V1227" s="279" t="s">
        <v>1685</v>
      </c>
      <c r="W1227" s="280">
        <v>44396.0</v>
      </c>
      <c r="X1227" s="281">
        <v>0.125</v>
      </c>
      <c r="Y1227" s="279" t="s">
        <v>1693</v>
      </c>
      <c r="Z1227" s="282" t="s">
        <v>53</v>
      </c>
      <c r="AA1227" s="282" t="s">
        <v>4690</v>
      </c>
      <c r="AB1227" s="283">
        <v>44397.0</v>
      </c>
      <c r="AC1227" s="284"/>
      <c r="AD1227" s="284"/>
    </row>
    <row r="1228" ht="14.25" customHeight="1">
      <c r="A1228" s="265">
        <v>44394.0</v>
      </c>
      <c r="B1228" s="266" t="s">
        <v>1738</v>
      </c>
      <c r="C1228" s="266"/>
      <c r="D1228" s="266" t="s">
        <v>1455</v>
      </c>
      <c r="E1228" s="268"/>
      <c r="F1228" s="358" t="s">
        <v>4691</v>
      </c>
      <c r="G1228" s="268" t="s">
        <v>2085</v>
      </c>
      <c r="H1228" s="270">
        <v>0.014085648148148151</v>
      </c>
      <c r="I1228" s="271">
        <v>44396.444444444445</v>
      </c>
      <c r="J1228" s="268"/>
      <c r="K1228" s="271">
        <v>44396.585231481484</v>
      </c>
      <c r="L1228" s="288" t="str">
        <f t="shared" si="36"/>
        <v>3:22:44 AM</v>
      </c>
      <c r="M1228" s="278"/>
      <c r="N1228" s="290"/>
      <c r="O1228" s="276"/>
      <c r="P1228" s="276"/>
      <c r="Q1228" s="276"/>
      <c r="R1228" s="278"/>
      <c r="S1228" s="278"/>
      <c r="T1228" s="278"/>
      <c r="U1228" s="279"/>
      <c r="V1228" s="279" t="s">
        <v>1783</v>
      </c>
      <c r="W1228" s="280">
        <v>44396.0</v>
      </c>
      <c r="X1228" s="281">
        <v>0.08333333333333333</v>
      </c>
      <c r="Y1228" s="279" t="s">
        <v>1693</v>
      </c>
      <c r="Z1228" s="282" t="s">
        <v>53</v>
      </c>
      <c r="AA1228" s="282" t="s">
        <v>4691</v>
      </c>
      <c r="AB1228" s="283">
        <v>44397.0</v>
      </c>
      <c r="AC1228" s="284"/>
      <c r="AD1228" s="284"/>
    </row>
    <row r="1229" ht="14.25" customHeight="1">
      <c r="A1229" s="265">
        <v>44395.0</v>
      </c>
      <c r="B1229" s="266" t="s">
        <v>1500</v>
      </c>
      <c r="C1229" s="266" t="s">
        <v>2471</v>
      </c>
      <c r="D1229" s="266" t="s">
        <v>1543</v>
      </c>
      <c r="E1229" s="268"/>
      <c r="F1229" s="291" t="s">
        <v>4692</v>
      </c>
      <c r="G1229" s="268" t="s">
        <v>1463</v>
      </c>
      <c r="H1229" s="270">
        <v>0.00369212962962963</v>
      </c>
      <c r="I1229" s="271">
        <v>44396.53611111111</v>
      </c>
      <c r="J1229" s="268"/>
      <c r="K1229" s="271">
        <v>44396.878541666665</v>
      </c>
      <c r="L1229" s="288"/>
      <c r="M1229" s="278" t="s">
        <v>4693</v>
      </c>
      <c r="N1229" s="290"/>
      <c r="O1229" s="276"/>
      <c r="P1229" s="276"/>
      <c r="Q1229" s="276"/>
      <c r="R1229" s="278"/>
      <c r="S1229" s="278"/>
      <c r="T1229" s="278"/>
      <c r="U1229" s="279"/>
      <c r="V1229" s="279" t="s">
        <v>1783</v>
      </c>
      <c r="W1229" s="280">
        <v>44397.0</v>
      </c>
      <c r="X1229" s="281">
        <v>0.006944444444444444</v>
      </c>
      <c r="Y1229" s="279" t="s">
        <v>1693</v>
      </c>
      <c r="Z1229" s="282" t="s">
        <v>53</v>
      </c>
      <c r="AA1229" s="282">
        <v>6413058.0</v>
      </c>
      <c r="AB1229" s="283">
        <v>44399.0</v>
      </c>
      <c r="AC1229" s="284"/>
      <c r="AD1229" s="284"/>
    </row>
    <row r="1230" ht="14.25" customHeight="1">
      <c r="A1230" s="265">
        <v>44395.0</v>
      </c>
      <c r="B1230" s="266" t="s">
        <v>1733</v>
      </c>
      <c r="C1230" s="266"/>
      <c r="D1230" s="266" t="s">
        <v>4610</v>
      </c>
      <c r="E1230" s="268"/>
      <c r="F1230" s="291" t="s">
        <v>4036</v>
      </c>
      <c r="G1230" s="268"/>
      <c r="H1230" s="270"/>
      <c r="I1230" s="271"/>
      <c r="J1230" s="268"/>
      <c r="K1230" s="268"/>
      <c r="L1230" s="288"/>
      <c r="M1230" s="307"/>
      <c r="N1230" s="273"/>
      <c r="O1230" s="276"/>
      <c r="P1230" s="276"/>
      <c r="Q1230" s="276"/>
      <c r="R1230" s="278"/>
      <c r="S1230" s="278"/>
      <c r="T1230" s="278"/>
      <c r="U1230" s="279"/>
      <c r="V1230" s="279"/>
      <c r="W1230" s="279"/>
      <c r="X1230" s="279"/>
      <c r="Y1230" s="279"/>
      <c r="Z1230" s="282" t="s">
        <v>28</v>
      </c>
      <c r="AA1230" s="282" t="s">
        <v>28</v>
      </c>
      <c r="AB1230" s="282" t="s">
        <v>28</v>
      </c>
      <c r="AC1230" s="284"/>
      <c r="AD1230" s="284"/>
    </row>
    <row r="1231" ht="14.25" customHeight="1">
      <c r="A1231" s="265">
        <v>44395.0</v>
      </c>
      <c r="B1231" s="266" t="s">
        <v>1783</v>
      </c>
      <c r="C1231" s="266"/>
      <c r="D1231" s="266" t="s">
        <v>1457</v>
      </c>
      <c r="E1231" s="268"/>
      <c r="F1231" s="358" t="s">
        <v>4694</v>
      </c>
      <c r="G1231" s="268" t="s">
        <v>2085</v>
      </c>
      <c r="H1231" s="270">
        <v>0.017627314814814814</v>
      </c>
      <c r="I1231" s="271">
        <v>44396.96041666667</v>
      </c>
      <c r="J1231" s="268"/>
      <c r="K1231" s="271">
        <v>44396.97672453704</v>
      </c>
      <c r="L1231" s="288" t="str">
        <f t="shared" ref="L1231:L1232" si="37">IFERROR(IF(OR(I1231="",K1231=""),"",K1231-I1231),"")</f>
        <v>12:23:29 AM</v>
      </c>
      <c r="M1231" s="278"/>
      <c r="N1231" s="290"/>
      <c r="O1231" s="276"/>
      <c r="P1231" s="276"/>
      <c r="Q1231" s="276"/>
      <c r="R1231" s="278"/>
      <c r="S1231" s="278"/>
      <c r="T1231" s="278"/>
      <c r="U1231" s="279"/>
      <c r="V1231" s="279" t="s">
        <v>1783</v>
      </c>
      <c r="W1231" s="280">
        <v>44398.0</v>
      </c>
      <c r="X1231" s="281">
        <v>0.041666666666666664</v>
      </c>
      <c r="Y1231" s="279" t="s">
        <v>1693</v>
      </c>
      <c r="Z1231" s="293" t="s">
        <v>53</v>
      </c>
      <c r="AA1231" s="282" t="s">
        <v>4694</v>
      </c>
      <c r="AB1231" s="283">
        <v>44398.0</v>
      </c>
      <c r="AC1231" s="284"/>
      <c r="AD1231" s="284"/>
    </row>
    <row r="1232" ht="14.25" customHeight="1">
      <c r="A1232" s="265">
        <v>44395.0</v>
      </c>
      <c r="B1232" s="266" t="s">
        <v>1733</v>
      </c>
      <c r="C1232" s="266"/>
      <c r="D1232" s="266" t="s">
        <v>2829</v>
      </c>
      <c r="E1232" s="268"/>
      <c r="F1232" s="358" t="s">
        <v>4695</v>
      </c>
      <c r="G1232" s="268" t="s">
        <v>2085</v>
      </c>
      <c r="H1232" s="270">
        <v>0.01871527777777778</v>
      </c>
      <c r="I1232" s="271">
        <v>44396.970138888886</v>
      </c>
      <c r="J1232" s="268"/>
      <c r="K1232" s="268"/>
      <c r="L1232" s="288" t="str">
        <f t="shared" si="37"/>
        <v/>
      </c>
      <c r="M1232" s="307" t="s">
        <v>3482</v>
      </c>
      <c r="N1232" s="273">
        <v>44397.00833333333</v>
      </c>
      <c r="O1232" s="276" t="s">
        <v>4696</v>
      </c>
      <c r="P1232" s="276" t="s">
        <v>1463</v>
      </c>
      <c r="Q1232" s="276" t="s">
        <v>3940</v>
      </c>
      <c r="R1232" s="271">
        <v>44397.02092592593</v>
      </c>
      <c r="S1232" s="278"/>
      <c r="T1232" s="278" t="s">
        <v>4697</v>
      </c>
      <c r="U1232" s="279"/>
      <c r="V1232" s="279"/>
      <c r="W1232" s="279"/>
      <c r="X1232" s="279"/>
      <c r="Y1232" s="279"/>
      <c r="Z1232" s="282" t="s">
        <v>53</v>
      </c>
      <c r="AA1232" s="282" t="s">
        <v>4695</v>
      </c>
      <c r="AB1232" s="283">
        <v>44398.0</v>
      </c>
      <c r="AC1232" s="284"/>
      <c r="AD1232" s="284"/>
    </row>
    <row r="1233" ht="14.25" customHeight="1">
      <c r="A1233" s="265">
        <v>44396.0</v>
      </c>
      <c r="B1233" s="266" t="s">
        <v>1738</v>
      </c>
      <c r="C1233" s="266" t="s">
        <v>2158</v>
      </c>
      <c r="D1233" s="266" t="s">
        <v>1450</v>
      </c>
      <c r="E1233" s="268"/>
      <c r="F1233" s="269" t="s">
        <v>4698</v>
      </c>
      <c r="G1233" s="268" t="s">
        <v>1463</v>
      </c>
      <c r="H1233" s="270">
        <v>0.002685185185185185</v>
      </c>
      <c r="I1233" s="271">
        <v>44397.63402777778</v>
      </c>
      <c r="J1233" s="268"/>
      <c r="K1233" s="271">
        <v>44397.70138888889</v>
      </c>
      <c r="L1233" s="288"/>
      <c r="M1233" s="278" t="s">
        <v>4699</v>
      </c>
      <c r="N1233" s="290"/>
      <c r="O1233" s="276"/>
      <c r="P1233" s="276"/>
      <c r="Q1233" s="276"/>
      <c r="R1233" s="278"/>
      <c r="S1233" s="278"/>
      <c r="T1233" s="278"/>
      <c r="U1233" s="279"/>
      <c r="V1233" s="279" t="s">
        <v>1738</v>
      </c>
      <c r="W1233" s="280">
        <v>44397.0</v>
      </c>
      <c r="X1233" s="281">
        <v>0.004861111111111111</v>
      </c>
      <c r="Y1233" s="279" t="s">
        <v>1693</v>
      </c>
      <c r="Z1233" s="282" t="s">
        <v>53</v>
      </c>
      <c r="AA1233" s="282">
        <v>6413315.0</v>
      </c>
      <c r="AB1233" s="283">
        <v>44399.0</v>
      </c>
      <c r="AC1233" s="284"/>
      <c r="AD1233" s="284"/>
    </row>
    <row r="1234" ht="14.25" customHeight="1">
      <c r="A1234" s="265">
        <v>44396.0</v>
      </c>
      <c r="B1234" s="266" t="s">
        <v>1500</v>
      </c>
      <c r="C1234" s="266" t="s">
        <v>1455</v>
      </c>
      <c r="D1234" s="266" t="s">
        <v>1543</v>
      </c>
      <c r="E1234" s="268"/>
      <c r="F1234" s="269" t="s">
        <v>4700</v>
      </c>
      <c r="G1234" s="268" t="s">
        <v>1463</v>
      </c>
      <c r="H1234" s="270">
        <v>0.0016550925925925926</v>
      </c>
      <c r="I1234" s="271">
        <v>44397.770833333336</v>
      </c>
      <c r="J1234" s="268"/>
      <c r="K1234" s="271">
        <v>44398.10855324074</v>
      </c>
      <c r="L1234" s="288"/>
      <c r="M1234" s="278" t="s">
        <v>4701</v>
      </c>
      <c r="N1234" s="290"/>
      <c r="O1234" s="276"/>
      <c r="P1234" s="276"/>
      <c r="Q1234" s="276"/>
      <c r="R1234" s="278"/>
      <c r="S1234" s="278"/>
      <c r="T1234" s="278"/>
      <c r="U1234" s="279"/>
      <c r="V1234" s="279" t="s">
        <v>1783</v>
      </c>
      <c r="W1234" s="280">
        <v>44397.0</v>
      </c>
      <c r="X1234" s="281">
        <v>0.006944444444444444</v>
      </c>
      <c r="Y1234" s="279" t="s">
        <v>1693</v>
      </c>
      <c r="Z1234" s="282" t="s">
        <v>53</v>
      </c>
      <c r="AA1234" s="282">
        <v>6413330.0</v>
      </c>
      <c r="AB1234" s="283">
        <v>44399.0</v>
      </c>
      <c r="AC1234" s="284"/>
      <c r="AD1234" s="284"/>
    </row>
    <row r="1235" ht="14.25" customHeight="1">
      <c r="A1235" s="265">
        <v>44396.0</v>
      </c>
      <c r="B1235" s="266" t="s">
        <v>1738</v>
      </c>
      <c r="C1235" s="266"/>
      <c r="D1235" s="266" t="s">
        <v>1450</v>
      </c>
      <c r="E1235" s="268"/>
      <c r="F1235" s="358" t="s">
        <v>4702</v>
      </c>
      <c r="G1235" s="268" t="s">
        <v>2085</v>
      </c>
      <c r="H1235" s="270">
        <v>0.09891203703703703</v>
      </c>
      <c r="I1235" s="271">
        <v>44396.53472222222</v>
      </c>
      <c r="J1235" s="268"/>
      <c r="K1235" s="271">
        <v>44396.912256944444</v>
      </c>
      <c r="L1235" s="288" t="str">
        <f t="shared" ref="L1235:L1238" si="38">IFERROR(IF(OR(I1235="",K1235=""),"",K1235-I1235),"")</f>
        <v>9:03:39 AM</v>
      </c>
      <c r="M1235" s="278"/>
      <c r="N1235" s="290"/>
      <c r="O1235" s="276"/>
      <c r="P1235" s="276"/>
      <c r="Q1235" s="276"/>
      <c r="R1235" s="278"/>
      <c r="S1235" s="278"/>
      <c r="T1235" s="278"/>
      <c r="U1235" s="279"/>
      <c r="V1235" s="279" t="s">
        <v>1738</v>
      </c>
      <c r="W1235" s="280">
        <v>44397.0</v>
      </c>
      <c r="X1235" s="281">
        <v>0.25</v>
      </c>
      <c r="Y1235" s="279" t="s">
        <v>1693</v>
      </c>
      <c r="Z1235" s="282" t="s">
        <v>53</v>
      </c>
      <c r="AA1235" s="282" t="s">
        <v>4703</v>
      </c>
      <c r="AB1235" s="283">
        <v>44397.0</v>
      </c>
      <c r="AC1235" s="284"/>
      <c r="AD1235" s="284"/>
    </row>
    <row r="1236" ht="14.25" customHeight="1">
      <c r="A1236" s="265">
        <v>44396.0</v>
      </c>
      <c r="B1236" s="266" t="s">
        <v>1783</v>
      </c>
      <c r="C1236" s="266"/>
      <c r="D1236" s="266" t="s">
        <v>1452</v>
      </c>
      <c r="E1236" s="268"/>
      <c r="F1236" s="358" t="s">
        <v>4704</v>
      </c>
      <c r="G1236" s="268" t="s">
        <v>2085</v>
      </c>
      <c r="H1236" s="270">
        <v>0.005381944444444445</v>
      </c>
      <c r="I1236" s="271">
        <v>44396.44861111111</v>
      </c>
      <c r="J1236" s="268"/>
      <c r="K1236" s="271">
        <v>44396.578877314816</v>
      </c>
      <c r="L1236" s="288" t="str">
        <f t="shared" si="38"/>
        <v>3:07:35 AM</v>
      </c>
      <c r="M1236" s="278"/>
      <c r="N1236" s="290"/>
      <c r="O1236" s="276"/>
      <c r="P1236" s="276"/>
      <c r="Q1236" s="276"/>
      <c r="R1236" s="278"/>
      <c r="S1236" s="278"/>
      <c r="T1236" s="278"/>
      <c r="U1236" s="279"/>
      <c r="V1236" s="279" t="s">
        <v>1783</v>
      </c>
      <c r="W1236" s="280">
        <v>44396.0</v>
      </c>
      <c r="X1236" s="281">
        <v>0.010416666666666666</v>
      </c>
      <c r="Y1236" s="279" t="s">
        <v>1693</v>
      </c>
      <c r="Z1236" s="282" t="s">
        <v>53</v>
      </c>
      <c r="AA1236" s="282" t="s">
        <v>4704</v>
      </c>
      <c r="AB1236" s="283">
        <v>44397.0</v>
      </c>
      <c r="AC1236" s="284"/>
      <c r="AD1236" s="284"/>
    </row>
    <row r="1237" ht="14.25" customHeight="1">
      <c r="A1237" s="265">
        <v>44396.0</v>
      </c>
      <c r="B1237" s="266" t="s">
        <v>1685</v>
      </c>
      <c r="C1237" s="266"/>
      <c r="D1237" s="266" t="s">
        <v>1686</v>
      </c>
      <c r="E1237" s="268"/>
      <c r="F1237" s="358" t="s">
        <v>4705</v>
      </c>
      <c r="G1237" s="268" t="s">
        <v>2085</v>
      </c>
      <c r="H1237" s="270">
        <v>0.03844907407407407</v>
      </c>
      <c r="I1237" s="271">
        <v>44396.97361111111</v>
      </c>
      <c r="J1237" s="268"/>
      <c r="K1237" s="271">
        <v>44397.00819444445</v>
      </c>
      <c r="L1237" s="288" t="str">
        <f t="shared" si="38"/>
        <v>12:49:48 AM</v>
      </c>
      <c r="M1237" s="278"/>
      <c r="N1237" s="290"/>
      <c r="O1237" s="276"/>
      <c r="P1237" s="276"/>
      <c r="Q1237" s="276"/>
      <c r="R1237" s="278"/>
      <c r="S1237" s="278"/>
      <c r="T1237" s="278"/>
      <c r="U1237" s="279"/>
      <c r="V1237" s="279" t="s">
        <v>1685</v>
      </c>
      <c r="W1237" s="280">
        <v>44397.0</v>
      </c>
      <c r="X1237" s="281">
        <v>0.14583333333333334</v>
      </c>
      <c r="Y1237" s="279" t="s">
        <v>1693</v>
      </c>
      <c r="Z1237" s="282" t="s">
        <v>53</v>
      </c>
      <c r="AA1237" s="282" t="s">
        <v>4706</v>
      </c>
      <c r="AB1237" s="283">
        <v>44397.0</v>
      </c>
      <c r="AC1237" s="284"/>
      <c r="AD1237" s="284"/>
    </row>
    <row r="1238" ht="14.25" customHeight="1">
      <c r="A1238" s="265">
        <v>44396.0</v>
      </c>
      <c r="B1238" s="266" t="s">
        <v>1733</v>
      </c>
      <c r="C1238" s="266"/>
      <c r="D1238" s="266" t="s">
        <v>1455</v>
      </c>
      <c r="E1238" s="268"/>
      <c r="F1238" s="358" t="s">
        <v>4707</v>
      </c>
      <c r="G1238" s="268" t="s">
        <v>2085</v>
      </c>
      <c r="H1238" s="270">
        <v>0.021157407407407406</v>
      </c>
      <c r="I1238" s="271">
        <v>44396.00625</v>
      </c>
      <c r="J1238" s="268"/>
      <c r="K1238" s="271">
        <v>44397.02028935185</v>
      </c>
      <c r="L1238" s="288" t="str">
        <f t="shared" si="38"/>
        <v>12:20:13 AM</v>
      </c>
      <c r="M1238" s="278"/>
      <c r="N1238" s="290"/>
      <c r="O1238" s="276"/>
      <c r="P1238" s="276"/>
      <c r="Q1238" s="276"/>
      <c r="R1238" s="278"/>
      <c r="S1238" s="278"/>
      <c r="T1238" s="278"/>
      <c r="U1238" s="279"/>
      <c r="V1238" s="279" t="s">
        <v>1783</v>
      </c>
      <c r="W1238" s="280">
        <v>44397.0</v>
      </c>
      <c r="X1238" s="281">
        <v>0.06944444444444443</v>
      </c>
      <c r="Y1238" s="279" t="s">
        <v>1693</v>
      </c>
      <c r="Z1238" s="282" t="s">
        <v>53</v>
      </c>
      <c r="AA1238" s="282" t="s">
        <v>4707</v>
      </c>
      <c r="AB1238" s="283">
        <v>44397.0</v>
      </c>
      <c r="AC1238" s="284"/>
      <c r="AD1238" s="284"/>
    </row>
    <row r="1239" ht="14.25" customHeight="1">
      <c r="A1239" s="265">
        <v>44397.0</v>
      </c>
      <c r="B1239" s="266" t="s">
        <v>2030</v>
      </c>
      <c r="C1239" s="266" t="s">
        <v>1686</v>
      </c>
      <c r="D1239" s="266" t="s">
        <v>1543</v>
      </c>
      <c r="E1239" s="268"/>
      <c r="F1239" s="269" t="s">
        <v>4708</v>
      </c>
      <c r="G1239" s="268" t="s">
        <v>1463</v>
      </c>
      <c r="H1239" s="270">
        <v>8.564814814814815E-4</v>
      </c>
      <c r="I1239" s="271">
        <v>44398.32152777778</v>
      </c>
      <c r="J1239" s="268"/>
      <c r="K1239" s="271">
        <v>44398.32430555556</v>
      </c>
      <c r="L1239" s="288"/>
      <c r="M1239" s="278" t="s">
        <v>4709</v>
      </c>
      <c r="N1239" s="290"/>
      <c r="O1239" s="276"/>
      <c r="P1239" s="276"/>
      <c r="Q1239" s="276"/>
      <c r="R1239" s="278"/>
      <c r="S1239" s="278"/>
      <c r="T1239" s="278"/>
      <c r="U1239" s="279"/>
      <c r="V1239" s="279" t="s">
        <v>1783</v>
      </c>
      <c r="W1239" s="280">
        <v>44399.0</v>
      </c>
      <c r="X1239" s="281">
        <v>0.003472222222222222</v>
      </c>
      <c r="Y1239" s="279" t="s">
        <v>1693</v>
      </c>
      <c r="Z1239" s="282" t="s">
        <v>53</v>
      </c>
      <c r="AA1239" s="282">
        <v>6413059.0</v>
      </c>
      <c r="AB1239" s="283">
        <v>44399.0</v>
      </c>
      <c r="AC1239" s="284"/>
      <c r="AD1239" s="284"/>
    </row>
    <row r="1240" ht="14.25" customHeight="1">
      <c r="A1240" s="265">
        <v>44397.0</v>
      </c>
      <c r="B1240" s="266" t="s">
        <v>2030</v>
      </c>
      <c r="C1240" s="266" t="s">
        <v>1686</v>
      </c>
      <c r="D1240" s="266" t="s">
        <v>1543</v>
      </c>
      <c r="E1240" s="268"/>
      <c r="F1240" s="269" t="s">
        <v>4710</v>
      </c>
      <c r="G1240" s="268" t="s">
        <v>1463</v>
      </c>
      <c r="H1240" s="270">
        <v>8.333333333333334E-4</v>
      </c>
      <c r="I1240" s="271">
        <v>44398.342361111114</v>
      </c>
      <c r="J1240" s="268"/>
      <c r="K1240" s="271">
        <v>44398.34444444445</v>
      </c>
      <c r="L1240" s="288"/>
      <c r="M1240" s="278" t="s">
        <v>4711</v>
      </c>
      <c r="N1240" s="290"/>
      <c r="O1240" s="276"/>
      <c r="P1240" s="276"/>
      <c r="Q1240" s="276"/>
      <c r="R1240" s="278"/>
      <c r="S1240" s="278"/>
      <c r="T1240" s="278"/>
      <c r="U1240" s="279"/>
      <c r="V1240" s="279" t="s">
        <v>1783</v>
      </c>
      <c r="W1240" s="280">
        <v>44399.0</v>
      </c>
      <c r="X1240" s="281">
        <v>0.003472222222222222</v>
      </c>
      <c r="Y1240" s="279" t="s">
        <v>1693</v>
      </c>
      <c r="Z1240" s="282" t="s">
        <v>53</v>
      </c>
      <c r="AA1240" s="282">
        <v>6413060.0</v>
      </c>
      <c r="AB1240" s="283">
        <v>44399.0</v>
      </c>
      <c r="AC1240" s="284"/>
      <c r="AD1240" s="284"/>
    </row>
    <row r="1241" ht="14.25" customHeight="1">
      <c r="A1241" s="265">
        <v>44397.0</v>
      </c>
      <c r="B1241" s="266" t="s">
        <v>2030</v>
      </c>
      <c r="C1241" s="266" t="s">
        <v>1686</v>
      </c>
      <c r="D1241" s="266" t="s">
        <v>1543</v>
      </c>
      <c r="E1241" s="268"/>
      <c r="F1241" s="269" t="s">
        <v>4712</v>
      </c>
      <c r="G1241" s="268" t="s">
        <v>1463</v>
      </c>
      <c r="H1241" s="270">
        <v>5.439814814814814E-4</v>
      </c>
      <c r="I1241" s="271">
        <v>44398.354166666664</v>
      </c>
      <c r="J1241" s="268"/>
      <c r="K1241" s="271">
        <v>44398.35555555556</v>
      </c>
      <c r="L1241" s="288"/>
      <c r="M1241" s="278" t="s">
        <v>4713</v>
      </c>
      <c r="N1241" s="290"/>
      <c r="O1241" s="276"/>
      <c r="P1241" s="276"/>
      <c r="Q1241" s="276"/>
      <c r="R1241" s="278"/>
      <c r="S1241" s="278"/>
      <c r="T1241" s="278"/>
      <c r="U1241" s="279"/>
      <c r="V1241" s="279" t="s">
        <v>1783</v>
      </c>
      <c r="W1241" s="280">
        <v>44399.0</v>
      </c>
      <c r="X1241" s="281">
        <v>0.003472222222222222</v>
      </c>
      <c r="Y1241" s="279" t="s">
        <v>1693</v>
      </c>
      <c r="Z1241" s="282" t="s">
        <v>53</v>
      </c>
      <c r="AA1241" s="282">
        <v>6413316.0</v>
      </c>
      <c r="AB1241" s="283">
        <v>44399.0</v>
      </c>
      <c r="AC1241" s="284"/>
      <c r="AD1241" s="284"/>
    </row>
    <row r="1242" ht="14.25" customHeight="1">
      <c r="A1242" s="265">
        <v>44397.0</v>
      </c>
      <c r="B1242" s="266" t="s">
        <v>2030</v>
      </c>
      <c r="C1242" s="266" t="s">
        <v>1686</v>
      </c>
      <c r="D1242" s="266" t="s">
        <v>1543</v>
      </c>
      <c r="E1242" s="268"/>
      <c r="F1242" s="269" t="s">
        <v>4714</v>
      </c>
      <c r="G1242" s="268" t="s">
        <v>1463</v>
      </c>
      <c r="H1242" s="270">
        <v>0.0016203703703703703</v>
      </c>
      <c r="I1242" s="271">
        <v>44398.385416666664</v>
      </c>
      <c r="J1242" s="268"/>
      <c r="K1242" s="271">
        <v>44398.388194444444</v>
      </c>
      <c r="L1242" s="288"/>
      <c r="M1242" s="278" t="s">
        <v>4715</v>
      </c>
      <c r="N1242" s="290"/>
      <c r="O1242" s="276"/>
      <c r="P1242" s="276"/>
      <c r="Q1242" s="276"/>
      <c r="R1242" s="278"/>
      <c r="S1242" s="278"/>
      <c r="T1242" s="278"/>
      <c r="U1242" s="279"/>
      <c r="V1242" s="279" t="s">
        <v>1783</v>
      </c>
      <c r="W1242" s="280">
        <v>44399.0</v>
      </c>
      <c r="X1242" s="281">
        <v>0.003472222222222222</v>
      </c>
      <c r="Y1242" s="279" t="s">
        <v>1693</v>
      </c>
      <c r="Z1242" s="282" t="s">
        <v>53</v>
      </c>
      <c r="AA1242" s="282">
        <v>6413317.0</v>
      </c>
      <c r="AB1242" s="283">
        <v>44399.0</v>
      </c>
      <c r="AC1242" s="284"/>
      <c r="AD1242" s="284"/>
    </row>
    <row r="1243" ht="14.25" customHeight="1">
      <c r="A1243" s="265">
        <v>44397.0</v>
      </c>
      <c r="B1243" s="266" t="s">
        <v>2030</v>
      </c>
      <c r="C1243" s="266" t="s">
        <v>1455</v>
      </c>
      <c r="D1243" s="266" t="s">
        <v>1543</v>
      </c>
      <c r="E1243" s="268"/>
      <c r="F1243" s="269" t="s">
        <v>4716</v>
      </c>
      <c r="G1243" s="268" t="s">
        <v>1463</v>
      </c>
      <c r="H1243" s="270">
        <v>0.0013194444444444443</v>
      </c>
      <c r="I1243" s="271">
        <v>44398.41458333333</v>
      </c>
      <c r="J1243" s="268"/>
      <c r="K1243" s="271">
        <v>44398.41875</v>
      </c>
      <c r="L1243" s="288"/>
      <c r="M1243" s="278" t="s">
        <v>4717</v>
      </c>
      <c r="N1243" s="290"/>
      <c r="O1243" s="276"/>
      <c r="P1243" s="276"/>
      <c r="Q1243" s="276"/>
      <c r="R1243" s="278"/>
      <c r="S1243" s="278"/>
      <c r="T1243" s="278"/>
      <c r="U1243" s="279"/>
      <c r="V1243" s="279" t="s">
        <v>1685</v>
      </c>
      <c r="W1243" s="280">
        <v>44399.0</v>
      </c>
      <c r="X1243" s="281">
        <v>0.003472222222222222</v>
      </c>
      <c r="Y1243" s="279" t="s">
        <v>1693</v>
      </c>
      <c r="Z1243" s="282" t="s">
        <v>53</v>
      </c>
      <c r="AA1243" s="282">
        <v>6413318.0</v>
      </c>
      <c r="AB1243" s="283">
        <v>44399.0</v>
      </c>
      <c r="AC1243" s="284"/>
      <c r="AD1243" s="284"/>
    </row>
    <row r="1244" ht="14.25" customHeight="1">
      <c r="A1244" s="265">
        <v>44397.0</v>
      </c>
      <c r="B1244" s="266" t="s">
        <v>2030</v>
      </c>
      <c r="C1244" s="266" t="s">
        <v>1455</v>
      </c>
      <c r="D1244" s="266" t="s">
        <v>1543</v>
      </c>
      <c r="E1244" s="268"/>
      <c r="F1244" s="269" t="s">
        <v>4718</v>
      </c>
      <c r="G1244" s="268" t="s">
        <v>1463</v>
      </c>
      <c r="H1244" s="270">
        <v>3.356481481481481E-4</v>
      </c>
      <c r="I1244" s="271">
        <v>44398.45138888889</v>
      </c>
      <c r="J1244" s="268"/>
      <c r="K1244" s="271">
        <v>44398.45347222222</v>
      </c>
      <c r="L1244" s="288"/>
      <c r="M1244" s="278" t="s">
        <v>4719</v>
      </c>
      <c r="N1244" s="290"/>
      <c r="O1244" s="276"/>
      <c r="P1244" s="276"/>
      <c r="Q1244" s="276"/>
      <c r="R1244" s="278"/>
      <c r="S1244" s="278"/>
      <c r="T1244" s="278"/>
      <c r="U1244" s="279"/>
      <c r="V1244" s="279" t="s">
        <v>1685</v>
      </c>
      <c r="W1244" s="280">
        <v>44399.0</v>
      </c>
      <c r="X1244" s="281">
        <v>0.001388888888888889</v>
      </c>
      <c r="Y1244" s="279" t="s">
        <v>1693</v>
      </c>
      <c r="Z1244" s="282" t="s">
        <v>53</v>
      </c>
      <c r="AA1244" s="282">
        <v>6413327.0</v>
      </c>
      <c r="AB1244" s="283">
        <v>44399.0</v>
      </c>
      <c r="AC1244" s="284"/>
      <c r="AD1244" s="284"/>
    </row>
    <row r="1245" ht="14.25" customHeight="1">
      <c r="A1245" s="265">
        <v>44397.0</v>
      </c>
      <c r="B1245" s="266" t="s">
        <v>2030</v>
      </c>
      <c r="C1245" s="266" t="s">
        <v>1455</v>
      </c>
      <c r="D1245" s="266" t="s">
        <v>1543</v>
      </c>
      <c r="E1245" s="268"/>
      <c r="F1245" s="269" t="s">
        <v>4720</v>
      </c>
      <c r="G1245" s="268" t="s">
        <v>1463</v>
      </c>
      <c r="H1245" s="270">
        <v>5.439814814814814E-4</v>
      </c>
      <c r="I1245" s="271" t="s">
        <v>4721</v>
      </c>
      <c r="J1245" s="268"/>
      <c r="K1245" s="271">
        <v>44398.53611111111</v>
      </c>
      <c r="L1245" s="288"/>
      <c r="M1245" s="278" t="s">
        <v>4722</v>
      </c>
      <c r="N1245" s="290"/>
      <c r="O1245" s="276"/>
      <c r="P1245" s="276"/>
      <c r="Q1245" s="276"/>
      <c r="R1245" s="278"/>
      <c r="S1245" s="278"/>
      <c r="T1245" s="278"/>
      <c r="U1245" s="279"/>
      <c r="V1245" s="279" t="s">
        <v>1783</v>
      </c>
      <c r="W1245" s="280">
        <v>44400.0</v>
      </c>
      <c r="X1245" s="281">
        <v>0.0020833333333333333</v>
      </c>
      <c r="Y1245" s="279" t="s">
        <v>1693</v>
      </c>
      <c r="Z1245" s="282" t="s">
        <v>53</v>
      </c>
      <c r="AA1245" s="282">
        <v>6413328.0</v>
      </c>
      <c r="AB1245" s="283">
        <v>44399.0</v>
      </c>
      <c r="AC1245" s="284"/>
      <c r="AD1245" s="284"/>
    </row>
    <row r="1246" ht="14.25" customHeight="1">
      <c r="A1246" s="265">
        <v>44397.0</v>
      </c>
      <c r="B1246" s="266" t="s">
        <v>1738</v>
      </c>
      <c r="C1246" s="266" t="s">
        <v>2158</v>
      </c>
      <c r="D1246" s="266" t="s">
        <v>1450</v>
      </c>
      <c r="E1246" s="268"/>
      <c r="F1246" s="269" t="s">
        <v>4723</v>
      </c>
      <c r="G1246" s="268" t="s">
        <v>1463</v>
      </c>
      <c r="H1246" s="270">
        <v>0.0020601851851851853</v>
      </c>
      <c r="I1246" s="271">
        <v>44398.479166666664</v>
      </c>
      <c r="J1246" s="268"/>
      <c r="K1246" s="271">
        <v>44398.53523148148</v>
      </c>
      <c r="L1246" s="288"/>
      <c r="M1246" s="278" t="s">
        <v>4724</v>
      </c>
      <c r="N1246" s="290"/>
      <c r="O1246" s="276"/>
      <c r="P1246" s="276"/>
      <c r="Q1246" s="276"/>
      <c r="R1246" s="278"/>
      <c r="S1246" s="278"/>
      <c r="T1246" s="278"/>
      <c r="U1246" s="279"/>
      <c r="V1246" s="279" t="s">
        <v>1738</v>
      </c>
      <c r="W1246" s="280">
        <v>44398.0</v>
      </c>
      <c r="X1246" s="281">
        <v>0.004861111111111111</v>
      </c>
      <c r="Y1246" s="279" t="s">
        <v>1693</v>
      </c>
      <c r="Z1246" s="282" t="s">
        <v>53</v>
      </c>
      <c r="AA1246" s="282">
        <v>6413329.0</v>
      </c>
      <c r="AB1246" s="283">
        <v>44399.0</v>
      </c>
      <c r="AC1246" s="284"/>
      <c r="AD1246" s="284"/>
    </row>
    <row r="1247" ht="14.25" customHeight="1">
      <c r="A1247" s="265">
        <v>44397.0</v>
      </c>
      <c r="B1247" s="266" t="s">
        <v>1500</v>
      </c>
      <c r="C1247" s="266" t="s">
        <v>2179</v>
      </c>
      <c r="D1247" s="266" t="s">
        <v>1543</v>
      </c>
      <c r="E1247" s="268"/>
      <c r="F1247" s="269" t="s">
        <v>4725</v>
      </c>
      <c r="G1247" s="268" t="s">
        <v>1463</v>
      </c>
      <c r="H1247" s="270">
        <v>0.0028819444444444444</v>
      </c>
      <c r="I1247" s="271">
        <v>44403.55694444444</v>
      </c>
      <c r="J1247" s="268"/>
      <c r="K1247" s="271">
        <v>44403.91800925926</v>
      </c>
      <c r="L1247" s="288"/>
      <c r="M1247" s="278" t="s">
        <v>4726</v>
      </c>
      <c r="N1247" s="290"/>
      <c r="O1247" s="276"/>
      <c r="P1247" s="276"/>
      <c r="Q1247" s="276"/>
      <c r="R1247" s="278"/>
      <c r="S1247" s="278"/>
      <c r="T1247" s="278"/>
      <c r="U1247" s="279"/>
      <c r="V1247" s="279" t="s">
        <v>1783</v>
      </c>
      <c r="W1247" s="280">
        <v>44407.0</v>
      </c>
      <c r="X1247" s="281">
        <v>0.004861111111111111</v>
      </c>
      <c r="Y1247" s="279" t="s">
        <v>1693</v>
      </c>
      <c r="Z1247" s="282" t="s">
        <v>53</v>
      </c>
      <c r="AA1247" s="282">
        <v>6422898.0</v>
      </c>
      <c r="AB1247" s="283">
        <v>44405.0</v>
      </c>
      <c r="AC1247" s="284"/>
      <c r="AD1247" s="284"/>
    </row>
    <row r="1248" ht="14.25" customHeight="1">
      <c r="A1248" s="265">
        <v>44397.0</v>
      </c>
      <c r="B1248" s="266" t="s">
        <v>1738</v>
      </c>
      <c r="C1248" s="266"/>
      <c r="D1248" s="266" t="s">
        <v>1450</v>
      </c>
      <c r="E1248" s="268"/>
      <c r="F1248" s="358" t="s">
        <v>4727</v>
      </c>
      <c r="G1248" s="268" t="s">
        <v>2085</v>
      </c>
      <c r="H1248" s="270">
        <v>0.09887731481481482</v>
      </c>
      <c r="I1248" s="271">
        <v>44397.525</v>
      </c>
      <c r="J1248" s="268"/>
      <c r="K1248" s="271">
        <v>44397.60884259259</v>
      </c>
      <c r="L1248" s="288" t="str">
        <f t="shared" ref="L1248:L1251" si="39">IFERROR(IF(OR(I1248="",K1248=""),"",K1248-I1248),"")</f>
        <v>2:00:44 AM</v>
      </c>
      <c r="M1248" s="278"/>
      <c r="N1248" s="290"/>
      <c r="O1248" s="276"/>
      <c r="P1248" s="276"/>
      <c r="Q1248" s="276"/>
      <c r="R1248" s="278"/>
      <c r="S1248" s="278"/>
      <c r="T1248" s="278"/>
      <c r="U1248" s="279"/>
      <c r="V1248" s="279" t="s">
        <v>1738</v>
      </c>
      <c r="W1248" s="280">
        <v>44398.0</v>
      </c>
      <c r="X1248" s="281">
        <v>0.25</v>
      </c>
      <c r="Y1248" s="279" t="s">
        <v>1693</v>
      </c>
      <c r="Z1248" s="282" t="s">
        <v>53</v>
      </c>
      <c r="AA1248" s="282" t="s">
        <v>4728</v>
      </c>
      <c r="AB1248" s="283">
        <v>44398.0</v>
      </c>
      <c r="AC1248" s="284"/>
      <c r="AD1248" s="284"/>
    </row>
    <row r="1249" ht="14.25" customHeight="1">
      <c r="A1249" s="265">
        <v>44397.0</v>
      </c>
      <c r="B1249" s="266" t="s">
        <v>1783</v>
      </c>
      <c r="C1249" s="266"/>
      <c r="D1249" s="266" t="s">
        <v>1452</v>
      </c>
      <c r="E1249" s="268"/>
      <c r="F1249" s="358" t="s">
        <v>4729</v>
      </c>
      <c r="G1249" s="268" t="s">
        <v>2085</v>
      </c>
      <c r="H1249" s="270">
        <v>0.004050925925925926</v>
      </c>
      <c r="I1249" s="271">
        <v>44397.50902777778</v>
      </c>
      <c r="J1249" s="268"/>
      <c r="K1249" s="271">
        <v>44397.52674768519</v>
      </c>
      <c r="L1249" s="288" t="str">
        <f t="shared" si="39"/>
        <v>12:25:31 AM</v>
      </c>
      <c r="M1249" s="278"/>
      <c r="N1249" s="290"/>
      <c r="O1249" s="276"/>
      <c r="P1249" s="276"/>
      <c r="Q1249" s="276"/>
      <c r="R1249" s="278"/>
      <c r="S1249" s="278"/>
      <c r="T1249" s="278"/>
      <c r="U1249" s="279"/>
      <c r="V1249" s="279" t="s">
        <v>1783</v>
      </c>
      <c r="W1249" s="280">
        <v>44397.0</v>
      </c>
      <c r="X1249" s="281">
        <v>0.010416666666666666</v>
      </c>
      <c r="Y1249" s="279" t="s">
        <v>1693</v>
      </c>
      <c r="Z1249" s="282" t="s">
        <v>53</v>
      </c>
      <c r="AA1249" s="282" t="s">
        <v>4729</v>
      </c>
      <c r="AB1249" s="283">
        <v>44397.0</v>
      </c>
      <c r="AC1249" s="284"/>
      <c r="AD1249" s="284"/>
    </row>
    <row r="1250" ht="14.25" customHeight="1">
      <c r="A1250" s="265">
        <v>44397.0</v>
      </c>
      <c r="B1250" s="266" t="s">
        <v>1685</v>
      </c>
      <c r="C1250" s="266"/>
      <c r="D1250" s="266" t="s">
        <v>1686</v>
      </c>
      <c r="E1250" s="268"/>
      <c r="F1250" s="358" t="s">
        <v>4730</v>
      </c>
      <c r="G1250" s="268" t="s">
        <v>2085</v>
      </c>
      <c r="H1250" s="270">
        <v>0.03662037037037037</v>
      </c>
      <c r="I1250" s="271">
        <v>44397.65625</v>
      </c>
      <c r="J1250" s="268"/>
      <c r="K1250" s="271">
        <v>44397.66590277778</v>
      </c>
      <c r="L1250" s="288" t="str">
        <f t="shared" si="39"/>
        <v>12:13:54 AM</v>
      </c>
      <c r="M1250" s="278"/>
      <c r="N1250" s="290"/>
      <c r="O1250" s="276"/>
      <c r="P1250" s="276"/>
      <c r="Q1250" s="276"/>
      <c r="R1250" s="278"/>
      <c r="S1250" s="278"/>
      <c r="T1250" s="278"/>
      <c r="U1250" s="279"/>
      <c r="V1250" s="279" t="s">
        <v>1685</v>
      </c>
      <c r="W1250" s="280">
        <v>44398.0</v>
      </c>
      <c r="X1250" s="281">
        <v>0.14583333333333334</v>
      </c>
      <c r="Y1250" s="279" t="s">
        <v>1693</v>
      </c>
      <c r="Z1250" s="282" t="s">
        <v>53</v>
      </c>
      <c r="AA1250" s="282" t="s">
        <v>4730</v>
      </c>
      <c r="AB1250" s="283">
        <v>44398.0</v>
      </c>
      <c r="AC1250" s="284"/>
      <c r="AD1250" s="284"/>
    </row>
    <row r="1251" ht="14.25" customHeight="1">
      <c r="A1251" s="265">
        <v>44397.0</v>
      </c>
      <c r="B1251" s="266" t="s">
        <v>1733</v>
      </c>
      <c r="C1251" s="266"/>
      <c r="D1251" s="266" t="s">
        <v>1455</v>
      </c>
      <c r="E1251" s="268"/>
      <c r="F1251" s="358" t="s">
        <v>4731</v>
      </c>
      <c r="G1251" s="268" t="s">
        <v>2085</v>
      </c>
      <c r="H1251" s="270">
        <v>0.02144675925925926</v>
      </c>
      <c r="I1251" s="271">
        <v>44397.90277777778</v>
      </c>
      <c r="J1251" s="268"/>
      <c r="K1251" s="271">
        <v>44397.92594907407</v>
      </c>
      <c r="L1251" s="288" t="str">
        <f t="shared" si="39"/>
        <v>12:33:22 AM</v>
      </c>
      <c r="M1251" s="278"/>
      <c r="N1251" s="290"/>
      <c r="O1251" s="276"/>
      <c r="P1251" s="276"/>
      <c r="Q1251" s="276"/>
      <c r="R1251" s="278"/>
      <c r="S1251" s="278"/>
      <c r="T1251" s="278"/>
      <c r="U1251" s="279"/>
      <c r="V1251" s="279" t="s">
        <v>1783</v>
      </c>
      <c r="W1251" s="280">
        <v>44398.0</v>
      </c>
      <c r="X1251" s="281">
        <v>0.08333333333333333</v>
      </c>
      <c r="Y1251" s="279" t="s">
        <v>1693</v>
      </c>
      <c r="Z1251" s="282" t="s">
        <v>53</v>
      </c>
      <c r="AA1251" s="282" t="s">
        <v>4731</v>
      </c>
      <c r="AB1251" s="283">
        <v>44398.0</v>
      </c>
      <c r="AC1251" s="284"/>
      <c r="AD1251" s="284"/>
    </row>
    <row r="1252" ht="14.25" customHeight="1">
      <c r="A1252" s="265">
        <v>44398.0</v>
      </c>
      <c r="B1252" s="266" t="s">
        <v>1738</v>
      </c>
      <c r="C1252" s="266" t="s">
        <v>2158</v>
      </c>
      <c r="D1252" s="266" t="s">
        <v>1450</v>
      </c>
      <c r="E1252" s="268"/>
      <c r="F1252" s="269" t="s">
        <v>4732</v>
      </c>
      <c r="G1252" s="268" t="s">
        <v>1463</v>
      </c>
      <c r="H1252" s="270">
        <v>0.0027083333333333334</v>
      </c>
      <c r="I1252" s="271">
        <v>44399.623611111114</v>
      </c>
      <c r="J1252" s="268"/>
      <c r="K1252" s="271">
        <v>44399.62752314815</v>
      </c>
      <c r="L1252" s="288"/>
      <c r="M1252" s="278" t="s">
        <v>4733</v>
      </c>
      <c r="N1252" s="290"/>
      <c r="O1252" s="276"/>
      <c r="P1252" s="276"/>
      <c r="Q1252" s="276"/>
      <c r="R1252" s="278"/>
      <c r="S1252" s="278"/>
      <c r="T1252" s="278"/>
      <c r="U1252" s="279"/>
      <c r="V1252" s="279" t="s">
        <v>1738</v>
      </c>
      <c r="W1252" s="280">
        <v>44400.0</v>
      </c>
      <c r="X1252" s="281">
        <v>0.004861111111111111</v>
      </c>
      <c r="Y1252" s="279" t="s">
        <v>1693</v>
      </c>
      <c r="Z1252" s="282" t="s">
        <v>53</v>
      </c>
      <c r="AA1252" s="282">
        <v>6415259.0</v>
      </c>
      <c r="AB1252" s="283">
        <v>44400.0</v>
      </c>
      <c r="AC1252" s="284"/>
      <c r="AD1252" s="284"/>
    </row>
    <row r="1253" ht="14.25" customHeight="1">
      <c r="A1253" s="265">
        <v>44398.0</v>
      </c>
      <c r="B1253" s="266" t="s">
        <v>2030</v>
      </c>
      <c r="C1253" s="266" t="s">
        <v>1455</v>
      </c>
      <c r="D1253" s="266" t="s">
        <v>1543</v>
      </c>
      <c r="E1253" s="268"/>
      <c r="F1253" s="269" t="s">
        <v>4734</v>
      </c>
      <c r="G1253" s="268" t="s">
        <v>1463</v>
      </c>
      <c r="H1253" s="270">
        <v>0.0014930555555555556</v>
      </c>
      <c r="I1253" s="271">
        <v>44403.29236111111</v>
      </c>
      <c r="J1253" s="268"/>
      <c r="K1253" s="271">
        <v>44403.294444444444</v>
      </c>
      <c r="L1253" s="288"/>
      <c r="M1253" s="278" t="s">
        <v>4735</v>
      </c>
      <c r="N1253" s="290"/>
      <c r="O1253" s="276"/>
      <c r="P1253" s="276"/>
      <c r="Q1253" s="276"/>
      <c r="R1253" s="278"/>
      <c r="S1253" s="278"/>
      <c r="T1253" s="278"/>
      <c r="U1253" s="279"/>
      <c r="V1253" s="279" t="s">
        <v>1824</v>
      </c>
      <c r="W1253" s="280">
        <v>44411.0</v>
      </c>
      <c r="X1253" s="281">
        <v>0.005555555555555556</v>
      </c>
      <c r="Y1253" s="279" t="s">
        <v>1693</v>
      </c>
      <c r="Z1253" s="282" t="s">
        <v>53</v>
      </c>
      <c r="AA1253" s="282">
        <v>6420900.0</v>
      </c>
      <c r="AB1253" s="283">
        <v>44405.0</v>
      </c>
      <c r="AC1253" s="284"/>
      <c r="AD1253" s="284"/>
    </row>
    <row r="1254" ht="14.25" customHeight="1">
      <c r="A1254" s="265">
        <v>44398.0</v>
      </c>
      <c r="B1254" s="266" t="s">
        <v>2030</v>
      </c>
      <c r="C1254" s="266" t="s">
        <v>1455</v>
      </c>
      <c r="D1254" s="266" t="s">
        <v>1543</v>
      </c>
      <c r="E1254" s="268"/>
      <c r="F1254" s="269" t="s">
        <v>4736</v>
      </c>
      <c r="G1254" s="268" t="s">
        <v>1463</v>
      </c>
      <c r="H1254" s="270">
        <v>0.001712962962962963</v>
      </c>
      <c r="I1254" s="271">
        <v>44403.38888888889</v>
      </c>
      <c r="J1254" s="268"/>
      <c r="K1254" s="271">
        <v>44403.393055555556</v>
      </c>
      <c r="L1254" s="288"/>
      <c r="M1254" s="278" t="s">
        <v>4737</v>
      </c>
      <c r="N1254" s="290"/>
      <c r="O1254" s="276"/>
      <c r="P1254" s="276"/>
      <c r="Q1254" s="276"/>
      <c r="R1254" s="278"/>
      <c r="S1254" s="278"/>
      <c r="T1254" s="278"/>
      <c r="U1254" s="279"/>
      <c r="V1254" s="279" t="s">
        <v>1824</v>
      </c>
      <c r="W1254" s="280">
        <v>44411.0</v>
      </c>
      <c r="X1254" s="281">
        <v>0.005555555555555556</v>
      </c>
      <c r="Y1254" s="279" t="s">
        <v>1693</v>
      </c>
      <c r="Z1254" s="282" t="s">
        <v>53</v>
      </c>
      <c r="AA1254" s="282">
        <v>6420901.0</v>
      </c>
      <c r="AB1254" s="283">
        <v>44405.0</v>
      </c>
      <c r="AC1254" s="284"/>
      <c r="AD1254" s="284"/>
    </row>
    <row r="1255" ht="14.25" customHeight="1">
      <c r="A1255" s="265">
        <v>44398.0</v>
      </c>
      <c r="B1255" s="266" t="s">
        <v>1500</v>
      </c>
      <c r="C1255" s="266" t="s">
        <v>1450</v>
      </c>
      <c r="D1255" s="266" t="s">
        <v>1543</v>
      </c>
      <c r="E1255" s="268"/>
      <c r="F1255" s="269" t="s">
        <v>4738</v>
      </c>
      <c r="G1255" s="268" t="s">
        <v>1463</v>
      </c>
      <c r="H1255" s="270">
        <v>0.0018865740740740742</v>
      </c>
      <c r="I1255" s="271">
        <v>44403.71666666667</v>
      </c>
      <c r="J1255" s="268"/>
      <c r="K1255" s="271">
        <v>44404.05090277778</v>
      </c>
      <c r="L1255" s="288"/>
      <c r="M1255" s="278" t="s">
        <v>4739</v>
      </c>
      <c r="N1255" s="290"/>
      <c r="O1255" s="276"/>
      <c r="P1255" s="276"/>
      <c r="Q1255" s="276"/>
      <c r="R1255" s="278"/>
      <c r="S1255" s="278"/>
      <c r="T1255" s="278"/>
      <c r="U1255" s="279"/>
      <c r="V1255" s="279" t="s">
        <v>1824</v>
      </c>
      <c r="W1255" s="280">
        <v>44411.0</v>
      </c>
      <c r="X1255" s="281">
        <v>0.0062499999999999995</v>
      </c>
      <c r="Y1255" s="279" t="s">
        <v>1693</v>
      </c>
      <c r="Z1255" s="282" t="s">
        <v>53</v>
      </c>
      <c r="AA1255" s="282">
        <v>6422899.0</v>
      </c>
      <c r="AB1255" s="283">
        <v>44405.0</v>
      </c>
      <c r="AC1255" s="284"/>
      <c r="AD1255" s="284"/>
    </row>
    <row r="1256" ht="14.25" customHeight="1">
      <c r="A1256" s="265">
        <v>44398.0</v>
      </c>
      <c r="B1256" s="266" t="s">
        <v>2030</v>
      </c>
      <c r="C1256" s="266" t="s">
        <v>1696</v>
      </c>
      <c r="D1256" s="266" t="s">
        <v>1543</v>
      </c>
      <c r="E1256" s="268"/>
      <c r="F1256" s="269" t="s">
        <v>4740</v>
      </c>
      <c r="G1256" s="268" t="s">
        <v>1463</v>
      </c>
      <c r="H1256" s="270">
        <v>5.208333333333333E-4</v>
      </c>
      <c r="I1256" s="271">
        <v>44404.33125</v>
      </c>
      <c r="J1256" s="268"/>
      <c r="K1256" s="271">
        <v>44404.505219907405</v>
      </c>
      <c r="L1256" s="288"/>
      <c r="M1256" s="278" t="s">
        <v>4741</v>
      </c>
      <c r="N1256" s="290"/>
      <c r="O1256" s="276"/>
      <c r="P1256" s="276"/>
      <c r="Q1256" s="276"/>
      <c r="R1256" s="278"/>
      <c r="S1256" s="278"/>
      <c r="T1256" s="278"/>
      <c r="U1256" s="279"/>
      <c r="V1256" s="279" t="s">
        <v>1824</v>
      </c>
      <c r="W1256" s="280">
        <v>44411.0</v>
      </c>
      <c r="X1256" s="281">
        <v>0.003472222222222222</v>
      </c>
      <c r="Y1256" s="279" t="s">
        <v>1693</v>
      </c>
      <c r="Z1256" s="282" t="s">
        <v>53</v>
      </c>
      <c r="AA1256" s="282">
        <v>6422900.0</v>
      </c>
      <c r="AB1256" s="283">
        <v>44405.0</v>
      </c>
      <c r="AC1256" s="284"/>
      <c r="AD1256" s="284"/>
    </row>
    <row r="1257" ht="14.25" customHeight="1">
      <c r="A1257" s="265">
        <v>44398.0</v>
      </c>
      <c r="B1257" s="266" t="s">
        <v>1500</v>
      </c>
      <c r="C1257" s="266" t="s">
        <v>2179</v>
      </c>
      <c r="D1257" s="266" t="s">
        <v>1543</v>
      </c>
      <c r="E1257" s="268"/>
      <c r="F1257" s="269" t="s">
        <v>4742</v>
      </c>
      <c r="G1257" s="268" t="s">
        <v>1463</v>
      </c>
      <c r="H1257" s="270">
        <v>0.007083333333333333</v>
      </c>
      <c r="I1257" s="271">
        <v>44435.37013888889</v>
      </c>
      <c r="J1257" s="268"/>
      <c r="K1257" s="271">
        <v>44446.57298611111</v>
      </c>
      <c r="L1257" s="288"/>
      <c r="M1257" s="278" t="s">
        <v>4743</v>
      </c>
      <c r="N1257" s="290"/>
      <c r="O1257" s="276"/>
      <c r="P1257" s="276"/>
      <c r="Q1257" s="276"/>
      <c r="R1257" s="278"/>
      <c r="S1257" s="278"/>
      <c r="T1257" s="278"/>
      <c r="U1257" s="279"/>
      <c r="V1257" s="279" t="s">
        <v>1738</v>
      </c>
      <c r="W1257" s="280">
        <v>44446.0</v>
      </c>
      <c r="X1257" s="281">
        <v>0.013888888888888888</v>
      </c>
      <c r="Y1257" s="279" t="s">
        <v>1693</v>
      </c>
      <c r="Z1257" s="282" t="s">
        <v>53</v>
      </c>
      <c r="AA1257" s="282">
        <v>6603193.0</v>
      </c>
      <c r="AB1257" s="283">
        <v>44449.0</v>
      </c>
      <c r="AC1257" s="284"/>
      <c r="AD1257" s="284"/>
    </row>
    <row r="1258" ht="14.25" customHeight="1">
      <c r="A1258" s="265">
        <v>44398.0</v>
      </c>
      <c r="B1258" s="266" t="s">
        <v>1738</v>
      </c>
      <c r="C1258" s="266"/>
      <c r="D1258" s="266" t="s">
        <v>1450</v>
      </c>
      <c r="E1258" s="268"/>
      <c r="F1258" s="358" t="s">
        <v>4744</v>
      </c>
      <c r="G1258" s="268" t="s">
        <v>2085</v>
      </c>
      <c r="H1258" s="270">
        <v>0.05768518518518518</v>
      </c>
      <c r="I1258" s="271">
        <v>44398.71527777778</v>
      </c>
      <c r="J1258" s="268"/>
      <c r="K1258" s="271">
        <v>44398.78706018518</v>
      </c>
      <c r="L1258" s="288" t="str">
        <f t="shared" ref="L1258:L1261" si="40">IFERROR(IF(OR(I1258="",K1258=""),"",K1258-I1258),"")</f>
        <v>1:43:22 AM</v>
      </c>
      <c r="M1258" s="278"/>
      <c r="N1258" s="290"/>
      <c r="O1258" s="276"/>
      <c r="P1258" s="276"/>
      <c r="Q1258" s="276"/>
      <c r="R1258" s="278"/>
      <c r="S1258" s="278"/>
      <c r="T1258" s="278"/>
      <c r="U1258" s="279"/>
      <c r="V1258" s="279" t="s">
        <v>1738</v>
      </c>
      <c r="W1258" s="280">
        <v>44399.0</v>
      </c>
      <c r="X1258" s="281">
        <v>0.20833333333333334</v>
      </c>
      <c r="Y1258" s="279" t="s">
        <v>1693</v>
      </c>
      <c r="Z1258" s="282" t="s">
        <v>53</v>
      </c>
      <c r="AA1258" s="282" t="s">
        <v>4745</v>
      </c>
      <c r="AB1258" s="283">
        <v>44399.0</v>
      </c>
      <c r="AC1258" s="284"/>
      <c r="AD1258" s="284"/>
    </row>
    <row r="1259" ht="14.25" customHeight="1">
      <c r="A1259" s="265">
        <v>44398.0</v>
      </c>
      <c r="B1259" s="266" t="s">
        <v>1783</v>
      </c>
      <c r="C1259" s="266"/>
      <c r="D1259" s="266" t="s">
        <v>1452</v>
      </c>
      <c r="E1259" s="268"/>
      <c r="F1259" s="358" t="s">
        <v>4746</v>
      </c>
      <c r="G1259" s="268" t="s">
        <v>2085</v>
      </c>
      <c r="H1259" s="270">
        <v>0.003206018518518519</v>
      </c>
      <c r="I1259" s="271">
        <v>44398.49930555555</v>
      </c>
      <c r="J1259" s="268"/>
      <c r="K1259" s="271">
        <v>44398.50462962963</v>
      </c>
      <c r="L1259" s="288" t="str">
        <f t="shared" si="40"/>
        <v>12:07:40 AM</v>
      </c>
      <c r="M1259" s="278"/>
      <c r="N1259" s="290"/>
      <c r="O1259" s="276"/>
      <c r="P1259" s="276"/>
      <c r="Q1259" s="276"/>
      <c r="R1259" s="278"/>
      <c r="S1259" s="278"/>
      <c r="T1259" s="278"/>
      <c r="U1259" s="279"/>
      <c r="V1259" s="279" t="s">
        <v>1783</v>
      </c>
      <c r="W1259" s="280">
        <v>44398.0</v>
      </c>
      <c r="X1259" s="281">
        <v>0.013888888888888888</v>
      </c>
      <c r="Y1259" s="279" t="s">
        <v>1693</v>
      </c>
      <c r="Z1259" s="282" t="s">
        <v>53</v>
      </c>
      <c r="AA1259" s="282" t="s">
        <v>4746</v>
      </c>
      <c r="AB1259" s="283">
        <v>44399.0</v>
      </c>
      <c r="AC1259" s="284"/>
      <c r="AD1259" s="284"/>
    </row>
    <row r="1260" ht="14.25" customHeight="1">
      <c r="A1260" s="265">
        <v>44398.0</v>
      </c>
      <c r="B1260" s="266" t="s">
        <v>1685</v>
      </c>
      <c r="C1260" s="266"/>
      <c r="D1260" s="266" t="s">
        <v>1686</v>
      </c>
      <c r="E1260" s="268"/>
      <c r="F1260" s="358" t="s">
        <v>4747</v>
      </c>
      <c r="G1260" s="268" t="s">
        <v>2085</v>
      </c>
      <c r="H1260" s="270">
        <v>0.034131944444444444</v>
      </c>
      <c r="I1260" s="271">
        <v>44398.82013888889</v>
      </c>
      <c r="J1260" s="268"/>
      <c r="K1260" s="271">
        <v>44398.851377314815</v>
      </c>
      <c r="L1260" s="288" t="str">
        <f t="shared" si="40"/>
        <v>12:44:59 AM</v>
      </c>
      <c r="M1260" s="278"/>
      <c r="N1260" s="290"/>
      <c r="O1260" s="276"/>
      <c r="P1260" s="276"/>
      <c r="Q1260" s="276"/>
      <c r="R1260" s="278"/>
      <c r="S1260" s="278"/>
      <c r="T1260" s="278"/>
      <c r="U1260" s="279"/>
      <c r="V1260" s="279" t="s">
        <v>1685</v>
      </c>
      <c r="W1260" s="280">
        <v>44399.0</v>
      </c>
      <c r="X1260" s="281">
        <v>0.14583333333333334</v>
      </c>
      <c r="Y1260" s="279" t="s">
        <v>1693</v>
      </c>
      <c r="Z1260" s="282" t="s">
        <v>53</v>
      </c>
      <c r="AA1260" s="282" t="s">
        <v>4747</v>
      </c>
      <c r="AB1260" s="283">
        <v>44399.0</v>
      </c>
      <c r="AC1260" s="284"/>
      <c r="AD1260" s="284"/>
    </row>
    <row r="1261" ht="14.25" customHeight="1">
      <c r="A1261" s="265">
        <v>44398.0</v>
      </c>
      <c r="B1261" s="266" t="s">
        <v>1733</v>
      </c>
      <c r="C1261" s="266"/>
      <c r="D1261" s="266" t="s">
        <v>1455</v>
      </c>
      <c r="E1261" s="268"/>
      <c r="F1261" s="358" t="s">
        <v>4748</v>
      </c>
      <c r="G1261" s="268" t="s">
        <v>2085</v>
      </c>
      <c r="H1261" s="270">
        <v>0.020335648148148148</v>
      </c>
      <c r="I1261" s="271">
        <v>44398.89166666667</v>
      </c>
      <c r="J1261" s="268"/>
      <c r="K1261" s="271">
        <v>44398.91480324074</v>
      </c>
      <c r="L1261" s="288" t="str">
        <f t="shared" si="40"/>
        <v>12:33:19 AM</v>
      </c>
      <c r="M1261" s="278"/>
      <c r="N1261" s="290"/>
      <c r="O1261" s="276"/>
      <c r="P1261" s="276"/>
      <c r="Q1261" s="276"/>
      <c r="R1261" s="278"/>
      <c r="S1261" s="278"/>
      <c r="T1261" s="278"/>
      <c r="U1261" s="279"/>
      <c r="V1261" s="279" t="s">
        <v>1783</v>
      </c>
      <c r="W1261" s="280">
        <v>44399.0</v>
      </c>
      <c r="X1261" s="281">
        <v>0.08333333333333333</v>
      </c>
      <c r="Y1261" s="279" t="s">
        <v>1693</v>
      </c>
      <c r="Z1261" s="282" t="s">
        <v>53</v>
      </c>
      <c r="AA1261" s="282" t="s">
        <v>4748</v>
      </c>
      <c r="AB1261" s="283">
        <v>44399.0</v>
      </c>
      <c r="AC1261" s="284"/>
      <c r="AD1261" s="284"/>
    </row>
    <row r="1262" ht="14.25" customHeight="1">
      <c r="A1262" s="265">
        <v>44399.0</v>
      </c>
      <c r="B1262" s="266" t="s">
        <v>1500</v>
      </c>
      <c r="C1262" s="266" t="s">
        <v>4749</v>
      </c>
      <c r="D1262" s="266" t="s">
        <v>1543</v>
      </c>
      <c r="E1262" s="268"/>
      <c r="F1262" s="269" t="s">
        <v>4750</v>
      </c>
      <c r="G1262" s="268" t="s">
        <v>1463</v>
      </c>
      <c r="H1262" s="270">
        <v>0.003425925925925926</v>
      </c>
      <c r="I1262" s="271">
        <v>44404.709074074075</v>
      </c>
      <c r="J1262" s="268"/>
      <c r="K1262" s="271">
        <v>44404.71412037037</v>
      </c>
      <c r="L1262" s="288"/>
      <c r="M1262" s="278" t="s">
        <v>4751</v>
      </c>
      <c r="N1262" s="290"/>
      <c r="O1262" s="276"/>
      <c r="P1262" s="276"/>
      <c r="Q1262" s="276"/>
      <c r="R1262" s="278"/>
      <c r="S1262" s="278"/>
      <c r="T1262" s="278"/>
      <c r="U1262" s="279"/>
      <c r="V1262" s="279" t="s">
        <v>1824</v>
      </c>
      <c r="W1262" s="280">
        <v>44411.0</v>
      </c>
      <c r="X1262" s="281">
        <v>0.008333333333333333</v>
      </c>
      <c r="Y1262" s="279" t="s">
        <v>1693</v>
      </c>
      <c r="Z1262" s="282" t="s">
        <v>53</v>
      </c>
      <c r="AA1262" s="282">
        <v>6423906.0</v>
      </c>
      <c r="AB1262" s="283">
        <v>44405.0</v>
      </c>
      <c r="AC1262" s="284"/>
      <c r="AD1262" s="284"/>
    </row>
    <row r="1263" ht="14.25" customHeight="1">
      <c r="A1263" s="265">
        <v>44399.0</v>
      </c>
      <c r="B1263" s="266" t="s">
        <v>2030</v>
      </c>
      <c r="C1263" s="266" t="s">
        <v>1686</v>
      </c>
      <c r="D1263" s="266" t="s">
        <v>1543</v>
      </c>
      <c r="E1263" s="268"/>
      <c r="F1263" s="269" t="s">
        <v>4752</v>
      </c>
      <c r="G1263" s="268" t="s">
        <v>1463</v>
      </c>
      <c r="H1263" s="270">
        <v>6.25E-4</v>
      </c>
      <c r="I1263" s="271">
        <v>44405.2375</v>
      </c>
      <c r="J1263" s="268"/>
      <c r="K1263" s="271">
        <v>44405.240277777775</v>
      </c>
      <c r="L1263" s="288"/>
      <c r="M1263" s="278" t="s">
        <v>4753</v>
      </c>
      <c r="N1263" s="290"/>
      <c r="O1263" s="276"/>
      <c r="P1263" s="276"/>
      <c r="Q1263" s="276"/>
      <c r="R1263" s="278"/>
      <c r="S1263" s="278"/>
      <c r="T1263" s="278"/>
      <c r="U1263" s="279"/>
      <c r="V1263" s="279" t="s">
        <v>1824</v>
      </c>
      <c r="W1263" s="280">
        <v>44411.0</v>
      </c>
      <c r="X1263" s="281">
        <v>0.003472222222222222</v>
      </c>
      <c r="Y1263" s="279" t="s">
        <v>1693</v>
      </c>
      <c r="Z1263" s="282" t="s">
        <v>53</v>
      </c>
      <c r="AA1263" s="282">
        <v>6423907.0</v>
      </c>
      <c r="AB1263" s="283">
        <v>44405.0</v>
      </c>
      <c r="AC1263" s="284"/>
      <c r="AD1263" s="284"/>
    </row>
    <row r="1264" ht="14.25" customHeight="1">
      <c r="A1264" s="265">
        <v>44399.0</v>
      </c>
      <c r="B1264" s="266" t="s">
        <v>2030</v>
      </c>
      <c r="C1264" s="266" t="s">
        <v>2083</v>
      </c>
      <c r="D1264" s="266" t="s">
        <v>1543</v>
      </c>
      <c r="E1264" s="268"/>
      <c r="F1264" s="269" t="s">
        <v>4754</v>
      </c>
      <c r="G1264" s="268" t="s">
        <v>1463</v>
      </c>
      <c r="H1264" s="270">
        <v>0.0011458333333333333</v>
      </c>
      <c r="I1264" s="271">
        <v>44405.30902777778</v>
      </c>
      <c r="J1264" s="268"/>
      <c r="K1264" s="271">
        <v>44405.31180555555</v>
      </c>
      <c r="L1264" s="288"/>
      <c r="M1264" s="278" t="s">
        <v>4755</v>
      </c>
      <c r="N1264" s="290"/>
      <c r="O1264" s="276"/>
      <c r="P1264" s="276"/>
      <c r="Q1264" s="276"/>
      <c r="R1264" s="278"/>
      <c r="S1264" s="278"/>
      <c r="T1264" s="278"/>
      <c r="U1264" s="279"/>
      <c r="V1264" s="279" t="s">
        <v>1824</v>
      </c>
      <c r="W1264" s="280">
        <v>44411.0</v>
      </c>
      <c r="X1264" s="281">
        <v>0.006944444444444444</v>
      </c>
      <c r="Y1264" s="279" t="s">
        <v>1693</v>
      </c>
      <c r="Z1264" s="282" t="s">
        <v>53</v>
      </c>
      <c r="AA1264" s="282">
        <v>6426191.0</v>
      </c>
      <c r="AB1264" s="283">
        <v>44406.0</v>
      </c>
      <c r="AC1264" s="284"/>
      <c r="AD1264" s="284"/>
    </row>
    <row r="1265" ht="14.25" customHeight="1">
      <c r="A1265" s="265">
        <v>44399.0</v>
      </c>
      <c r="B1265" s="266" t="s">
        <v>1500</v>
      </c>
      <c r="C1265" s="266" t="s">
        <v>4756</v>
      </c>
      <c r="D1265" s="266" t="s">
        <v>1543</v>
      </c>
      <c r="E1265" s="268"/>
      <c r="F1265" s="269" t="s">
        <v>4757</v>
      </c>
      <c r="G1265" s="268" t="s">
        <v>1463</v>
      </c>
      <c r="H1265" s="270">
        <v>0.0023958333333333336</v>
      </c>
      <c r="I1265" s="271">
        <v>44404.583333333336</v>
      </c>
      <c r="J1265" s="268"/>
      <c r="K1265" s="271">
        <v>44405.0853587963</v>
      </c>
      <c r="L1265" s="288"/>
      <c r="M1265" s="278" t="s">
        <v>4758</v>
      </c>
      <c r="N1265" s="290"/>
      <c r="O1265" s="276"/>
      <c r="P1265" s="276"/>
      <c r="Q1265" s="276"/>
      <c r="R1265" s="278"/>
      <c r="S1265" s="278"/>
      <c r="T1265" s="278"/>
      <c r="U1265" s="279"/>
      <c r="V1265" s="279" t="s">
        <v>1824</v>
      </c>
      <c r="W1265" s="280">
        <v>44411.0</v>
      </c>
      <c r="X1265" s="281">
        <v>0.006944444444444444</v>
      </c>
      <c r="Y1265" s="279" t="s">
        <v>1693</v>
      </c>
      <c r="Z1265" s="282" t="s">
        <v>53</v>
      </c>
      <c r="AA1265" s="282">
        <v>6434313.0</v>
      </c>
      <c r="AB1265" s="283">
        <v>44410.0</v>
      </c>
      <c r="AC1265" s="284"/>
      <c r="AD1265" s="284"/>
    </row>
    <row r="1266" ht="14.25" customHeight="1">
      <c r="A1266" s="265">
        <v>44399.0</v>
      </c>
      <c r="B1266" s="266" t="s">
        <v>1738</v>
      </c>
      <c r="C1266" s="266"/>
      <c r="D1266" s="266" t="s">
        <v>1450</v>
      </c>
      <c r="E1266" s="268"/>
      <c r="F1266" s="358" t="s">
        <v>4759</v>
      </c>
      <c r="G1266" s="268" t="s">
        <v>2085</v>
      </c>
      <c r="H1266" s="270">
        <v>0.04984953703703704</v>
      </c>
      <c r="I1266" s="271">
        <v>44399.65555555555</v>
      </c>
      <c r="J1266" s="268"/>
      <c r="K1266" s="271">
        <v>44399.704351851855</v>
      </c>
      <c r="L1266" s="288" t="str">
        <f t="shared" ref="L1266:L1269" si="41">IFERROR(IF(OR(I1266="",K1266=""),"",K1266-I1266),"")</f>
        <v>1:10:16 AM</v>
      </c>
      <c r="M1266" s="278"/>
      <c r="N1266" s="290"/>
      <c r="O1266" s="276"/>
      <c r="P1266" s="276"/>
      <c r="Q1266" s="276"/>
      <c r="R1266" s="278"/>
      <c r="S1266" s="278"/>
      <c r="T1266" s="278"/>
      <c r="U1266" s="279"/>
      <c r="V1266" s="279" t="s">
        <v>1738</v>
      </c>
      <c r="W1266" s="280">
        <v>44400.0</v>
      </c>
      <c r="X1266" s="281">
        <v>0.20833333333333334</v>
      </c>
      <c r="Y1266" s="279" t="s">
        <v>1693</v>
      </c>
      <c r="Z1266" s="282" t="s">
        <v>53</v>
      </c>
      <c r="AA1266" s="282" t="s">
        <v>4760</v>
      </c>
      <c r="AB1266" s="283">
        <v>44400.0</v>
      </c>
      <c r="AC1266" s="284"/>
      <c r="AD1266" s="284"/>
    </row>
    <row r="1267" ht="14.25" customHeight="1">
      <c r="A1267" s="265">
        <v>44399.0</v>
      </c>
      <c r="B1267" s="266" t="s">
        <v>1783</v>
      </c>
      <c r="C1267" s="266"/>
      <c r="D1267" s="266" t="s">
        <v>1452</v>
      </c>
      <c r="E1267" s="268"/>
      <c r="F1267" s="358" t="s">
        <v>4761</v>
      </c>
      <c r="G1267" s="268" t="s">
        <v>2085</v>
      </c>
      <c r="H1267" s="270">
        <v>0.004618055555555556</v>
      </c>
      <c r="I1267" s="271">
        <v>44399.48819444444</v>
      </c>
      <c r="J1267" s="268"/>
      <c r="K1267" s="271">
        <v>44399.49427083333</v>
      </c>
      <c r="L1267" s="288" t="str">
        <f t="shared" si="41"/>
        <v>12:08:45 AM</v>
      </c>
      <c r="M1267" s="278"/>
      <c r="N1267" s="290"/>
      <c r="O1267" s="276"/>
      <c r="P1267" s="276"/>
      <c r="Q1267" s="276"/>
      <c r="R1267" s="278"/>
      <c r="S1267" s="278"/>
      <c r="T1267" s="278"/>
      <c r="U1267" s="279"/>
      <c r="V1267" s="279" t="s">
        <v>1783</v>
      </c>
      <c r="W1267" s="280">
        <v>44399.0</v>
      </c>
      <c r="X1267" s="281">
        <v>0.013888888888888888</v>
      </c>
      <c r="Y1267" s="279" t="s">
        <v>1693</v>
      </c>
      <c r="Z1267" s="282" t="s">
        <v>53</v>
      </c>
      <c r="AA1267" s="282" t="s">
        <v>4761</v>
      </c>
      <c r="AB1267" s="283">
        <v>44400.0</v>
      </c>
      <c r="AC1267" s="284"/>
      <c r="AD1267" s="284"/>
    </row>
    <row r="1268" ht="14.25" customHeight="1">
      <c r="A1268" s="265">
        <v>44399.0</v>
      </c>
      <c r="B1268" s="266" t="s">
        <v>1685</v>
      </c>
      <c r="C1268" s="266"/>
      <c r="D1268" s="266" t="s">
        <v>1686</v>
      </c>
      <c r="E1268" s="268"/>
      <c r="F1268" s="358" t="s">
        <v>4762</v>
      </c>
      <c r="G1268" s="268" t="s">
        <v>2085</v>
      </c>
      <c r="H1268" s="270">
        <v>0.043750000000000004</v>
      </c>
      <c r="I1268" s="271">
        <v>44399.72708333333</v>
      </c>
      <c r="J1268" s="268"/>
      <c r="K1268" s="271">
        <v>44399.76349537037</v>
      </c>
      <c r="L1268" s="288" t="str">
        <f t="shared" si="41"/>
        <v>12:52:26 AM</v>
      </c>
      <c r="M1268" s="278"/>
      <c r="N1268" s="290"/>
      <c r="O1268" s="276"/>
      <c r="P1268" s="276"/>
      <c r="Q1268" s="276"/>
      <c r="R1268" s="278"/>
      <c r="S1268" s="278"/>
      <c r="T1268" s="278"/>
      <c r="U1268" s="279"/>
      <c r="V1268" s="279" t="s">
        <v>1685</v>
      </c>
      <c r="W1268" s="280">
        <v>44400.0</v>
      </c>
      <c r="X1268" s="281">
        <v>0.14583333333333334</v>
      </c>
      <c r="Y1268" s="279" t="s">
        <v>1693</v>
      </c>
      <c r="Z1268" s="282" t="s">
        <v>53</v>
      </c>
      <c r="AA1268" s="282" t="s">
        <v>4762</v>
      </c>
      <c r="AB1268" s="283">
        <v>44400.0</v>
      </c>
      <c r="AC1268" s="284"/>
      <c r="AD1268" s="284"/>
    </row>
    <row r="1269" ht="14.25" customHeight="1">
      <c r="A1269" s="265">
        <v>44399.0</v>
      </c>
      <c r="B1269" s="266" t="s">
        <v>1733</v>
      </c>
      <c r="C1269" s="266"/>
      <c r="D1269" s="266" t="s">
        <v>1455</v>
      </c>
      <c r="E1269" s="268"/>
      <c r="F1269" s="358" t="s">
        <v>4763</v>
      </c>
      <c r="G1269" s="268" t="s">
        <v>2085</v>
      </c>
      <c r="H1269" s="270">
        <v>0.023020833333333334</v>
      </c>
      <c r="I1269" s="271">
        <v>44399.96944444445</v>
      </c>
      <c r="J1269" s="268"/>
      <c r="K1269" s="271">
        <v>44399.97895833333</v>
      </c>
      <c r="L1269" s="288" t="str">
        <f t="shared" si="41"/>
        <v>12:13:42 AM</v>
      </c>
      <c r="M1269" s="278"/>
      <c r="N1269" s="290"/>
      <c r="O1269" s="276"/>
      <c r="P1269" s="276"/>
      <c r="Q1269" s="276"/>
      <c r="R1269" s="278"/>
      <c r="S1269" s="278"/>
      <c r="T1269" s="278"/>
      <c r="U1269" s="279"/>
      <c r="V1269" s="279" t="s">
        <v>1783</v>
      </c>
      <c r="W1269" s="280">
        <v>44400.0</v>
      </c>
      <c r="X1269" s="281">
        <v>0.08333333333333333</v>
      </c>
      <c r="Y1269" s="279" t="s">
        <v>1693</v>
      </c>
      <c r="Z1269" s="282" t="s">
        <v>53</v>
      </c>
      <c r="AA1269" s="282" t="s">
        <v>4763</v>
      </c>
      <c r="AB1269" s="283">
        <v>44400.0</v>
      </c>
      <c r="AC1269" s="284"/>
      <c r="AD1269" s="284"/>
    </row>
    <row r="1270" ht="14.25" customHeight="1">
      <c r="A1270" s="265">
        <v>44400.0</v>
      </c>
      <c r="B1270" s="266" t="s">
        <v>2030</v>
      </c>
      <c r="C1270" s="266" t="s">
        <v>1696</v>
      </c>
      <c r="D1270" s="266" t="s">
        <v>1543</v>
      </c>
      <c r="E1270" s="268"/>
      <c r="F1270" s="269" t="s">
        <v>4764</v>
      </c>
      <c r="G1270" s="268" t="s">
        <v>1463</v>
      </c>
      <c r="H1270" s="270">
        <v>0.0018634259259259261</v>
      </c>
      <c r="I1270" s="271">
        <v>44405.26666666667</v>
      </c>
      <c r="J1270" s="268"/>
      <c r="K1270" s="271">
        <v>44405.27013888889</v>
      </c>
      <c r="L1270" s="288"/>
      <c r="M1270" s="278" t="s">
        <v>4765</v>
      </c>
      <c r="N1270" s="290"/>
      <c r="O1270" s="276"/>
      <c r="P1270" s="276"/>
      <c r="Q1270" s="276"/>
      <c r="R1270" s="278"/>
      <c r="S1270" s="278"/>
      <c r="T1270" s="278"/>
      <c r="U1270" s="279"/>
      <c r="V1270" s="279" t="s">
        <v>1824</v>
      </c>
      <c r="W1270" s="280">
        <v>44411.0</v>
      </c>
      <c r="X1270" s="281">
        <v>0.009027777777777779</v>
      </c>
      <c r="Y1270" s="279" t="s">
        <v>1693</v>
      </c>
      <c r="Z1270" s="282" t="s">
        <v>53</v>
      </c>
      <c r="AA1270" s="282">
        <v>6423908.0</v>
      </c>
      <c r="AB1270" s="283">
        <v>44405.0</v>
      </c>
      <c r="AC1270" s="284"/>
      <c r="AD1270" s="284"/>
    </row>
    <row r="1271" ht="14.25" customHeight="1">
      <c r="A1271" s="265">
        <v>44400.0</v>
      </c>
      <c r="B1271" s="266" t="s">
        <v>1738</v>
      </c>
      <c r="C1271" s="266"/>
      <c r="D1271" s="266" t="s">
        <v>1450</v>
      </c>
      <c r="E1271" s="268"/>
      <c r="F1271" s="358" t="s">
        <v>4766</v>
      </c>
      <c r="G1271" s="268" t="s">
        <v>2085</v>
      </c>
      <c r="H1271" s="270">
        <v>0.03532407407407407</v>
      </c>
      <c r="I1271" s="271">
        <v>44400.68194444444</v>
      </c>
      <c r="J1271" s="268"/>
      <c r="K1271" s="271">
        <v>44400.718935185185</v>
      </c>
      <c r="L1271" s="288" t="str">
        <f t="shared" ref="L1271:L1274" si="42">IFERROR(IF(OR(I1271="",K1271=""),"",K1271-I1271),"")</f>
        <v>12:53:16 AM</v>
      </c>
      <c r="M1271" s="278"/>
      <c r="N1271" s="290"/>
      <c r="O1271" s="276"/>
      <c r="P1271" s="276"/>
      <c r="Q1271" s="276"/>
      <c r="R1271" s="278"/>
      <c r="S1271" s="278"/>
      <c r="T1271" s="278"/>
      <c r="U1271" s="279"/>
      <c r="V1271" s="279" t="s">
        <v>1783</v>
      </c>
      <c r="W1271" s="280">
        <v>44403.0</v>
      </c>
      <c r="X1271" s="281">
        <v>0.15277777777777776</v>
      </c>
      <c r="Y1271" s="279" t="s">
        <v>1693</v>
      </c>
      <c r="Z1271" s="282" t="s">
        <v>53</v>
      </c>
      <c r="AA1271" s="282" t="s">
        <v>4767</v>
      </c>
      <c r="AB1271" s="283">
        <v>44401.0</v>
      </c>
      <c r="AC1271" s="284"/>
      <c r="AD1271" s="284"/>
    </row>
    <row r="1272" ht="14.25" customHeight="1">
      <c r="A1272" s="265">
        <v>44400.0</v>
      </c>
      <c r="B1272" s="266" t="s">
        <v>1783</v>
      </c>
      <c r="C1272" s="266"/>
      <c r="D1272" s="266" t="s">
        <v>1452</v>
      </c>
      <c r="E1272" s="268"/>
      <c r="F1272" s="358" t="s">
        <v>4768</v>
      </c>
      <c r="G1272" s="268" t="s">
        <v>2085</v>
      </c>
      <c r="H1272" s="270">
        <v>3.935185185185185E-4</v>
      </c>
      <c r="I1272" s="271">
        <v>44399.42638888889</v>
      </c>
      <c r="J1272" s="268"/>
      <c r="K1272" s="271">
        <v>44400.42805555555</v>
      </c>
      <c r="L1272" s="288" t="str">
        <f t="shared" si="42"/>
        <v>12:02:24 AM</v>
      </c>
      <c r="M1272" s="278"/>
      <c r="N1272" s="290"/>
      <c r="O1272" s="276"/>
      <c r="P1272" s="276"/>
      <c r="Q1272" s="276"/>
      <c r="R1272" s="278"/>
      <c r="S1272" s="278"/>
      <c r="T1272" s="278"/>
      <c r="U1272" s="279"/>
      <c r="V1272" s="279" t="s">
        <v>1783</v>
      </c>
      <c r="W1272" s="280">
        <v>44400.0</v>
      </c>
      <c r="X1272" s="281">
        <v>0.0020833333333333333</v>
      </c>
      <c r="Y1272" s="279" t="s">
        <v>1693</v>
      </c>
      <c r="Z1272" s="282" t="s">
        <v>53</v>
      </c>
      <c r="AA1272" s="282" t="s">
        <v>4768</v>
      </c>
      <c r="AB1272" s="283">
        <v>44401.0</v>
      </c>
      <c r="AC1272" s="284"/>
      <c r="AD1272" s="284"/>
    </row>
    <row r="1273" ht="14.25" customHeight="1">
      <c r="A1273" s="265">
        <v>44400.0</v>
      </c>
      <c r="B1273" s="266" t="s">
        <v>1685</v>
      </c>
      <c r="C1273" s="266"/>
      <c r="D1273" s="266" t="s">
        <v>1686</v>
      </c>
      <c r="E1273" s="268"/>
      <c r="F1273" s="358" t="s">
        <v>4769</v>
      </c>
      <c r="G1273" s="268" t="s">
        <v>2085</v>
      </c>
      <c r="H1273" s="270">
        <v>0.03483796296296296</v>
      </c>
      <c r="I1273" s="271">
        <v>44400.688888888886</v>
      </c>
      <c r="J1273" s="268"/>
      <c r="K1273" s="271">
        <v>44400.71418981482</v>
      </c>
      <c r="L1273" s="288" t="str">
        <f t="shared" si="42"/>
        <v>12:36:26 AM</v>
      </c>
      <c r="M1273" s="278"/>
      <c r="N1273" s="290"/>
      <c r="O1273" s="276"/>
      <c r="P1273" s="276"/>
      <c r="Q1273" s="276"/>
      <c r="R1273" s="278"/>
      <c r="S1273" s="278"/>
      <c r="T1273" s="278"/>
      <c r="U1273" s="279"/>
      <c r="V1273" s="279" t="s">
        <v>1685</v>
      </c>
      <c r="W1273" s="280">
        <v>44403.0</v>
      </c>
      <c r="X1273" s="281">
        <v>0.125</v>
      </c>
      <c r="Y1273" s="279" t="s">
        <v>1693</v>
      </c>
      <c r="Z1273" s="282" t="s">
        <v>53</v>
      </c>
      <c r="AA1273" s="282" t="s">
        <v>4769</v>
      </c>
      <c r="AB1273" s="283">
        <v>44401.0</v>
      </c>
      <c r="AC1273" s="284"/>
      <c r="AD1273" s="284"/>
    </row>
    <row r="1274" ht="15.0" customHeight="1">
      <c r="A1274" s="265">
        <v>44400.0</v>
      </c>
      <c r="B1274" s="266" t="s">
        <v>1733</v>
      </c>
      <c r="C1274" s="266"/>
      <c r="D1274" s="266" t="s">
        <v>1455</v>
      </c>
      <c r="E1274" s="268"/>
      <c r="F1274" s="358" t="s">
        <v>4770</v>
      </c>
      <c r="G1274" s="268" t="s">
        <v>2085</v>
      </c>
      <c r="H1274" s="270">
        <v>0.01909722222222222</v>
      </c>
      <c r="I1274" s="271">
        <v>44400.868055555555</v>
      </c>
      <c r="J1274" s="268"/>
      <c r="K1274" s="271">
        <v>44400.88798611111</v>
      </c>
      <c r="L1274" s="288" t="str">
        <f t="shared" si="42"/>
        <v>12:28:42 AM</v>
      </c>
      <c r="M1274" s="278"/>
      <c r="N1274" s="290"/>
      <c r="O1274" s="276"/>
      <c r="P1274" s="276"/>
      <c r="Q1274" s="276"/>
      <c r="R1274" s="278"/>
      <c r="S1274" s="278"/>
      <c r="T1274" s="278"/>
      <c r="U1274" s="279"/>
      <c r="V1274" s="279" t="s">
        <v>1685</v>
      </c>
      <c r="W1274" s="280">
        <v>44403.0</v>
      </c>
      <c r="X1274" s="281">
        <v>0.08333333333333333</v>
      </c>
      <c r="Y1274" s="279" t="s">
        <v>1693</v>
      </c>
      <c r="Z1274" s="282" t="s">
        <v>53</v>
      </c>
      <c r="AA1274" s="282" t="s">
        <v>4770</v>
      </c>
      <c r="AB1274" s="283">
        <v>44401.0</v>
      </c>
      <c r="AC1274" s="284"/>
      <c r="AD1274" s="284"/>
    </row>
    <row r="1275" ht="14.25" customHeight="1">
      <c r="A1275" s="265">
        <v>44401.0</v>
      </c>
      <c r="B1275" s="266" t="s">
        <v>1500</v>
      </c>
      <c r="C1275" s="266" t="s">
        <v>1696</v>
      </c>
      <c r="D1275" s="266" t="s">
        <v>1543</v>
      </c>
      <c r="E1275" s="268"/>
      <c r="F1275" s="269" t="s">
        <v>4771</v>
      </c>
      <c r="G1275" s="268" t="s">
        <v>1463</v>
      </c>
      <c r="H1275" s="270">
        <v>0.003645833333333333</v>
      </c>
      <c r="I1275" s="271">
        <v>44405.663194444445</v>
      </c>
      <c r="J1275" s="268"/>
      <c r="K1275" s="271">
        <v>44406.00336805556</v>
      </c>
      <c r="L1275" s="288"/>
      <c r="M1275" s="278" t="s">
        <v>4772</v>
      </c>
      <c r="N1275" s="290"/>
      <c r="O1275" s="276"/>
      <c r="P1275" s="276"/>
      <c r="Q1275" s="276"/>
      <c r="R1275" s="278"/>
      <c r="S1275" s="278"/>
      <c r="T1275" s="278"/>
      <c r="U1275" s="279"/>
      <c r="V1275" s="279" t="s">
        <v>1824</v>
      </c>
      <c r="W1275" s="280">
        <v>44411.0</v>
      </c>
      <c r="X1275" s="281">
        <v>0.009027777777777779</v>
      </c>
      <c r="Y1275" s="279" t="s">
        <v>1693</v>
      </c>
      <c r="Z1275" s="282" t="s">
        <v>53</v>
      </c>
      <c r="AA1275" s="282">
        <v>6434314.0</v>
      </c>
      <c r="AB1275" s="283">
        <v>44410.0</v>
      </c>
      <c r="AC1275" s="284"/>
      <c r="AD1275" s="284"/>
    </row>
    <row r="1276" ht="14.25" customHeight="1">
      <c r="A1276" s="265">
        <v>44401.0</v>
      </c>
      <c r="B1276" s="266" t="s">
        <v>1500</v>
      </c>
      <c r="C1276" s="266"/>
      <c r="D1276" s="266" t="s">
        <v>1686</v>
      </c>
      <c r="E1276" s="268"/>
      <c r="F1276" s="358" t="s">
        <v>4773</v>
      </c>
      <c r="G1276" s="268" t="s">
        <v>2085</v>
      </c>
      <c r="H1276" s="270">
        <v>0.033888888888888885</v>
      </c>
      <c r="I1276" s="271">
        <v>44403.58125</v>
      </c>
      <c r="J1276" s="268"/>
      <c r="K1276" s="271">
        <v>44403.792708333334</v>
      </c>
      <c r="L1276" s="288" t="str">
        <f t="shared" ref="L1276:L1279" si="43">IFERROR(IF(OR(I1276="",K1276=""),"",K1276-I1276),"")</f>
        <v>5:04:30 AM</v>
      </c>
      <c r="M1276" s="278"/>
      <c r="N1276" s="290"/>
      <c r="O1276" s="276"/>
      <c r="P1276" s="276"/>
      <c r="Q1276" s="276"/>
      <c r="R1276" s="278"/>
      <c r="S1276" s="278"/>
      <c r="T1276" s="278"/>
      <c r="U1276" s="279"/>
      <c r="V1276" s="279" t="s">
        <v>1685</v>
      </c>
      <c r="W1276" s="280">
        <v>44403.0</v>
      </c>
      <c r="X1276" s="281">
        <v>0.125</v>
      </c>
      <c r="Y1276" s="279" t="s">
        <v>1693</v>
      </c>
      <c r="Z1276" s="282" t="s">
        <v>53</v>
      </c>
      <c r="AA1276" s="282" t="s">
        <v>4773</v>
      </c>
      <c r="AB1276" s="283">
        <v>44403.0</v>
      </c>
      <c r="AC1276" s="284"/>
      <c r="AD1276" s="284"/>
    </row>
    <row r="1277" ht="14.25" customHeight="1">
      <c r="A1277" s="265">
        <v>44401.0</v>
      </c>
      <c r="B1277" s="266" t="s">
        <v>1746</v>
      </c>
      <c r="C1277" s="266"/>
      <c r="D1277" s="266" t="s">
        <v>1455</v>
      </c>
      <c r="E1277" s="268"/>
      <c r="F1277" s="358" t="s">
        <v>4774</v>
      </c>
      <c r="G1277" s="268" t="s">
        <v>2085</v>
      </c>
      <c r="H1277" s="270">
        <v>0.016168981481481482</v>
      </c>
      <c r="I1277" s="271">
        <v>44403.58125</v>
      </c>
      <c r="J1277" s="268"/>
      <c r="K1277" s="271">
        <v>44403.60046296296</v>
      </c>
      <c r="L1277" s="288" t="str">
        <f t="shared" si="43"/>
        <v>12:27:40 AM</v>
      </c>
      <c r="M1277" s="278"/>
      <c r="N1277" s="290"/>
      <c r="O1277" s="276"/>
      <c r="P1277" s="276"/>
      <c r="Q1277" s="276"/>
      <c r="R1277" s="278"/>
      <c r="S1277" s="278"/>
      <c r="T1277" s="278"/>
      <c r="U1277" s="279"/>
      <c r="V1277" s="279" t="s">
        <v>1685</v>
      </c>
      <c r="W1277" s="280">
        <v>44404.0</v>
      </c>
      <c r="X1277" s="281">
        <v>0.08333333333333333</v>
      </c>
      <c r="Y1277" s="279" t="s">
        <v>1693</v>
      </c>
      <c r="Z1277" s="282" t="s">
        <v>53</v>
      </c>
      <c r="AA1277" s="282" t="s">
        <v>4775</v>
      </c>
      <c r="AB1277" s="283">
        <v>44403.0</v>
      </c>
      <c r="AC1277" s="284"/>
      <c r="AD1277" s="284"/>
    </row>
    <row r="1278" ht="14.25" customHeight="1">
      <c r="A1278" s="265">
        <v>44402.0</v>
      </c>
      <c r="B1278" s="266" t="s">
        <v>1500</v>
      </c>
      <c r="C1278" s="266"/>
      <c r="D1278" s="266" t="s">
        <v>1457</v>
      </c>
      <c r="E1278" s="268"/>
      <c r="F1278" s="291" t="s">
        <v>4036</v>
      </c>
      <c r="G1278" s="268"/>
      <c r="H1278" s="268"/>
      <c r="I1278" s="268"/>
      <c r="J1278" s="268"/>
      <c r="K1278" s="268"/>
      <c r="L1278" s="288" t="str">
        <f t="shared" si="43"/>
        <v/>
      </c>
      <c r="M1278" s="278"/>
      <c r="N1278" s="290"/>
      <c r="O1278" s="276"/>
      <c r="P1278" s="276"/>
      <c r="Q1278" s="276"/>
      <c r="R1278" s="278"/>
      <c r="S1278" s="278"/>
      <c r="T1278" s="278"/>
      <c r="U1278" s="279"/>
      <c r="V1278" s="279" t="s">
        <v>28</v>
      </c>
      <c r="W1278" s="279" t="s">
        <v>28</v>
      </c>
      <c r="X1278" s="279" t="s">
        <v>28</v>
      </c>
      <c r="Y1278" s="279" t="s">
        <v>28</v>
      </c>
      <c r="Z1278" s="282" t="s">
        <v>28</v>
      </c>
      <c r="AA1278" s="282" t="s">
        <v>28</v>
      </c>
      <c r="AB1278" s="282" t="s">
        <v>28</v>
      </c>
      <c r="AC1278" s="284"/>
      <c r="AD1278" s="284"/>
    </row>
    <row r="1279" ht="14.25" customHeight="1">
      <c r="A1279" s="265">
        <v>44402.0</v>
      </c>
      <c r="B1279" s="266" t="s">
        <v>1500</v>
      </c>
      <c r="C1279" s="266"/>
      <c r="D1279" s="266" t="s">
        <v>2829</v>
      </c>
      <c r="E1279" s="268"/>
      <c r="F1279" s="291" t="s">
        <v>4036</v>
      </c>
      <c r="G1279" s="268"/>
      <c r="H1279" s="268"/>
      <c r="I1279" s="268"/>
      <c r="J1279" s="268"/>
      <c r="K1279" s="268"/>
      <c r="L1279" s="288" t="str">
        <f t="shared" si="43"/>
        <v/>
      </c>
      <c r="M1279" s="278"/>
      <c r="N1279" s="290"/>
      <c r="O1279" s="276"/>
      <c r="P1279" s="276"/>
      <c r="Q1279" s="276"/>
      <c r="R1279" s="278"/>
      <c r="S1279" s="278"/>
      <c r="T1279" s="278"/>
      <c r="U1279" s="279"/>
      <c r="V1279" s="279" t="s">
        <v>28</v>
      </c>
      <c r="W1279" s="279" t="s">
        <v>28</v>
      </c>
      <c r="X1279" s="279" t="s">
        <v>28</v>
      </c>
      <c r="Y1279" s="279" t="s">
        <v>28</v>
      </c>
      <c r="Z1279" s="282" t="s">
        <v>28</v>
      </c>
      <c r="AA1279" s="282" t="s">
        <v>28</v>
      </c>
      <c r="AB1279" s="282" t="s">
        <v>28</v>
      </c>
      <c r="AC1279" s="284"/>
      <c r="AD1279" s="284"/>
    </row>
    <row r="1280" ht="14.25" customHeight="1">
      <c r="A1280" s="265">
        <v>44403.0</v>
      </c>
      <c r="B1280" s="266" t="s">
        <v>2030</v>
      </c>
      <c r="C1280" s="266" t="s">
        <v>1450</v>
      </c>
      <c r="D1280" s="266" t="s">
        <v>1543</v>
      </c>
      <c r="E1280" s="268"/>
      <c r="F1280" s="269" t="s">
        <v>4776</v>
      </c>
      <c r="G1280" s="268" t="s">
        <v>1463</v>
      </c>
      <c r="H1280" s="270">
        <v>0.002002314814814815</v>
      </c>
      <c r="I1280" s="271">
        <v>44407.30416666667</v>
      </c>
      <c r="J1280" s="268"/>
      <c r="K1280" s="271">
        <v>44407.30694444444</v>
      </c>
      <c r="L1280" s="288"/>
      <c r="M1280" s="278" t="s">
        <v>4777</v>
      </c>
      <c r="N1280" s="290"/>
      <c r="O1280" s="276"/>
      <c r="P1280" s="276"/>
      <c r="Q1280" s="276"/>
      <c r="R1280" s="278"/>
      <c r="S1280" s="278"/>
      <c r="T1280" s="278"/>
      <c r="U1280" s="279"/>
      <c r="V1280" s="279" t="s">
        <v>1824</v>
      </c>
      <c r="W1280" s="280">
        <v>44411.0</v>
      </c>
      <c r="X1280" s="281">
        <v>0.006944444444444444</v>
      </c>
      <c r="Y1280" s="279" t="s">
        <v>1693</v>
      </c>
      <c r="Z1280" s="282" t="s">
        <v>53</v>
      </c>
      <c r="AA1280" s="282">
        <v>6427548.0</v>
      </c>
      <c r="AB1280" s="283">
        <v>44407.0</v>
      </c>
      <c r="AC1280" s="284"/>
      <c r="AD1280" s="284"/>
    </row>
    <row r="1281" ht="14.25" customHeight="1">
      <c r="A1281" s="265">
        <v>44403.0</v>
      </c>
      <c r="B1281" s="266" t="s">
        <v>2030</v>
      </c>
      <c r="C1281" s="266" t="s">
        <v>1455</v>
      </c>
      <c r="D1281" s="266" t="s">
        <v>1543</v>
      </c>
      <c r="E1281" s="268"/>
      <c r="F1281" s="269" t="s">
        <v>4778</v>
      </c>
      <c r="G1281" s="268" t="s">
        <v>1463</v>
      </c>
      <c r="H1281" s="270">
        <v>0.0011689814814814816</v>
      </c>
      <c r="I1281" s="271">
        <v>44407.37430555555</v>
      </c>
      <c r="J1281" s="268"/>
      <c r="K1281" s="271">
        <v>44407.376388888886</v>
      </c>
      <c r="L1281" s="288"/>
      <c r="M1281" s="278" t="s">
        <v>4779</v>
      </c>
      <c r="N1281" s="290"/>
      <c r="O1281" s="276"/>
      <c r="P1281" s="276"/>
      <c r="Q1281" s="276"/>
      <c r="R1281" s="278"/>
      <c r="S1281" s="278"/>
      <c r="T1281" s="278"/>
      <c r="U1281" s="279"/>
      <c r="V1281" s="279" t="s">
        <v>1824</v>
      </c>
      <c r="W1281" s="280">
        <v>44412.0</v>
      </c>
      <c r="X1281" s="281">
        <v>0.008333333333333333</v>
      </c>
      <c r="Y1281" s="279" t="s">
        <v>1693</v>
      </c>
      <c r="Z1281" s="282" t="s">
        <v>53</v>
      </c>
      <c r="AA1281" s="282">
        <v>6428128.0</v>
      </c>
      <c r="AB1281" s="283">
        <v>44410.0</v>
      </c>
      <c r="AC1281" s="284"/>
      <c r="AD1281" s="284"/>
    </row>
    <row r="1282" ht="14.25" customHeight="1">
      <c r="A1282" s="265">
        <v>44403.0</v>
      </c>
      <c r="B1282" s="266" t="s">
        <v>1500</v>
      </c>
      <c r="C1282" s="266" t="s">
        <v>1696</v>
      </c>
      <c r="D1282" s="266" t="s">
        <v>1543</v>
      </c>
      <c r="E1282" s="268"/>
      <c r="F1282" s="269" t="s">
        <v>4780</v>
      </c>
      <c r="G1282" s="268" t="s">
        <v>1463</v>
      </c>
      <c r="H1282" s="270">
        <v>0.004074074074074075</v>
      </c>
      <c r="I1282" s="271">
        <v>44406.55347222222</v>
      </c>
      <c r="J1282" s="268"/>
      <c r="K1282" s="271">
        <v>44406.906805555554</v>
      </c>
      <c r="L1282" s="288"/>
      <c r="M1282" s="278" t="s">
        <v>4781</v>
      </c>
      <c r="N1282" s="290"/>
      <c r="O1282" s="276"/>
      <c r="P1282" s="276"/>
      <c r="Q1282" s="276"/>
      <c r="R1282" s="278"/>
      <c r="S1282" s="278"/>
      <c r="T1282" s="278"/>
      <c r="U1282" s="279"/>
      <c r="V1282" s="279" t="s">
        <v>1824</v>
      </c>
      <c r="W1282" s="280">
        <v>44412.0</v>
      </c>
      <c r="X1282" s="281">
        <v>0.010416666666666666</v>
      </c>
      <c r="Y1282" s="279" t="s">
        <v>1693</v>
      </c>
      <c r="Z1282" s="282" t="s">
        <v>53</v>
      </c>
      <c r="AA1282" s="282">
        <v>6434315.0</v>
      </c>
      <c r="AB1282" s="283">
        <v>44410.0</v>
      </c>
      <c r="AC1282" s="284"/>
      <c r="AD1282" s="284"/>
    </row>
    <row r="1283" ht="14.25" customHeight="1">
      <c r="A1283" s="265">
        <v>44403.0</v>
      </c>
      <c r="B1283" s="266" t="s">
        <v>1500</v>
      </c>
      <c r="C1283" s="266" t="s">
        <v>2641</v>
      </c>
      <c r="D1283" s="266" t="s">
        <v>1543</v>
      </c>
      <c r="E1283" s="268"/>
      <c r="F1283" s="269" t="s">
        <v>4782</v>
      </c>
      <c r="G1283" s="268" t="s">
        <v>1463</v>
      </c>
      <c r="H1283" s="270">
        <v>9.722222222222221E-4</v>
      </c>
      <c r="I1283" s="271">
        <v>44408.600694444445</v>
      </c>
      <c r="J1283" s="268"/>
      <c r="K1283" s="271">
        <v>44408.94068287037</v>
      </c>
      <c r="L1283" s="288"/>
      <c r="M1283" s="278" t="s">
        <v>4783</v>
      </c>
      <c r="N1283" s="290"/>
      <c r="O1283" s="276"/>
      <c r="P1283" s="276"/>
      <c r="Q1283" s="276"/>
      <c r="R1283" s="278"/>
      <c r="S1283" s="278"/>
      <c r="T1283" s="278"/>
      <c r="U1283" s="279"/>
      <c r="V1283" s="279" t="s">
        <v>1824</v>
      </c>
      <c r="W1283" s="280">
        <v>44412.0</v>
      </c>
      <c r="X1283" s="281">
        <v>0.006944444444444444</v>
      </c>
      <c r="Y1283" s="279" t="s">
        <v>1693</v>
      </c>
      <c r="Z1283" s="282" t="s">
        <v>53</v>
      </c>
      <c r="AA1283" s="282">
        <v>6437195.0</v>
      </c>
      <c r="AB1283" s="283">
        <v>44412.0</v>
      </c>
      <c r="AC1283" s="284"/>
      <c r="AD1283" s="284"/>
    </row>
    <row r="1284" ht="14.25" customHeight="1">
      <c r="A1284" s="265">
        <v>44403.0</v>
      </c>
      <c r="B1284" s="266" t="s">
        <v>1500</v>
      </c>
      <c r="C1284" s="266" t="s">
        <v>2641</v>
      </c>
      <c r="D1284" s="266" t="s">
        <v>1543</v>
      </c>
      <c r="E1284" s="268"/>
      <c r="F1284" s="269" t="s">
        <v>4784</v>
      </c>
      <c r="G1284" s="268" t="s">
        <v>1463</v>
      </c>
      <c r="H1284" s="270">
        <v>5.439814814814814E-4</v>
      </c>
      <c r="I1284" s="271">
        <v>44408.600694444445</v>
      </c>
      <c r="J1284" s="268"/>
      <c r="K1284" s="271">
        <v>44408.94068287037</v>
      </c>
      <c r="L1284" s="288"/>
      <c r="M1284" s="278" t="s">
        <v>4785</v>
      </c>
      <c r="N1284" s="290"/>
      <c r="O1284" s="276"/>
      <c r="P1284" s="276"/>
      <c r="Q1284" s="276"/>
      <c r="R1284" s="278"/>
      <c r="S1284" s="278"/>
      <c r="T1284" s="278"/>
      <c r="U1284" s="279"/>
      <c r="V1284" s="279" t="s">
        <v>1824</v>
      </c>
      <c r="W1284" s="280">
        <v>44412.0</v>
      </c>
      <c r="X1284" s="281">
        <v>0.006944444444444444</v>
      </c>
      <c r="Y1284" s="279" t="s">
        <v>1693</v>
      </c>
      <c r="Z1284" s="282" t="s">
        <v>53</v>
      </c>
      <c r="AA1284" s="282">
        <v>6437196.0</v>
      </c>
      <c r="AB1284" s="283">
        <v>44412.0</v>
      </c>
      <c r="AC1284" s="284"/>
      <c r="AD1284" s="284"/>
    </row>
    <row r="1285" ht="14.25" customHeight="1">
      <c r="A1285" s="265">
        <v>44403.0</v>
      </c>
      <c r="B1285" s="266" t="s">
        <v>1783</v>
      </c>
      <c r="C1285" s="266" t="s">
        <v>2158</v>
      </c>
      <c r="D1285" s="266" t="s">
        <v>1450</v>
      </c>
      <c r="E1285" s="268"/>
      <c r="F1285" s="286" t="s">
        <v>4786</v>
      </c>
      <c r="G1285" s="268" t="s">
        <v>4787</v>
      </c>
      <c r="H1285" s="270"/>
      <c r="I1285" s="271"/>
      <c r="J1285" s="268"/>
      <c r="K1285" s="268"/>
      <c r="L1285" s="288"/>
      <c r="M1285" s="278" t="s">
        <v>3915</v>
      </c>
      <c r="N1285" s="290"/>
      <c r="O1285" s="276"/>
      <c r="P1285" s="276"/>
      <c r="Q1285" s="276"/>
      <c r="R1285" s="278"/>
      <c r="S1285" s="278" t="s">
        <v>3915</v>
      </c>
      <c r="T1285" s="278" t="s">
        <v>3915</v>
      </c>
      <c r="U1285" s="279"/>
      <c r="V1285" s="279" t="s">
        <v>28</v>
      </c>
      <c r="W1285" s="279" t="s">
        <v>28</v>
      </c>
      <c r="X1285" s="279" t="s">
        <v>28</v>
      </c>
      <c r="Y1285" s="279" t="s">
        <v>28</v>
      </c>
      <c r="Z1285" s="282" t="s">
        <v>28</v>
      </c>
      <c r="AA1285" s="282" t="s">
        <v>28</v>
      </c>
      <c r="AB1285" s="283" t="s">
        <v>28</v>
      </c>
      <c r="AC1285" s="284"/>
      <c r="AD1285" s="284"/>
    </row>
    <row r="1286" ht="14.25" customHeight="1">
      <c r="A1286" s="265">
        <v>44403.0</v>
      </c>
      <c r="B1286" s="266" t="s">
        <v>1783</v>
      </c>
      <c r="C1286" s="266"/>
      <c r="D1286" s="266" t="s">
        <v>1450</v>
      </c>
      <c r="E1286" s="268"/>
      <c r="F1286" s="358" t="s">
        <v>4788</v>
      </c>
      <c r="G1286" s="268" t="s">
        <v>2085</v>
      </c>
      <c r="H1286" s="270">
        <v>0.036099537037037034</v>
      </c>
      <c r="I1286" s="271">
        <v>44403.37847222222</v>
      </c>
      <c r="J1286" s="268"/>
      <c r="K1286" s="271">
        <v>44403.40914351852</v>
      </c>
      <c r="L1286" s="288" t="str">
        <f t="shared" ref="L1286:L1289" si="44">IFERROR(IF(OR(I1286="",K1286=""),"",K1286-I1286),"")</f>
        <v>12:44:10 AM</v>
      </c>
      <c r="M1286" s="278"/>
      <c r="N1286" s="290"/>
      <c r="O1286" s="276"/>
      <c r="P1286" s="276"/>
      <c r="Q1286" s="276"/>
      <c r="R1286" s="278"/>
      <c r="S1286" s="278"/>
      <c r="T1286" s="278"/>
      <c r="U1286" s="279"/>
      <c r="V1286" s="279" t="s">
        <v>1783</v>
      </c>
      <c r="W1286" s="280">
        <v>44404.0</v>
      </c>
      <c r="X1286" s="281">
        <v>0.15277777777777776</v>
      </c>
      <c r="Y1286" s="279" t="s">
        <v>1693</v>
      </c>
      <c r="Z1286" s="282" t="s">
        <v>53</v>
      </c>
      <c r="AA1286" s="282" t="s">
        <v>4788</v>
      </c>
      <c r="AB1286" s="283">
        <v>44403.0</v>
      </c>
      <c r="AC1286" s="284"/>
      <c r="AD1286" s="284"/>
    </row>
    <row r="1287" ht="14.25" customHeight="1">
      <c r="A1287" s="265">
        <v>44403.0</v>
      </c>
      <c r="B1287" s="266" t="s">
        <v>1783</v>
      </c>
      <c r="C1287" s="266"/>
      <c r="D1287" s="266" t="s">
        <v>1452</v>
      </c>
      <c r="E1287" s="268"/>
      <c r="F1287" s="358" t="s">
        <v>4789</v>
      </c>
      <c r="G1287" s="268" t="s">
        <v>2085</v>
      </c>
      <c r="H1287" s="270">
        <v>0.0025694444444444445</v>
      </c>
      <c r="I1287" s="271">
        <v>44403.37847222222</v>
      </c>
      <c r="J1287" s="268"/>
      <c r="K1287" s="271">
        <v>44403.383101851854</v>
      </c>
      <c r="L1287" s="288" t="str">
        <f t="shared" si="44"/>
        <v>12:06:40 AM</v>
      </c>
      <c r="M1287" s="278"/>
      <c r="N1287" s="290"/>
      <c r="O1287" s="276"/>
      <c r="P1287" s="276"/>
      <c r="Q1287" s="276"/>
      <c r="R1287" s="278"/>
      <c r="S1287" s="278"/>
      <c r="T1287" s="278"/>
      <c r="U1287" s="279"/>
      <c r="V1287" s="279" t="s">
        <v>1783</v>
      </c>
      <c r="W1287" s="280">
        <v>44403.0</v>
      </c>
      <c r="X1287" s="281">
        <v>0.003472222222222222</v>
      </c>
      <c r="Y1287" s="279" t="s">
        <v>1693</v>
      </c>
      <c r="Z1287" s="282" t="s">
        <v>53</v>
      </c>
      <c r="AA1287" s="282" t="s">
        <v>4789</v>
      </c>
      <c r="AB1287" s="283">
        <v>44403.0</v>
      </c>
      <c r="AC1287" s="284"/>
      <c r="AD1287" s="284"/>
    </row>
    <row r="1288" ht="14.25" customHeight="1">
      <c r="A1288" s="265">
        <v>44403.0</v>
      </c>
      <c r="B1288" s="266" t="s">
        <v>1500</v>
      </c>
      <c r="C1288" s="266"/>
      <c r="D1288" s="266" t="s">
        <v>1686</v>
      </c>
      <c r="E1288" s="268"/>
      <c r="F1288" s="358" t="s">
        <v>4790</v>
      </c>
      <c r="G1288" s="268" t="s">
        <v>2085</v>
      </c>
      <c r="H1288" s="270">
        <v>0.0159375</v>
      </c>
      <c r="I1288" s="271">
        <v>44403.66875</v>
      </c>
      <c r="J1288" s="268"/>
      <c r="K1288" s="271">
        <v>44403.680625</v>
      </c>
      <c r="L1288" s="288" t="str">
        <f t="shared" si="44"/>
        <v>12:17:06 AM</v>
      </c>
      <c r="M1288" s="278"/>
      <c r="N1288" s="290"/>
      <c r="O1288" s="276"/>
      <c r="P1288" s="276"/>
      <c r="Q1288" s="276"/>
      <c r="R1288" s="278"/>
      <c r="S1288" s="278"/>
      <c r="T1288" s="278"/>
      <c r="U1288" s="279"/>
      <c r="V1288" s="279" t="s">
        <v>1685</v>
      </c>
      <c r="W1288" s="279" t="s">
        <v>4791</v>
      </c>
      <c r="X1288" s="281">
        <v>0.14583333333333334</v>
      </c>
      <c r="Y1288" s="279" t="s">
        <v>1693</v>
      </c>
      <c r="Z1288" s="282" t="s">
        <v>53</v>
      </c>
      <c r="AA1288" s="282" t="s">
        <v>4790</v>
      </c>
      <c r="AB1288" s="283">
        <v>44403.0</v>
      </c>
      <c r="AC1288" s="284"/>
      <c r="AD1288" s="284"/>
    </row>
    <row r="1289" ht="14.25" customHeight="1">
      <c r="A1289" s="265">
        <v>44403.0</v>
      </c>
      <c r="B1289" s="266" t="s">
        <v>1738</v>
      </c>
      <c r="C1289" s="266"/>
      <c r="D1289" s="266" t="s">
        <v>1455</v>
      </c>
      <c r="E1289" s="268"/>
      <c r="F1289" s="358" t="s">
        <v>4792</v>
      </c>
      <c r="G1289" s="268" t="s">
        <v>2085</v>
      </c>
      <c r="H1289" s="270">
        <v>0.019421296296296294</v>
      </c>
      <c r="I1289" s="271">
        <v>44403.86944444444</v>
      </c>
      <c r="J1289" s="268"/>
      <c r="K1289" s="271">
        <v>44404.223541666666</v>
      </c>
      <c r="L1289" s="288" t="str">
        <f t="shared" si="44"/>
        <v>8:29:54 AM</v>
      </c>
      <c r="M1289" s="278"/>
      <c r="N1289" s="290"/>
      <c r="O1289" s="276"/>
      <c r="P1289" s="276"/>
      <c r="Q1289" s="276"/>
      <c r="R1289" s="278"/>
      <c r="S1289" s="278"/>
      <c r="T1289" s="278"/>
      <c r="U1289" s="279"/>
      <c r="V1289" s="279" t="s">
        <v>1685</v>
      </c>
      <c r="W1289" s="280">
        <v>44404.0</v>
      </c>
      <c r="X1289" s="281">
        <v>0.08333333333333333</v>
      </c>
      <c r="Y1289" s="279" t="s">
        <v>1693</v>
      </c>
      <c r="Z1289" s="282" t="s">
        <v>53</v>
      </c>
      <c r="AA1289" s="282" t="s">
        <v>4793</v>
      </c>
      <c r="AB1289" s="283">
        <v>44404.0</v>
      </c>
      <c r="AC1289" s="284"/>
      <c r="AD1289" s="284"/>
    </row>
    <row r="1290" ht="14.25" customHeight="1">
      <c r="A1290" s="265">
        <v>44404.0</v>
      </c>
      <c r="B1290" s="266" t="s">
        <v>1500</v>
      </c>
      <c r="C1290" s="266" t="s">
        <v>2641</v>
      </c>
      <c r="D1290" s="266" t="s">
        <v>1543</v>
      </c>
      <c r="E1290" s="268"/>
      <c r="F1290" s="269" t="s">
        <v>4794</v>
      </c>
      <c r="G1290" s="268" t="s">
        <v>1463</v>
      </c>
      <c r="H1290" s="270">
        <v>0.0022916666666666667</v>
      </c>
      <c r="I1290" s="271">
        <v>44408.618055555555</v>
      </c>
      <c r="J1290" s="268"/>
      <c r="K1290" s="271">
        <v>44408.9584375</v>
      </c>
      <c r="L1290" s="288"/>
      <c r="M1290" s="278" t="s">
        <v>4795</v>
      </c>
      <c r="N1290" s="290"/>
      <c r="O1290" s="276"/>
      <c r="P1290" s="276"/>
      <c r="Q1290" s="276"/>
      <c r="R1290" s="278"/>
      <c r="S1290" s="278"/>
      <c r="T1290" s="278"/>
      <c r="U1290" s="279"/>
      <c r="V1290" s="279" t="s">
        <v>1824</v>
      </c>
      <c r="W1290" s="280">
        <v>44412.0</v>
      </c>
      <c r="X1290" s="281">
        <v>0.007638888888888889</v>
      </c>
      <c r="Y1290" s="279" t="s">
        <v>1693</v>
      </c>
      <c r="Z1290" s="282" t="s">
        <v>53</v>
      </c>
      <c r="AA1290" s="282">
        <v>6437197.0</v>
      </c>
      <c r="AB1290" s="283">
        <v>44412.0</v>
      </c>
      <c r="AC1290" s="284"/>
      <c r="AD1290" s="284"/>
    </row>
    <row r="1291" ht="14.25" customHeight="1">
      <c r="A1291" s="265">
        <v>44404.0</v>
      </c>
      <c r="B1291" s="266" t="s">
        <v>1783</v>
      </c>
      <c r="C1291" s="266"/>
      <c r="D1291" s="266" t="s">
        <v>1450</v>
      </c>
      <c r="E1291" s="268"/>
      <c r="F1291" s="358" t="s">
        <v>4796</v>
      </c>
      <c r="G1291" s="268" t="s">
        <v>2085</v>
      </c>
      <c r="H1291" s="270">
        <v>0.03665509259259259</v>
      </c>
      <c r="I1291" s="271">
        <v>44404.38611111111</v>
      </c>
      <c r="J1291" s="268"/>
      <c r="K1291" s="271">
        <v>44404.41587962963</v>
      </c>
      <c r="L1291" s="288" t="str">
        <f t="shared" ref="L1291:L1294" si="45">IFERROR(IF(OR(I1291="",K1291=""),"",K1291-I1291),"")</f>
        <v>12:42:52 AM</v>
      </c>
      <c r="M1291" s="278"/>
      <c r="N1291" s="290"/>
      <c r="O1291" s="276"/>
      <c r="P1291" s="276"/>
      <c r="Q1291" s="276"/>
      <c r="R1291" s="278"/>
      <c r="S1291" s="278"/>
      <c r="T1291" s="278"/>
      <c r="U1291" s="279"/>
      <c r="V1291" s="279" t="s">
        <v>1783</v>
      </c>
      <c r="W1291" s="280">
        <v>44404.0</v>
      </c>
      <c r="X1291" s="281">
        <v>0.15277777777777776</v>
      </c>
      <c r="Y1291" s="279" t="s">
        <v>1693</v>
      </c>
      <c r="Z1291" s="282" t="s">
        <v>53</v>
      </c>
      <c r="AA1291" s="282" t="s">
        <v>4796</v>
      </c>
      <c r="AB1291" s="283">
        <v>44404.0</v>
      </c>
      <c r="AC1291" s="284"/>
      <c r="AD1291" s="284"/>
    </row>
    <row r="1292" ht="14.25" customHeight="1">
      <c r="A1292" s="265">
        <v>44404.0</v>
      </c>
      <c r="B1292" s="266" t="s">
        <v>1783</v>
      </c>
      <c r="C1292" s="266"/>
      <c r="D1292" s="266" t="s">
        <v>1452</v>
      </c>
      <c r="E1292" s="268"/>
      <c r="F1292" s="358" t="s">
        <v>4797</v>
      </c>
      <c r="G1292" s="268" t="s">
        <v>2085</v>
      </c>
      <c r="H1292" s="270">
        <v>0.0011111111111111111</v>
      </c>
      <c r="I1292" s="271">
        <v>44404.38611111111</v>
      </c>
      <c r="J1292" s="268"/>
      <c r="K1292" s="271">
        <v>44404.389085648145</v>
      </c>
      <c r="L1292" s="288" t="str">
        <f t="shared" si="45"/>
        <v>12:04:17 AM</v>
      </c>
      <c r="M1292" s="278"/>
      <c r="N1292" s="290"/>
      <c r="O1292" s="276"/>
      <c r="P1292" s="276"/>
      <c r="Q1292" s="276"/>
      <c r="R1292" s="278"/>
      <c r="S1292" s="278"/>
      <c r="T1292" s="278"/>
      <c r="U1292" s="279"/>
      <c r="V1292" s="279" t="s">
        <v>1783</v>
      </c>
      <c r="W1292" s="280">
        <v>44403.0</v>
      </c>
      <c r="X1292" s="281">
        <v>0.003472222222222222</v>
      </c>
      <c r="Y1292" s="279" t="s">
        <v>1693</v>
      </c>
      <c r="Z1292" s="282" t="s">
        <v>53</v>
      </c>
      <c r="AA1292" s="282" t="s">
        <v>4797</v>
      </c>
      <c r="AB1292" s="283">
        <v>44404.0</v>
      </c>
      <c r="AC1292" s="284"/>
      <c r="AD1292" s="284"/>
    </row>
    <row r="1293" ht="14.25" customHeight="1">
      <c r="A1293" s="265">
        <v>44404.0</v>
      </c>
      <c r="B1293" s="266" t="s">
        <v>1685</v>
      </c>
      <c r="C1293" s="266"/>
      <c r="D1293" s="266" t="s">
        <v>1686</v>
      </c>
      <c r="E1293" s="268"/>
      <c r="F1293" s="358" t="s">
        <v>4798</v>
      </c>
      <c r="G1293" s="268" t="s">
        <v>2085</v>
      </c>
      <c r="H1293" s="270">
        <v>0.0340625</v>
      </c>
      <c r="I1293" s="271">
        <v>44404.74791666667</v>
      </c>
      <c r="J1293" s="268"/>
      <c r="K1293" s="268"/>
      <c r="L1293" s="288" t="str">
        <f t="shared" si="45"/>
        <v/>
      </c>
      <c r="M1293" s="278"/>
      <c r="N1293" s="290"/>
      <c r="O1293" s="276"/>
      <c r="P1293" s="276"/>
      <c r="Q1293" s="276"/>
      <c r="R1293" s="278"/>
      <c r="S1293" s="278"/>
      <c r="T1293" s="278"/>
      <c r="U1293" s="279"/>
      <c r="V1293" s="279" t="s">
        <v>1685</v>
      </c>
      <c r="W1293" s="280">
        <v>44405.0</v>
      </c>
      <c r="X1293" s="281">
        <v>0.125</v>
      </c>
      <c r="Y1293" s="279" t="s">
        <v>1693</v>
      </c>
      <c r="Z1293" s="282" t="s">
        <v>53</v>
      </c>
      <c r="AA1293" s="282" t="s">
        <v>4798</v>
      </c>
      <c r="AB1293" s="283">
        <v>44404.0</v>
      </c>
      <c r="AC1293" s="284"/>
      <c r="AD1293" s="284"/>
    </row>
    <row r="1294" ht="14.25" customHeight="1">
      <c r="A1294" s="265">
        <v>44404.0</v>
      </c>
      <c r="B1294" s="266" t="s">
        <v>1500</v>
      </c>
      <c r="C1294" s="266"/>
      <c r="D1294" s="266" t="s">
        <v>1455</v>
      </c>
      <c r="E1294" s="268"/>
      <c r="F1294" s="358" t="s">
        <v>4799</v>
      </c>
      <c r="G1294" s="268" t="s">
        <v>2085</v>
      </c>
      <c r="H1294" s="270">
        <v>0.020277777777777777</v>
      </c>
      <c r="I1294" s="271">
        <v>44405.540972222225</v>
      </c>
      <c r="J1294" s="268"/>
      <c r="K1294" s="268"/>
      <c r="L1294" s="288" t="str">
        <f t="shared" si="45"/>
        <v/>
      </c>
      <c r="M1294" s="278"/>
      <c r="N1294" s="290"/>
      <c r="O1294" s="276"/>
      <c r="P1294" s="276"/>
      <c r="Q1294" s="276"/>
      <c r="R1294" s="278"/>
      <c r="S1294" s="278"/>
      <c r="T1294" s="278"/>
      <c r="U1294" s="279"/>
      <c r="V1294" s="279" t="s">
        <v>1685</v>
      </c>
      <c r="W1294" s="280">
        <v>44405.0</v>
      </c>
      <c r="X1294" s="279"/>
      <c r="Y1294" s="279" t="s">
        <v>1693</v>
      </c>
      <c r="Z1294" s="282" t="s">
        <v>53</v>
      </c>
      <c r="AA1294" s="282" t="s">
        <v>4799</v>
      </c>
      <c r="AB1294" s="283">
        <v>44405.0</v>
      </c>
      <c r="AC1294" s="284"/>
      <c r="AD1294" s="284"/>
    </row>
    <row r="1295" ht="14.25" customHeight="1">
      <c r="A1295" s="265">
        <v>44405.0</v>
      </c>
      <c r="B1295" s="266" t="s">
        <v>1500</v>
      </c>
      <c r="C1295" s="266" t="s">
        <v>1450</v>
      </c>
      <c r="D1295" s="266" t="s">
        <v>1543</v>
      </c>
      <c r="E1295" s="268"/>
      <c r="F1295" s="269" t="s">
        <v>4800</v>
      </c>
      <c r="G1295" s="268" t="s">
        <v>1463</v>
      </c>
      <c r="H1295" s="270">
        <v>0.003263888888888889</v>
      </c>
      <c r="I1295" s="271">
        <v>44406.69513888889</v>
      </c>
      <c r="J1295" s="268"/>
      <c r="K1295" s="271">
        <v>44408.32925925926</v>
      </c>
      <c r="L1295" s="288"/>
      <c r="M1295" s="278" t="s">
        <v>4801</v>
      </c>
      <c r="N1295" s="290"/>
      <c r="O1295" s="276"/>
      <c r="P1295" s="276"/>
      <c r="Q1295" s="276"/>
      <c r="R1295" s="278"/>
      <c r="S1295" s="278"/>
      <c r="T1295" s="278"/>
      <c r="U1295" s="279"/>
      <c r="V1295" s="279" t="s">
        <v>1824</v>
      </c>
      <c r="W1295" s="280">
        <v>44412.0</v>
      </c>
      <c r="X1295" s="281">
        <v>0.006944444444444444</v>
      </c>
      <c r="Y1295" s="279" t="s">
        <v>1693</v>
      </c>
      <c r="Z1295" s="282" t="s">
        <v>53</v>
      </c>
      <c r="AA1295" s="282">
        <v>6434316.0</v>
      </c>
      <c r="AB1295" s="283">
        <v>44410.0</v>
      </c>
      <c r="AC1295" s="284"/>
      <c r="AD1295" s="284"/>
    </row>
    <row r="1296" ht="14.25" customHeight="1">
      <c r="A1296" s="265">
        <v>44405.0</v>
      </c>
      <c r="B1296" s="266" t="s">
        <v>1500</v>
      </c>
      <c r="C1296" s="266" t="s">
        <v>1450</v>
      </c>
      <c r="D1296" s="266" t="s">
        <v>1543</v>
      </c>
      <c r="E1296" s="268"/>
      <c r="F1296" s="269" t="s">
        <v>4802</v>
      </c>
      <c r="G1296" s="268" t="s">
        <v>1463</v>
      </c>
      <c r="H1296" s="270">
        <v>0.0025578703703703705</v>
      </c>
      <c r="I1296" s="271">
        <v>44406.73611111111</v>
      </c>
      <c r="J1296" s="268"/>
      <c r="K1296" s="271">
        <v>44407.07633101852</v>
      </c>
      <c r="L1296" s="288"/>
      <c r="M1296" s="278" t="s">
        <v>4803</v>
      </c>
      <c r="N1296" s="290"/>
      <c r="O1296" s="276"/>
      <c r="P1296" s="276"/>
      <c r="Q1296" s="276"/>
      <c r="R1296" s="278"/>
      <c r="S1296" s="278"/>
      <c r="T1296" s="278"/>
      <c r="U1296" s="279"/>
      <c r="V1296" s="279" t="s">
        <v>1824</v>
      </c>
      <c r="W1296" s="280">
        <v>44413.0</v>
      </c>
      <c r="X1296" s="281">
        <v>0.006944444444444444</v>
      </c>
      <c r="Y1296" s="279" t="s">
        <v>1693</v>
      </c>
      <c r="Z1296" s="282" t="s">
        <v>53</v>
      </c>
      <c r="AA1296" s="282">
        <v>6434317.0</v>
      </c>
      <c r="AB1296" s="283">
        <v>44410.0</v>
      </c>
      <c r="AC1296" s="284"/>
      <c r="AD1296" s="284"/>
    </row>
    <row r="1297" ht="14.25" customHeight="1">
      <c r="A1297" s="265">
        <v>44405.0</v>
      </c>
      <c r="B1297" s="266" t="s">
        <v>1783</v>
      </c>
      <c r="C1297" s="266"/>
      <c r="D1297" s="266" t="s">
        <v>1452</v>
      </c>
      <c r="E1297" s="268"/>
      <c r="F1297" s="291" t="s">
        <v>4036</v>
      </c>
      <c r="G1297" s="268"/>
      <c r="H1297" s="268"/>
      <c r="I1297" s="268"/>
      <c r="J1297" s="268"/>
      <c r="K1297" s="268"/>
      <c r="L1297" s="288" t="str">
        <f t="shared" ref="L1297:L1300" si="46">IFERROR(IF(OR(I1297="",K1297=""),"",K1297-I1297),"")</f>
        <v/>
      </c>
      <c r="M1297" s="278" t="s">
        <v>3915</v>
      </c>
      <c r="N1297" s="290"/>
      <c r="O1297" s="276"/>
      <c r="P1297" s="276"/>
      <c r="Q1297" s="276"/>
      <c r="R1297" s="278"/>
      <c r="S1297" s="278" t="s">
        <v>3915</v>
      </c>
      <c r="T1297" s="278" t="s">
        <v>3915</v>
      </c>
      <c r="U1297" s="279"/>
      <c r="V1297" s="279" t="s">
        <v>28</v>
      </c>
      <c r="W1297" s="279" t="s">
        <v>28</v>
      </c>
      <c r="X1297" s="279" t="s">
        <v>28</v>
      </c>
      <c r="Y1297" s="279" t="s">
        <v>28</v>
      </c>
      <c r="Z1297" s="282" t="s">
        <v>28</v>
      </c>
      <c r="AA1297" s="282" t="s">
        <v>28</v>
      </c>
      <c r="AB1297" s="282" t="s">
        <v>28</v>
      </c>
      <c r="AC1297" s="284"/>
      <c r="AD1297" s="284"/>
    </row>
    <row r="1298" ht="14.25" customHeight="1">
      <c r="A1298" s="265">
        <v>44405.0</v>
      </c>
      <c r="B1298" s="266" t="s">
        <v>1783</v>
      </c>
      <c r="C1298" s="266"/>
      <c r="D1298" s="266" t="s">
        <v>1450</v>
      </c>
      <c r="E1298" s="268"/>
      <c r="F1298" s="358" t="s">
        <v>4804</v>
      </c>
      <c r="G1298" s="268" t="s">
        <v>2085</v>
      </c>
      <c r="H1298" s="270">
        <v>0.010138888888888888</v>
      </c>
      <c r="I1298" s="271">
        <v>44405.39027777778</v>
      </c>
      <c r="J1298" s="268"/>
      <c r="K1298" s="421">
        <v>44405.39037037037</v>
      </c>
      <c r="L1298" s="288" t="str">
        <f t="shared" si="46"/>
        <v>12:00:08 AM</v>
      </c>
      <c r="M1298" s="307" t="s">
        <v>2808</v>
      </c>
      <c r="N1298" s="273">
        <v>44405.52777777778</v>
      </c>
      <c r="O1298" s="276" t="s">
        <v>4805</v>
      </c>
      <c r="P1298" s="276" t="s">
        <v>1463</v>
      </c>
      <c r="Q1298" s="276" t="s">
        <v>1819</v>
      </c>
      <c r="R1298" s="422">
        <v>44405.532789351855</v>
      </c>
      <c r="S1298" s="278"/>
      <c r="T1298" s="278" t="s">
        <v>4806</v>
      </c>
      <c r="U1298" s="279"/>
      <c r="V1298" s="279" t="s">
        <v>1783</v>
      </c>
      <c r="W1298" s="280">
        <v>44405.0</v>
      </c>
      <c r="X1298" s="281">
        <v>0.034722222222222224</v>
      </c>
      <c r="Y1298" s="279" t="s">
        <v>1693</v>
      </c>
      <c r="Z1298" s="282" t="s">
        <v>53</v>
      </c>
      <c r="AA1298" s="282" t="s">
        <v>4804</v>
      </c>
      <c r="AB1298" s="283">
        <v>44405.0</v>
      </c>
      <c r="AC1298" s="284"/>
      <c r="AD1298" s="284"/>
    </row>
    <row r="1299" ht="14.25" customHeight="1">
      <c r="A1299" s="265">
        <v>44405.0</v>
      </c>
      <c r="B1299" s="266" t="s">
        <v>1685</v>
      </c>
      <c r="C1299" s="266"/>
      <c r="D1299" s="266" t="s">
        <v>1686</v>
      </c>
      <c r="E1299" s="268"/>
      <c r="F1299" s="358" t="s">
        <v>4807</v>
      </c>
      <c r="G1299" s="268" t="s">
        <v>2085</v>
      </c>
      <c r="H1299" s="270">
        <v>0.041296296296296296</v>
      </c>
      <c r="I1299" s="271">
        <v>44405.74652777778</v>
      </c>
      <c r="J1299" s="268"/>
      <c r="K1299" s="268"/>
      <c r="L1299" s="288" t="str">
        <f t="shared" si="46"/>
        <v/>
      </c>
      <c r="M1299" s="278"/>
      <c r="N1299" s="290"/>
      <c r="O1299" s="276"/>
      <c r="P1299" s="276"/>
      <c r="Q1299" s="276"/>
      <c r="R1299" s="278"/>
      <c r="S1299" s="278"/>
      <c r="T1299" s="278"/>
      <c r="U1299" s="279"/>
      <c r="V1299" s="279" t="s">
        <v>1685</v>
      </c>
      <c r="W1299" s="280">
        <v>44406.0</v>
      </c>
      <c r="X1299" s="281">
        <v>0.125</v>
      </c>
      <c r="Y1299" s="279" t="s">
        <v>1693</v>
      </c>
      <c r="Z1299" s="282" t="s">
        <v>53</v>
      </c>
      <c r="AA1299" s="282" t="s">
        <v>4807</v>
      </c>
      <c r="AB1299" s="283">
        <v>44406.0</v>
      </c>
      <c r="AC1299" s="284"/>
      <c r="AD1299" s="284"/>
    </row>
    <row r="1300" ht="14.25" customHeight="1">
      <c r="A1300" s="265">
        <v>44405.0</v>
      </c>
      <c r="B1300" s="266" t="s">
        <v>1738</v>
      </c>
      <c r="C1300" s="266"/>
      <c r="D1300" s="266" t="s">
        <v>1455</v>
      </c>
      <c r="E1300" s="268"/>
      <c r="F1300" s="358" t="s">
        <v>4808</v>
      </c>
      <c r="G1300" s="268" t="s">
        <v>2085</v>
      </c>
      <c r="H1300" s="270">
        <v>0.020439814814814817</v>
      </c>
      <c r="I1300" s="271">
        <v>44405.93541666667</v>
      </c>
      <c r="J1300" s="268"/>
      <c r="K1300" s="271">
        <v>44405.95763888889</v>
      </c>
      <c r="L1300" s="288" t="str">
        <f t="shared" si="46"/>
        <v>12:32:00 AM</v>
      </c>
      <c r="M1300" s="278"/>
      <c r="N1300" s="290"/>
      <c r="O1300" s="276"/>
      <c r="P1300" s="276"/>
      <c r="Q1300" s="276"/>
      <c r="R1300" s="278"/>
      <c r="S1300" s="278"/>
      <c r="T1300" s="278"/>
      <c r="U1300" s="279"/>
      <c r="V1300" s="279" t="s">
        <v>1685</v>
      </c>
      <c r="W1300" s="280">
        <v>44406.0</v>
      </c>
      <c r="X1300" s="281">
        <v>0.0625</v>
      </c>
      <c r="Y1300" s="279" t="s">
        <v>1693</v>
      </c>
      <c r="Z1300" s="282" t="s">
        <v>53</v>
      </c>
      <c r="AA1300" s="282" t="s">
        <v>4809</v>
      </c>
      <c r="AB1300" s="283">
        <v>44406.0</v>
      </c>
      <c r="AC1300" s="284"/>
      <c r="AD1300" s="284"/>
    </row>
    <row r="1301" ht="14.25" customHeight="1">
      <c r="A1301" s="265">
        <v>44406.0</v>
      </c>
      <c r="B1301" s="266" t="s">
        <v>1500</v>
      </c>
      <c r="C1301" s="266" t="s">
        <v>1686</v>
      </c>
      <c r="D1301" s="266" t="s">
        <v>1543</v>
      </c>
      <c r="E1301" s="268"/>
      <c r="F1301" s="269" t="s">
        <v>4810</v>
      </c>
      <c r="G1301" s="268" t="s">
        <v>1463</v>
      </c>
      <c r="H1301" s="270">
        <v>0.003275462962962963</v>
      </c>
      <c r="I1301" s="271">
        <v>44407.80763888889</v>
      </c>
      <c r="J1301" s="268"/>
      <c r="K1301" s="271">
        <v>44407.71644675926</v>
      </c>
      <c r="L1301" s="288"/>
      <c r="M1301" s="278" t="s">
        <v>4811</v>
      </c>
      <c r="N1301" s="290"/>
      <c r="O1301" s="276"/>
      <c r="P1301" s="276"/>
      <c r="Q1301" s="276"/>
      <c r="R1301" s="278"/>
      <c r="S1301" s="278"/>
      <c r="T1301" s="278"/>
      <c r="U1301" s="279"/>
      <c r="V1301" s="279" t="s">
        <v>1824</v>
      </c>
      <c r="W1301" s="280">
        <v>44413.0</v>
      </c>
      <c r="X1301" s="281">
        <v>0.004166666666666667</v>
      </c>
      <c r="Y1301" s="279" t="s">
        <v>1693</v>
      </c>
      <c r="Z1301" s="282" t="s">
        <v>53</v>
      </c>
      <c r="AA1301" s="282">
        <v>6434318.0</v>
      </c>
      <c r="AB1301" s="283">
        <v>44410.0</v>
      </c>
      <c r="AC1301" s="284"/>
      <c r="AD1301" s="284"/>
    </row>
    <row r="1302" ht="14.25" customHeight="1">
      <c r="A1302" s="265">
        <v>44406.0</v>
      </c>
      <c r="B1302" s="266" t="s">
        <v>1500</v>
      </c>
      <c r="C1302" s="266" t="s">
        <v>1686</v>
      </c>
      <c r="D1302" s="266" t="s">
        <v>1543</v>
      </c>
      <c r="E1302" s="268"/>
      <c r="F1302" s="269" t="s">
        <v>4812</v>
      </c>
      <c r="G1302" s="268" t="s">
        <v>1463</v>
      </c>
      <c r="H1302" s="270">
        <v>0.003263888888888889</v>
      </c>
      <c r="I1302" s="271">
        <v>44407.82730324074</v>
      </c>
      <c r="J1302" s="268"/>
      <c r="K1302" s="271">
        <v>44408.1616087963</v>
      </c>
      <c r="L1302" s="288"/>
      <c r="M1302" s="278" t="s">
        <v>4813</v>
      </c>
      <c r="N1302" s="290"/>
      <c r="O1302" s="276"/>
      <c r="P1302" s="276"/>
      <c r="Q1302" s="276"/>
      <c r="R1302" s="278"/>
      <c r="S1302" s="278"/>
      <c r="T1302" s="278"/>
      <c r="U1302" s="279"/>
      <c r="V1302" s="279" t="s">
        <v>1783</v>
      </c>
      <c r="W1302" s="280">
        <v>44413.0</v>
      </c>
      <c r="X1302" s="281">
        <v>0.004861111111111111</v>
      </c>
      <c r="Y1302" s="279" t="s">
        <v>1693</v>
      </c>
      <c r="Z1302" s="282" t="s">
        <v>53</v>
      </c>
      <c r="AA1302" s="282">
        <v>6434319.0</v>
      </c>
      <c r="AB1302" s="283">
        <v>44410.0</v>
      </c>
      <c r="AC1302" s="284"/>
      <c r="AD1302" s="284"/>
    </row>
    <row r="1303" ht="14.25" customHeight="1">
      <c r="A1303" s="265">
        <v>44406.0</v>
      </c>
      <c r="B1303" s="266" t="s">
        <v>1500</v>
      </c>
      <c r="C1303" s="266" t="s">
        <v>2804</v>
      </c>
      <c r="D1303" s="266" t="s">
        <v>1543</v>
      </c>
      <c r="E1303" s="268"/>
      <c r="F1303" s="269" t="s">
        <v>4814</v>
      </c>
      <c r="G1303" s="268" t="s">
        <v>1463</v>
      </c>
      <c r="H1303" s="270">
        <v>0.003368055555555555</v>
      </c>
      <c r="I1303" s="271">
        <v>44410.63680555556</v>
      </c>
      <c r="J1303" s="268"/>
      <c r="K1303" s="271">
        <v>44410.97835648148</v>
      </c>
      <c r="L1303" s="288"/>
      <c r="M1303" s="278" t="s">
        <v>4815</v>
      </c>
      <c r="N1303" s="290"/>
      <c r="O1303" s="276"/>
      <c r="P1303" s="276"/>
      <c r="Q1303" s="276"/>
      <c r="R1303" s="278"/>
      <c r="S1303" s="278"/>
      <c r="T1303" s="278"/>
      <c r="U1303" s="279"/>
      <c r="V1303" s="279" t="s">
        <v>1783</v>
      </c>
      <c r="W1303" s="280">
        <v>44413.0</v>
      </c>
      <c r="X1303" s="281">
        <v>0.006944444444444444</v>
      </c>
      <c r="Y1303" s="279" t="s">
        <v>1693</v>
      </c>
      <c r="Z1303" s="282" t="s">
        <v>53</v>
      </c>
      <c r="AA1303" s="282">
        <v>6439954.0</v>
      </c>
      <c r="AB1303" s="283">
        <v>44412.0</v>
      </c>
      <c r="AC1303" s="284"/>
      <c r="AD1303" s="284"/>
    </row>
    <row r="1304" ht="14.25" customHeight="1">
      <c r="A1304" s="265">
        <v>44406.0</v>
      </c>
      <c r="B1304" s="266" t="s">
        <v>1783</v>
      </c>
      <c r="C1304" s="266"/>
      <c r="D1304" s="266" t="s">
        <v>1452</v>
      </c>
      <c r="E1304" s="268"/>
      <c r="F1304" s="291" t="s">
        <v>4036</v>
      </c>
      <c r="G1304" s="268"/>
      <c r="H1304" s="268"/>
      <c r="I1304" s="268"/>
      <c r="J1304" s="268"/>
      <c r="K1304" s="268"/>
      <c r="L1304" s="288" t="str">
        <f t="shared" ref="L1304:L1307" si="47">IFERROR(IF(OR(I1304="",K1304=""),"",K1304-I1304),"")</f>
        <v/>
      </c>
      <c r="M1304" s="278" t="s">
        <v>3915</v>
      </c>
      <c r="N1304" s="290"/>
      <c r="O1304" s="276"/>
      <c r="P1304" s="276"/>
      <c r="Q1304" s="276"/>
      <c r="R1304" s="278"/>
      <c r="S1304" s="278" t="s">
        <v>3915</v>
      </c>
      <c r="T1304" s="278" t="s">
        <v>3915</v>
      </c>
      <c r="U1304" s="279"/>
      <c r="V1304" s="279" t="s">
        <v>28</v>
      </c>
      <c r="W1304" s="279" t="s">
        <v>28</v>
      </c>
      <c r="X1304" s="279" t="s">
        <v>28</v>
      </c>
      <c r="Y1304" s="279" t="s">
        <v>28</v>
      </c>
      <c r="Z1304" s="282" t="s">
        <v>28</v>
      </c>
      <c r="AA1304" s="282" t="s">
        <v>28</v>
      </c>
      <c r="AB1304" s="282" t="s">
        <v>28</v>
      </c>
      <c r="AC1304" s="284"/>
      <c r="AD1304" s="284"/>
    </row>
    <row r="1305" ht="14.25" customHeight="1">
      <c r="A1305" s="265">
        <v>44406.0</v>
      </c>
      <c r="B1305" s="266" t="s">
        <v>1783</v>
      </c>
      <c r="C1305" s="266"/>
      <c r="D1305" s="266" t="s">
        <v>1450</v>
      </c>
      <c r="E1305" s="268"/>
      <c r="F1305" s="358" t="s">
        <v>4816</v>
      </c>
      <c r="G1305" s="268" t="s">
        <v>2085</v>
      </c>
      <c r="H1305" s="270">
        <v>0.03513888888888889</v>
      </c>
      <c r="I1305" s="271">
        <v>44406.399305555555</v>
      </c>
      <c r="J1305" s="268"/>
      <c r="K1305" s="271">
        <v>44406.50184027778</v>
      </c>
      <c r="L1305" s="288" t="str">
        <f t="shared" si="47"/>
        <v>2:27:39 AM</v>
      </c>
      <c r="M1305" s="278"/>
      <c r="N1305" s="290"/>
      <c r="O1305" s="276"/>
      <c r="P1305" s="276"/>
      <c r="Q1305" s="276"/>
      <c r="R1305" s="278"/>
      <c r="S1305" s="278"/>
      <c r="T1305" s="278"/>
      <c r="U1305" s="279"/>
      <c r="V1305" s="279" t="s">
        <v>1783</v>
      </c>
      <c r="W1305" s="280">
        <v>44406.0</v>
      </c>
      <c r="X1305" s="281">
        <v>0.15277777777777776</v>
      </c>
      <c r="Y1305" s="279" t="s">
        <v>1693</v>
      </c>
      <c r="Z1305" s="282" t="s">
        <v>53</v>
      </c>
      <c r="AA1305" s="282" t="s">
        <v>4816</v>
      </c>
      <c r="AB1305" s="283">
        <v>44406.0</v>
      </c>
      <c r="AC1305" s="284"/>
      <c r="AD1305" s="284"/>
    </row>
    <row r="1306" ht="14.25" customHeight="1">
      <c r="A1306" s="265">
        <v>44406.0</v>
      </c>
      <c r="B1306" s="266" t="s">
        <v>1685</v>
      </c>
      <c r="C1306" s="266"/>
      <c r="D1306" s="266" t="s">
        <v>1686</v>
      </c>
      <c r="E1306" s="268"/>
      <c r="F1306" s="358" t="s">
        <v>4817</v>
      </c>
      <c r="G1306" s="268" t="s">
        <v>2085</v>
      </c>
      <c r="H1306" s="270">
        <v>0.03256944444444444</v>
      </c>
      <c r="I1306" s="271">
        <v>44406.73611111111</v>
      </c>
      <c r="J1306" s="268"/>
      <c r="K1306" s="268"/>
      <c r="L1306" s="288" t="str">
        <f t="shared" si="47"/>
        <v/>
      </c>
      <c r="M1306" s="278"/>
      <c r="N1306" s="290"/>
      <c r="O1306" s="276"/>
      <c r="P1306" s="276"/>
      <c r="Q1306" s="276"/>
      <c r="R1306" s="278"/>
      <c r="S1306" s="278"/>
      <c r="T1306" s="278"/>
      <c r="U1306" s="279"/>
      <c r="V1306" s="279" t="s">
        <v>1685</v>
      </c>
      <c r="W1306" s="280">
        <v>44407.0</v>
      </c>
      <c r="X1306" s="281">
        <v>0.14583333333333334</v>
      </c>
      <c r="Y1306" s="279" t="s">
        <v>1693</v>
      </c>
      <c r="Z1306" s="282" t="s">
        <v>53</v>
      </c>
      <c r="AA1306" s="282" t="s">
        <v>4817</v>
      </c>
      <c r="AB1306" s="283">
        <v>44407.0</v>
      </c>
      <c r="AC1306" s="284"/>
      <c r="AD1306" s="284"/>
    </row>
    <row r="1307" ht="14.25" customHeight="1">
      <c r="A1307" s="265">
        <v>44406.0</v>
      </c>
      <c r="B1307" s="266" t="s">
        <v>1738</v>
      </c>
      <c r="C1307" s="266"/>
      <c r="D1307" s="266" t="s">
        <v>1455</v>
      </c>
      <c r="E1307" s="268"/>
      <c r="F1307" s="358" t="s">
        <v>4818</v>
      </c>
      <c r="G1307" s="268" t="s">
        <v>2085</v>
      </c>
      <c r="H1307" s="270">
        <v>0.020775462962962964</v>
      </c>
      <c r="I1307" s="271">
        <v>44406.90416666667</v>
      </c>
      <c r="J1307" s="268"/>
      <c r="K1307" s="271">
        <v>44406.92638888889</v>
      </c>
      <c r="L1307" s="288" t="str">
        <f t="shared" si="47"/>
        <v>12:32:00 AM</v>
      </c>
      <c r="M1307" s="278"/>
      <c r="N1307" s="290"/>
      <c r="O1307" s="276"/>
      <c r="P1307" s="276"/>
      <c r="Q1307" s="276"/>
      <c r="R1307" s="278"/>
      <c r="S1307" s="278"/>
      <c r="T1307" s="278"/>
      <c r="U1307" s="279"/>
      <c r="V1307" s="279" t="s">
        <v>1685</v>
      </c>
      <c r="W1307" s="280">
        <v>44407.0</v>
      </c>
      <c r="X1307" s="281">
        <v>0.08333333333333333</v>
      </c>
      <c r="Y1307" s="279" t="s">
        <v>1693</v>
      </c>
      <c r="Z1307" s="282" t="s">
        <v>53</v>
      </c>
      <c r="AA1307" s="282" t="s">
        <v>4819</v>
      </c>
      <c r="AB1307" s="283">
        <v>44407.0</v>
      </c>
      <c r="AC1307" s="284"/>
      <c r="AD1307" s="284"/>
    </row>
    <row r="1308" ht="14.25" customHeight="1">
      <c r="A1308" s="265">
        <v>44407.0</v>
      </c>
      <c r="B1308" s="266" t="s">
        <v>1500</v>
      </c>
      <c r="C1308" s="266" t="s">
        <v>2641</v>
      </c>
      <c r="D1308" s="266" t="s">
        <v>1543</v>
      </c>
      <c r="E1308" s="268"/>
      <c r="F1308" s="269" t="s">
        <v>4820</v>
      </c>
      <c r="G1308" s="268" t="s">
        <v>1463</v>
      </c>
      <c r="H1308" s="270">
        <v>0.0016087962962962963</v>
      </c>
      <c r="I1308" s="271">
        <v>44410.73263888889</v>
      </c>
      <c r="J1308" s="268"/>
      <c r="K1308" s="271">
        <v>44411.07005787037</v>
      </c>
      <c r="L1308" s="288"/>
      <c r="M1308" s="278" t="s">
        <v>4821</v>
      </c>
      <c r="N1308" s="290"/>
      <c r="O1308" s="276"/>
      <c r="P1308" s="276"/>
      <c r="Q1308" s="276"/>
      <c r="R1308" s="278"/>
      <c r="S1308" s="278"/>
      <c r="T1308" s="278"/>
      <c r="U1308" s="279"/>
      <c r="V1308" s="279" t="s">
        <v>1824</v>
      </c>
      <c r="W1308" s="280">
        <v>44413.0</v>
      </c>
      <c r="X1308" s="281">
        <v>0.006944444444444444</v>
      </c>
      <c r="Y1308" s="279" t="s">
        <v>1693</v>
      </c>
      <c r="Z1308" s="282" t="s">
        <v>53</v>
      </c>
      <c r="AA1308" s="282">
        <v>6439955.0</v>
      </c>
      <c r="AB1308" s="283">
        <v>44412.0</v>
      </c>
      <c r="AC1308" s="284"/>
      <c r="AD1308" s="284"/>
    </row>
    <row r="1309" ht="14.25" customHeight="1">
      <c r="A1309" s="265">
        <v>44407.0</v>
      </c>
      <c r="B1309" s="266" t="s">
        <v>1500</v>
      </c>
      <c r="C1309" s="266" t="s">
        <v>1686</v>
      </c>
      <c r="D1309" s="266" t="s">
        <v>1543</v>
      </c>
      <c r="E1309" s="268"/>
      <c r="F1309" s="269" t="s">
        <v>4822</v>
      </c>
      <c r="G1309" s="268" t="s">
        <v>1463</v>
      </c>
      <c r="H1309" s="270">
        <v>0.002835648148148148</v>
      </c>
      <c r="I1309" s="271">
        <v>44410.819444444445</v>
      </c>
      <c r="J1309" s="268"/>
      <c r="K1309" s="271">
        <v>44412.97578703704</v>
      </c>
      <c r="L1309" s="288"/>
      <c r="M1309" s="278" t="s">
        <v>4823</v>
      </c>
      <c r="N1309" s="290"/>
      <c r="O1309" s="276"/>
      <c r="P1309" s="276"/>
      <c r="Q1309" s="276"/>
      <c r="R1309" s="278"/>
      <c r="S1309" s="278"/>
      <c r="T1309" s="278"/>
      <c r="U1309" s="279"/>
      <c r="V1309" s="279" t="s">
        <v>1824</v>
      </c>
      <c r="W1309" s="280">
        <v>44413.0</v>
      </c>
      <c r="X1309" s="281">
        <v>0.0062499999999999995</v>
      </c>
      <c r="Y1309" s="279" t="s">
        <v>1693</v>
      </c>
      <c r="Z1309" s="282" t="s">
        <v>53</v>
      </c>
      <c r="AA1309" s="282">
        <v>6443346.0</v>
      </c>
      <c r="AB1309" s="283">
        <v>44413.0</v>
      </c>
      <c r="AC1309" s="284"/>
      <c r="AD1309" s="284"/>
    </row>
    <row r="1310" ht="14.25" customHeight="1">
      <c r="A1310" s="265">
        <v>44407.0</v>
      </c>
      <c r="B1310" s="266" t="s">
        <v>1783</v>
      </c>
      <c r="C1310" s="266"/>
      <c r="D1310" s="266" t="s">
        <v>1450</v>
      </c>
      <c r="E1310" s="268"/>
      <c r="F1310" s="291" t="s">
        <v>4036</v>
      </c>
      <c r="G1310" s="268"/>
      <c r="H1310" s="268"/>
      <c r="I1310" s="268"/>
      <c r="J1310" s="268"/>
      <c r="K1310" s="268"/>
      <c r="L1310" s="288" t="str">
        <f t="shared" ref="L1310:L1313" si="48">IFERROR(IF(OR(I1310="",K1310=""),"",K1310-I1310),"")</f>
        <v/>
      </c>
      <c r="M1310" s="278" t="s">
        <v>4824</v>
      </c>
      <c r="N1310" s="290"/>
      <c r="O1310" s="276"/>
      <c r="P1310" s="276"/>
      <c r="Q1310" s="276"/>
      <c r="R1310" s="278"/>
      <c r="S1310" s="278"/>
      <c r="T1310" s="278" t="s">
        <v>3915</v>
      </c>
      <c r="U1310" s="279"/>
      <c r="V1310" s="279" t="s">
        <v>28</v>
      </c>
      <c r="W1310" s="279" t="s">
        <v>28</v>
      </c>
      <c r="X1310" s="279" t="s">
        <v>28</v>
      </c>
      <c r="Y1310" s="279" t="s">
        <v>28</v>
      </c>
      <c r="Z1310" s="282" t="s">
        <v>28</v>
      </c>
      <c r="AA1310" s="282" t="s">
        <v>28</v>
      </c>
      <c r="AB1310" s="282" t="s">
        <v>28</v>
      </c>
      <c r="AC1310" s="284"/>
      <c r="AD1310" s="284"/>
    </row>
    <row r="1311" ht="14.25" customHeight="1">
      <c r="A1311" s="265">
        <v>44407.0</v>
      </c>
      <c r="B1311" s="266" t="s">
        <v>1783</v>
      </c>
      <c r="C1311" s="266"/>
      <c r="D1311" s="266" t="s">
        <v>1452</v>
      </c>
      <c r="E1311" s="268"/>
      <c r="F1311" s="291" t="s">
        <v>4036</v>
      </c>
      <c r="G1311" s="268"/>
      <c r="H1311" s="268"/>
      <c r="I1311" s="268"/>
      <c r="J1311" s="268"/>
      <c r="K1311" s="268"/>
      <c r="L1311" s="288" t="str">
        <f t="shared" si="48"/>
        <v/>
      </c>
      <c r="M1311" s="278" t="s">
        <v>3915</v>
      </c>
      <c r="N1311" s="290"/>
      <c r="O1311" s="276"/>
      <c r="P1311" s="276"/>
      <c r="Q1311" s="276"/>
      <c r="R1311" s="278"/>
      <c r="S1311" s="278"/>
      <c r="T1311" s="278" t="s">
        <v>3915</v>
      </c>
      <c r="U1311" s="279"/>
      <c r="V1311" s="279" t="s">
        <v>28</v>
      </c>
      <c r="W1311" s="279" t="s">
        <v>28</v>
      </c>
      <c r="X1311" s="279" t="s">
        <v>28</v>
      </c>
      <c r="Y1311" s="279" t="s">
        <v>28</v>
      </c>
      <c r="Z1311" s="282" t="s">
        <v>28</v>
      </c>
      <c r="AA1311" s="282" t="s">
        <v>28</v>
      </c>
      <c r="AB1311" s="282" t="s">
        <v>28</v>
      </c>
      <c r="AC1311" s="284"/>
      <c r="AD1311" s="284"/>
    </row>
    <row r="1312" ht="14.25" customHeight="1">
      <c r="A1312" s="265">
        <v>44407.0</v>
      </c>
      <c r="B1312" s="266" t="s">
        <v>1685</v>
      </c>
      <c r="C1312" s="266"/>
      <c r="D1312" s="266" t="s">
        <v>1686</v>
      </c>
      <c r="E1312" s="268"/>
      <c r="F1312" s="358" t="s">
        <v>4825</v>
      </c>
      <c r="G1312" s="268" t="s">
        <v>2085</v>
      </c>
      <c r="H1312" s="270">
        <v>0.033136574074074075</v>
      </c>
      <c r="I1312" s="271">
        <v>44407.805555555555</v>
      </c>
      <c r="J1312" s="268"/>
      <c r="K1312" s="271">
        <v>44408.167766203704</v>
      </c>
      <c r="L1312" s="288" t="str">
        <f t="shared" si="48"/>
        <v>8:41:35 AM</v>
      </c>
      <c r="M1312" s="278"/>
      <c r="N1312" s="290"/>
      <c r="O1312" s="276"/>
      <c r="P1312" s="276"/>
      <c r="Q1312" s="276"/>
      <c r="R1312" s="278"/>
      <c r="S1312" s="278"/>
      <c r="T1312" s="278"/>
      <c r="U1312" s="279"/>
      <c r="V1312" s="279" t="s">
        <v>2030</v>
      </c>
      <c r="W1312" s="280">
        <v>44410.0</v>
      </c>
      <c r="X1312" s="423">
        <v>0.1388888888888889</v>
      </c>
      <c r="Y1312" s="279" t="s">
        <v>1693</v>
      </c>
      <c r="Z1312" s="282" t="s">
        <v>53</v>
      </c>
      <c r="AA1312" s="282" t="s">
        <v>4825</v>
      </c>
      <c r="AB1312" s="283">
        <v>44410.0</v>
      </c>
      <c r="AC1312" s="284"/>
      <c r="AD1312" s="284"/>
    </row>
    <row r="1313" ht="14.25" customHeight="1">
      <c r="A1313" s="265">
        <v>44407.0</v>
      </c>
      <c r="B1313" s="266" t="s">
        <v>1738</v>
      </c>
      <c r="C1313" s="266"/>
      <c r="D1313" s="266" t="s">
        <v>1455</v>
      </c>
      <c r="E1313" s="268"/>
      <c r="F1313" s="358" t="s">
        <v>4826</v>
      </c>
      <c r="G1313" s="268" t="s">
        <v>2085</v>
      </c>
      <c r="H1313" s="270">
        <v>0.020046296296296295</v>
      </c>
      <c r="I1313" s="271">
        <v>44407.86666666667</v>
      </c>
      <c r="J1313" s="268"/>
      <c r="K1313" s="271">
        <v>44408.232777777775</v>
      </c>
      <c r="L1313" s="288" t="str">
        <f t="shared" si="48"/>
        <v>8:47:12 AM</v>
      </c>
      <c r="M1313" s="278"/>
      <c r="N1313" s="290"/>
      <c r="O1313" s="276"/>
      <c r="P1313" s="276"/>
      <c r="Q1313" s="276"/>
      <c r="R1313" s="278"/>
      <c r="S1313" s="278"/>
      <c r="T1313" s="278"/>
      <c r="U1313" s="279"/>
      <c r="V1313" s="279" t="s">
        <v>1685</v>
      </c>
      <c r="W1313" s="280">
        <v>44410.0</v>
      </c>
      <c r="X1313" s="281">
        <v>0.08333333333333333</v>
      </c>
      <c r="Y1313" s="279" t="s">
        <v>1693</v>
      </c>
      <c r="Z1313" s="282" t="s">
        <v>53</v>
      </c>
      <c r="AA1313" s="282" t="s">
        <v>4827</v>
      </c>
      <c r="AB1313" s="283">
        <v>44410.0</v>
      </c>
      <c r="AC1313" s="284"/>
      <c r="AD1313" s="284"/>
    </row>
    <row r="1314" ht="14.25" customHeight="1">
      <c r="A1314" s="265">
        <v>44408.0</v>
      </c>
      <c r="B1314" s="266" t="s">
        <v>1500</v>
      </c>
      <c r="C1314" s="266" t="s">
        <v>2641</v>
      </c>
      <c r="D1314" s="266" t="s">
        <v>1543</v>
      </c>
      <c r="E1314" s="268"/>
      <c r="F1314" s="269" t="s">
        <v>4828</v>
      </c>
      <c r="G1314" s="268" t="s">
        <v>1463</v>
      </c>
      <c r="H1314" s="270">
        <v>0.0017476851851851852</v>
      </c>
      <c r="I1314" s="271">
        <v>44410.675</v>
      </c>
      <c r="J1314" s="268"/>
      <c r="K1314" s="271">
        <v>44411.01123842593</v>
      </c>
      <c r="L1314" s="288"/>
      <c r="M1314" s="278" t="s">
        <v>4829</v>
      </c>
      <c r="N1314" s="290"/>
      <c r="O1314" s="276"/>
      <c r="P1314" s="276"/>
      <c r="Q1314" s="276"/>
      <c r="R1314" s="278"/>
      <c r="S1314" s="278"/>
      <c r="T1314" s="278"/>
      <c r="U1314" s="279"/>
      <c r="V1314" s="279" t="s">
        <v>1824</v>
      </c>
      <c r="W1314" s="280">
        <v>44413.0</v>
      </c>
      <c r="X1314" s="281">
        <v>0.007638888888888889</v>
      </c>
      <c r="Y1314" s="279" t="s">
        <v>1693</v>
      </c>
      <c r="Z1314" s="282" t="s">
        <v>53</v>
      </c>
      <c r="AA1314" s="282">
        <v>6439956.0</v>
      </c>
      <c r="AB1314" s="283">
        <v>44412.0</v>
      </c>
      <c r="AC1314" s="284"/>
      <c r="AD1314" s="284"/>
    </row>
    <row r="1315" ht="14.25" customHeight="1">
      <c r="A1315" s="265">
        <v>44408.0</v>
      </c>
      <c r="B1315" s="266" t="s">
        <v>1500</v>
      </c>
      <c r="C1315" s="266" t="s">
        <v>1453</v>
      </c>
      <c r="D1315" s="266" t="s">
        <v>1543</v>
      </c>
      <c r="E1315" s="268"/>
      <c r="F1315" s="269" t="s">
        <v>4830</v>
      </c>
      <c r="G1315" s="268" t="s">
        <v>1463</v>
      </c>
      <c r="H1315" s="270">
        <v>0.0015393518518518519</v>
      </c>
      <c r="I1315" s="271">
        <v>44410.82986111111</v>
      </c>
      <c r="J1315" s="268"/>
      <c r="K1315" s="271">
        <v>44411.15917824074</v>
      </c>
      <c r="L1315" s="288"/>
      <c r="M1315" s="278" t="s">
        <v>4831</v>
      </c>
      <c r="N1315" s="290"/>
      <c r="O1315" s="276"/>
      <c r="P1315" s="276"/>
      <c r="Q1315" s="276"/>
      <c r="R1315" s="278"/>
      <c r="S1315" s="278"/>
      <c r="T1315" s="278"/>
      <c r="U1315" s="279"/>
      <c r="V1315" s="279" t="s">
        <v>1824</v>
      </c>
      <c r="W1315" s="280">
        <v>44414.0</v>
      </c>
      <c r="X1315" s="281">
        <v>0.005555555555555556</v>
      </c>
      <c r="Y1315" s="279" t="s">
        <v>1693</v>
      </c>
      <c r="Z1315" s="282" t="s">
        <v>53</v>
      </c>
      <c r="AA1315" s="282">
        <v>6439957.0</v>
      </c>
      <c r="AB1315" s="283">
        <v>44412.0</v>
      </c>
      <c r="AC1315" s="284"/>
      <c r="AD1315" s="284"/>
    </row>
    <row r="1316" ht="14.25" customHeight="1">
      <c r="A1316" s="265">
        <v>44408.0</v>
      </c>
      <c r="B1316" s="266" t="s">
        <v>2030</v>
      </c>
      <c r="C1316" s="266" t="s">
        <v>1831</v>
      </c>
      <c r="D1316" s="266" t="s">
        <v>1686</v>
      </c>
      <c r="E1316" s="268"/>
      <c r="F1316" s="286" t="s">
        <v>4832</v>
      </c>
      <c r="G1316" s="268" t="s">
        <v>3742</v>
      </c>
      <c r="H1316" s="270"/>
      <c r="I1316" s="271"/>
      <c r="J1316" s="268"/>
      <c r="K1316" s="271"/>
      <c r="L1316" s="288"/>
      <c r="M1316" s="307" t="s">
        <v>3915</v>
      </c>
      <c r="N1316" s="290"/>
      <c r="O1316" s="276"/>
      <c r="P1316" s="276"/>
      <c r="Q1316" s="276"/>
      <c r="R1316" s="278"/>
      <c r="S1316" s="278"/>
      <c r="T1316" s="307" t="s">
        <v>3915</v>
      </c>
      <c r="U1316" s="279"/>
      <c r="V1316" s="279" t="s">
        <v>28</v>
      </c>
      <c r="W1316" s="280" t="s">
        <v>28</v>
      </c>
      <c r="X1316" s="279" t="s">
        <v>28</v>
      </c>
      <c r="Y1316" s="279" t="s">
        <v>28</v>
      </c>
      <c r="Z1316" s="282" t="s">
        <v>28</v>
      </c>
      <c r="AA1316" s="282" t="s">
        <v>28</v>
      </c>
      <c r="AB1316" s="282" t="s">
        <v>28</v>
      </c>
      <c r="AC1316" s="284"/>
      <c r="AD1316" s="284"/>
    </row>
    <row r="1317" ht="14.25" customHeight="1">
      <c r="A1317" s="265">
        <v>44408.0</v>
      </c>
      <c r="B1317" s="266" t="s">
        <v>1783</v>
      </c>
      <c r="C1317" s="266"/>
      <c r="D1317" s="266" t="s">
        <v>1686</v>
      </c>
      <c r="E1317" s="268"/>
      <c r="F1317" s="358" t="s">
        <v>4833</v>
      </c>
      <c r="G1317" s="268" t="s">
        <v>2085</v>
      </c>
      <c r="H1317" s="270">
        <v>0.03318287037037037</v>
      </c>
      <c r="I1317" s="271">
        <v>44408.55486111111</v>
      </c>
      <c r="J1317" s="268"/>
      <c r="K1317" s="271">
        <v>44408.58513888889</v>
      </c>
      <c r="L1317" s="288" t="str">
        <f t="shared" ref="L1317:L1318" si="49">IFERROR(IF(OR(I1317="",K1317=""),"",K1317-I1317),"")</f>
        <v>12:43:36 AM</v>
      </c>
      <c r="M1317" s="278"/>
      <c r="N1317" s="290"/>
      <c r="O1317" s="276"/>
      <c r="P1317" s="276"/>
      <c r="Q1317" s="276"/>
      <c r="R1317" s="278"/>
      <c r="S1317" s="278"/>
      <c r="T1317" s="278"/>
      <c r="U1317" s="279"/>
      <c r="V1317" s="279" t="s">
        <v>2030</v>
      </c>
      <c r="W1317" s="280">
        <v>44410.0</v>
      </c>
      <c r="X1317" s="281">
        <v>0.13194444444444445</v>
      </c>
      <c r="Y1317" s="279" t="s">
        <v>1693</v>
      </c>
      <c r="Z1317" s="282" t="s">
        <v>53</v>
      </c>
      <c r="AA1317" s="282" t="s">
        <v>4833</v>
      </c>
      <c r="AB1317" s="283">
        <v>44410.0</v>
      </c>
      <c r="AC1317" s="284"/>
      <c r="AD1317" s="284"/>
    </row>
    <row r="1318" ht="14.25" customHeight="1">
      <c r="A1318" s="265">
        <v>44408.0</v>
      </c>
      <c r="B1318" s="266" t="s">
        <v>1746</v>
      </c>
      <c r="C1318" s="266"/>
      <c r="D1318" s="266" t="s">
        <v>1455</v>
      </c>
      <c r="E1318" s="268"/>
      <c r="F1318" s="358" t="s">
        <v>4834</v>
      </c>
      <c r="G1318" s="268" t="s">
        <v>2085</v>
      </c>
      <c r="H1318" s="270">
        <v>0.01462962962962963</v>
      </c>
      <c r="I1318" s="271">
        <v>44410.611805555556</v>
      </c>
      <c r="J1318" s="268"/>
      <c r="K1318" s="268"/>
      <c r="L1318" s="288" t="str">
        <f t="shared" si="49"/>
        <v/>
      </c>
      <c r="M1318" s="278"/>
      <c r="N1318" s="290"/>
      <c r="O1318" s="276"/>
      <c r="P1318" s="276"/>
      <c r="Q1318" s="276"/>
      <c r="R1318" s="278"/>
      <c r="S1318" s="278"/>
      <c r="T1318" s="278"/>
      <c r="U1318" s="279"/>
      <c r="V1318" s="279" t="s">
        <v>1685</v>
      </c>
      <c r="W1318" s="280">
        <v>44410.0</v>
      </c>
      <c r="X1318" s="281">
        <v>0.08333333333333333</v>
      </c>
      <c r="Y1318" s="279" t="s">
        <v>1693</v>
      </c>
      <c r="Z1318" s="282" t="s">
        <v>53</v>
      </c>
      <c r="AA1318" s="282" t="s">
        <v>4835</v>
      </c>
      <c r="AB1318" s="283">
        <v>44411.0</v>
      </c>
      <c r="AC1318" s="284"/>
      <c r="AD1318" s="284"/>
    </row>
    <row r="1319" ht="14.25" customHeight="1">
      <c r="A1319" s="265">
        <v>44409.0</v>
      </c>
      <c r="B1319" s="266" t="s">
        <v>1500</v>
      </c>
      <c r="C1319" s="266" t="s">
        <v>2641</v>
      </c>
      <c r="D1319" s="266" t="s">
        <v>1543</v>
      </c>
      <c r="E1319" s="268"/>
      <c r="F1319" s="291" t="s">
        <v>4836</v>
      </c>
      <c r="G1319" s="268" t="s">
        <v>1463</v>
      </c>
      <c r="H1319" s="270">
        <v>0.004224537037037037</v>
      </c>
      <c r="I1319" s="271">
        <v>44410.82986111111</v>
      </c>
      <c r="J1319" s="268"/>
      <c r="K1319" s="271">
        <v>44411.162986111114</v>
      </c>
      <c r="L1319" s="288"/>
      <c r="M1319" s="278" t="s">
        <v>4837</v>
      </c>
      <c r="N1319" s="290"/>
      <c r="O1319" s="276"/>
      <c r="P1319" s="276"/>
      <c r="Q1319" s="276"/>
      <c r="R1319" s="278"/>
      <c r="S1319" s="278"/>
      <c r="T1319" s="278"/>
      <c r="U1319" s="279"/>
      <c r="V1319" s="279" t="s">
        <v>1824</v>
      </c>
      <c r="W1319" s="280">
        <v>44414.0</v>
      </c>
      <c r="X1319" s="281">
        <v>0.017361111111111112</v>
      </c>
      <c r="Y1319" s="279" t="s">
        <v>1693</v>
      </c>
      <c r="Z1319" s="282" t="s">
        <v>53</v>
      </c>
      <c r="AA1319" s="282">
        <v>6439958.0</v>
      </c>
      <c r="AB1319" s="283">
        <v>44412.0</v>
      </c>
      <c r="AC1319" s="284"/>
      <c r="AD1319" s="284"/>
    </row>
    <row r="1320" ht="14.25" customHeight="1">
      <c r="A1320" s="265">
        <v>44409.0</v>
      </c>
      <c r="B1320" s="266"/>
      <c r="C1320" s="266"/>
      <c r="D1320" s="266" t="s">
        <v>1457</v>
      </c>
      <c r="E1320" s="268"/>
      <c r="F1320" s="291" t="s">
        <v>3794</v>
      </c>
      <c r="G1320" s="268"/>
      <c r="H1320" s="268"/>
      <c r="I1320" s="268"/>
      <c r="J1320" s="268"/>
      <c r="K1320" s="268"/>
      <c r="L1320" s="288" t="str">
        <f t="shared" ref="L1320:L1321" si="50">IFERROR(IF(OR(I1320="",K1320=""),"",K1320-I1320),"")</f>
        <v/>
      </c>
      <c r="M1320" s="278" t="s">
        <v>4824</v>
      </c>
      <c r="N1320" s="290"/>
      <c r="O1320" s="276"/>
      <c r="P1320" s="276"/>
      <c r="Q1320" s="276"/>
      <c r="R1320" s="278"/>
      <c r="S1320" s="278" t="s">
        <v>3915</v>
      </c>
      <c r="T1320" s="278" t="s">
        <v>3915</v>
      </c>
      <c r="U1320" s="279"/>
      <c r="V1320" s="279" t="s">
        <v>28</v>
      </c>
      <c r="W1320" s="279" t="s">
        <v>28</v>
      </c>
      <c r="X1320" s="279" t="s">
        <v>28</v>
      </c>
      <c r="Y1320" s="279" t="s">
        <v>28</v>
      </c>
      <c r="Z1320" s="282" t="s">
        <v>28</v>
      </c>
      <c r="AA1320" s="282" t="s">
        <v>28</v>
      </c>
      <c r="AB1320" s="282" t="s">
        <v>28</v>
      </c>
      <c r="AC1320" s="284"/>
      <c r="AD1320" s="284"/>
    </row>
    <row r="1321" ht="14.25" customHeight="1">
      <c r="A1321" s="265">
        <v>44409.0</v>
      </c>
      <c r="B1321" s="266"/>
      <c r="C1321" s="266"/>
      <c r="D1321" s="266" t="s">
        <v>2829</v>
      </c>
      <c r="E1321" s="268"/>
      <c r="F1321" s="291" t="s">
        <v>3794</v>
      </c>
      <c r="G1321" s="268"/>
      <c r="H1321" s="268"/>
      <c r="I1321" s="268"/>
      <c r="J1321" s="268"/>
      <c r="K1321" s="268"/>
      <c r="L1321" s="288" t="str">
        <f t="shared" si="50"/>
        <v/>
      </c>
      <c r="M1321" s="278" t="s">
        <v>4824</v>
      </c>
      <c r="N1321" s="290"/>
      <c r="O1321" s="276"/>
      <c r="P1321" s="276"/>
      <c r="Q1321" s="276"/>
      <c r="R1321" s="278"/>
      <c r="S1321" s="278" t="s">
        <v>3915</v>
      </c>
      <c r="T1321" s="278" t="s">
        <v>3915</v>
      </c>
      <c r="U1321" s="279"/>
      <c r="V1321" s="279"/>
      <c r="W1321" s="279"/>
      <c r="X1321" s="279"/>
      <c r="Y1321" s="279"/>
      <c r="Z1321" s="282" t="s">
        <v>28</v>
      </c>
      <c r="AA1321" s="282" t="s">
        <v>28</v>
      </c>
      <c r="AB1321" s="282" t="s">
        <v>28</v>
      </c>
      <c r="AC1321" s="284"/>
      <c r="AD1321" s="284"/>
    </row>
    <row r="1322" ht="14.25" customHeight="1">
      <c r="A1322" s="265">
        <v>44410.0</v>
      </c>
      <c r="B1322" s="266" t="s">
        <v>1500</v>
      </c>
      <c r="C1322" s="266" t="s">
        <v>1450</v>
      </c>
      <c r="D1322" s="266" t="s">
        <v>1543</v>
      </c>
      <c r="E1322" s="268"/>
      <c r="F1322" s="269" t="s">
        <v>4838</v>
      </c>
      <c r="G1322" s="268" t="s">
        <v>1463</v>
      </c>
      <c r="H1322" s="270">
        <v>0.0024652777777777776</v>
      </c>
      <c r="I1322" s="271">
        <v>44419.64236111111</v>
      </c>
      <c r="J1322" s="268"/>
      <c r="K1322" s="271">
        <v>44420.34179398148</v>
      </c>
      <c r="L1322" s="288"/>
      <c r="M1322" s="278" t="s">
        <v>4839</v>
      </c>
      <c r="N1322" s="290"/>
      <c r="O1322" s="276"/>
      <c r="P1322" s="276"/>
      <c r="Q1322" s="276"/>
      <c r="R1322" s="278"/>
      <c r="S1322" s="278"/>
      <c r="T1322" s="278"/>
      <c r="U1322" s="279"/>
      <c r="V1322" s="279" t="s">
        <v>1824</v>
      </c>
      <c r="W1322" s="280">
        <v>44420.0</v>
      </c>
      <c r="X1322" s="281">
        <v>0.010416666666666666</v>
      </c>
      <c r="Y1322" s="279" t="s">
        <v>1693</v>
      </c>
      <c r="Z1322" s="282" t="s">
        <v>53</v>
      </c>
      <c r="AA1322" s="282">
        <v>6475133.0</v>
      </c>
      <c r="AB1322" s="283">
        <v>44424.0</v>
      </c>
      <c r="AC1322" s="284"/>
      <c r="AD1322" s="284"/>
    </row>
    <row r="1323" ht="14.25" customHeight="1">
      <c r="A1323" s="265">
        <v>44410.0</v>
      </c>
      <c r="B1323" s="266" t="s">
        <v>1500</v>
      </c>
      <c r="C1323" s="266" t="s">
        <v>1450</v>
      </c>
      <c r="D1323" s="266" t="s">
        <v>1543</v>
      </c>
      <c r="E1323" s="268"/>
      <c r="F1323" s="269" t="s">
        <v>4840</v>
      </c>
      <c r="G1323" s="268" t="s">
        <v>1463</v>
      </c>
      <c r="H1323" s="270">
        <v>0.0025694444444444445</v>
      </c>
      <c r="I1323" s="271">
        <v>44419.64236111111</v>
      </c>
      <c r="J1323" s="268"/>
      <c r="K1323" s="271">
        <v>44419.981400462966</v>
      </c>
      <c r="L1323" s="288"/>
      <c r="M1323" s="278" t="s">
        <v>4841</v>
      </c>
      <c r="N1323" s="290"/>
      <c r="O1323" s="276"/>
      <c r="P1323" s="276"/>
      <c r="Q1323" s="276"/>
      <c r="R1323" s="278"/>
      <c r="S1323" s="278"/>
      <c r="T1323" s="278"/>
      <c r="U1323" s="279"/>
      <c r="V1323" s="279" t="s">
        <v>1824</v>
      </c>
      <c r="W1323" s="280">
        <v>44420.0</v>
      </c>
      <c r="X1323" s="281">
        <v>0.004166666666666667</v>
      </c>
      <c r="Y1323" s="279" t="s">
        <v>1693</v>
      </c>
      <c r="Z1323" s="282" t="s">
        <v>53</v>
      </c>
      <c r="AA1323" s="282">
        <v>6475134.0</v>
      </c>
      <c r="AB1323" s="283">
        <v>44424.0</v>
      </c>
      <c r="AC1323" s="284"/>
      <c r="AD1323" s="284"/>
    </row>
    <row r="1324" ht="14.25" customHeight="1">
      <c r="A1324" s="265">
        <v>44410.0</v>
      </c>
      <c r="B1324" s="266" t="s">
        <v>1500</v>
      </c>
      <c r="C1324" s="266" t="s">
        <v>1696</v>
      </c>
      <c r="D1324" s="266" t="s">
        <v>1543</v>
      </c>
      <c r="E1324" s="268"/>
      <c r="F1324" s="269" t="s">
        <v>4842</v>
      </c>
      <c r="G1324" s="268" t="s">
        <v>1463</v>
      </c>
      <c r="H1324" s="270">
        <v>0.0022337962962962967</v>
      </c>
      <c r="I1324" s="271">
        <v>44425.51388888889</v>
      </c>
      <c r="J1324" s="268"/>
      <c r="K1324" s="271">
        <v>44425.540034722224</v>
      </c>
      <c r="L1324" s="288"/>
      <c r="M1324" s="278" t="s">
        <v>4843</v>
      </c>
      <c r="N1324" s="290"/>
      <c r="O1324" s="276"/>
      <c r="P1324" s="276"/>
      <c r="Q1324" s="276"/>
      <c r="R1324" s="278"/>
      <c r="S1324" s="278"/>
      <c r="T1324" s="278"/>
      <c r="U1324" s="279"/>
      <c r="V1324" s="279" t="s">
        <v>2030</v>
      </c>
      <c r="W1324" s="280">
        <v>44442.0</v>
      </c>
      <c r="X1324" s="281">
        <v>0.005555555555555556</v>
      </c>
      <c r="Y1324" s="279" t="s">
        <v>1693</v>
      </c>
      <c r="Z1324" s="282" t="s">
        <v>53</v>
      </c>
      <c r="AA1324" s="282">
        <v>6495582.0</v>
      </c>
      <c r="AB1324" s="283">
        <v>44427.0</v>
      </c>
      <c r="AC1324" s="284"/>
      <c r="AD1324" s="284"/>
    </row>
    <row r="1325" ht="14.25" customHeight="1">
      <c r="A1325" s="265">
        <v>44410.0</v>
      </c>
      <c r="B1325" s="266" t="s">
        <v>1783</v>
      </c>
      <c r="C1325" s="266"/>
      <c r="D1325" s="266" t="s">
        <v>1452</v>
      </c>
      <c r="E1325" s="268"/>
      <c r="F1325" s="291" t="s">
        <v>4036</v>
      </c>
      <c r="G1325" s="268"/>
      <c r="H1325" s="268"/>
      <c r="I1325" s="268"/>
      <c r="J1325" s="268"/>
      <c r="K1325" s="268"/>
      <c r="L1325" s="288" t="str">
        <f t="shared" ref="L1325:L1332" si="51">IFERROR(IF(OR(I1325="",K1325=""),"",K1325-I1325),"")</f>
        <v/>
      </c>
      <c r="M1325" s="278" t="s">
        <v>4824</v>
      </c>
      <c r="N1325" s="290"/>
      <c r="O1325" s="276"/>
      <c r="P1325" s="276"/>
      <c r="Q1325" s="276"/>
      <c r="R1325" s="278"/>
      <c r="S1325" s="278" t="s">
        <v>3915</v>
      </c>
      <c r="T1325" s="278" t="s">
        <v>4824</v>
      </c>
      <c r="U1325" s="279"/>
      <c r="V1325" s="279" t="s">
        <v>28</v>
      </c>
      <c r="W1325" s="279" t="s">
        <v>28</v>
      </c>
      <c r="X1325" s="279" t="s">
        <v>28</v>
      </c>
      <c r="Y1325" s="279" t="s">
        <v>28</v>
      </c>
      <c r="Z1325" s="282" t="s">
        <v>28</v>
      </c>
      <c r="AA1325" s="282" t="s">
        <v>28</v>
      </c>
      <c r="AB1325" s="282" t="s">
        <v>28</v>
      </c>
      <c r="AC1325" s="284"/>
      <c r="AD1325" s="284"/>
    </row>
    <row r="1326" ht="14.25" customHeight="1">
      <c r="A1326" s="265">
        <v>44410.0</v>
      </c>
      <c r="B1326" s="266" t="s">
        <v>1738</v>
      </c>
      <c r="C1326" s="266"/>
      <c r="D1326" s="266" t="s">
        <v>1450</v>
      </c>
      <c r="E1326" s="268"/>
      <c r="F1326" s="358" t="s">
        <v>4844</v>
      </c>
      <c r="G1326" s="268" t="s">
        <v>2085</v>
      </c>
      <c r="H1326" s="270">
        <v>0.0474537037037037</v>
      </c>
      <c r="I1326" s="271">
        <v>44410.489583333336</v>
      </c>
      <c r="J1326" s="268"/>
      <c r="K1326" s="271">
        <v>44410.53472222222</v>
      </c>
      <c r="L1326" s="288" t="str">
        <f t="shared" si="51"/>
        <v>1:05:00 AM</v>
      </c>
      <c r="M1326" s="278"/>
      <c r="N1326" s="290"/>
      <c r="O1326" s="276"/>
      <c r="P1326" s="276"/>
      <c r="Q1326" s="276"/>
      <c r="R1326" s="278"/>
      <c r="S1326" s="278"/>
      <c r="T1326" s="278"/>
      <c r="U1326" s="279"/>
      <c r="V1326" s="279" t="s">
        <v>1738</v>
      </c>
      <c r="W1326" s="280">
        <v>44410.0</v>
      </c>
      <c r="X1326" s="281">
        <v>0.125</v>
      </c>
      <c r="Y1326" s="279" t="s">
        <v>1693</v>
      </c>
      <c r="Z1326" s="282" t="s">
        <v>53</v>
      </c>
      <c r="AA1326" s="282" t="s">
        <v>4844</v>
      </c>
      <c r="AB1326" s="283">
        <v>44411.0</v>
      </c>
      <c r="AC1326" s="284"/>
      <c r="AD1326" s="284"/>
    </row>
    <row r="1327" ht="14.25" customHeight="1">
      <c r="A1327" s="265">
        <v>44410.0</v>
      </c>
      <c r="B1327" s="266" t="s">
        <v>2030</v>
      </c>
      <c r="C1327" s="266"/>
      <c r="D1327" s="266" t="s">
        <v>1686</v>
      </c>
      <c r="E1327" s="268"/>
      <c r="F1327" s="358" t="s">
        <v>4845</v>
      </c>
      <c r="G1327" s="268" t="s">
        <v>2085</v>
      </c>
      <c r="H1327" s="288">
        <v>0.0459375</v>
      </c>
      <c r="I1327" s="271">
        <v>44410.756944444445</v>
      </c>
      <c r="J1327" s="268"/>
      <c r="K1327" s="271">
        <v>44410.79084490741</v>
      </c>
      <c r="L1327" s="288" t="str">
        <f t="shared" si="51"/>
        <v>12:48:49 AM</v>
      </c>
      <c r="M1327" s="278"/>
      <c r="N1327" s="290"/>
      <c r="O1327" s="276"/>
      <c r="P1327" s="276"/>
      <c r="Q1327" s="276"/>
      <c r="R1327" s="278"/>
      <c r="S1327" s="278"/>
      <c r="T1327" s="278"/>
      <c r="U1327" s="279"/>
      <c r="V1327" s="279" t="s">
        <v>2030</v>
      </c>
      <c r="W1327" s="280">
        <v>44411.0</v>
      </c>
      <c r="X1327" s="281">
        <v>0.15972222222222224</v>
      </c>
      <c r="Y1327" s="279" t="s">
        <v>1693</v>
      </c>
      <c r="Z1327" s="282" t="s">
        <v>53</v>
      </c>
      <c r="AA1327" s="282" t="s">
        <v>4845</v>
      </c>
      <c r="AB1327" s="283">
        <v>44411.0</v>
      </c>
      <c r="AC1327" s="284"/>
      <c r="AD1327" s="284"/>
    </row>
    <row r="1328" ht="14.25" customHeight="1">
      <c r="A1328" s="265">
        <v>44410.0</v>
      </c>
      <c r="B1328" s="266" t="s">
        <v>1733</v>
      </c>
      <c r="C1328" s="266"/>
      <c r="D1328" s="266" t="s">
        <v>1455</v>
      </c>
      <c r="E1328" s="268"/>
      <c r="F1328" s="358" t="s">
        <v>4846</v>
      </c>
      <c r="G1328" s="268" t="s">
        <v>2085</v>
      </c>
      <c r="H1328" s="270">
        <v>0.018217592592592594</v>
      </c>
      <c r="I1328" s="271">
        <v>44410.853472222225</v>
      </c>
      <c r="J1328" s="268"/>
      <c r="K1328" s="271">
        <v>44411.895833333336</v>
      </c>
      <c r="L1328" s="288" t="str">
        <f t="shared" si="51"/>
        <v>1:01:00 AM</v>
      </c>
      <c r="M1328" s="278"/>
      <c r="N1328" s="290"/>
      <c r="O1328" s="276"/>
      <c r="P1328" s="276"/>
      <c r="Q1328" s="276"/>
      <c r="R1328" s="278"/>
      <c r="S1328" s="278"/>
      <c r="T1328" s="278"/>
      <c r="U1328" s="279"/>
      <c r="V1328" s="279" t="s">
        <v>1685</v>
      </c>
      <c r="W1328" s="280">
        <v>44411.0</v>
      </c>
      <c r="X1328" s="281">
        <v>0.08333333333333333</v>
      </c>
      <c r="Y1328" s="279" t="s">
        <v>1693</v>
      </c>
      <c r="Z1328" s="282" t="s">
        <v>53</v>
      </c>
      <c r="AA1328" s="282" t="s">
        <v>4846</v>
      </c>
      <c r="AB1328" s="283">
        <v>44411.0</v>
      </c>
      <c r="AC1328" s="284"/>
      <c r="AD1328" s="284"/>
    </row>
    <row r="1329" ht="14.25" customHeight="1">
      <c r="A1329" s="265">
        <v>44411.0</v>
      </c>
      <c r="B1329" s="266"/>
      <c r="C1329" s="266"/>
      <c r="D1329" s="266" t="s">
        <v>1450</v>
      </c>
      <c r="E1329" s="268"/>
      <c r="F1329" s="291" t="s">
        <v>3794</v>
      </c>
      <c r="G1329" s="268"/>
      <c r="H1329" s="268"/>
      <c r="I1329" s="268"/>
      <c r="J1329" s="268"/>
      <c r="K1329" s="268"/>
      <c r="L1329" s="288" t="str">
        <f t="shared" si="51"/>
        <v/>
      </c>
      <c r="M1329" s="278"/>
      <c r="N1329" s="290"/>
      <c r="O1329" s="276"/>
      <c r="P1329" s="276"/>
      <c r="Q1329" s="276"/>
      <c r="R1329" s="278"/>
      <c r="S1329" s="278"/>
      <c r="T1329" s="278"/>
      <c r="U1329" s="279"/>
      <c r="V1329" s="279" t="s">
        <v>28</v>
      </c>
      <c r="W1329" s="279"/>
      <c r="X1329" s="279"/>
      <c r="Y1329" s="279"/>
      <c r="Z1329" s="282" t="s">
        <v>28</v>
      </c>
      <c r="AA1329" s="282" t="s">
        <v>28</v>
      </c>
      <c r="AB1329" s="282" t="s">
        <v>28</v>
      </c>
      <c r="AC1329" s="284"/>
      <c r="AD1329" s="284"/>
    </row>
    <row r="1330" ht="14.25" customHeight="1">
      <c r="A1330" s="265">
        <v>44411.0</v>
      </c>
      <c r="B1330" s="266" t="s">
        <v>1733</v>
      </c>
      <c r="C1330" s="266"/>
      <c r="D1330" s="266" t="s">
        <v>1452</v>
      </c>
      <c r="E1330" s="268"/>
      <c r="F1330" s="358" t="s">
        <v>4847</v>
      </c>
      <c r="G1330" s="268" t="s">
        <v>2085</v>
      </c>
      <c r="H1330" s="270">
        <v>0.0012268518518518518</v>
      </c>
      <c r="I1330" s="271">
        <v>44411.94513888889</v>
      </c>
      <c r="J1330" s="268"/>
      <c r="K1330" s="271">
        <v>44411.94788194444</v>
      </c>
      <c r="L1330" s="288" t="str">
        <f t="shared" si="51"/>
        <v>12:03:57 AM</v>
      </c>
      <c r="M1330" s="278"/>
      <c r="N1330" s="290"/>
      <c r="O1330" s="276"/>
      <c r="P1330" s="276"/>
      <c r="Q1330" s="276"/>
      <c r="R1330" s="278"/>
      <c r="S1330" s="278"/>
      <c r="T1330" s="278"/>
      <c r="U1330" s="279"/>
      <c r="V1330" s="279" t="s">
        <v>1783</v>
      </c>
      <c r="W1330" s="280">
        <v>44412.0</v>
      </c>
      <c r="X1330" s="281">
        <v>0.003472222222222222</v>
      </c>
      <c r="Y1330" s="279" t="s">
        <v>1693</v>
      </c>
      <c r="Z1330" s="282" t="s">
        <v>53</v>
      </c>
      <c r="AA1330" s="282" t="s">
        <v>4847</v>
      </c>
      <c r="AB1330" s="283">
        <v>44412.0</v>
      </c>
      <c r="AC1330" s="284"/>
      <c r="AD1330" s="284"/>
    </row>
    <row r="1331" ht="14.25" customHeight="1">
      <c r="A1331" s="265">
        <v>44411.0</v>
      </c>
      <c r="B1331" s="266" t="s">
        <v>2030</v>
      </c>
      <c r="C1331" s="266"/>
      <c r="D1331" s="266" t="s">
        <v>1686</v>
      </c>
      <c r="E1331" s="268"/>
      <c r="F1331" s="358" t="s">
        <v>4848</v>
      </c>
      <c r="G1331" s="268" t="s">
        <v>2085</v>
      </c>
      <c r="H1331" s="288">
        <v>0.03241898148148148</v>
      </c>
      <c r="I1331" s="271">
        <v>44411.78194444445</v>
      </c>
      <c r="J1331" s="268"/>
      <c r="K1331" s="271">
        <v>44411.786840277775</v>
      </c>
      <c r="L1331" s="288" t="str">
        <f t="shared" si="51"/>
        <v>12:07:03 AM</v>
      </c>
      <c r="M1331" s="278"/>
      <c r="N1331" s="290"/>
      <c r="O1331" s="276"/>
      <c r="P1331" s="276"/>
      <c r="Q1331" s="276"/>
      <c r="R1331" s="278"/>
      <c r="S1331" s="278"/>
      <c r="T1331" s="278"/>
      <c r="U1331" s="279"/>
      <c r="V1331" s="279" t="s">
        <v>2030</v>
      </c>
      <c r="W1331" s="280">
        <v>44412.0</v>
      </c>
      <c r="X1331" s="281">
        <v>0.125</v>
      </c>
      <c r="Y1331" s="279" t="s">
        <v>1693</v>
      </c>
      <c r="Z1331" s="282" t="s">
        <v>53</v>
      </c>
      <c r="AA1331" s="282" t="s">
        <v>4848</v>
      </c>
      <c r="AB1331" s="283">
        <v>44412.0</v>
      </c>
      <c r="AC1331" s="284"/>
      <c r="AD1331" s="284"/>
    </row>
    <row r="1332" ht="14.25" customHeight="1">
      <c r="A1332" s="265">
        <v>44411.0</v>
      </c>
      <c r="B1332" s="266" t="s">
        <v>1733</v>
      </c>
      <c r="C1332" s="266"/>
      <c r="D1332" s="266" t="s">
        <v>1455</v>
      </c>
      <c r="E1332" s="268"/>
      <c r="F1332" s="358" t="s">
        <v>4849</v>
      </c>
      <c r="G1332" s="268" t="s">
        <v>2085</v>
      </c>
      <c r="H1332" s="270">
        <v>0.017557870370370373</v>
      </c>
      <c r="I1332" s="271">
        <v>44411.96388888889</v>
      </c>
      <c r="J1332" s="268"/>
      <c r="K1332" s="271">
        <v>44411.98473379629</v>
      </c>
      <c r="L1332" s="288" t="str">
        <f t="shared" si="51"/>
        <v>12:30:01 AM</v>
      </c>
      <c r="M1332" s="278"/>
      <c r="N1332" s="290"/>
      <c r="O1332" s="276"/>
      <c r="P1332" s="276"/>
      <c r="Q1332" s="276"/>
      <c r="R1332" s="278"/>
      <c r="S1332" s="278"/>
      <c r="T1332" s="278"/>
      <c r="U1332" s="279"/>
      <c r="V1332" s="279" t="s">
        <v>1685</v>
      </c>
      <c r="W1332" s="280">
        <v>44412.0</v>
      </c>
      <c r="X1332" s="279"/>
      <c r="Y1332" s="279" t="s">
        <v>1693</v>
      </c>
      <c r="Z1332" s="282" t="s">
        <v>53</v>
      </c>
      <c r="AA1332" s="282" t="s">
        <v>4849</v>
      </c>
      <c r="AB1332" s="283">
        <v>44412.0</v>
      </c>
      <c r="AC1332" s="284"/>
      <c r="AD1332" s="284"/>
    </row>
    <row r="1333" ht="14.25" customHeight="1">
      <c r="A1333" s="265">
        <v>44412.0</v>
      </c>
      <c r="B1333" s="266" t="s">
        <v>1500</v>
      </c>
      <c r="C1333" s="266" t="s">
        <v>1450</v>
      </c>
      <c r="D1333" s="266" t="s">
        <v>1543</v>
      </c>
      <c r="E1333" s="268"/>
      <c r="F1333" s="269" t="s">
        <v>4850</v>
      </c>
      <c r="G1333" s="268" t="s">
        <v>1463</v>
      </c>
      <c r="H1333" s="270">
        <v>0.0022916666666666667</v>
      </c>
      <c r="I1333" s="271">
        <v>44417.5625</v>
      </c>
      <c r="J1333" s="268"/>
      <c r="K1333" s="271">
        <v>44417.930127314816</v>
      </c>
      <c r="L1333" s="288"/>
      <c r="M1333" s="278" t="s">
        <v>4851</v>
      </c>
      <c r="N1333" s="290"/>
      <c r="O1333" s="276"/>
      <c r="P1333" s="276"/>
      <c r="Q1333" s="276"/>
      <c r="R1333" s="278"/>
      <c r="S1333" s="278"/>
      <c r="T1333" s="278"/>
      <c r="U1333" s="279"/>
      <c r="V1333" s="279" t="s">
        <v>1824</v>
      </c>
      <c r="W1333" s="280">
        <v>44420.0</v>
      </c>
      <c r="X1333" s="281">
        <v>0.006944444444444444</v>
      </c>
      <c r="Y1333" s="279" t="s">
        <v>1693</v>
      </c>
      <c r="Z1333" s="282" t="s">
        <v>53</v>
      </c>
      <c r="AA1333" s="282">
        <v>6465084.0</v>
      </c>
      <c r="AB1333" s="283">
        <v>44419.0</v>
      </c>
      <c r="AC1333" s="284"/>
      <c r="AD1333" s="284"/>
    </row>
    <row r="1334" ht="14.25" customHeight="1">
      <c r="A1334" s="265">
        <v>44412.0</v>
      </c>
      <c r="B1334" s="266" t="s">
        <v>2030</v>
      </c>
      <c r="C1334" s="266" t="s">
        <v>1686</v>
      </c>
      <c r="D1334" s="266" t="s">
        <v>1543</v>
      </c>
      <c r="E1334" s="268"/>
      <c r="F1334" s="269" t="s">
        <v>4852</v>
      </c>
      <c r="G1334" s="268" t="s">
        <v>1463</v>
      </c>
      <c r="H1334" s="270">
        <v>0.0012037037037037038</v>
      </c>
      <c r="I1334" s="271">
        <v>44418.34375</v>
      </c>
      <c r="J1334" s="268"/>
      <c r="K1334" s="271">
        <v>44418.34583333333</v>
      </c>
      <c r="L1334" s="288"/>
      <c r="M1334" s="278" t="s">
        <v>4853</v>
      </c>
      <c r="N1334" s="290"/>
      <c r="O1334" s="276"/>
      <c r="P1334" s="276"/>
      <c r="Q1334" s="276"/>
      <c r="R1334" s="278"/>
      <c r="S1334" s="278"/>
      <c r="T1334" s="278"/>
      <c r="U1334" s="279"/>
      <c r="V1334" s="279" t="s">
        <v>1824</v>
      </c>
      <c r="W1334" s="280">
        <v>44420.0</v>
      </c>
      <c r="X1334" s="281">
        <v>0.006944444444444444</v>
      </c>
      <c r="Y1334" s="279" t="s">
        <v>1693</v>
      </c>
      <c r="Z1334" s="282" t="s">
        <v>53</v>
      </c>
      <c r="AA1334" s="282">
        <v>6465085.0</v>
      </c>
      <c r="AB1334" s="283">
        <v>44419.0</v>
      </c>
      <c r="AC1334" s="284"/>
      <c r="AD1334" s="284"/>
    </row>
    <row r="1335" ht="14.25" customHeight="1">
      <c r="A1335" s="265">
        <v>44412.0</v>
      </c>
      <c r="B1335" s="266" t="s">
        <v>1738</v>
      </c>
      <c r="C1335" s="266"/>
      <c r="D1335" s="266" t="s">
        <v>1450</v>
      </c>
      <c r="E1335" s="268"/>
      <c r="F1335" s="358" t="s">
        <v>4854</v>
      </c>
      <c r="G1335" s="268" t="s">
        <v>2085</v>
      </c>
      <c r="H1335" s="270">
        <v>0.08804398148148147</v>
      </c>
      <c r="I1335" s="271">
        <v>44412.501388888886</v>
      </c>
      <c r="J1335" s="268"/>
      <c r="K1335" s="268"/>
      <c r="L1335" s="288" t="str">
        <f t="shared" ref="L1335:L1338" si="52">IFERROR(IF(OR(I1335="",K1335=""),"",K1335-I1335),"")</f>
        <v/>
      </c>
      <c r="M1335" s="307" t="s">
        <v>2808</v>
      </c>
      <c r="N1335" s="273">
        <v>44412.618055555555</v>
      </c>
      <c r="O1335" s="276" t="s">
        <v>4855</v>
      </c>
      <c r="P1335" s="276" t="s">
        <v>1463</v>
      </c>
      <c r="Q1335" s="276" t="s">
        <v>1819</v>
      </c>
      <c r="R1335" s="278"/>
      <c r="S1335" s="278"/>
      <c r="T1335" s="278" t="s">
        <v>4856</v>
      </c>
      <c r="U1335" s="279"/>
      <c r="V1335" s="279" t="s">
        <v>1738</v>
      </c>
      <c r="W1335" s="280">
        <v>44412.0</v>
      </c>
      <c r="X1335" s="281">
        <v>0.20833333333333334</v>
      </c>
      <c r="Y1335" s="279" t="s">
        <v>1693</v>
      </c>
      <c r="Z1335" s="282" t="s">
        <v>53</v>
      </c>
      <c r="AA1335" s="282" t="s">
        <v>4854</v>
      </c>
      <c r="AB1335" s="283">
        <v>44413.0</v>
      </c>
      <c r="AC1335" s="284"/>
      <c r="AD1335" s="284"/>
    </row>
    <row r="1336" ht="14.25" customHeight="1">
      <c r="A1336" s="265">
        <v>44412.0</v>
      </c>
      <c r="B1336" s="266" t="s">
        <v>1783</v>
      </c>
      <c r="C1336" s="266"/>
      <c r="D1336" s="266" t="s">
        <v>1452</v>
      </c>
      <c r="E1336" s="268"/>
      <c r="F1336" s="358" t="s">
        <v>4857</v>
      </c>
      <c r="G1336" s="268" t="s">
        <v>2085</v>
      </c>
      <c r="H1336" s="270">
        <v>0.0013310185185185185</v>
      </c>
      <c r="I1336" s="271">
        <v>44412.56875</v>
      </c>
      <c r="J1336" s="268"/>
      <c r="K1336" s="271">
        <v>44412.446539351855</v>
      </c>
      <c r="L1336" s="288" t="str">
        <f t="shared" si="52"/>
        <v>9:04:01 PM</v>
      </c>
      <c r="M1336" s="278"/>
      <c r="N1336" s="290"/>
      <c r="O1336" s="276"/>
      <c r="P1336" s="276"/>
      <c r="Q1336" s="276"/>
      <c r="R1336" s="278"/>
      <c r="S1336" s="278"/>
      <c r="T1336" s="278"/>
      <c r="U1336" s="279"/>
      <c r="V1336" s="279" t="s">
        <v>1783</v>
      </c>
      <c r="W1336" s="280">
        <v>44412.0</v>
      </c>
      <c r="X1336" s="281">
        <v>0.003472222222222222</v>
      </c>
      <c r="Y1336" s="279" t="s">
        <v>1693</v>
      </c>
      <c r="Z1336" s="282" t="s">
        <v>53</v>
      </c>
      <c r="AA1336" s="282" t="s">
        <v>4857</v>
      </c>
      <c r="AB1336" s="283">
        <v>44413.0</v>
      </c>
      <c r="AC1336" s="284"/>
      <c r="AD1336" s="284"/>
    </row>
    <row r="1337" ht="14.25" customHeight="1">
      <c r="A1337" s="265">
        <v>44412.0</v>
      </c>
      <c r="B1337" s="266" t="s">
        <v>2030</v>
      </c>
      <c r="C1337" s="266"/>
      <c r="D1337" s="266" t="s">
        <v>1686</v>
      </c>
      <c r="E1337" s="268"/>
      <c r="F1337" s="358" t="s">
        <v>4858</v>
      </c>
      <c r="G1337" s="268" t="s">
        <v>2085</v>
      </c>
      <c r="H1337" s="270">
        <v>0.03884259259259259</v>
      </c>
      <c r="I1337" s="271">
        <v>44412.76597222222</v>
      </c>
      <c r="J1337" s="268"/>
      <c r="K1337" s="271">
        <v>44412.78994212963</v>
      </c>
      <c r="L1337" s="288" t="str">
        <f t="shared" si="52"/>
        <v>12:34:31 AM</v>
      </c>
      <c r="M1337" s="278"/>
      <c r="N1337" s="290"/>
      <c r="O1337" s="276"/>
      <c r="P1337" s="276"/>
      <c r="Q1337" s="276"/>
      <c r="R1337" s="278"/>
      <c r="S1337" s="278"/>
      <c r="T1337" s="278"/>
      <c r="U1337" s="279"/>
      <c r="V1337" s="279" t="s">
        <v>2030</v>
      </c>
      <c r="W1337" s="280">
        <v>44413.0</v>
      </c>
      <c r="X1337" s="281">
        <v>0.002314814814814815</v>
      </c>
      <c r="Y1337" s="279" t="s">
        <v>1693</v>
      </c>
      <c r="Z1337" s="282" t="s">
        <v>53</v>
      </c>
      <c r="AA1337" s="282" t="s">
        <v>4858</v>
      </c>
      <c r="AB1337" s="283">
        <v>44413.0</v>
      </c>
      <c r="AC1337" s="284"/>
      <c r="AD1337" s="284"/>
    </row>
    <row r="1338" ht="14.25" customHeight="1">
      <c r="A1338" s="265">
        <v>44412.0</v>
      </c>
      <c r="B1338" s="266" t="s">
        <v>1733</v>
      </c>
      <c r="C1338" s="266"/>
      <c r="D1338" s="266" t="s">
        <v>1455</v>
      </c>
      <c r="E1338" s="268"/>
      <c r="F1338" s="358" t="s">
        <v>4859</v>
      </c>
      <c r="G1338" s="268" t="s">
        <v>2085</v>
      </c>
      <c r="H1338" s="270">
        <v>0.019363425925925926</v>
      </c>
      <c r="I1338" s="271">
        <v>44412.85</v>
      </c>
      <c r="J1338" s="268"/>
      <c r="K1338" s="271">
        <v>44412.86503472222</v>
      </c>
      <c r="L1338" s="288" t="str">
        <f t="shared" si="52"/>
        <v>12:21:39 AM</v>
      </c>
      <c r="M1338" s="278"/>
      <c r="N1338" s="290"/>
      <c r="O1338" s="276"/>
      <c r="P1338" s="276"/>
      <c r="Q1338" s="276"/>
      <c r="R1338" s="278"/>
      <c r="S1338" s="278"/>
      <c r="T1338" s="278"/>
      <c r="U1338" s="279"/>
      <c r="V1338" s="279" t="s">
        <v>1685</v>
      </c>
      <c r="W1338" s="280">
        <v>44413.0</v>
      </c>
      <c r="X1338" s="281">
        <v>0.08333333333333333</v>
      </c>
      <c r="Y1338" s="279" t="s">
        <v>1693</v>
      </c>
      <c r="Z1338" s="282" t="s">
        <v>53</v>
      </c>
      <c r="AA1338" s="282" t="s">
        <v>4859</v>
      </c>
      <c r="AB1338" s="283">
        <v>44413.0</v>
      </c>
      <c r="AC1338" s="284"/>
      <c r="AD1338" s="284"/>
    </row>
    <row r="1339" ht="14.25" customHeight="1">
      <c r="A1339" s="265">
        <v>44413.0</v>
      </c>
      <c r="B1339" s="266" t="s">
        <v>2030</v>
      </c>
      <c r="C1339" s="266" t="s">
        <v>1831</v>
      </c>
      <c r="D1339" s="266" t="s">
        <v>1686</v>
      </c>
      <c r="E1339" s="268"/>
      <c r="F1339" s="269" t="s">
        <v>4860</v>
      </c>
      <c r="G1339" s="268" t="s">
        <v>1463</v>
      </c>
      <c r="H1339" s="288">
        <v>0.002870370370370371</v>
      </c>
      <c r="I1339" s="271">
        <v>44414.370833333334</v>
      </c>
      <c r="J1339" s="268"/>
      <c r="K1339" s="271">
        <v>44414.37430555555</v>
      </c>
      <c r="L1339" s="288"/>
      <c r="M1339" s="278" t="s">
        <v>4861</v>
      </c>
      <c r="N1339" s="290"/>
      <c r="O1339" s="276"/>
      <c r="P1339" s="276"/>
      <c r="Q1339" s="276"/>
      <c r="R1339" s="278"/>
      <c r="S1339" s="278"/>
      <c r="T1339" s="278"/>
      <c r="U1339" s="279"/>
      <c r="V1339" s="279" t="s">
        <v>2030</v>
      </c>
      <c r="W1339" s="280">
        <v>44414.0</v>
      </c>
      <c r="X1339" s="281">
        <v>0.006944444444444444</v>
      </c>
      <c r="Y1339" s="279" t="s">
        <v>1693</v>
      </c>
      <c r="Z1339" s="282" t="s">
        <v>53</v>
      </c>
      <c r="AA1339" s="282">
        <v>6446815.0</v>
      </c>
      <c r="AB1339" s="283">
        <v>44414.0</v>
      </c>
      <c r="AC1339" s="284"/>
      <c r="AD1339" s="284"/>
    </row>
    <row r="1340" ht="14.25" customHeight="1">
      <c r="A1340" s="265">
        <v>44413.0</v>
      </c>
      <c r="B1340" s="266" t="s">
        <v>1500</v>
      </c>
      <c r="C1340" s="266" t="s">
        <v>1696</v>
      </c>
      <c r="D1340" s="266" t="s">
        <v>1543</v>
      </c>
      <c r="E1340" s="268"/>
      <c r="F1340" s="269" t="s">
        <v>4862</v>
      </c>
      <c r="G1340" s="268" t="s">
        <v>1463</v>
      </c>
      <c r="H1340" s="270">
        <v>0.001423611111111111</v>
      </c>
      <c r="I1340" s="271">
        <v>44417.60902777778</v>
      </c>
      <c r="J1340" s="268"/>
      <c r="K1340" s="271">
        <v>44418.35697916667</v>
      </c>
      <c r="L1340" s="288"/>
      <c r="M1340" s="278" t="s">
        <v>4863</v>
      </c>
      <c r="N1340" s="290"/>
      <c r="O1340" s="276"/>
      <c r="P1340" s="276"/>
      <c r="Q1340" s="276"/>
      <c r="R1340" s="278"/>
      <c r="S1340" s="278"/>
      <c r="T1340" s="278"/>
      <c r="U1340" s="279"/>
      <c r="V1340" s="279" t="s">
        <v>1824</v>
      </c>
      <c r="W1340" s="280">
        <v>44420.0</v>
      </c>
      <c r="X1340" s="281">
        <v>0.006944444444444444</v>
      </c>
      <c r="Y1340" s="279" t="s">
        <v>1693</v>
      </c>
      <c r="Z1340" s="282" t="s">
        <v>53</v>
      </c>
      <c r="AA1340" s="282">
        <v>6465086.0</v>
      </c>
      <c r="AB1340" s="283">
        <v>44419.0</v>
      </c>
      <c r="AC1340" s="284"/>
      <c r="AD1340" s="284"/>
    </row>
    <row r="1341" ht="14.25" customHeight="1">
      <c r="A1341" s="265">
        <v>44413.0</v>
      </c>
      <c r="B1341" s="266" t="s">
        <v>2030</v>
      </c>
      <c r="C1341" s="266" t="s">
        <v>1686</v>
      </c>
      <c r="D1341" s="266" t="s">
        <v>1543</v>
      </c>
      <c r="E1341" s="268"/>
      <c r="F1341" s="269" t="s">
        <v>4864</v>
      </c>
      <c r="G1341" s="268" t="s">
        <v>1463</v>
      </c>
      <c r="H1341" s="270">
        <v>0.0013310185185185185</v>
      </c>
      <c r="I1341" s="271">
        <v>44418.35902777778</v>
      </c>
      <c r="J1341" s="268"/>
      <c r="K1341" s="271">
        <v>44418.361805555556</v>
      </c>
      <c r="L1341" s="288"/>
      <c r="M1341" s="278" t="s">
        <v>4865</v>
      </c>
      <c r="N1341" s="290"/>
      <c r="O1341" s="276"/>
      <c r="P1341" s="276"/>
      <c r="Q1341" s="276"/>
      <c r="R1341" s="278"/>
      <c r="S1341" s="278"/>
      <c r="T1341" s="278"/>
      <c r="U1341" s="279"/>
      <c r="V1341" s="279" t="s">
        <v>1824</v>
      </c>
      <c r="W1341" s="280">
        <v>44420.0</v>
      </c>
      <c r="X1341" s="281">
        <v>0.006944444444444444</v>
      </c>
      <c r="Y1341" s="279" t="s">
        <v>1693</v>
      </c>
      <c r="Z1341" s="282" t="s">
        <v>53</v>
      </c>
      <c r="AA1341" s="282">
        <v>6465087.0</v>
      </c>
      <c r="AB1341" s="283">
        <v>44419.0</v>
      </c>
      <c r="AC1341" s="284"/>
      <c r="AD1341" s="284"/>
    </row>
    <row r="1342" ht="14.25" customHeight="1">
      <c r="A1342" s="265">
        <v>44413.0</v>
      </c>
      <c r="B1342" s="266" t="s">
        <v>2030</v>
      </c>
      <c r="C1342" s="266" t="s">
        <v>1455</v>
      </c>
      <c r="D1342" s="266" t="s">
        <v>1543</v>
      </c>
      <c r="E1342" s="268"/>
      <c r="F1342" s="269" t="s">
        <v>4866</v>
      </c>
      <c r="G1342" s="268" t="s">
        <v>1463</v>
      </c>
      <c r="H1342" s="270">
        <v>0.0013310185185185185</v>
      </c>
      <c r="I1342" s="271">
        <v>44418.53333333333</v>
      </c>
      <c r="J1342" s="268"/>
      <c r="K1342" s="271">
        <v>44418.53680555556</v>
      </c>
      <c r="L1342" s="288"/>
      <c r="M1342" s="278" t="s">
        <v>4867</v>
      </c>
      <c r="N1342" s="290"/>
      <c r="O1342" s="276"/>
      <c r="P1342" s="276"/>
      <c r="Q1342" s="276"/>
      <c r="R1342" s="278"/>
      <c r="S1342" s="278"/>
      <c r="T1342" s="278"/>
      <c r="U1342" s="279"/>
      <c r="V1342" s="279" t="s">
        <v>1824</v>
      </c>
      <c r="W1342" s="280">
        <v>44420.0</v>
      </c>
      <c r="X1342" s="281">
        <v>0.006944444444444444</v>
      </c>
      <c r="Y1342" s="279" t="s">
        <v>1693</v>
      </c>
      <c r="Z1342" s="282" t="s">
        <v>53</v>
      </c>
      <c r="AA1342" s="282">
        <v>6465088.0</v>
      </c>
      <c r="AB1342" s="283">
        <v>44419.0</v>
      </c>
      <c r="AC1342" s="284"/>
      <c r="AD1342" s="284"/>
    </row>
    <row r="1343" ht="14.25" customHeight="1">
      <c r="A1343" s="265">
        <v>44413.0</v>
      </c>
      <c r="B1343" s="266" t="s">
        <v>1500</v>
      </c>
      <c r="C1343" s="266" t="s">
        <v>2641</v>
      </c>
      <c r="D1343" s="266" t="s">
        <v>1543</v>
      </c>
      <c r="E1343" s="268"/>
      <c r="F1343" s="269" t="s">
        <v>4868</v>
      </c>
      <c r="G1343" s="268" t="s">
        <v>1463</v>
      </c>
      <c r="H1343" s="270">
        <v>0.0026967592592592594</v>
      </c>
      <c r="I1343" s="271">
        <v>44418.41180555556</v>
      </c>
      <c r="J1343" s="268"/>
      <c r="K1343" s="271">
        <v>44418.865578703706</v>
      </c>
      <c r="L1343" s="288"/>
      <c r="M1343" s="278" t="s">
        <v>4869</v>
      </c>
      <c r="N1343" s="290"/>
      <c r="O1343" s="276"/>
      <c r="P1343" s="276"/>
      <c r="Q1343" s="276"/>
      <c r="R1343" s="278"/>
      <c r="S1343" s="278"/>
      <c r="T1343" s="278"/>
      <c r="U1343" s="279"/>
      <c r="V1343" s="279" t="s">
        <v>2030</v>
      </c>
      <c r="W1343" s="280">
        <v>44442.0</v>
      </c>
      <c r="X1343" s="281">
        <v>0.006944444444444444</v>
      </c>
      <c r="Y1343" s="279" t="s">
        <v>1693</v>
      </c>
      <c r="Z1343" s="282" t="s">
        <v>53</v>
      </c>
      <c r="AA1343" s="282">
        <v>6468778.0</v>
      </c>
      <c r="AB1343" s="283">
        <v>44421.0</v>
      </c>
      <c r="AC1343" s="284"/>
      <c r="AD1343" s="284"/>
    </row>
    <row r="1344" ht="14.25" customHeight="1">
      <c r="A1344" s="265">
        <v>44413.0</v>
      </c>
      <c r="B1344" s="266"/>
      <c r="C1344" s="266" t="s">
        <v>2158</v>
      </c>
      <c r="D1344" s="266" t="s">
        <v>1450</v>
      </c>
      <c r="E1344" s="268"/>
      <c r="F1344" s="269" t="s">
        <v>4870</v>
      </c>
      <c r="G1344" s="268" t="s">
        <v>3742</v>
      </c>
      <c r="H1344" s="270"/>
      <c r="I1344" s="271"/>
      <c r="J1344" s="268"/>
      <c r="K1344" s="268"/>
      <c r="L1344" s="288"/>
      <c r="M1344" s="278" t="s">
        <v>3915</v>
      </c>
      <c r="N1344" s="290"/>
      <c r="O1344" s="276"/>
      <c r="P1344" s="276"/>
      <c r="Q1344" s="276"/>
      <c r="R1344" s="278"/>
      <c r="S1344" s="278"/>
      <c r="T1344" s="278" t="s">
        <v>3915</v>
      </c>
      <c r="U1344" s="279"/>
      <c r="V1344" s="279" t="s">
        <v>28</v>
      </c>
      <c r="W1344" s="279" t="s">
        <v>28</v>
      </c>
      <c r="X1344" s="281" t="s">
        <v>28</v>
      </c>
      <c r="Y1344" s="279" t="s">
        <v>28</v>
      </c>
      <c r="Z1344" s="282" t="s">
        <v>28</v>
      </c>
      <c r="AA1344" s="282" t="s">
        <v>28</v>
      </c>
      <c r="AB1344" s="283" t="s">
        <v>28</v>
      </c>
      <c r="AC1344" s="284"/>
      <c r="AD1344" s="284"/>
    </row>
    <row r="1345" ht="14.25" customHeight="1">
      <c r="A1345" s="265">
        <v>44413.0</v>
      </c>
      <c r="B1345" s="266" t="s">
        <v>1738</v>
      </c>
      <c r="C1345" s="266"/>
      <c r="D1345" s="266" t="s">
        <v>1450</v>
      </c>
      <c r="E1345" s="268"/>
      <c r="F1345" s="358" t="s">
        <v>4871</v>
      </c>
      <c r="G1345" s="268" t="s">
        <v>2085</v>
      </c>
      <c r="H1345" s="270">
        <v>0.09869212962962963</v>
      </c>
      <c r="I1345" s="271">
        <v>44413.447916666664</v>
      </c>
      <c r="J1345" s="268"/>
      <c r="K1345" s="271">
        <v>44413.57822916667</v>
      </c>
      <c r="L1345" s="288" t="str">
        <f t="shared" ref="L1345:L1348" si="53">IFERROR(IF(OR(I1345="",K1345=""),"",K1345-I1345),"")</f>
        <v>3:07:39 AM</v>
      </c>
      <c r="M1345" s="278"/>
      <c r="N1345" s="290"/>
      <c r="O1345" s="276"/>
      <c r="P1345" s="276"/>
      <c r="Q1345" s="276"/>
      <c r="R1345" s="278"/>
      <c r="S1345" s="278"/>
      <c r="T1345" s="278"/>
      <c r="U1345" s="279"/>
      <c r="V1345" s="279" t="s">
        <v>1738</v>
      </c>
      <c r="W1345" s="280">
        <v>44414.0</v>
      </c>
      <c r="X1345" s="281">
        <v>0.20833333333333334</v>
      </c>
      <c r="Y1345" s="279" t="s">
        <v>1693</v>
      </c>
      <c r="Z1345" s="282" t="s">
        <v>53</v>
      </c>
      <c r="AA1345" s="282" t="s">
        <v>4871</v>
      </c>
      <c r="AB1345" s="283">
        <v>44413.0</v>
      </c>
      <c r="AC1345" s="284"/>
      <c r="AD1345" s="284"/>
    </row>
    <row r="1346" ht="14.25" customHeight="1">
      <c r="A1346" s="265">
        <v>44413.0</v>
      </c>
      <c r="B1346" s="266" t="s">
        <v>1783</v>
      </c>
      <c r="C1346" s="266"/>
      <c r="D1346" s="266" t="s">
        <v>1452</v>
      </c>
      <c r="E1346" s="268"/>
      <c r="F1346" s="358" t="s">
        <v>4872</v>
      </c>
      <c r="G1346" s="268" t="s">
        <v>2085</v>
      </c>
      <c r="H1346" s="270">
        <v>0.0017939814814814815</v>
      </c>
      <c r="I1346" s="271">
        <v>44413.415972222225</v>
      </c>
      <c r="J1346" s="268"/>
      <c r="K1346" s="271">
        <v>44413.41900462963</v>
      </c>
      <c r="L1346" s="288" t="str">
        <f t="shared" si="53"/>
        <v>12:04:22 AM</v>
      </c>
      <c r="M1346" s="278"/>
      <c r="N1346" s="290"/>
      <c r="O1346" s="276"/>
      <c r="P1346" s="276"/>
      <c r="Q1346" s="276"/>
      <c r="R1346" s="278"/>
      <c r="S1346" s="278"/>
      <c r="T1346" s="278"/>
      <c r="U1346" s="279"/>
      <c r="V1346" s="279" t="s">
        <v>1783</v>
      </c>
      <c r="W1346" s="280">
        <v>44413.0</v>
      </c>
      <c r="X1346" s="281">
        <v>0.005555555555555556</v>
      </c>
      <c r="Y1346" s="279" t="s">
        <v>1693</v>
      </c>
      <c r="Z1346" s="282" t="s">
        <v>53</v>
      </c>
      <c r="AA1346" s="282" t="s">
        <v>4872</v>
      </c>
      <c r="AB1346" s="283">
        <v>44413.0</v>
      </c>
      <c r="AC1346" s="284"/>
      <c r="AD1346" s="284"/>
    </row>
    <row r="1347" ht="14.25" customHeight="1">
      <c r="A1347" s="265">
        <v>44413.0</v>
      </c>
      <c r="B1347" s="266" t="s">
        <v>2030</v>
      </c>
      <c r="C1347" s="266"/>
      <c r="D1347" s="266" t="s">
        <v>1686</v>
      </c>
      <c r="E1347" s="268"/>
      <c r="F1347" s="358" t="s">
        <v>4873</v>
      </c>
      <c r="G1347" s="268" t="s">
        <v>2085</v>
      </c>
      <c r="H1347" s="288">
        <v>0.03200231481481482</v>
      </c>
      <c r="I1347" s="271">
        <v>44413.845138888886</v>
      </c>
      <c r="J1347" s="268"/>
      <c r="K1347" s="271">
        <v>44413.8725462963</v>
      </c>
      <c r="L1347" s="288" t="str">
        <f t="shared" si="53"/>
        <v>12:39:28 AM</v>
      </c>
      <c r="M1347" s="278"/>
      <c r="N1347" s="290"/>
      <c r="O1347" s="276"/>
      <c r="P1347" s="276"/>
      <c r="Q1347" s="276"/>
      <c r="R1347" s="278"/>
      <c r="S1347" s="278"/>
      <c r="T1347" s="278"/>
      <c r="U1347" s="279"/>
      <c r="V1347" s="279" t="s">
        <v>2030</v>
      </c>
      <c r="W1347" s="280">
        <v>44414.0</v>
      </c>
      <c r="X1347" s="281">
        <v>0.0020833333333333333</v>
      </c>
      <c r="Y1347" s="279" t="s">
        <v>1693</v>
      </c>
      <c r="Z1347" s="282" t="s">
        <v>53</v>
      </c>
      <c r="AA1347" s="282" t="s">
        <v>4873</v>
      </c>
      <c r="AB1347" s="283">
        <v>44414.0</v>
      </c>
      <c r="AC1347" s="284"/>
      <c r="AD1347" s="284"/>
    </row>
    <row r="1348" ht="14.25" customHeight="1">
      <c r="A1348" s="265">
        <v>44413.0</v>
      </c>
      <c r="B1348" s="266" t="s">
        <v>1733</v>
      </c>
      <c r="C1348" s="266"/>
      <c r="D1348" s="266" t="s">
        <v>1455</v>
      </c>
      <c r="E1348" s="268"/>
      <c r="F1348" s="358" t="s">
        <v>4874</v>
      </c>
      <c r="G1348" s="268" t="s">
        <v>2085</v>
      </c>
      <c r="H1348" s="270">
        <v>0.023113425925925926</v>
      </c>
      <c r="I1348" s="271">
        <v>44413.91736111111</v>
      </c>
      <c r="J1348" s="268"/>
      <c r="K1348" s="271">
        <v>44413.9369212963</v>
      </c>
      <c r="L1348" s="288" t="str">
        <f t="shared" si="53"/>
        <v>12:28:10 AM</v>
      </c>
      <c r="M1348" s="278"/>
      <c r="N1348" s="290"/>
      <c r="O1348" s="276"/>
      <c r="P1348" s="276"/>
      <c r="Q1348" s="276"/>
      <c r="R1348" s="278"/>
      <c r="S1348" s="278"/>
      <c r="T1348" s="278"/>
      <c r="U1348" s="279"/>
      <c r="V1348" s="279" t="s">
        <v>1685</v>
      </c>
      <c r="W1348" s="280">
        <v>44414.0</v>
      </c>
      <c r="X1348" s="281">
        <v>0.10416666666666667</v>
      </c>
      <c r="Y1348" s="279" t="s">
        <v>1693</v>
      </c>
      <c r="Z1348" s="282" t="s">
        <v>53</v>
      </c>
      <c r="AA1348" s="282" t="s">
        <v>4874</v>
      </c>
      <c r="AB1348" s="283">
        <v>44414.0</v>
      </c>
      <c r="AC1348" s="284"/>
      <c r="AD1348" s="284"/>
    </row>
    <row r="1349" ht="14.25" customHeight="1">
      <c r="A1349" s="265">
        <v>44414.0</v>
      </c>
      <c r="B1349" s="266" t="s">
        <v>1500</v>
      </c>
      <c r="C1349" s="266" t="s">
        <v>1450</v>
      </c>
      <c r="D1349" s="266" t="s">
        <v>1543</v>
      </c>
      <c r="E1349" s="268"/>
      <c r="F1349" s="269" t="s">
        <v>4875</v>
      </c>
      <c r="G1349" s="268" t="s">
        <v>1463</v>
      </c>
      <c r="H1349" s="270">
        <v>0.003148148148148148</v>
      </c>
      <c r="I1349" s="271">
        <v>44417.59861111111</v>
      </c>
      <c r="J1349" s="268"/>
      <c r="K1349" s="271">
        <v>44417.96059027778</v>
      </c>
      <c r="L1349" s="288"/>
      <c r="M1349" s="278" t="s">
        <v>4876</v>
      </c>
      <c r="N1349" s="290"/>
      <c r="O1349" s="276"/>
      <c r="P1349" s="276"/>
      <c r="Q1349" s="276"/>
      <c r="R1349" s="278"/>
      <c r="S1349" s="278"/>
      <c r="T1349" s="278"/>
      <c r="U1349" s="279"/>
      <c r="V1349" s="279" t="s">
        <v>1824</v>
      </c>
      <c r="W1349" s="280">
        <v>44420.0</v>
      </c>
      <c r="X1349" s="281">
        <v>0.006944444444444444</v>
      </c>
      <c r="Y1349" s="279" t="s">
        <v>1693</v>
      </c>
      <c r="Z1349" s="282" t="s">
        <v>53</v>
      </c>
      <c r="AA1349" s="282">
        <v>6465089.0</v>
      </c>
      <c r="AB1349" s="283">
        <v>44419.0</v>
      </c>
      <c r="AC1349" s="284"/>
      <c r="AD1349" s="284"/>
    </row>
    <row r="1350" ht="14.25" customHeight="1">
      <c r="A1350" s="265">
        <v>44414.0</v>
      </c>
      <c r="B1350" s="266" t="s">
        <v>1500</v>
      </c>
      <c r="C1350" s="266" t="s">
        <v>1696</v>
      </c>
      <c r="D1350" s="266" t="s">
        <v>1543</v>
      </c>
      <c r="E1350" s="268"/>
      <c r="F1350" s="269" t="s">
        <v>4877</v>
      </c>
      <c r="G1350" s="268" t="s">
        <v>1463</v>
      </c>
      <c r="H1350" s="270">
        <v>0.012222222222222223</v>
      </c>
      <c r="I1350" s="271">
        <v>44418.39027777778</v>
      </c>
      <c r="J1350" s="268"/>
      <c r="K1350" s="271">
        <v>44418.40587962963</v>
      </c>
      <c r="L1350" s="288"/>
      <c r="M1350" s="278" t="s">
        <v>4878</v>
      </c>
      <c r="N1350" s="290"/>
      <c r="O1350" s="276"/>
      <c r="P1350" s="276"/>
      <c r="Q1350" s="276"/>
      <c r="R1350" s="278"/>
      <c r="S1350" s="278"/>
      <c r="T1350" s="278"/>
      <c r="U1350" s="279"/>
      <c r="V1350" s="279" t="s">
        <v>1824</v>
      </c>
      <c r="W1350" s="280">
        <v>44420.0</v>
      </c>
      <c r="X1350" s="281">
        <v>0.013888888888888888</v>
      </c>
      <c r="Y1350" s="279" t="s">
        <v>1693</v>
      </c>
      <c r="Z1350" s="282" t="s">
        <v>53</v>
      </c>
      <c r="AA1350" s="282">
        <v>6465090.0</v>
      </c>
      <c r="AB1350" s="283">
        <v>44419.0</v>
      </c>
      <c r="AC1350" s="284"/>
      <c r="AD1350" s="284"/>
    </row>
    <row r="1351" ht="14.25" customHeight="1">
      <c r="A1351" s="265">
        <v>44414.0</v>
      </c>
      <c r="B1351" s="266" t="s">
        <v>1500</v>
      </c>
      <c r="C1351" s="266" t="s">
        <v>1455</v>
      </c>
      <c r="D1351" s="266" t="s">
        <v>1543</v>
      </c>
      <c r="E1351" s="268"/>
      <c r="F1351" s="269" t="s">
        <v>4879</v>
      </c>
      <c r="G1351" s="268" t="s">
        <v>1463</v>
      </c>
      <c r="H1351" s="270">
        <v>0.0016087962962962963</v>
      </c>
      <c r="I1351" s="271">
        <v>44417.40138888889</v>
      </c>
      <c r="J1351" s="268"/>
      <c r="K1351" s="271">
        <v>44418.40920138889</v>
      </c>
      <c r="L1351" s="288"/>
      <c r="M1351" s="278" t="s">
        <v>4880</v>
      </c>
      <c r="N1351" s="290"/>
      <c r="O1351" s="276"/>
      <c r="P1351" s="276"/>
      <c r="Q1351" s="276"/>
      <c r="R1351" s="278"/>
      <c r="S1351" s="278"/>
      <c r="T1351" s="278"/>
      <c r="U1351" s="279"/>
      <c r="V1351" s="279" t="s">
        <v>1824</v>
      </c>
      <c r="W1351" s="280">
        <v>44420.0</v>
      </c>
      <c r="X1351" s="281">
        <v>0.003472222222222222</v>
      </c>
      <c r="Y1351" s="279" t="s">
        <v>1693</v>
      </c>
      <c r="Z1351" s="282" t="s">
        <v>53</v>
      </c>
      <c r="AA1351" s="282">
        <v>6465091.0</v>
      </c>
      <c r="AB1351" s="283">
        <v>44419.0</v>
      </c>
      <c r="AC1351" s="284"/>
      <c r="AD1351" s="284"/>
    </row>
    <row r="1352" ht="14.25" customHeight="1">
      <c r="A1352" s="265">
        <v>44414.0</v>
      </c>
      <c r="B1352" s="266" t="s">
        <v>1738</v>
      </c>
      <c r="C1352" s="266"/>
      <c r="D1352" s="266" t="s">
        <v>1450</v>
      </c>
      <c r="E1352" s="268"/>
      <c r="F1352" s="358" t="s">
        <v>4881</v>
      </c>
      <c r="G1352" s="268" t="s">
        <v>2085</v>
      </c>
      <c r="H1352" s="270">
        <v>0.06548611111111112</v>
      </c>
      <c r="I1352" s="271">
        <v>44414.7125</v>
      </c>
      <c r="J1352" s="268"/>
      <c r="K1352" s="271">
        <v>44414.753333333334</v>
      </c>
      <c r="L1352" s="288" t="str">
        <f t="shared" ref="L1352:L1355" si="54">IFERROR(IF(OR(I1352="",K1352=""),"",K1352-I1352),"")</f>
        <v>12:58:48 AM</v>
      </c>
      <c r="M1352" s="278"/>
      <c r="N1352" s="290"/>
      <c r="O1352" s="276"/>
      <c r="P1352" s="276"/>
      <c r="Q1352" s="276"/>
      <c r="R1352" s="278"/>
      <c r="S1352" s="278"/>
      <c r="T1352" s="278"/>
      <c r="U1352" s="279"/>
      <c r="V1352" s="279" t="s">
        <v>1570</v>
      </c>
      <c r="W1352" s="280">
        <v>44417.0</v>
      </c>
      <c r="X1352" s="281">
        <v>0.20833333333333334</v>
      </c>
      <c r="Y1352" s="279" t="s">
        <v>1693</v>
      </c>
      <c r="Z1352" s="282" t="s">
        <v>53</v>
      </c>
      <c r="AA1352" s="282" t="s">
        <v>4881</v>
      </c>
      <c r="AB1352" s="283">
        <v>44417.0</v>
      </c>
      <c r="AC1352" s="284"/>
      <c r="AD1352" s="284"/>
    </row>
    <row r="1353" ht="14.25" customHeight="1">
      <c r="A1353" s="265">
        <v>44414.0</v>
      </c>
      <c r="B1353" s="266" t="s">
        <v>1783</v>
      </c>
      <c r="C1353" s="266"/>
      <c r="D1353" s="266" t="s">
        <v>1452</v>
      </c>
      <c r="E1353" s="268"/>
      <c r="F1353" s="358" t="s">
        <v>4882</v>
      </c>
      <c r="G1353" s="268" t="s">
        <v>2085</v>
      </c>
      <c r="H1353" s="270">
        <v>0.0021180555555555553</v>
      </c>
      <c r="I1353" s="271">
        <v>44414.54305555556</v>
      </c>
      <c r="J1353" s="268"/>
      <c r="K1353" s="271">
        <v>44414.548483796294</v>
      </c>
      <c r="L1353" s="288" t="str">
        <f t="shared" si="54"/>
        <v>12:07:49 AM</v>
      </c>
      <c r="M1353" s="278"/>
      <c r="N1353" s="290"/>
      <c r="O1353" s="276"/>
      <c r="P1353" s="276"/>
      <c r="Q1353" s="276"/>
      <c r="R1353" s="278"/>
      <c r="S1353" s="278"/>
      <c r="T1353" s="278"/>
      <c r="U1353" s="279"/>
      <c r="V1353" s="279" t="s">
        <v>1783</v>
      </c>
      <c r="W1353" s="280">
        <v>44417.0</v>
      </c>
      <c r="X1353" s="281">
        <v>0.004861111111111111</v>
      </c>
      <c r="Y1353" s="279" t="s">
        <v>1693</v>
      </c>
      <c r="Z1353" s="282" t="s">
        <v>53</v>
      </c>
      <c r="AA1353" s="282" t="s">
        <v>4882</v>
      </c>
      <c r="AB1353" s="283">
        <v>44417.0</v>
      </c>
      <c r="AC1353" s="284"/>
      <c r="AD1353" s="284"/>
    </row>
    <row r="1354" ht="14.25" customHeight="1">
      <c r="A1354" s="265">
        <v>44414.0</v>
      </c>
      <c r="B1354" s="266" t="s">
        <v>2030</v>
      </c>
      <c r="C1354" s="266"/>
      <c r="D1354" s="266" t="s">
        <v>1686</v>
      </c>
      <c r="E1354" s="268"/>
      <c r="F1354" s="358" t="s">
        <v>4883</v>
      </c>
      <c r="G1354" s="268" t="s">
        <v>2085</v>
      </c>
      <c r="H1354" s="270">
        <v>0.03226851851851852</v>
      </c>
      <c r="I1354" s="271">
        <v>44414.70486111111</v>
      </c>
      <c r="J1354" s="268"/>
      <c r="K1354" s="271">
        <v>44414.74118055555</v>
      </c>
      <c r="L1354" s="288" t="str">
        <f t="shared" si="54"/>
        <v>12:52:18 AM</v>
      </c>
      <c r="M1354" s="278"/>
      <c r="N1354" s="290"/>
      <c r="O1354" s="276"/>
      <c r="P1354" s="276"/>
      <c r="Q1354" s="276"/>
      <c r="R1354" s="278"/>
      <c r="S1354" s="278"/>
      <c r="T1354" s="278"/>
      <c r="U1354" s="279"/>
      <c r="V1354" s="279" t="s">
        <v>1685</v>
      </c>
      <c r="W1354" s="280">
        <v>44417.0</v>
      </c>
      <c r="X1354" s="281">
        <v>0.14583333333333334</v>
      </c>
      <c r="Y1354" s="279" t="s">
        <v>1693</v>
      </c>
      <c r="Z1354" s="282" t="s">
        <v>53</v>
      </c>
      <c r="AA1354" s="282" t="s">
        <v>4883</v>
      </c>
      <c r="AB1354" s="283">
        <v>44417.0</v>
      </c>
      <c r="AC1354" s="284"/>
      <c r="AD1354" s="284"/>
    </row>
    <row r="1355" ht="14.25" customHeight="1">
      <c r="A1355" s="265">
        <v>44414.0</v>
      </c>
      <c r="B1355" s="266" t="s">
        <v>1733</v>
      </c>
      <c r="C1355" s="266"/>
      <c r="D1355" s="266" t="s">
        <v>1455</v>
      </c>
      <c r="E1355" s="268"/>
      <c r="F1355" s="358" t="s">
        <v>4884</v>
      </c>
      <c r="G1355" s="268" t="s">
        <v>2085</v>
      </c>
      <c r="H1355" s="270">
        <v>0.021377314814814818</v>
      </c>
      <c r="I1355" s="271">
        <v>44414.975</v>
      </c>
      <c r="J1355" s="268"/>
      <c r="K1355" s="271">
        <v>44414.99207175926</v>
      </c>
      <c r="L1355" s="288" t="str">
        <f t="shared" si="54"/>
        <v>12:24:35 AM</v>
      </c>
      <c r="M1355" s="278"/>
      <c r="N1355" s="290"/>
      <c r="O1355" s="276"/>
      <c r="P1355" s="276"/>
      <c r="Q1355" s="276"/>
      <c r="R1355" s="278"/>
      <c r="S1355" s="278"/>
      <c r="T1355" s="278"/>
      <c r="U1355" s="279"/>
      <c r="V1355" s="279" t="s">
        <v>1824</v>
      </c>
      <c r="W1355" s="280">
        <v>44417.0</v>
      </c>
      <c r="X1355" s="281">
        <v>0.08333333333333333</v>
      </c>
      <c r="Y1355" s="279" t="s">
        <v>1693</v>
      </c>
      <c r="Z1355" s="282" t="s">
        <v>53</v>
      </c>
      <c r="AA1355" s="282" t="s">
        <v>4884</v>
      </c>
      <c r="AB1355" s="283">
        <v>44417.0</v>
      </c>
      <c r="AC1355" s="284"/>
      <c r="AD1355" s="284"/>
    </row>
    <row r="1356" ht="14.25" customHeight="1">
      <c r="A1356" s="265">
        <v>44415.0</v>
      </c>
      <c r="B1356" s="266" t="s">
        <v>2030</v>
      </c>
      <c r="C1356" s="266" t="s">
        <v>1686</v>
      </c>
      <c r="D1356" s="266" t="s">
        <v>1543</v>
      </c>
      <c r="E1356" s="268"/>
      <c r="F1356" s="269" t="s">
        <v>4885</v>
      </c>
      <c r="G1356" s="268" t="s">
        <v>1463</v>
      </c>
      <c r="H1356" s="270">
        <v>0.002361111111111111</v>
      </c>
      <c r="I1356" s="271">
        <v>44420.26666666667</v>
      </c>
      <c r="J1356" s="268"/>
      <c r="K1356" s="271">
        <v>44420.27013888889</v>
      </c>
      <c r="L1356" s="288"/>
      <c r="M1356" s="278" t="s">
        <v>4886</v>
      </c>
      <c r="N1356" s="290"/>
      <c r="O1356" s="276"/>
      <c r="P1356" s="276"/>
      <c r="Q1356" s="276"/>
      <c r="R1356" s="278"/>
      <c r="S1356" s="278"/>
      <c r="T1356" s="278"/>
      <c r="U1356" s="279"/>
      <c r="V1356" s="279" t="s">
        <v>1824</v>
      </c>
      <c r="W1356" s="280">
        <v>44420.0</v>
      </c>
      <c r="X1356" s="281">
        <v>0.004861111111111111</v>
      </c>
      <c r="Y1356" s="279" t="s">
        <v>1693</v>
      </c>
      <c r="Z1356" s="282" t="s">
        <v>53</v>
      </c>
      <c r="AA1356" s="282">
        <v>6475135.0</v>
      </c>
      <c r="AB1356" s="283">
        <v>44424.0</v>
      </c>
      <c r="AC1356" s="284"/>
      <c r="AD1356" s="284"/>
    </row>
    <row r="1357" ht="14.25" customHeight="1">
      <c r="A1357" s="265">
        <v>44415.0</v>
      </c>
      <c r="B1357" s="266" t="s">
        <v>1500</v>
      </c>
      <c r="C1357" s="266" t="s">
        <v>2179</v>
      </c>
      <c r="D1357" s="266" t="s">
        <v>1543</v>
      </c>
      <c r="E1357" s="268"/>
      <c r="F1357" s="269" t="s">
        <v>4887</v>
      </c>
      <c r="G1357" s="268" t="s">
        <v>1463</v>
      </c>
      <c r="H1357" s="270">
        <v>0.003483796296296296</v>
      </c>
      <c r="I1357" s="271">
        <v>44420.399305555555</v>
      </c>
      <c r="J1357" s="268"/>
      <c r="K1357" s="271">
        <v>44420.73869212963</v>
      </c>
      <c r="L1357" s="288"/>
      <c r="M1357" s="278" t="s">
        <v>4888</v>
      </c>
      <c r="N1357" s="290"/>
      <c r="O1357" s="276"/>
      <c r="P1357" s="276"/>
      <c r="Q1357" s="276"/>
      <c r="R1357" s="278"/>
      <c r="S1357" s="278"/>
      <c r="T1357" s="278"/>
      <c r="U1357" s="279"/>
      <c r="V1357" s="279" t="s">
        <v>2030</v>
      </c>
      <c r="W1357" s="280">
        <v>44442.0</v>
      </c>
      <c r="X1357" s="281">
        <v>0.010416666666666666</v>
      </c>
      <c r="Y1357" s="279" t="s">
        <v>1693</v>
      </c>
      <c r="Z1357" s="282" t="s">
        <v>53</v>
      </c>
      <c r="AA1357" s="282">
        <v>6475136.0</v>
      </c>
      <c r="AB1357" s="283">
        <v>44424.0</v>
      </c>
      <c r="AC1357" s="284"/>
      <c r="AD1357" s="284"/>
    </row>
    <row r="1358" ht="14.25" customHeight="1">
      <c r="A1358" s="265">
        <v>44415.0</v>
      </c>
      <c r="B1358" s="266" t="s">
        <v>3677</v>
      </c>
      <c r="C1358" s="266"/>
      <c r="D1358" s="266" t="s">
        <v>1686</v>
      </c>
      <c r="E1358" s="268"/>
      <c r="F1358" s="358" t="s">
        <v>4889</v>
      </c>
      <c r="G1358" s="268" t="s">
        <v>2085</v>
      </c>
      <c r="H1358" s="270">
        <v>0.02516203703703704</v>
      </c>
      <c r="I1358" s="271">
        <v>44416.79236111111</v>
      </c>
      <c r="J1358" s="268"/>
      <c r="K1358" s="271">
        <v>44416.81267361111</v>
      </c>
      <c r="L1358" s="288" t="str">
        <f t="shared" ref="L1358:L1359" si="55">IFERROR(IF(OR(I1358="",K1358=""),"",K1358-I1358),"")</f>
        <v>12:29:15 AM</v>
      </c>
      <c r="M1358" s="278"/>
      <c r="N1358" s="290"/>
      <c r="O1358" s="276"/>
      <c r="P1358" s="276"/>
      <c r="Q1358" s="276"/>
      <c r="R1358" s="278"/>
      <c r="S1358" s="278"/>
      <c r="T1358" s="278"/>
      <c r="U1358" s="279"/>
      <c r="V1358" s="279" t="s">
        <v>1685</v>
      </c>
      <c r="W1358" s="280">
        <v>44417.0</v>
      </c>
      <c r="X1358" s="281">
        <v>0.125</v>
      </c>
      <c r="Y1358" s="279" t="s">
        <v>1693</v>
      </c>
      <c r="Z1358" s="282" t="s">
        <v>53</v>
      </c>
      <c r="AA1358" s="282" t="s">
        <v>4889</v>
      </c>
      <c r="AB1358" s="283">
        <v>44417.0</v>
      </c>
      <c r="AC1358" s="284"/>
      <c r="AD1358" s="284"/>
    </row>
    <row r="1359" ht="14.25" customHeight="1">
      <c r="A1359" s="265">
        <v>44415.0</v>
      </c>
      <c r="B1359" s="266" t="s">
        <v>1733</v>
      </c>
      <c r="C1359" s="266"/>
      <c r="D1359" s="266" t="s">
        <v>1455</v>
      </c>
      <c r="E1359" s="268"/>
      <c r="F1359" s="358" t="s">
        <v>4890</v>
      </c>
      <c r="G1359" s="268" t="s">
        <v>2085</v>
      </c>
      <c r="H1359" s="270">
        <v>0.015625</v>
      </c>
      <c r="I1359" s="271">
        <v>44416.915972222225</v>
      </c>
      <c r="J1359" s="268"/>
      <c r="K1359" s="271">
        <v>44416.93101851852</v>
      </c>
      <c r="L1359" s="288" t="str">
        <f t="shared" si="55"/>
        <v>12:21:40 AM</v>
      </c>
      <c r="M1359" s="278"/>
      <c r="N1359" s="290"/>
      <c r="O1359" s="276"/>
      <c r="P1359" s="276"/>
      <c r="Q1359" s="276"/>
      <c r="R1359" s="278"/>
      <c r="S1359" s="278"/>
      <c r="T1359" s="278"/>
      <c r="U1359" s="279"/>
      <c r="V1359" s="279" t="s">
        <v>1824</v>
      </c>
      <c r="W1359" s="280">
        <v>44417.0</v>
      </c>
      <c r="X1359" s="281">
        <v>0.08333333333333333</v>
      </c>
      <c r="Y1359" s="279" t="s">
        <v>1693</v>
      </c>
      <c r="Z1359" s="282" t="s">
        <v>53</v>
      </c>
      <c r="AA1359" s="282" t="s">
        <v>4890</v>
      </c>
      <c r="AB1359" s="283">
        <v>44417.0</v>
      </c>
      <c r="AC1359" s="284"/>
      <c r="AD1359" s="284"/>
    </row>
    <row r="1360" ht="15.75" customHeight="1">
      <c r="A1360" s="265">
        <v>44416.0</v>
      </c>
      <c r="B1360" s="266" t="s">
        <v>1733</v>
      </c>
      <c r="C1360" s="266"/>
      <c r="D1360" s="266" t="s">
        <v>3509</v>
      </c>
      <c r="E1360" s="268"/>
      <c r="F1360" s="291" t="s">
        <v>4036</v>
      </c>
      <c r="G1360" s="268"/>
      <c r="H1360" s="270"/>
      <c r="I1360" s="271"/>
      <c r="J1360" s="268"/>
      <c r="K1360" s="268"/>
      <c r="L1360" s="288"/>
      <c r="M1360" s="278"/>
      <c r="N1360" s="290"/>
      <c r="O1360" s="276"/>
      <c r="P1360" s="276"/>
      <c r="Q1360" s="276"/>
      <c r="R1360" s="278"/>
      <c r="S1360" s="278"/>
      <c r="T1360" s="278"/>
      <c r="U1360" s="279"/>
      <c r="V1360" s="279"/>
      <c r="W1360" s="279"/>
      <c r="X1360" s="279"/>
      <c r="Y1360" s="279"/>
      <c r="Z1360" s="282" t="s">
        <v>28</v>
      </c>
      <c r="AA1360" s="282" t="s">
        <v>28</v>
      </c>
      <c r="AB1360" s="282" t="s">
        <v>28</v>
      </c>
      <c r="AC1360" s="284"/>
      <c r="AD1360" s="284"/>
    </row>
    <row r="1361" ht="14.25" customHeight="1">
      <c r="A1361" s="265">
        <v>44416.0</v>
      </c>
      <c r="B1361" s="266" t="s">
        <v>1733</v>
      </c>
      <c r="C1361" s="266"/>
      <c r="D1361" s="266" t="s">
        <v>1457</v>
      </c>
      <c r="E1361" s="268"/>
      <c r="F1361" s="358" t="s">
        <v>4891</v>
      </c>
      <c r="G1361" s="268" t="s">
        <v>2085</v>
      </c>
      <c r="H1361" s="270">
        <v>0.017511574074074072</v>
      </c>
      <c r="I1361" s="271">
        <v>44416.92013888889</v>
      </c>
      <c r="J1361" s="268"/>
      <c r="K1361" s="271">
        <v>44416.93309027778</v>
      </c>
      <c r="L1361" s="288" t="str">
        <f t="shared" ref="L1361:L1366" si="56">IFERROR(IF(OR(I1361="",K1361=""),"",K1361-I1361),"")</f>
        <v>12:18:39 AM</v>
      </c>
      <c r="M1361" s="278"/>
      <c r="N1361" s="290"/>
      <c r="O1361" s="276"/>
      <c r="P1361" s="276"/>
      <c r="Q1361" s="276"/>
      <c r="R1361" s="278"/>
      <c r="S1361" s="278"/>
      <c r="T1361" s="278"/>
      <c r="U1361" s="279"/>
      <c r="V1361" s="279" t="s">
        <v>1824</v>
      </c>
      <c r="W1361" s="280">
        <v>44420.0</v>
      </c>
      <c r="X1361" s="281">
        <v>0.04861111111111111</v>
      </c>
      <c r="Y1361" s="279" t="s">
        <v>1693</v>
      </c>
      <c r="Z1361" s="282" t="s">
        <v>53</v>
      </c>
      <c r="AA1361" s="282" t="s">
        <v>4891</v>
      </c>
      <c r="AB1361" s="283">
        <v>44417.0</v>
      </c>
      <c r="AC1361" s="284"/>
      <c r="AD1361" s="284"/>
    </row>
    <row r="1362" ht="14.25" customHeight="1">
      <c r="A1362" s="265">
        <v>44416.0</v>
      </c>
      <c r="B1362" s="266" t="s">
        <v>1733</v>
      </c>
      <c r="C1362" s="266"/>
      <c r="D1362" s="266" t="s">
        <v>2829</v>
      </c>
      <c r="E1362" s="268"/>
      <c r="F1362" s="358" t="s">
        <v>4892</v>
      </c>
      <c r="G1362" s="268" t="s">
        <v>2085</v>
      </c>
      <c r="H1362" s="270">
        <v>0.018622685185185183</v>
      </c>
      <c r="I1362" s="271">
        <v>44416.925</v>
      </c>
      <c r="J1362" s="268"/>
      <c r="K1362" s="268"/>
      <c r="L1362" s="288" t="str">
        <f t="shared" si="56"/>
        <v/>
      </c>
      <c r="M1362" s="307" t="s">
        <v>2808</v>
      </c>
      <c r="N1362" s="273">
        <v>44416.959027777775</v>
      </c>
      <c r="O1362" s="276" t="s">
        <v>4893</v>
      </c>
      <c r="P1362" s="276" t="s">
        <v>1463</v>
      </c>
      <c r="Q1362" s="276" t="s">
        <v>1819</v>
      </c>
      <c r="R1362" s="277">
        <v>44416.970613425925</v>
      </c>
      <c r="S1362" s="278"/>
      <c r="T1362" s="278" t="s">
        <v>4894</v>
      </c>
      <c r="U1362" s="279"/>
      <c r="V1362" s="279"/>
      <c r="W1362" s="279"/>
      <c r="X1362" s="279"/>
      <c r="Y1362" s="279"/>
      <c r="Z1362" s="282" t="s">
        <v>53</v>
      </c>
      <c r="AA1362" s="282" t="s">
        <v>4892</v>
      </c>
      <c r="AB1362" s="283">
        <v>44417.0</v>
      </c>
      <c r="AC1362" s="284"/>
      <c r="AD1362" s="284"/>
    </row>
    <row r="1363" ht="14.25" customHeight="1">
      <c r="A1363" s="265">
        <v>44417.0</v>
      </c>
      <c r="B1363" s="266" t="s">
        <v>1783</v>
      </c>
      <c r="C1363" s="266"/>
      <c r="D1363" s="266" t="s">
        <v>1452</v>
      </c>
      <c r="E1363" s="268"/>
      <c r="F1363" s="291" t="s">
        <v>4036</v>
      </c>
      <c r="G1363" s="268"/>
      <c r="H1363" s="268"/>
      <c r="I1363" s="268"/>
      <c r="J1363" s="268"/>
      <c r="K1363" s="268"/>
      <c r="L1363" s="288" t="str">
        <f t="shared" si="56"/>
        <v/>
      </c>
      <c r="M1363" s="278" t="s">
        <v>3915</v>
      </c>
      <c r="N1363" s="290"/>
      <c r="O1363" s="276"/>
      <c r="P1363" s="276"/>
      <c r="Q1363" s="276"/>
      <c r="R1363" s="278"/>
      <c r="S1363" s="278"/>
      <c r="T1363" s="278" t="s">
        <v>3915</v>
      </c>
      <c r="U1363" s="279"/>
      <c r="V1363" s="279" t="s">
        <v>28</v>
      </c>
      <c r="W1363" s="279" t="s">
        <v>28</v>
      </c>
      <c r="X1363" s="279" t="s">
        <v>28</v>
      </c>
      <c r="Y1363" s="279"/>
      <c r="Z1363" s="282" t="s">
        <v>28</v>
      </c>
      <c r="AA1363" s="282" t="s">
        <v>28</v>
      </c>
      <c r="AB1363" s="282" t="s">
        <v>28</v>
      </c>
      <c r="AC1363" s="284"/>
      <c r="AD1363" s="284"/>
    </row>
    <row r="1364" ht="14.25" customHeight="1">
      <c r="A1364" s="265">
        <v>44417.0</v>
      </c>
      <c r="B1364" s="266" t="s">
        <v>1570</v>
      </c>
      <c r="C1364" s="266"/>
      <c r="D1364" s="266" t="s">
        <v>1450</v>
      </c>
      <c r="E1364" s="268"/>
      <c r="F1364" s="358" t="s">
        <v>4895</v>
      </c>
      <c r="G1364" s="268" t="s">
        <v>2085</v>
      </c>
      <c r="H1364" s="270">
        <v>0.09951388888888889</v>
      </c>
      <c r="I1364" s="271">
        <v>44417.73611111111</v>
      </c>
      <c r="J1364" s="268"/>
      <c r="K1364" s="271">
        <v>44417.812581018516</v>
      </c>
      <c r="L1364" s="288" t="str">
        <f t="shared" si="56"/>
        <v>1:50:07 AM</v>
      </c>
      <c r="M1364" s="278"/>
      <c r="N1364" s="290"/>
      <c r="O1364" s="276"/>
      <c r="P1364" s="276"/>
      <c r="Q1364" s="276"/>
      <c r="R1364" s="278"/>
      <c r="S1364" s="278"/>
      <c r="T1364" s="278"/>
      <c r="U1364" s="279"/>
      <c r="V1364" s="279" t="s">
        <v>1570</v>
      </c>
      <c r="W1364" s="280">
        <v>44418.0</v>
      </c>
      <c r="X1364" s="281">
        <v>0.20833333333333334</v>
      </c>
      <c r="Y1364" s="279" t="s">
        <v>1693</v>
      </c>
      <c r="Z1364" s="282" t="s">
        <v>53</v>
      </c>
      <c r="AA1364" s="282" t="s">
        <v>4895</v>
      </c>
      <c r="AB1364" s="283">
        <v>44418.0</v>
      </c>
      <c r="AC1364" s="284"/>
      <c r="AD1364" s="284"/>
    </row>
    <row r="1365" ht="14.25" customHeight="1">
      <c r="A1365" s="265">
        <v>44417.0</v>
      </c>
      <c r="B1365" s="266" t="s">
        <v>1685</v>
      </c>
      <c r="C1365" s="266"/>
      <c r="D1365" s="266" t="s">
        <v>1686</v>
      </c>
      <c r="E1365" s="268"/>
      <c r="F1365" s="358" t="s">
        <v>4896</v>
      </c>
      <c r="G1365" s="268" t="s">
        <v>2085</v>
      </c>
      <c r="H1365" s="270">
        <v>0.03479166666666667</v>
      </c>
      <c r="I1365" s="271">
        <v>44417.74236111111</v>
      </c>
      <c r="J1365" s="268"/>
      <c r="K1365" s="271">
        <v>44417.77486111111</v>
      </c>
      <c r="L1365" s="288" t="str">
        <f t="shared" si="56"/>
        <v>12:46:48 AM</v>
      </c>
      <c r="M1365" s="278"/>
      <c r="N1365" s="290"/>
      <c r="O1365" s="276"/>
      <c r="P1365" s="276"/>
      <c r="Q1365" s="276"/>
      <c r="R1365" s="278"/>
      <c r="S1365" s="278"/>
      <c r="T1365" s="278"/>
      <c r="U1365" s="279"/>
      <c r="V1365" s="279" t="s">
        <v>1685</v>
      </c>
      <c r="W1365" s="280">
        <v>44418.0</v>
      </c>
      <c r="X1365" s="281">
        <v>0.14583333333333334</v>
      </c>
      <c r="Y1365" s="279" t="s">
        <v>1693</v>
      </c>
      <c r="Z1365" s="282" t="s">
        <v>53</v>
      </c>
      <c r="AA1365" s="282" t="s">
        <v>4896</v>
      </c>
      <c r="AB1365" s="283">
        <v>44418.0</v>
      </c>
      <c r="AC1365" s="284"/>
      <c r="AD1365" s="284"/>
    </row>
    <row r="1366" ht="14.25" customHeight="1">
      <c r="A1366" s="265">
        <v>44417.0</v>
      </c>
      <c r="B1366" s="266" t="s">
        <v>1733</v>
      </c>
      <c r="C1366" s="266"/>
      <c r="D1366" s="266" t="s">
        <v>1455</v>
      </c>
      <c r="E1366" s="268"/>
      <c r="F1366" s="358" t="s">
        <v>4897</v>
      </c>
      <c r="G1366" s="268" t="s">
        <v>2085</v>
      </c>
      <c r="H1366" s="270">
        <v>0.01994212962962963</v>
      </c>
      <c r="I1366" s="271">
        <v>44417.904861111114</v>
      </c>
      <c r="J1366" s="268"/>
      <c r="K1366" s="271">
        <v>44417.91972222222</v>
      </c>
      <c r="L1366" s="288" t="str">
        <f t="shared" si="56"/>
        <v>12:21:24 AM</v>
      </c>
      <c r="M1366" s="278"/>
      <c r="N1366" s="290"/>
      <c r="O1366" s="276"/>
      <c r="P1366" s="276"/>
      <c r="Q1366" s="276"/>
      <c r="R1366" s="278"/>
      <c r="S1366" s="278"/>
      <c r="T1366" s="278"/>
      <c r="U1366" s="279"/>
      <c r="V1366" s="279" t="s">
        <v>1824</v>
      </c>
      <c r="W1366" s="280">
        <v>44418.0</v>
      </c>
      <c r="X1366" s="281">
        <v>0.08333333333333333</v>
      </c>
      <c r="Y1366" s="279" t="s">
        <v>1693</v>
      </c>
      <c r="Z1366" s="282" t="s">
        <v>53</v>
      </c>
      <c r="AA1366" s="282" t="s">
        <v>4897</v>
      </c>
      <c r="AB1366" s="283">
        <v>44418.0</v>
      </c>
      <c r="AC1366" s="284"/>
      <c r="AD1366" s="284"/>
    </row>
    <row r="1367" ht="14.25" customHeight="1">
      <c r="A1367" s="265">
        <v>44418.0</v>
      </c>
      <c r="B1367" s="266" t="s">
        <v>2030</v>
      </c>
      <c r="C1367" s="266" t="s">
        <v>1696</v>
      </c>
      <c r="D1367" s="266" t="s">
        <v>1543</v>
      </c>
      <c r="E1367" s="268"/>
      <c r="F1367" s="269" t="s">
        <v>4898</v>
      </c>
      <c r="G1367" s="268" t="s">
        <v>1463</v>
      </c>
      <c r="H1367" s="270">
        <v>8.101851851851852E-4</v>
      </c>
      <c r="I1367" s="271">
        <v>44419.274305555555</v>
      </c>
      <c r="J1367" s="268"/>
      <c r="K1367" s="271">
        <v>44419.27777777778</v>
      </c>
      <c r="L1367" s="288"/>
      <c r="M1367" s="278" t="s">
        <v>4899</v>
      </c>
      <c r="N1367" s="290"/>
      <c r="O1367" s="276"/>
      <c r="P1367" s="276"/>
      <c r="Q1367" s="276"/>
      <c r="R1367" s="278"/>
      <c r="S1367" s="278"/>
      <c r="T1367" s="278"/>
      <c r="U1367" s="279"/>
      <c r="V1367" s="279" t="s">
        <v>2030</v>
      </c>
      <c r="W1367" s="280">
        <v>44442.0</v>
      </c>
      <c r="X1367" s="281">
        <v>0.006944444444444444</v>
      </c>
      <c r="Y1367" s="279" t="s">
        <v>1693</v>
      </c>
      <c r="Z1367" s="282" t="s">
        <v>53</v>
      </c>
      <c r="AA1367" s="282">
        <v>6465092.0</v>
      </c>
      <c r="AB1367" s="283">
        <v>44419.0</v>
      </c>
      <c r="AC1367" s="284"/>
      <c r="AD1367" s="284"/>
    </row>
    <row r="1368" ht="14.25" customHeight="1">
      <c r="A1368" s="265">
        <v>44418.0</v>
      </c>
      <c r="B1368" s="266" t="s">
        <v>1500</v>
      </c>
      <c r="C1368" s="266" t="s">
        <v>2471</v>
      </c>
      <c r="D1368" s="266" t="s">
        <v>1543</v>
      </c>
      <c r="E1368" s="268"/>
      <c r="F1368" s="269" t="s">
        <v>4900</v>
      </c>
      <c r="G1368" s="268" t="s">
        <v>1463</v>
      </c>
      <c r="H1368" s="270">
        <v>0.002997685185185185</v>
      </c>
      <c r="I1368" s="271">
        <v>44420.399305555555</v>
      </c>
      <c r="J1368" s="268"/>
      <c r="K1368" s="271">
        <v>44420.74041666667</v>
      </c>
      <c r="L1368" s="288"/>
      <c r="M1368" s="278" t="s">
        <v>4901</v>
      </c>
      <c r="N1368" s="290"/>
      <c r="O1368" s="276"/>
      <c r="P1368" s="276"/>
      <c r="Q1368" s="276"/>
      <c r="R1368" s="278"/>
      <c r="S1368" s="278"/>
      <c r="T1368" s="278"/>
      <c r="U1368" s="279"/>
      <c r="V1368" s="279" t="s">
        <v>2030</v>
      </c>
      <c r="W1368" s="280">
        <v>44442.0</v>
      </c>
      <c r="X1368" s="281">
        <v>0.010416666666666666</v>
      </c>
      <c r="Y1368" s="279" t="s">
        <v>1693</v>
      </c>
      <c r="Z1368" s="282" t="s">
        <v>53</v>
      </c>
      <c r="AA1368" s="282">
        <v>6475137.0</v>
      </c>
      <c r="AB1368" s="283">
        <v>44424.0</v>
      </c>
      <c r="AC1368" s="284"/>
      <c r="AD1368" s="284"/>
    </row>
    <row r="1369" ht="14.25" customHeight="1">
      <c r="A1369" s="265">
        <v>44418.0</v>
      </c>
      <c r="B1369" s="266" t="s">
        <v>1500</v>
      </c>
      <c r="C1369" s="266" t="s">
        <v>2083</v>
      </c>
      <c r="D1369" s="266" t="s">
        <v>1543</v>
      </c>
      <c r="E1369" s="268"/>
      <c r="F1369" s="269" t="s">
        <v>4902</v>
      </c>
      <c r="G1369" s="268" t="s">
        <v>1463</v>
      </c>
      <c r="H1369" s="270">
        <v>0.002025462962962963</v>
      </c>
      <c r="I1369" s="271">
        <v>44421.53402777778</v>
      </c>
      <c r="J1369" s="268"/>
      <c r="K1369" s="271">
        <v>44421.87372685185</v>
      </c>
      <c r="L1369" s="288"/>
      <c r="M1369" s="278" t="s">
        <v>4903</v>
      </c>
      <c r="N1369" s="290"/>
      <c r="O1369" s="276"/>
      <c r="P1369" s="276"/>
      <c r="Q1369" s="276"/>
      <c r="R1369" s="278"/>
      <c r="S1369" s="278"/>
      <c r="T1369" s="278"/>
      <c r="U1369" s="279"/>
      <c r="V1369" s="279" t="s">
        <v>2030</v>
      </c>
      <c r="W1369" s="280">
        <v>44442.0</v>
      </c>
      <c r="X1369" s="281">
        <v>0.010416666666666666</v>
      </c>
      <c r="Y1369" s="279" t="s">
        <v>3978</v>
      </c>
      <c r="Z1369" s="282" t="s">
        <v>53</v>
      </c>
      <c r="AA1369" s="282">
        <v>6486883.0</v>
      </c>
      <c r="AB1369" s="283">
        <v>44424.0</v>
      </c>
      <c r="AC1369" s="284"/>
      <c r="AD1369" s="284"/>
    </row>
    <row r="1370" ht="14.25" customHeight="1">
      <c r="A1370" s="265">
        <v>44418.0</v>
      </c>
      <c r="B1370" s="266" t="s">
        <v>1500</v>
      </c>
      <c r="C1370" s="266" t="s">
        <v>1686</v>
      </c>
      <c r="D1370" s="266" t="s">
        <v>1543</v>
      </c>
      <c r="E1370" s="268"/>
      <c r="F1370" s="269" t="s">
        <v>4904</v>
      </c>
      <c r="G1370" s="268" t="s">
        <v>1463</v>
      </c>
      <c r="H1370" s="270">
        <v>0.005162037037037037</v>
      </c>
      <c r="I1370" s="271">
        <v>44420.399305555555</v>
      </c>
      <c r="J1370" s="268"/>
      <c r="K1370" s="271">
        <v>44424.81086805555</v>
      </c>
      <c r="L1370" s="288"/>
      <c r="M1370" s="278" t="s">
        <v>4905</v>
      </c>
      <c r="N1370" s="290"/>
      <c r="O1370" s="276"/>
      <c r="P1370" s="276"/>
      <c r="Q1370" s="276"/>
      <c r="R1370" s="278"/>
      <c r="S1370" s="278"/>
      <c r="T1370" s="278"/>
      <c r="U1370" s="279"/>
      <c r="V1370" s="279" t="s">
        <v>2030</v>
      </c>
      <c r="W1370" s="280">
        <v>44442.0</v>
      </c>
      <c r="X1370" s="281">
        <v>0.010416666666666666</v>
      </c>
      <c r="Y1370" s="279" t="s">
        <v>1693</v>
      </c>
      <c r="Z1370" s="282" t="s">
        <v>53</v>
      </c>
      <c r="AA1370" s="282">
        <v>6491469.0</v>
      </c>
      <c r="AB1370" s="283">
        <v>44425.0</v>
      </c>
      <c r="AC1370" s="284"/>
      <c r="AD1370" s="284"/>
    </row>
    <row r="1371" ht="14.25" customHeight="1">
      <c r="A1371" s="265">
        <v>44418.0</v>
      </c>
      <c r="B1371" s="266" t="s">
        <v>1500</v>
      </c>
      <c r="C1371" s="266" t="s">
        <v>1686</v>
      </c>
      <c r="D1371" s="266" t="s">
        <v>1543</v>
      </c>
      <c r="E1371" s="268"/>
      <c r="F1371" s="269" t="s">
        <v>4906</v>
      </c>
      <c r="G1371" s="268" t="s">
        <v>1463</v>
      </c>
      <c r="H1371" s="270">
        <v>0.0022106481481481478</v>
      </c>
      <c r="I1371" s="271">
        <v>44420.399305555555</v>
      </c>
      <c r="J1371" s="268"/>
      <c r="K1371" s="271">
        <v>44424.81398148148</v>
      </c>
      <c r="L1371" s="288"/>
      <c r="M1371" s="278" t="s">
        <v>4907</v>
      </c>
      <c r="N1371" s="290"/>
      <c r="O1371" s="276"/>
      <c r="P1371" s="276"/>
      <c r="Q1371" s="276"/>
      <c r="R1371" s="278"/>
      <c r="S1371" s="278"/>
      <c r="T1371" s="278"/>
      <c r="U1371" s="279"/>
      <c r="V1371" s="279" t="s">
        <v>2030</v>
      </c>
      <c r="W1371" s="280">
        <v>44442.0</v>
      </c>
      <c r="X1371" s="281">
        <v>0.006944444444444444</v>
      </c>
      <c r="Y1371" s="279" t="s">
        <v>1693</v>
      </c>
      <c r="Z1371" s="282" t="s">
        <v>53</v>
      </c>
      <c r="AA1371" s="282">
        <v>6491470.0</v>
      </c>
      <c r="AB1371" s="283">
        <v>44425.0</v>
      </c>
      <c r="AC1371" s="284"/>
      <c r="AD1371" s="284"/>
    </row>
    <row r="1372" ht="14.25" customHeight="1">
      <c r="A1372" s="265">
        <v>44418.0</v>
      </c>
      <c r="B1372" s="266" t="s">
        <v>1570</v>
      </c>
      <c r="C1372" s="266"/>
      <c r="D1372" s="266" t="s">
        <v>1450</v>
      </c>
      <c r="E1372" s="268"/>
      <c r="F1372" s="358" t="s">
        <v>4908</v>
      </c>
      <c r="G1372" s="268" t="s">
        <v>2085</v>
      </c>
      <c r="H1372" s="270">
        <v>0.09938657407407407</v>
      </c>
      <c r="I1372" s="271">
        <v>44418.74236111111</v>
      </c>
      <c r="J1372" s="268"/>
      <c r="K1372" s="271">
        <v>44418.84361111111</v>
      </c>
      <c r="L1372" s="288" t="str">
        <f t="shared" ref="L1372:L1379" si="57">IFERROR(IF(OR(I1372="",K1372=""),"",K1372-I1372),"")</f>
        <v>2:25:48 AM</v>
      </c>
      <c r="M1372" s="278"/>
      <c r="N1372" s="290"/>
      <c r="O1372" s="276"/>
      <c r="P1372" s="276"/>
      <c r="Q1372" s="276"/>
      <c r="R1372" s="278"/>
      <c r="S1372" s="278"/>
      <c r="T1372" s="278"/>
      <c r="U1372" s="279"/>
      <c r="V1372" s="279" t="s">
        <v>1570</v>
      </c>
      <c r="W1372" s="280">
        <v>44419.0</v>
      </c>
      <c r="X1372" s="281">
        <v>0.20833333333333334</v>
      </c>
      <c r="Y1372" s="279" t="s">
        <v>1693</v>
      </c>
      <c r="Z1372" s="282" t="s">
        <v>53</v>
      </c>
      <c r="AA1372" s="282" t="s">
        <v>4908</v>
      </c>
      <c r="AB1372" s="283">
        <v>44419.0</v>
      </c>
      <c r="AC1372" s="284"/>
      <c r="AD1372" s="284"/>
    </row>
    <row r="1373" ht="14.25" customHeight="1">
      <c r="A1373" s="265">
        <v>44418.0</v>
      </c>
      <c r="B1373" s="266" t="s">
        <v>1733</v>
      </c>
      <c r="C1373" s="266"/>
      <c r="D1373" s="266" t="s">
        <v>1452</v>
      </c>
      <c r="E1373" s="268"/>
      <c r="F1373" s="358" t="s">
        <v>4909</v>
      </c>
      <c r="G1373" s="268" t="s">
        <v>2085</v>
      </c>
      <c r="H1373" s="270">
        <v>0.0029861111111111113</v>
      </c>
      <c r="I1373" s="271">
        <v>44418.76944444444</v>
      </c>
      <c r="J1373" s="268"/>
      <c r="K1373" s="271">
        <v>44418.77290509259</v>
      </c>
      <c r="L1373" s="288" t="str">
        <f t="shared" si="57"/>
        <v>12:04:59 AM</v>
      </c>
      <c r="M1373" s="278"/>
      <c r="N1373" s="290"/>
      <c r="O1373" s="276"/>
      <c r="P1373" s="276"/>
      <c r="Q1373" s="276"/>
      <c r="R1373" s="278"/>
      <c r="S1373" s="278"/>
      <c r="T1373" s="278"/>
      <c r="U1373" s="279"/>
      <c r="V1373" s="279" t="s">
        <v>1783</v>
      </c>
      <c r="W1373" s="280">
        <v>44420.0</v>
      </c>
      <c r="X1373" s="281">
        <v>0.006944444444444444</v>
      </c>
      <c r="Y1373" s="279" t="s">
        <v>1693</v>
      </c>
      <c r="Z1373" s="282" t="s">
        <v>53</v>
      </c>
      <c r="AA1373" s="282" t="s">
        <v>4909</v>
      </c>
      <c r="AB1373" s="283">
        <v>44419.0</v>
      </c>
      <c r="AC1373" s="284"/>
      <c r="AD1373" s="284"/>
    </row>
    <row r="1374" ht="14.25" customHeight="1">
      <c r="A1374" s="265">
        <v>44418.0</v>
      </c>
      <c r="B1374" s="266" t="s">
        <v>1685</v>
      </c>
      <c r="C1374" s="266"/>
      <c r="D1374" s="266" t="s">
        <v>1686</v>
      </c>
      <c r="E1374" s="268"/>
      <c r="F1374" s="358" t="s">
        <v>4910</v>
      </c>
      <c r="G1374" s="268" t="s">
        <v>2085</v>
      </c>
      <c r="H1374" s="270">
        <v>0.03629629629629629</v>
      </c>
      <c r="I1374" s="271">
        <v>44418.74444444444</v>
      </c>
      <c r="J1374" s="268"/>
      <c r="K1374" s="271">
        <v>44418.77805555556</v>
      </c>
      <c r="L1374" s="288" t="str">
        <f t="shared" si="57"/>
        <v>12:48:24 AM</v>
      </c>
      <c r="M1374" s="278"/>
      <c r="N1374" s="290"/>
      <c r="O1374" s="276"/>
      <c r="P1374" s="276"/>
      <c r="Q1374" s="276"/>
      <c r="R1374" s="278"/>
      <c r="S1374" s="278"/>
      <c r="T1374" s="278"/>
      <c r="U1374" s="279"/>
      <c r="V1374" s="279" t="s">
        <v>1685</v>
      </c>
      <c r="W1374" s="280">
        <v>44419.0</v>
      </c>
      <c r="X1374" s="279"/>
      <c r="Y1374" s="279" t="s">
        <v>1693</v>
      </c>
      <c r="Z1374" s="282" t="s">
        <v>53</v>
      </c>
      <c r="AA1374" s="282" t="s">
        <v>4910</v>
      </c>
      <c r="AB1374" s="283">
        <v>44419.0</v>
      </c>
      <c r="AC1374" s="284"/>
      <c r="AD1374" s="284"/>
    </row>
    <row r="1375" ht="14.25" customHeight="1">
      <c r="A1375" s="265">
        <v>44418.0</v>
      </c>
      <c r="B1375" s="266" t="s">
        <v>1733</v>
      </c>
      <c r="C1375" s="266"/>
      <c r="D1375" s="266" t="s">
        <v>1455</v>
      </c>
      <c r="E1375" s="268"/>
      <c r="F1375" s="358" t="s">
        <v>4911</v>
      </c>
      <c r="G1375" s="268" t="s">
        <v>2085</v>
      </c>
      <c r="H1375" s="270">
        <v>0.017870370370370373</v>
      </c>
      <c r="I1375" s="271">
        <v>44418.96805555555</v>
      </c>
      <c r="J1375" s="268"/>
      <c r="K1375" s="271">
        <v>44418.98386574074</v>
      </c>
      <c r="L1375" s="288" t="str">
        <f t="shared" si="57"/>
        <v>12:22:46 AM</v>
      </c>
      <c r="M1375" s="278"/>
      <c r="N1375" s="290"/>
      <c r="O1375" s="276"/>
      <c r="P1375" s="276"/>
      <c r="Q1375" s="276"/>
      <c r="R1375" s="278"/>
      <c r="S1375" s="278"/>
      <c r="T1375" s="278"/>
      <c r="U1375" s="279"/>
      <c r="V1375" s="279" t="s">
        <v>1824</v>
      </c>
      <c r="W1375" s="280">
        <v>44419.0</v>
      </c>
      <c r="X1375" s="281">
        <v>0.08333333333333333</v>
      </c>
      <c r="Y1375" s="279" t="s">
        <v>1693</v>
      </c>
      <c r="Z1375" s="282" t="s">
        <v>53</v>
      </c>
      <c r="AA1375" s="282" t="s">
        <v>4911</v>
      </c>
      <c r="AB1375" s="283">
        <v>44419.0</v>
      </c>
      <c r="AC1375" s="284"/>
      <c r="AD1375" s="284"/>
    </row>
    <row r="1376" ht="14.25" customHeight="1">
      <c r="A1376" s="265">
        <v>44419.0</v>
      </c>
      <c r="B1376" s="266" t="s">
        <v>1570</v>
      </c>
      <c r="C1376" s="266"/>
      <c r="D1376" s="266" t="s">
        <v>1450</v>
      </c>
      <c r="E1376" s="268"/>
      <c r="F1376" s="358" t="s">
        <v>4912</v>
      </c>
      <c r="G1376" s="268" t="s">
        <v>2085</v>
      </c>
      <c r="H1376" s="270">
        <v>0.09917824074074073</v>
      </c>
      <c r="I1376" s="271">
        <v>44419.74097222222</v>
      </c>
      <c r="J1376" s="268"/>
      <c r="K1376" s="271">
        <v>44419.842465277776</v>
      </c>
      <c r="L1376" s="288" t="str">
        <f t="shared" si="57"/>
        <v>2:26:09 AM</v>
      </c>
      <c r="M1376" s="278"/>
      <c r="N1376" s="290"/>
      <c r="O1376" s="276"/>
      <c r="P1376" s="276"/>
      <c r="Q1376" s="276"/>
      <c r="R1376" s="278"/>
      <c r="S1376" s="278"/>
      <c r="T1376" s="278"/>
      <c r="U1376" s="279"/>
      <c r="V1376" s="279" t="s">
        <v>1570</v>
      </c>
      <c r="W1376" s="280">
        <v>44420.0</v>
      </c>
      <c r="X1376" s="281">
        <v>0.22916666666666666</v>
      </c>
      <c r="Y1376" s="279" t="s">
        <v>1693</v>
      </c>
      <c r="Z1376" s="282" t="s">
        <v>53</v>
      </c>
      <c r="AA1376" s="282" t="s">
        <v>4912</v>
      </c>
      <c r="AB1376" s="283">
        <v>44420.0</v>
      </c>
      <c r="AC1376" s="284"/>
      <c r="AD1376" s="284"/>
    </row>
    <row r="1377" ht="14.25" customHeight="1">
      <c r="A1377" s="265">
        <v>44419.0</v>
      </c>
      <c r="B1377" s="266" t="s">
        <v>1783</v>
      </c>
      <c r="C1377" s="266"/>
      <c r="D1377" s="266" t="s">
        <v>1452</v>
      </c>
      <c r="E1377" s="268"/>
      <c r="F1377" s="358" t="s">
        <v>4913</v>
      </c>
      <c r="G1377" s="268" t="s">
        <v>2085</v>
      </c>
      <c r="H1377" s="270">
        <v>9.143518518518518E-4</v>
      </c>
      <c r="I1377" s="271">
        <v>44419.60277777778</v>
      </c>
      <c r="J1377" s="268"/>
      <c r="K1377" s="271">
        <v>44419.606041666666</v>
      </c>
      <c r="L1377" s="288" t="str">
        <f t="shared" si="57"/>
        <v>12:04:42 AM</v>
      </c>
      <c r="M1377" s="278"/>
      <c r="N1377" s="290"/>
      <c r="O1377" s="276"/>
      <c r="P1377" s="276"/>
      <c r="Q1377" s="276"/>
      <c r="R1377" s="278"/>
      <c r="S1377" s="278"/>
      <c r="T1377" s="278"/>
      <c r="U1377" s="279"/>
      <c r="V1377" s="279" t="s">
        <v>1783</v>
      </c>
      <c r="W1377" s="280">
        <v>44419.0</v>
      </c>
      <c r="X1377" s="281">
        <v>0.003472222222222222</v>
      </c>
      <c r="Y1377" s="279" t="s">
        <v>1693</v>
      </c>
      <c r="Z1377" s="282" t="s">
        <v>53</v>
      </c>
      <c r="AA1377" s="282" t="s">
        <v>4913</v>
      </c>
      <c r="AB1377" s="283">
        <v>44420.0</v>
      </c>
      <c r="AC1377" s="284"/>
      <c r="AD1377" s="284"/>
    </row>
    <row r="1378" ht="14.25" customHeight="1">
      <c r="A1378" s="265">
        <v>44419.0</v>
      </c>
      <c r="B1378" s="266" t="s">
        <v>1685</v>
      </c>
      <c r="C1378" s="266"/>
      <c r="D1378" s="266" t="s">
        <v>1686</v>
      </c>
      <c r="E1378" s="268"/>
      <c r="F1378" s="358" t="s">
        <v>4914</v>
      </c>
      <c r="G1378" s="268" t="s">
        <v>2085</v>
      </c>
      <c r="H1378" s="270">
        <v>0.038425925925925926</v>
      </c>
      <c r="I1378" s="271">
        <v>44419.74791666667</v>
      </c>
      <c r="J1378" s="268"/>
      <c r="K1378" s="271">
        <v>44419.793020833335</v>
      </c>
      <c r="L1378" s="288" t="str">
        <f t="shared" si="57"/>
        <v>1:04:57 AM</v>
      </c>
      <c r="M1378" s="278"/>
      <c r="N1378" s="290"/>
      <c r="O1378" s="276"/>
      <c r="P1378" s="276"/>
      <c r="Q1378" s="276"/>
      <c r="R1378" s="278"/>
      <c r="S1378" s="278"/>
      <c r="T1378" s="278"/>
      <c r="U1378" s="279"/>
      <c r="V1378" s="279" t="s">
        <v>1783</v>
      </c>
      <c r="W1378" s="280" t="s">
        <v>4915</v>
      </c>
      <c r="X1378" s="281">
        <v>0.14583333333333334</v>
      </c>
      <c r="Y1378" s="279" t="s">
        <v>1693</v>
      </c>
      <c r="Z1378" s="282" t="s">
        <v>53</v>
      </c>
      <c r="AA1378" s="282" t="s">
        <v>4914</v>
      </c>
      <c r="AB1378" s="283">
        <v>44420.0</v>
      </c>
      <c r="AC1378" s="284"/>
      <c r="AD1378" s="284"/>
    </row>
    <row r="1379" ht="14.25" customHeight="1">
      <c r="A1379" s="265">
        <v>44419.0</v>
      </c>
      <c r="B1379" s="266" t="s">
        <v>1733</v>
      </c>
      <c r="C1379" s="266"/>
      <c r="D1379" s="266" t="s">
        <v>1455</v>
      </c>
      <c r="E1379" s="268"/>
      <c r="F1379" s="358" t="s">
        <v>4916</v>
      </c>
      <c r="G1379" s="268" t="s">
        <v>2085</v>
      </c>
      <c r="H1379" s="270">
        <v>0.020648148148148148</v>
      </c>
      <c r="I1379" s="271">
        <v>44419.87222222222</v>
      </c>
      <c r="J1379" s="268"/>
      <c r="K1379" s="271">
        <v>44419.894212962965</v>
      </c>
      <c r="L1379" s="288" t="str">
        <f t="shared" si="57"/>
        <v>12:31:40 AM</v>
      </c>
      <c r="M1379" s="278"/>
      <c r="N1379" s="290"/>
      <c r="O1379" s="276"/>
      <c r="P1379" s="276"/>
      <c r="Q1379" s="276"/>
      <c r="R1379" s="278"/>
      <c r="S1379" s="278"/>
      <c r="T1379" s="278"/>
      <c r="U1379" s="279"/>
      <c r="V1379" s="279" t="s">
        <v>1824</v>
      </c>
      <c r="W1379" s="280">
        <v>44424.0</v>
      </c>
      <c r="X1379" s="281">
        <v>0.08333333333333333</v>
      </c>
      <c r="Y1379" s="279" t="s">
        <v>1693</v>
      </c>
      <c r="Z1379" s="282" t="s">
        <v>53</v>
      </c>
      <c r="AA1379" s="282" t="s">
        <v>4916</v>
      </c>
      <c r="AB1379" s="283">
        <v>44420.0</v>
      </c>
      <c r="AC1379" s="284"/>
      <c r="AD1379" s="284"/>
    </row>
    <row r="1380" ht="14.25" customHeight="1">
      <c r="A1380" s="265">
        <v>44420.0</v>
      </c>
      <c r="B1380" s="266" t="s">
        <v>1500</v>
      </c>
      <c r="C1380" s="266" t="s">
        <v>2641</v>
      </c>
      <c r="D1380" s="266" t="s">
        <v>1543</v>
      </c>
      <c r="E1380" s="268"/>
      <c r="F1380" s="269" t="s">
        <v>4917</v>
      </c>
      <c r="G1380" s="268" t="s">
        <v>1463</v>
      </c>
      <c r="H1380" s="270">
        <v>0.0033333333333333335</v>
      </c>
      <c r="I1380" s="271">
        <v>44421.53402777778</v>
      </c>
      <c r="J1380" s="268"/>
      <c r="K1380" s="271">
        <v>44425.475069444445</v>
      </c>
      <c r="L1380" s="288"/>
      <c r="M1380" s="278" t="s">
        <v>4918</v>
      </c>
      <c r="N1380" s="290"/>
      <c r="O1380" s="276"/>
      <c r="P1380" s="276"/>
      <c r="Q1380" s="276"/>
      <c r="R1380" s="278"/>
      <c r="S1380" s="278"/>
      <c r="T1380" s="278"/>
      <c r="U1380" s="279"/>
      <c r="V1380" s="279" t="s">
        <v>2030</v>
      </c>
      <c r="W1380" s="280">
        <v>44442.0</v>
      </c>
      <c r="X1380" s="281">
        <v>0.006944444444444444</v>
      </c>
      <c r="Y1380" s="279" t="s">
        <v>1693</v>
      </c>
      <c r="Z1380" s="282" t="s">
        <v>53</v>
      </c>
      <c r="AA1380" s="282">
        <v>6495583.0</v>
      </c>
      <c r="AB1380" s="283">
        <v>44427.0</v>
      </c>
      <c r="AC1380" s="284"/>
      <c r="AD1380" s="284"/>
    </row>
    <row r="1381" ht="14.25" customHeight="1">
      <c r="A1381" s="265">
        <v>44420.0</v>
      </c>
      <c r="B1381" s="266" t="s">
        <v>1570</v>
      </c>
      <c r="C1381" s="266"/>
      <c r="D1381" s="266" t="s">
        <v>1450</v>
      </c>
      <c r="E1381" s="268"/>
      <c r="F1381" s="358" t="s">
        <v>4919</v>
      </c>
      <c r="G1381" s="268" t="s">
        <v>2085</v>
      </c>
      <c r="H1381" s="270">
        <v>0.0979050925925926</v>
      </c>
      <c r="I1381" s="271">
        <v>44420.79722222222</v>
      </c>
      <c r="J1381" s="268"/>
      <c r="K1381" s="271">
        <v>44420.845983796295</v>
      </c>
      <c r="L1381" s="288" t="str">
        <f t="shared" ref="L1381:L1384" si="58">IFERROR(IF(OR(I1381="",K1381=""),"",K1381-I1381),"")</f>
        <v>1:10:13 AM</v>
      </c>
      <c r="M1381" s="278"/>
      <c r="N1381" s="290"/>
      <c r="O1381" s="276"/>
      <c r="P1381" s="276"/>
      <c r="Q1381" s="276"/>
      <c r="R1381" s="278"/>
      <c r="S1381" s="278"/>
      <c r="T1381" s="278"/>
      <c r="U1381" s="279"/>
      <c r="V1381" s="279" t="s">
        <v>1570</v>
      </c>
      <c r="W1381" s="280">
        <v>44421.0</v>
      </c>
      <c r="X1381" s="281">
        <v>0.22916666666666666</v>
      </c>
      <c r="Y1381" s="279" t="s">
        <v>1693</v>
      </c>
      <c r="Z1381" s="282" t="s">
        <v>53</v>
      </c>
      <c r="AA1381" s="282" t="s">
        <v>4919</v>
      </c>
      <c r="AB1381" s="283">
        <v>44421.0</v>
      </c>
      <c r="AC1381" s="284"/>
      <c r="AD1381" s="284"/>
    </row>
    <row r="1382" ht="14.25" customHeight="1">
      <c r="A1382" s="265">
        <v>44420.0</v>
      </c>
      <c r="B1382" s="266" t="s">
        <v>1783</v>
      </c>
      <c r="C1382" s="266"/>
      <c r="D1382" s="266" t="s">
        <v>1452</v>
      </c>
      <c r="E1382" s="268"/>
      <c r="F1382" s="358" t="s">
        <v>4920</v>
      </c>
      <c r="G1382" s="268" t="s">
        <v>2085</v>
      </c>
      <c r="H1382" s="270">
        <v>0.0013773148148148147</v>
      </c>
      <c r="I1382" s="271">
        <v>44420.49652777778</v>
      </c>
      <c r="J1382" s="268"/>
      <c r="K1382" s="271">
        <v>44420.4991087963</v>
      </c>
      <c r="L1382" s="288" t="str">
        <f t="shared" si="58"/>
        <v>12:03:43 AM</v>
      </c>
      <c r="M1382" s="278"/>
      <c r="N1382" s="290"/>
      <c r="O1382" s="276"/>
      <c r="P1382" s="276"/>
      <c r="Q1382" s="276"/>
      <c r="R1382" s="278"/>
      <c r="S1382" s="278"/>
      <c r="T1382" s="278"/>
      <c r="U1382" s="279"/>
      <c r="V1382" s="279" t="s">
        <v>1783</v>
      </c>
      <c r="W1382" s="280">
        <v>44420.0</v>
      </c>
      <c r="X1382" s="281">
        <v>0.003472222222222222</v>
      </c>
      <c r="Y1382" s="279" t="s">
        <v>1693</v>
      </c>
      <c r="Z1382" s="282" t="s">
        <v>53</v>
      </c>
      <c r="AA1382" s="282" t="s">
        <v>4920</v>
      </c>
      <c r="AB1382" s="283">
        <v>44421.0</v>
      </c>
      <c r="AC1382" s="284"/>
      <c r="AD1382" s="284"/>
    </row>
    <row r="1383" ht="14.25" customHeight="1">
      <c r="A1383" s="265">
        <v>44420.0</v>
      </c>
      <c r="B1383" s="266" t="s">
        <v>1733</v>
      </c>
      <c r="C1383" s="266"/>
      <c r="D1383" s="266" t="s">
        <v>1686</v>
      </c>
      <c r="E1383" s="268"/>
      <c r="F1383" s="358" t="s">
        <v>4921</v>
      </c>
      <c r="G1383" s="268" t="s">
        <v>2085</v>
      </c>
      <c r="H1383" s="270">
        <v>0.03716435185185185</v>
      </c>
      <c r="I1383" s="271">
        <v>44420.825694444444</v>
      </c>
      <c r="J1383" s="268"/>
      <c r="K1383" s="271">
        <v>44420.84700231482</v>
      </c>
      <c r="L1383" s="288" t="str">
        <f t="shared" si="58"/>
        <v>12:30:41 AM</v>
      </c>
      <c r="M1383" s="278"/>
      <c r="N1383" s="290"/>
      <c r="O1383" s="276"/>
      <c r="P1383" s="276"/>
      <c r="Q1383" s="276"/>
      <c r="R1383" s="278"/>
      <c r="S1383" s="278"/>
      <c r="T1383" s="278"/>
      <c r="U1383" s="279"/>
      <c r="V1383" s="279" t="s">
        <v>1783</v>
      </c>
      <c r="W1383" s="280">
        <v>44425.0</v>
      </c>
      <c r="X1383" s="281">
        <v>0.14583333333333334</v>
      </c>
      <c r="Y1383" s="279" t="s">
        <v>1693</v>
      </c>
      <c r="Z1383" s="282" t="s">
        <v>53</v>
      </c>
      <c r="AA1383" s="282" t="s">
        <v>4921</v>
      </c>
      <c r="AB1383" s="283">
        <v>44421.0</v>
      </c>
      <c r="AC1383" s="284"/>
      <c r="AD1383" s="284"/>
    </row>
    <row r="1384" ht="14.25" customHeight="1">
      <c r="A1384" s="265">
        <v>44420.0</v>
      </c>
      <c r="B1384" s="266" t="s">
        <v>1733</v>
      </c>
      <c r="C1384" s="266"/>
      <c r="D1384" s="266" t="s">
        <v>1455</v>
      </c>
      <c r="E1384" s="268"/>
      <c r="F1384" s="358" t="s">
        <v>4922</v>
      </c>
      <c r="G1384" s="268" t="s">
        <v>2085</v>
      </c>
      <c r="H1384" s="270">
        <v>0.020405092592592593</v>
      </c>
      <c r="I1384" s="271">
        <v>44420.9375</v>
      </c>
      <c r="J1384" s="268"/>
      <c r="K1384" s="271">
        <v>44420.95483796296</v>
      </c>
      <c r="L1384" s="288" t="str">
        <f t="shared" si="58"/>
        <v>12:24:58 AM</v>
      </c>
      <c r="M1384" s="278"/>
      <c r="N1384" s="290"/>
      <c r="O1384" s="276"/>
      <c r="P1384" s="276"/>
      <c r="Q1384" s="276"/>
      <c r="R1384" s="278"/>
      <c r="S1384" s="278"/>
      <c r="T1384" s="278"/>
      <c r="U1384" s="279"/>
      <c r="V1384" s="279" t="s">
        <v>1824</v>
      </c>
      <c r="W1384" s="280">
        <v>44425.0</v>
      </c>
      <c r="X1384" s="281">
        <v>0.08333333333333333</v>
      </c>
      <c r="Y1384" s="279" t="s">
        <v>1693</v>
      </c>
      <c r="Z1384" s="282" t="s">
        <v>53</v>
      </c>
      <c r="AA1384" s="282" t="s">
        <v>4922</v>
      </c>
      <c r="AB1384" s="283">
        <v>44421.0</v>
      </c>
      <c r="AC1384" s="284"/>
      <c r="AD1384" s="284"/>
    </row>
    <row r="1385" ht="14.25" customHeight="1">
      <c r="A1385" s="265">
        <v>44421.0</v>
      </c>
      <c r="B1385" s="266" t="s">
        <v>1500</v>
      </c>
      <c r="C1385" s="266" t="s">
        <v>1455</v>
      </c>
      <c r="D1385" s="266" t="s">
        <v>1543</v>
      </c>
      <c r="E1385" s="268"/>
      <c r="F1385" s="269" t="s">
        <v>4923</v>
      </c>
      <c r="G1385" s="268" t="s">
        <v>1463</v>
      </c>
      <c r="H1385" s="270">
        <v>0.0052430555555555555</v>
      </c>
      <c r="I1385" s="271">
        <v>44428.775</v>
      </c>
      <c r="J1385" s="268"/>
      <c r="K1385" s="271">
        <v>44432.4309375</v>
      </c>
      <c r="L1385" s="288"/>
      <c r="M1385" s="278" t="s">
        <v>4924</v>
      </c>
      <c r="N1385" s="290"/>
      <c r="O1385" s="276"/>
      <c r="P1385" s="276"/>
      <c r="Q1385" s="276"/>
      <c r="R1385" s="278"/>
      <c r="S1385" s="278"/>
      <c r="T1385" s="278"/>
      <c r="U1385" s="279"/>
      <c r="V1385" s="279" t="s">
        <v>2030</v>
      </c>
      <c r="W1385" s="280">
        <v>44442.0</v>
      </c>
      <c r="X1385" s="281">
        <v>0.010416666666666666</v>
      </c>
      <c r="Y1385" s="279" t="s">
        <v>1693</v>
      </c>
      <c r="Z1385" s="282" t="s">
        <v>53</v>
      </c>
      <c r="AA1385" s="282">
        <v>6529493.0</v>
      </c>
      <c r="AB1385" s="283">
        <v>44433.0</v>
      </c>
      <c r="AC1385" s="284"/>
      <c r="AD1385" s="284"/>
    </row>
    <row r="1386" ht="14.25" customHeight="1">
      <c r="A1386" s="265">
        <v>44421.0</v>
      </c>
      <c r="B1386" s="266" t="s">
        <v>1783</v>
      </c>
      <c r="C1386" s="266"/>
      <c r="D1386" s="266" t="s">
        <v>1452</v>
      </c>
      <c r="E1386" s="268"/>
      <c r="F1386" s="291" t="s">
        <v>4036</v>
      </c>
      <c r="G1386" s="268"/>
      <c r="H1386" s="268"/>
      <c r="I1386" s="268"/>
      <c r="J1386" s="268"/>
      <c r="K1386" s="268"/>
      <c r="L1386" s="288" t="str">
        <f t="shared" ref="L1386:L1389" si="59">IFERROR(IF(OR(I1386="",K1386=""),"",K1386-I1386),"")</f>
        <v/>
      </c>
      <c r="M1386" s="278" t="s">
        <v>4824</v>
      </c>
      <c r="N1386" s="290"/>
      <c r="O1386" s="276"/>
      <c r="P1386" s="276"/>
      <c r="Q1386" s="276"/>
      <c r="R1386" s="278"/>
      <c r="S1386" s="278"/>
      <c r="T1386" s="278" t="s">
        <v>4824</v>
      </c>
      <c r="U1386" s="279"/>
      <c r="V1386" s="279" t="s">
        <v>28</v>
      </c>
      <c r="W1386" s="279" t="s">
        <v>28</v>
      </c>
      <c r="X1386" s="279" t="s">
        <v>28</v>
      </c>
      <c r="Y1386" s="279" t="s">
        <v>28</v>
      </c>
      <c r="Z1386" s="282" t="s">
        <v>28</v>
      </c>
      <c r="AA1386" s="282" t="s">
        <v>28</v>
      </c>
      <c r="AB1386" s="282" t="s">
        <v>28</v>
      </c>
      <c r="AC1386" s="284"/>
      <c r="AD1386" s="284"/>
    </row>
    <row r="1387" ht="14.25" customHeight="1">
      <c r="A1387" s="265">
        <v>44421.0</v>
      </c>
      <c r="B1387" s="266" t="s">
        <v>1570</v>
      </c>
      <c r="C1387" s="266"/>
      <c r="D1387" s="266" t="s">
        <v>1450</v>
      </c>
      <c r="E1387" s="268"/>
      <c r="F1387" s="358" t="s">
        <v>4925</v>
      </c>
      <c r="G1387" s="268" t="s">
        <v>2085</v>
      </c>
      <c r="H1387" s="270">
        <v>0.09940972222222222</v>
      </c>
      <c r="I1387" s="271">
        <v>44421.80625</v>
      </c>
      <c r="J1387" s="268"/>
      <c r="K1387" s="271">
        <v>44421.908009259256</v>
      </c>
      <c r="L1387" s="288" t="str">
        <f t="shared" si="59"/>
        <v>2:26:32 AM</v>
      </c>
      <c r="M1387" s="278"/>
      <c r="N1387" s="290"/>
      <c r="O1387" s="276"/>
      <c r="P1387" s="276"/>
      <c r="Q1387" s="276"/>
      <c r="R1387" s="278"/>
      <c r="S1387" s="278"/>
      <c r="T1387" s="278"/>
      <c r="U1387" s="279"/>
      <c r="V1387" s="279" t="s">
        <v>1733</v>
      </c>
      <c r="W1387" s="280">
        <v>44424.0</v>
      </c>
      <c r="X1387" s="281">
        <v>0.25</v>
      </c>
      <c r="Y1387" s="279" t="s">
        <v>1693</v>
      </c>
      <c r="Z1387" s="282" t="s">
        <v>53</v>
      </c>
      <c r="AA1387" s="282" t="s">
        <v>4925</v>
      </c>
      <c r="AB1387" s="283">
        <v>44424.0</v>
      </c>
      <c r="AC1387" s="284"/>
      <c r="AD1387" s="284"/>
    </row>
    <row r="1388" ht="14.25" customHeight="1">
      <c r="A1388" s="265">
        <v>44421.0</v>
      </c>
      <c r="B1388" s="266" t="s">
        <v>1783</v>
      </c>
      <c r="C1388" s="266"/>
      <c r="D1388" s="266" t="s">
        <v>1686</v>
      </c>
      <c r="E1388" s="268"/>
      <c r="F1388" s="358" t="s">
        <v>4926</v>
      </c>
      <c r="G1388" s="268" t="s">
        <v>2085</v>
      </c>
      <c r="H1388" s="270">
        <v>0.037453703703703704</v>
      </c>
      <c r="I1388" s="271">
        <v>44421.808333333334</v>
      </c>
      <c r="J1388" s="268"/>
      <c r="K1388" s="271">
        <v>44421.83474537037</v>
      </c>
      <c r="L1388" s="288" t="str">
        <f t="shared" si="59"/>
        <v>12:38:02 AM</v>
      </c>
      <c r="M1388" s="278"/>
      <c r="N1388" s="290"/>
      <c r="O1388" s="276"/>
      <c r="P1388" s="276"/>
      <c r="Q1388" s="276"/>
      <c r="R1388" s="278"/>
      <c r="S1388" s="278"/>
      <c r="T1388" s="278"/>
      <c r="U1388" s="279"/>
      <c r="V1388" s="279" t="s">
        <v>4927</v>
      </c>
      <c r="W1388" s="280">
        <v>44424.0</v>
      </c>
      <c r="X1388" s="279"/>
      <c r="Y1388" s="279" t="s">
        <v>1693</v>
      </c>
      <c r="Z1388" s="282" t="s">
        <v>53</v>
      </c>
      <c r="AA1388" s="282" t="s">
        <v>4926</v>
      </c>
      <c r="AB1388" s="283">
        <v>44424.0</v>
      </c>
      <c r="AC1388" s="284"/>
      <c r="AD1388" s="284"/>
    </row>
    <row r="1389" ht="14.25" customHeight="1">
      <c r="A1389" s="265">
        <v>44421.0</v>
      </c>
      <c r="B1389" s="266" t="s">
        <v>1733</v>
      </c>
      <c r="C1389" s="266"/>
      <c r="D1389" s="266" t="s">
        <v>1455</v>
      </c>
      <c r="E1389" s="268"/>
      <c r="F1389" s="358" t="s">
        <v>4928</v>
      </c>
      <c r="G1389" s="268" t="s">
        <v>2085</v>
      </c>
      <c r="H1389" s="270">
        <v>0.018784722222222223</v>
      </c>
      <c r="I1389" s="271">
        <v>44421.861805555556</v>
      </c>
      <c r="J1389" s="268"/>
      <c r="K1389" s="271">
        <v>44421.88518518519</v>
      </c>
      <c r="L1389" s="288" t="str">
        <f t="shared" si="59"/>
        <v>12:33:40 AM</v>
      </c>
      <c r="M1389" s="278"/>
      <c r="N1389" s="290"/>
      <c r="O1389" s="276"/>
      <c r="P1389" s="276"/>
      <c r="Q1389" s="276"/>
      <c r="R1389" s="278"/>
      <c r="S1389" s="278"/>
      <c r="T1389" s="278"/>
      <c r="U1389" s="279"/>
      <c r="V1389" s="279" t="s">
        <v>1824</v>
      </c>
      <c r="W1389" s="280">
        <v>44426.0</v>
      </c>
      <c r="X1389" s="281">
        <v>0.08333333333333333</v>
      </c>
      <c r="Y1389" s="279" t="s">
        <v>1693</v>
      </c>
      <c r="Z1389" s="282" t="s">
        <v>53</v>
      </c>
      <c r="AA1389" s="282" t="s">
        <v>4928</v>
      </c>
      <c r="AB1389" s="283">
        <v>44424.0</v>
      </c>
      <c r="AC1389" s="284"/>
      <c r="AD1389" s="284"/>
    </row>
    <row r="1390" ht="14.25" customHeight="1">
      <c r="A1390" s="265">
        <v>44422.0</v>
      </c>
      <c r="B1390" s="266" t="s">
        <v>1500</v>
      </c>
      <c r="C1390" s="266" t="s">
        <v>1696</v>
      </c>
      <c r="D1390" s="266" t="s">
        <v>1543</v>
      </c>
      <c r="E1390" s="268"/>
      <c r="F1390" s="269" t="s">
        <v>4929</v>
      </c>
      <c r="G1390" s="268" t="s">
        <v>1463</v>
      </c>
      <c r="H1390" s="270">
        <v>0.006203703703703704</v>
      </c>
      <c r="I1390" s="271">
        <v>44424.61736111111</v>
      </c>
      <c r="J1390" s="268"/>
      <c r="K1390" s="271">
        <v>44424.63011574074</v>
      </c>
      <c r="L1390" s="288"/>
      <c r="M1390" s="278" t="s">
        <v>4930</v>
      </c>
      <c r="N1390" s="290"/>
      <c r="O1390" s="276"/>
      <c r="P1390" s="276"/>
      <c r="Q1390" s="276"/>
      <c r="R1390" s="278"/>
      <c r="S1390" s="278"/>
      <c r="T1390" s="278"/>
      <c r="U1390" s="279"/>
      <c r="V1390" s="279" t="s">
        <v>2030</v>
      </c>
      <c r="W1390" s="280">
        <v>44442.0</v>
      </c>
      <c r="X1390" s="281">
        <v>0.010416666666666666</v>
      </c>
      <c r="Y1390" s="279" t="s">
        <v>1693</v>
      </c>
      <c r="Z1390" s="282" t="s">
        <v>53</v>
      </c>
      <c r="AA1390" s="282">
        <v>6491471.0</v>
      </c>
      <c r="AB1390" s="283">
        <v>44425.0</v>
      </c>
      <c r="AC1390" s="284"/>
      <c r="AD1390" s="284"/>
    </row>
    <row r="1391" ht="15.0" customHeight="1">
      <c r="A1391" s="265">
        <v>44422.0</v>
      </c>
      <c r="B1391" s="266" t="s">
        <v>1500</v>
      </c>
      <c r="C1391" s="266" t="s">
        <v>1450</v>
      </c>
      <c r="D1391" s="266" t="s">
        <v>1543</v>
      </c>
      <c r="E1391" s="268"/>
      <c r="F1391" s="269" t="s">
        <v>4931</v>
      </c>
      <c r="G1391" s="268" t="s">
        <v>1463</v>
      </c>
      <c r="H1391" s="270">
        <v>0.004733796296296296</v>
      </c>
      <c r="I1391" s="271">
        <v>44424.666666666664</v>
      </c>
      <c r="J1391" s="268"/>
      <c r="K1391" s="271">
        <v>44425.47636574074</v>
      </c>
      <c r="L1391" s="288"/>
      <c r="M1391" s="278" t="s">
        <v>4932</v>
      </c>
      <c r="N1391" s="290"/>
      <c r="O1391" s="276"/>
      <c r="P1391" s="276"/>
      <c r="Q1391" s="276"/>
      <c r="R1391" s="278"/>
      <c r="S1391" s="278"/>
      <c r="T1391" s="278"/>
      <c r="U1391" s="279"/>
      <c r="V1391" s="279" t="s">
        <v>2030</v>
      </c>
      <c r="W1391" s="280">
        <v>44442.0</v>
      </c>
      <c r="X1391" s="281">
        <v>0.010416666666666666</v>
      </c>
      <c r="Y1391" s="279" t="s">
        <v>1693</v>
      </c>
      <c r="Z1391" s="282" t="s">
        <v>53</v>
      </c>
      <c r="AA1391" s="282">
        <v>6495584.0</v>
      </c>
      <c r="AB1391" s="283">
        <v>44431.0</v>
      </c>
      <c r="AC1391" s="284"/>
      <c r="AD1391" s="284"/>
    </row>
    <row r="1392" ht="15.0" customHeight="1">
      <c r="A1392" s="265">
        <v>44422.0</v>
      </c>
      <c r="B1392" s="266" t="s">
        <v>1500</v>
      </c>
      <c r="C1392" s="266"/>
      <c r="D1392" s="266" t="s">
        <v>1686</v>
      </c>
      <c r="E1392" s="268"/>
      <c r="F1392" s="358" t="s">
        <v>4933</v>
      </c>
      <c r="G1392" s="268" t="s">
        <v>2085</v>
      </c>
      <c r="H1392" s="270">
        <v>0.0402662037037037</v>
      </c>
      <c r="I1392" s="271">
        <v>44422.61666666667</v>
      </c>
      <c r="J1392" s="268"/>
      <c r="K1392" s="271">
        <v>44423.90347222222</v>
      </c>
      <c r="L1392" s="288" t="str">
        <f t="shared" ref="L1392:L1393" si="60">IFERROR(IF(OR(I1392="",K1392=""),"",K1392-I1392),"")</f>
        <v>6:53:00 AM</v>
      </c>
      <c r="M1392" s="278"/>
      <c r="N1392" s="290"/>
      <c r="O1392" s="276"/>
      <c r="P1392" s="276"/>
      <c r="Q1392" s="276"/>
      <c r="R1392" s="278"/>
      <c r="S1392" s="278"/>
      <c r="T1392" s="278"/>
      <c r="U1392" s="279"/>
      <c r="V1392" s="279" t="s">
        <v>4927</v>
      </c>
      <c r="W1392" s="280">
        <v>44424.0</v>
      </c>
      <c r="X1392" s="279"/>
      <c r="Y1392" s="279" t="s">
        <v>1693</v>
      </c>
      <c r="Z1392" s="282" t="s">
        <v>53</v>
      </c>
      <c r="AA1392" s="282" t="s">
        <v>4933</v>
      </c>
      <c r="AB1392" s="283">
        <v>44424.0</v>
      </c>
      <c r="AC1392" s="284"/>
      <c r="AD1392" s="284"/>
    </row>
    <row r="1393" ht="15.0" customHeight="1">
      <c r="A1393" s="265">
        <v>44422.0</v>
      </c>
      <c r="B1393" s="266" t="s">
        <v>1746</v>
      </c>
      <c r="C1393" s="266"/>
      <c r="D1393" s="266" t="s">
        <v>1455</v>
      </c>
      <c r="E1393" s="268"/>
      <c r="F1393" s="358" t="s">
        <v>4934</v>
      </c>
      <c r="G1393" s="268" t="s">
        <v>2085</v>
      </c>
      <c r="H1393" s="270">
        <v>0.01664351851851852</v>
      </c>
      <c r="I1393" s="271">
        <v>44424.729166666664</v>
      </c>
      <c r="J1393" s="268"/>
      <c r="K1393" s="271">
        <v>44424.74637731481</v>
      </c>
      <c r="L1393" s="288" t="str">
        <f t="shared" si="60"/>
        <v>12:24:47 AM</v>
      </c>
      <c r="M1393" s="278"/>
      <c r="N1393" s="290"/>
      <c r="O1393" s="276"/>
      <c r="P1393" s="276"/>
      <c r="Q1393" s="276"/>
      <c r="R1393" s="278"/>
      <c r="S1393" s="278"/>
      <c r="T1393" s="278"/>
      <c r="U1393" s="279"/>
      <c r="V1393" s="279" t="s">
        <v>1824</v>
      </c>
      <c r="W1393" s="280">
        <v>44426.0</v>
      </c>
      <c r="X1393" s="281">
        <v>0.08333333333333333</v>
      </c>
      <c r="Y1393" s="279" t="s">
        <v>1693</v>
      </c>
      <c r="Z1393" s="282" t="s">
        <v>53</v>
      </c>
      <c r="AA1393" s="282" t="s">
        <v>4934</v>
      </c>
      <c r="AB1393" s="283">
        <v>44425.0</v>
      </c>
      <c r="AC1393" s="284"/>
      <c r="AD1393" s="284"/>
    </row>
    <row r="1394" ht="15.0" customHeight="1">
      <c r="A1394" s="265">
        <v>44423.0</v>
      </c>
      <c r="B1394" s="266" t="s">
        <v>1733</v>
      </c>
      <c r="C1394" s="266"/>
      <c r="D1394" s="266" t="s">
        <v>3509</v>
      </c>
      <c r="E1394" s="268"/>
      <c r="F1394" s="358">
        <v>6451253.0</v>
      </c>
      <c r="G1394" s="268" t="s">
        <v>3839</v>
      </c>
      <c r="H1394" s="270">
        <v>0.04597222222222222</v>
      </c>
      <c r="I1394" s="271">
        <v>44424.833333333336</v>
      </c>
      <c r="J1394" s="268"/>
      <c r="K1394" s="271">
        <v>44425.443703703706</v>
      </c>
      <c r="L1394" s="288"/>
      <c r="M1394" s="307"/>
      <c r="N1394" s="273"/>
      <c r="O1394" s="276"/>
      <c r="P1394" s="276"/>
      <c r="Q1394" s="276"/>
      <c r="R1394" s="277"/>
      <c r="S1394" s="278"/>
      <c r="T1394" s="278" t="s">
        <v>4935</v>
      </c>
      <c r="U1394" s="279"/>
      <c r="V1394" s="279"/>
      <c r="W1394" s="279"/>
      <c r="X1394" s="279"/>
      <c r="Y1394" s="279"/>
      <c r="Z1394" s="282" t="s">
        <v>101</v>
      </c>
      <c r="AA1394" s="282">
        <v>6451253.0</v>
      </c>
      <c r="AB1394" s="283">
        <v>44425.0</v>
      </c>
      <c r="AC1394" s="284"/>
      <c r="AD1394" s="284"/>
    </row>
    <row r="1395" ht="15.0" customHeight="1">
      <c r="A1395" s="265">
        <v>44423.0</v>
      </c>
      <c r="B1395" s="266" t="s">
        <v>1500</v>
      </c>
      <c r="C1395" s="266" t="s">
        <v>1686</v>
      </c>
      <c r="D1395" s="266" t="s">
        <v>1543</v>
      </c>
      <c r="E1395" s="268"/>
      <c r="F1395" s="269" t="s">
        <v>4936</v>
      </c>
      <c r="G1395" s="268" t="s">
        <v>1463</v>
      </c>
      <c r="H1395" s="270">
        <v>0.0013194444444444443</v>
      </c>
      <c r="I1395" s="271">
        <v>44425.74513888889</v>
      </c>
      <c r="J1395" s="268"/>
      <c r="K1395" s="271">
        <v>44425.74928240741</v>
      </c>
      <c r="L1395" s="288"/>
      <c r="M1395" s="307" t="s">
        <v>4937</v>
      </c>
      <c r="N1395" s="273">
        <v>44426.49236111111</v>
      </c>
      <c r="O1395" s="276" t="s">
        <v>4938</v>
      </c>
      <c r="P1395" s="276" t="s">
        <v>1463</v>
      </c>
      <c r="Q1395" s="276" t="s">
        <v>1819</v>
      </c>
      <c r="R1395" s="277">
        <v>44426.50041666667</v>
      </c>
      <c r="S1395" s="278"/>
      <c r="T1395" s="278" t="s">
        <v>4939</v>
      </c>
      <c r="U1395" s="279"/>
      <c r="V1395" s="279" t="s">
        <v>2030</v>
      </c>
      <c r="W1395" s="280">
        <v>44442.0</v>
      </c>
      <c r="X1395" s="281">
        <v>0.003472222222222222</v>
      </c>
      <c r="Y1395" s="279" t="s">
        <v>1693</v>
      </c>
      <c r="Z1395" s="282" t="s">
        <v>53</v>
      </c>
      <c r="AA1395" s="282">
        <v>6499296.0</v>
      </c>
      <c r="AB1395" s="283">
        <v>44427.0</v>
      </c>
      <c r="AC1395" s="284"/>
      <c r="AD1395" s="284"/>
    </row>
    <row r="1396" ht="14.25" customHeight="1">
      <c r="A1396" s="265">
        <v>44423.0</v>
      </c>
      <c r="B1396" s="266" t="s">
        <v>1733</v>
      </c>
      <c r="C1396" s="266"/>
      <c r="D1396" s="266" t="s">
        <v>1457</v>
      </c>
      <c r="E1396" s="268"/>
      <c r="F1396" s="358" t="s">
        <v>4940</v>
      </c>
      <c r="G1396" s="268" t="s">
        <v>2085</v>
      </c>
      <c r="H1396" s="270">
        <v>0.0178125</v>
      </c>
      <c r="I1396" s="271">
        <v>44424.80763888889</v>
      </c>
      <c r="J1396" s="268"/>
      <c r="K1396" s="271">
        <v>44424.81972222222</v>
      </c>
      <c r="L1396" s="288" t="str">
        <f t="shared" ref="L1396:L1397" si="61">IFERROR(IF(OR(I1396="",K1396=""),"",K1396-I1396),"")</f>
        <v>12:17:24 AM</v>
      </c>
      <c r="M1396" s="278"/>
      <c r="N1396" s="290"/>
      <c r="O1396" s="276"/>
      <c r="P1396" s="276"/>
      <c r="Q1396" s="276"/>
      <c r="R1396" s="278"/>
      <c r="S1396" s="278"/>
      <c r="T1396" s="278"/>
      <c r="U1396" s="279"/>
      <c r="V1396" s="279" t="s">
        <v>1824</v>
      </c>
      <c r="W1396" s="280">
        <v>44427.0</v>
      </c>
      <c r="X1396" s="281">
        <v>0.041666666666666664</v>
      </c>
      <c r="Y1396" s="279" t="s">
        <v>1693</v>
      </c>
      <c r="Z1396" s="282" t="s">
        <v>53</v>
      </c>
      <c r="AA1396" s="282" t="s">
        <v>4940</v>
      </c>
      <c r="AB1396" s="283">
        <v>44425.0</v>
      </c>
      <c r="AC1396" s="284"/>
      <c r="AD1396" s="284"/>
    </row>
    <row r="1397" ht="14.25" customHeight="1">
      <c r="A1397" s="265">
        <v>44423.0</v>
      </c>
      <c r="B1397" s="266" t="s">
        <v>1733</v>
      </c>
      <c r="C1397" s="266"/>
      <c r="D1397" s="266" t="s">
        <v>2829</v>
      </c>
      <c r="E1397" s="268"/>
      <c r="F1397" s="358" t="s">
        <v>4941</v>
      </c>
      <c r="G1397" s="268" t="s">
        <v>2085</v>
      </c>
      <c r="H1397" s="270">
        <v>0.018726851851851852</v>
      </c>
      <c r="I1397" s="271">
        <v>44424.75069444445</v>
      </c>
      <c r="J1397" s="268"/>
      <c r="K1397" s="268"/>
      <c r="L1397" s="288" t="str">
        <f t="shared" si="61"/>
        <v/>
      </c>
      <c r="M1397" s="307" t="s">
        <v>2808</v>
      </c>
      <c r="N1397" s="273">
        <v>44424.76944444444</v>
      </c>
      <c r="O1397" s="276" t="s">
        <v>4942</v>
      </c>
      <c r="P1397" s="276" t="s">
        <v>1463</v>
      </c>
      <c r="Q1397" s="276" t="s">
        <v>3940</v>
      </c>
      <c r="R1397" s="277">
        <v>44424.78194444445</v>
      </c>
      <c r="S1397" s="278"/>
      <c r="T1397" s="278" t="s">
        <v>4943</v>
      </c>
      <c r="U1397" s="279"/>
      <c r="V1397" s="279"/>
      <c r="W1397" s="279"/>
      <c r="X1397" s="279"/>
      <c r="Y1397" s="279"/>
      <c r="Z1397" s="282" t="s">
        <v>53</v>
      </c>
      <c r="AA1397" s="282" t="s">
        <v>4941</v>
      </c>
      <c r="AB1397" s="283">
        <v>44425.0</v>
      </c>
      <c r="AC1397" s="284"/>
      <c r="AD1397" s="284"/>
    </row>
    <row r="1398" ht="14.25" customHeight="1">
      <c r="A1398" s="265">
        <v>44424.0</v>
      </c>
      <c r="B1398" s="266" t="s">
        <v>1500</v>
      </c>
      <c r="C1398" s="266" t="s">
        <v>1450</v>
      </c>
      <c r="D1398" s="266" t="s">
        <v>1543</v>
      </c>
      <c r="E1398" s="268"/>
      <c r="F1398" s="291" t="s">
        <v>4944</v>
      </c>
      <c r="G1398" s="268" t="s">
        <v>1463</v>
      </c>
      <c r="H1398" s="270">
        <v>0.0013541666666666667</v>
      </c>
      <c r="I1398" s="271">
        <v>44424.645833333336</v>
      </c>
      <c r="J1398" s="268"/>
      <c r="K1398" s="271">
        <v>44424.68035879629</v>
      </c>
      <c r="L1398" s="288"/>
      <c r="M1398" s="278" t="s">
        <v>4945</v>
      </c>
      <c r="N1398" s="290"/>
      <c r="O1398" s="276"/>
      <c r="P1398" s="276"/>
      <c r="Q1398" s="276"/>
      <c r="R1398" s="278"/>
      <c r="S1398" s="278"/>
      <c r="T1398" s="278"/>
      <c r="U1398" s="279"/>
      <c r="V1398" s="279" t="s">
        <v>2030</v>
      </c>
      <c r="W1398" s="280">
        <v>44443.0</v>
      </c>
      <c r="X1398" s="281">
        <v>0.006944444444444444</v>
      </c>
      <c r="Y1398" s="279" t="s">
        <v>1693</v>
      </c>
      <c r="Z1398" s="282" t="s">
        <v>53</v>
      </c>
      <c r="AA1398" s="282">
        <v>6491472.0</v>
      </c>
      <c r="AB1398" s="283">
        <v>44425.0</v>
      </c>
      <c r="AC1398" s="284"/>
      <c r="AD1398" s="284"/>
    </row>
    <row r="1399" ht="14.25" customHeight="1">
      <c r="A1399" s="265">
        <v>44424.0</v>
      </c>
      <c r="B1399" s="266" t="s">
        <v>1500</v>
      </c>
      <c r="C1399" s="266" t="s">
        <v>1455</v>
      </c>
      <c r="D1399" s="266" t="s">
        <v>1543</v>
      </c>
      <c r="E1399" s="268"/>
      <c r="F1399" s="291" t="s">
        <v>4946</v>
      </c>
      <c r="G1399" s="268" t="s">
        <v>1463</v>
      </c>
      <c r="H1399" s="270">
        <v>0.0019444444444444442</v>
      </c>
      <c r="I1399" s="271">
        <v>44425.77916666667</v>
      </c>
      <c r="J1399" s="268"/>
      <c r="K1399" s="271">
        <v>44426.116956018515</v>
      </c>
      <c r="L1399" s="288"/>
      <c r="M1399" s="278" t="s">
        <v>4947</v>
      </c>
      <c r="N1399" s="290"/>
      <c r="O1399" s="276"/>
      <c r="P1399" s="276"/>
      <c r="Q1399" s="276"/>
      <c r="R1399" s="278"/>
      <c r="S1399" s="278"/>
      <c r="T1399" s="278"/>
      <c r="U1399" s="279"/>
      <c r="V1399" s="279" t="s">
        <v>2030</v>
      </c>
      <c r="W1399" s="280">
        <v>44443.0</v>
      </c>
      <c r="X1399" s="279"/>
      <c r="Y1399" s="279" t="s">
        <v>1693</v>
      </c>
      <c r="Z1399" s="282" t="s">
        <v>53</v>
      </c>
      <c r="AA1399" s="282">
        <v>6499297.0</v>
      </c>
      <c r="AB1399" s="283">
        <v>44427.0</v>
      </c>
      <c r="AC1399" s="284"/>
      <c r="AD1399" s="284"/>
    </row>
    <row r="1400" ht="14.25" customHeight="1">
      <c r="A1400" s="265">
        <v>44424.0</v>
      </c>
      <c r="B1400" s="266" t="s">
        <v>1783</v>
      </c>
      <c r="C1400" s="266"/>
      <c r="D1400" s="266" t="s">
        <v>1452</v>
      </c>
      <c r="E1400" s="268"/>
      <c r="F1400" s="291" t="s">
        <v>4036</v>
      </c>
      <c r="G1400" s="268" t="s">
        <v>28</v>
      </c>
      <c r="H1400" s="268" t="s">
        <v>28</v>
      </c>
      <c r="I1400" s="268" t="s">
        <v>28</v>
      </c>
      <c r="J1400" s="268"/>
      <c r="K1400" s="268" t="s">
        <v>28</v>
      </c>
      <c r="L1400" s="288" t="str">
        <f t="shared" ref="L1400:L1403" si="62">IFERROR(IF(OR(I1400="",K1400=""),"",K1400-I1400),"")</f>
        <v/>
      </c>
      <c r="M1400" s="278" t="s">
        <v>3915</v>
      </c>
      <c r="N1400" s="290"/>
      <c r="O1400" s="276"/>
      <c r="P1400" s="276"/>
      <c r="Q1400" s="276"/>
      <c r="R1400" s="278"/>
      <c r="S1400" s="278"/>
      <c r="T1400" s="278" t="s">
        <v>3915</v>
      </c>
      <c r="U1400" s="279"/>
      <c r="V1400" s="279" t="s">
        <v>28</v>
      </c>
      <c r="W1400" s="279" t="s">
        <v>28</v>
      </c>
      <c r="X1400" s="279" t="s">
        <v>28</v>
      </c>
      <c r="Y1400" s="279" t="s">
        <v>28</v>
      </c>
      <c r="Z1400" s="282" t="s">
        <v>28</v>
      </c>
      <c r="AA1400" s="282" t="s">
        <v>28</v>
      </c>
      <c r="AB1400" s="282" t="s">
        <v>28</v>
      </c>
      <c r="AC1400" s="284"/>
      <c r="AD1400" s="284"/>
    </row>
    <row r="1401" ht="14.25" customHeight="1">
      <c r="A1401" s="265">
        <v>44424.0</v>
      </c>
      <c r="B1401" s="266" t="s">
        <v>1733</v>
      </c>
      <c r="C1401" s="266"/>
      <c r="D1401" s="266" t="s">
        <v>1450</v>
      </c>
      <c r="E1401" s="268"/>
      <c r="F1401" s="358" t="s">
        <v>4948</v>
      </c>
      <c r="G1401" s="268" t="s">
        <v>2085</v>
      </c>
      <c r="H1401" s="270">
        <v>0.09960648148148148</v>
      </c>
      <c r="I1401" s="271">
        <v>44424.72361111111</v>
      </c>
      <c r="J1401" s="268"/>
      <c r="K1401" s="271">
        <v>44424.80978009259</v>
      </c>
      <c r="L1401" s="288" t="str">
        <f t="shared" si="62"/>
        <v>2:04:05 AM</v>
      </c>
      <c r="M1401" s="278"/>
      <c r="N1401" s="290"/>
      <c r="O1401" s="276"/>
      <c r="P1401" s="276"/>
      <c r="Q1401" s="276"/>
      <c r="R1401" s="278"/>
      <c r="S1401" s="278"/>
      <c r="T1401" s="278"/>
      <c r="U1401" s="279"/>
      <c r="V1401" s="279" t="s">
        <v>1733</v>
      </c>
      <c r="W1401" s="280">
        <v>44425.0</v>
      </c>
      <c r="X1401" s="281">
        <v>0.24305555555555555</v>
      </c>
      <c r="Y1401" s="279" t="s">
        <v>1693</v>
      </c>
      <c r="Z1401" s="282" t="s">
        <v>53</v>
      </c>
      <c r="AA1401" s="282" t="s">
        <v>4948</v>
      </c>
      <c r="AB1401" s="283">
        <v>44425.0</v>
      </c>
      <c r="AC1401" s="284"/>
      <c r="AD1401" s="284"/>
    </row>
    <row r="1402" ht="14.25" customHeight="1">
      <c r="A1402" s="265">
        <v>44424.0</v>
      </c>
      <c r="B1402" s="266" t="s">
        <v>1685</v>
      </c>
      <c r="C1402" s="266"/>
      <c r="D1402" s="266" t="s">
        <v>1686</v>
      </c>
      <c r="E1402" s="268"/>
      <c r="F1402" s="358" t="s">
        <v>4949</v>
      </c>
      <c r="G1402" s="268" t="s">
        <v>2085</v>
      </c>
      <c r="H1402" s="270">
        <v>0.03850694444444445</v>
      </c>
      <c r="I1402" s="271">
        <v>44424.725</v>
      </c>
      <c r="J1402" s="268"/>
      <c r="K1402" s="271">
        <v>44424.75714120371</v>
      </c>
      <c r="L1402" s="288" t="str">
        <f t="shared" si="62"/>
        <v>12:46:17 AM</v>
      </c>
      <c r="M1402" s="278"/>
      <c r="N1402" s="290"/>
      <c r="O1402" s="276"/>
      <c r="P1402" s="276"/>
      <c r="Q1402" s="276"/>
      <c r="R1402" s="278"/>
      <c r="S1402" s="278"/>
      <c r="T1402" s="278"/>
      <c r="U1402" s="279"/>
      <c r="V1402" s="279" t="s">
        <v>1685</v>
      </c>
      <c r="W1402" s="280">
        <v>44425.0</v>
      </c>
      <c r="X1402" s="281"/>
      <c r="Y1402" s="279" t="s">
        <v>1693</v>
      </c>
      <c r="Z1402" s="282" t="s">
        <v>53</v>
      </c>
      <c r="AA1402" s="282" t="s">
        <v>4949</v>
      </c>
      <c r="AB1402" s="283">
        <v>44425.0</v>
      </c>
      <c r="AC1402" s="284"/>
      <c r="AD1402" s="284"/>
    </row>
    <row r="1403" ht="14.25" customHeight="1">
      <c r="A1403" s="265">
        <v>44424.0</v>
      </c>
      <c r="B1403" s="266" t="s">
        <v>1733</v>
      </c>
      <c r="C1403" s="266"/>
      <c r="D1403" s="266" t="s">
        <v>1455</v>
      </c>
      <c r="E1403" s="268"/>
      <c r="F1403" s="358" t="s">
        <v>4950</v>
      </c>
      <c r="G1403" s="268" t="s">
        <v>2085</v>
      </c>
      <c r="H1403" s="270">
        <v>0.019363425925925926</v>
      </c>
      <c r="I1403" s="271">
        <v>44424.930555555555</v>
      </c>
      <c r="J1403" s="268"/>
      <c r="K1403" s="271">
        <v>44424.94488425926</v>
      </c>
      <c r="L1403" s="288" t="str">
        <f t="shared" si="62"/>
        <v>12:20:38 AM</v>
      </c>
      <c r="M1403" s="278"/>
      <c r="N1403" s="290"/>
      <c r="O1403" s="276"/>
      <c r="P1403" s="276"/>
      <c r="Q1403" s="276"/>
      <c r="R1403" s="278"/>
      <c r="S1403" s="278"/>
      <c r="T1403" s="278"/>
      <c r="U1403" s="279"/>
      <c r="V1403" s="279" t="s">
        <v>1824</v>
      </c>
      <c r="W1403" s="280">
        <v>44427.0</v>
      </c>
      <c r="X1403" s="281">
        <v>0.08333333333333333</v>
      </c>
      <c r="Y1403" s="279" t="s">
        <v>1693</v>
      </c>
      <c r="Z1403" s="282" t="s">
        <v>53</v>
      </c>
      <c r="AA1403" s="282" t="s">
        <v>4950</v>
      </c>
      <c r="AB1403" s="283">
        <v>44425.0</v>
      </c>
      <c r="AC1403" s="284"/>
      <c r="AD1403" s="284"/>
    </row>
    <row r="1404" ht="14.25" customHeight="1">
      <c r="A1404" s="265">
        <v>44425.0</v>
      </c>
      <c r="B1404" s="266" t="s">
        <v>1500</v>
      </c>
      <c r="C1404" s="266" t="s">
        <v>1686</v>
      </c>
      <c r="D1404" s="266" t="s">
        <v>1543</v>
      </c>
      <c r="E1404" s="268"/>
      <c r="F1404" s="291" t="s">
        <v>4951</v>
      </c>
      <c r="G1404" s="268" t="s">
        <v>1463</v>
      </c>
      <c r="H1404" s="270">
        <v>0.002199074074074074</v>
      </c>
      <c r="I1404" s="271">
        <v>44425.76736111111</v>
      </c>
      <c r="J1404" s="268"/>
      <c r="K1404" s="271">
        <v>44426.106875</v>
      </c>
      <c r="L1404" s="288"/>
      <c r="M1404" s="278" t="s">
        <v>4952</v>
      </c>
      <c r="N1404" s="290"/>
      <c r="O1404" s="276"/>
      <c r="P1404" s="276"/>
      <c r="Q1404" s="276"/>
      <c r="R1404" s="278"/>
      <c r="S1404" s="278"/>
      <c r="T1404" s="278"/>
      <c r="U1404" s="279"/>
      <c r="V1404" s="279" t="s">
        <v>2030</v>
      </c>
      <c r="W1404" s="280">
        <v>44443.0</v>
      </c>
      <c r="X1404" s="281">
        <v>0.006944444444444444</v>
      </c>
      <c r="Y1404" s="279" t="s">
        <v>1693</v>
      </c>
      <c r="Z1404" s="282" t="s">
        <v>53</v>
      </c>
      <c r="AA1404" s="282">
        <v>6499298.0</v>
      </c>
      <c r="AB1404" s="283">
        <v>44427.0</v>
      </c>
      <c r="AC1404" s="284"/>
      <c r="AD1404" s="284"/>
    </row>
    <row r="1405" ht="14.25" customHeight="1">
      <c r="A1405" s="265">
        <v>44425.0</v>
      </c>
      <c r="B1405" s="266" t="s">
        <v>1500</v>
      </c>
      <c r="C1405" s="266" t="s">
        <v>1686</v>
      </c>
      <c r="D1405" s="266" t="s">
        <v>1543</v>
      </c>
      <c r="E1405" s="268"/>
      <c r="F1405" s="291" t="s">
        <v>4953</v>
      </c>
      <c r="G1405" s="268" t="s">
        <v>1463</v>
      </c>
      <c r="H1405" s="270">
        <v>0.0010648148148148147</v>
      </c>
      <c r="I1405" s="271">
        <v>44426.678622685184</v>
      </c>
      <c r="J1405" s="268"/>
      <c r="K1405" s="271">
        <v>44426.682974537034</v>
      </c>
      <c r="L1405" s="288"/>
      <c r="M1405" s="278" t="s">
        <v>4954</v>
      </c>
      <c r="N1405" s="290"/>
      <c r="O1405" s="276"/>
      <c r="P1405" s="276"/>
      <c r="Q1405" s="276"/>
      <c r="R1405" s="278"/>
      <c r="S1405" s="278"/>
      <c r="T1405" s="278"/>
      <c r="U1405" s="279"/>
      <c r="V1405" s="279" t="s">
        <v>2030</v>
      </c>
      <c r="W1405" s="280">
        <v>44443.0</v>
      </c>
      <c r="X1405" s="281">
        <v>0.005555555555555556</v>
      </c>
      <c r="Y1405" s="279" t="s">
        <v>1693</v>
      </c>
      <c r="Z1405" s="282" t="s">
        <v>53</v>
      </c>
      <c r="AA1405" s="282">
        <v>6499299.0</v>
      </c>
      <c r="AB1405" s="283">
        <v>44427.0</v>
      </c>
      <c r="AC1405" s="284"/>
      <c r="AD1405" s="284"/>
    </row>
    <row r="1406" ht="14.25" customHeight="1">
      <c r="A1406" s="265">
        <v>44425.0</v>
      </c>
      <c r="B1406" s="266" t="s">
        <v>1733</v>
      </c>
      <c r="C1406" s="266"/>
      <c r="D1406" s="266" t="s">
        <v>1450</v>
      </c>
      <c r="E1406" s="268"/>
      <c r="F1406" s="358" t="s">
        <v>4955</v>
      </c>
      <c r="G1406" s="268" t="s">
        <v>2085</v>
      </c>
      <c r="H1406" s="270">
        <v>0.10042824074074075</v>
      </c>
      <c r="I1406" s="271">
        <v>44425.71805555555</v>
      </c>
      <c r="J1406" s="268"/>
      <c r="K1406" s="271">
        <v>44425.786678240744</v>
      </c>
      <c r="L1406" s="288" t="str">
        <f t="shared" ref="L1406:L1409" si="63">IFERROR(IF(OR(I1406="",K1406=""),"",K1406-I1406),"")</f>
        <v>1:38:49 AM</v>
      </c>
      <c r="M1406" s="278"/>
      <c r="N1406" s="290"/>
      <c r="O1406" s="276"/>
      <c r="P1406" s="276"/>
      <c r="Q1406" s="276"/>
      <c r="R1406" s="278"/>
      <c r="S1406" s="278"/>
      <c r="T1406" s="278"/>
      <c r="U1406" s="279"/>
      <c r="V1406" s="279" t="s">
        <v>1685</v>
      </c>
      <c r="W1406" s="280">
        <v>44426.0</v>
      </c>
      <c r="X1406" s="281">
        <v>0.28125</v>
      </c>
      <c r="Y1406" s="279" t="s">
        <v>1693</v>
      </c>
      <c r="Z1406" s="282" t="s">
        <v>53</v>
      </c>
      <c r="AA1406" s="282" t="s">
        <v>4955</v>
      </c>
      <c r="AB1406" s="283">
        <v>44426.0</v>
      </c>
      <c r="AC1406" s="284"/>
      <c r="AD1406" s="284"/>
    </row>
    <row r="1407" ht="14.25" customHeight="1">
      <c r="A1407" s="265">
        <v>44425.0</v>
      </c>
      <c r="B1407" s="266" t="s">
        <v>1783</v>
      </c>
      <c r="C1407" s="266"/>
      <c r="D1407" s="266" t="s">
        <v>1452</v>
      </c>
      <c r="E1407" s="268"/>
      <c r="F1407" s="358" t="s">
        <v>4956</v>
      </c>
      <c r="G1407" s="268" t="s">
        <v>2085</v>
      </c>
      <c r="H1407" s="270">
        <v>0.002962962962962963</v>
      </c>
      <c r="I1407" s="271">
        <v>44425.720138888886</v>
      </c>
      <c r="J1407" s="268"/>
      <c r="K1407" s="271">
        <v>44425.724386574075</v>
      </c>
      <c r="L1407" s="288" t="str">
        <f t="shared" si="63"/>
        <v>12:06:07 AM</v>
      </c>
      <c r="M1407" s="278"/>
      <c r="N1407" s="290"/>
      <c r="O1407" s="276"/>
      <c r="P1407" s="276"/>
      <c r="Q1407" s="276"/>
      <c r="R1407" s="278"/>
      <c r="S1407" s="278"/>
      <c r="T1407" s="278"/>
      <c r="U1407" s="279"/>
      <c r="V1407" s="279" t="s">
        <v>1738</v>
      </c>
      <c r="W1407" s="280">
        <v>44426.0</v>
      </c>
      <c r="X1407" s="281">
        <v>0.010416666666666666</v>
      </c>
      <c r="Y1407" s="279" t="s">
        <v>1693</v>
      </c>
      <c r="Z1407" s="282" t="s">
        <v>53</v>
      </c>
      <c r="AA1407" s="282" t="s">
        <v>4957</v>
      </c>
      <c r="AB1407" s="283">
        <v>44426.0</v>
      </c>
      <c r="AC1407" s="284"/>
      <c r="AD1407" s="284"/>
    </row>
    <row r="1408" ht="14.25" customHeight="1">
      <c r="A1408" s="265">
        <v>44425.0</v>
      </c>
      <c r="B1408" s="266" t="s">
        <v>1685</v>
      </c>
      <c r="C1408" s="266"/>
      <c r="D1408" s="266" t="s">
        <v>1686</v>
      </c>
      <c r="E1408" s="268"/>
      <c r="F1408" s="358" t="s">
        <v>4958</v>
      </c>
      <c r="G1408" s="268" t="s">
        <v>2085</v>
      </c>
      <c r="H1408" s="270">
        <v>0.03864583333333333</v>
      </c>
      <c r="I1408" s="271">
        <v>44425.72152777778</v>
      </c>
      <c r="J1408" s="268"/>
      <c r="K1408" s="271">
        <v>44425.75599537037</v>
      </c>
      <c r="L1408" s="288" t="str">
        <f t="shared" si="63"/>
        <v>12:49:38 AM</v>
      </c>
      <c r="M1408" s="278"/>
      <c r="N1408" s="290"/>
      <c r="O1408" s="276"/>
      <c r="P1408" s="276"/>
      <c r="Q1408" s="276"/>
      <c r="R1408" s="278"/>
      <c r="S1408" s="278"/>
      <c r="T1408" s="278"/>
      <c r="U1408" s="279"/>
      <c r="V1408" s="279" t="s">
        <v>1783</v>
      </c>
      <c r="W1408" s="280">
        <v>44426.0</v>
      </c>
      <c r="X1408" s="281">
        <v>0.14583333333333334</v>
      </c>
      <c r="Y1408" s="279" t="s">
        <v>1693</v>
      </c>
      <c r="Z1408" s="282" t="s">
        <v>53</v>
      </c>
      <c r="AA1408" s="282" t="s">
        <v>4958</v>
      </c>
      <c r="AB1408" s="283">
        <v>44426.0</v>
      </c>
      <c r="AC1408" s="284"/>
      <c r="AD1408" s="284"/>
    </row>
    <row r="1409" ht="14.25" customHeight="1">
      <c r="A1409" s="265">
        <v>44425.0</v>
      </c>
      <c r="B1409" s="266"/>
      <c r="C1409" s="266"/>
      <c r="D1409" s="266" t="s">
        <v>1455</v>
      </c>
      <c r="E1409" s="268"/>
      <c r="F1409" s="358" t="s">
        <v>4959</v>
      </c>
      <c r="G1409" s="268" t="s">
        <v>2085</v>
      </c>
      <c r="H1409" s="270">
        <v>0.018796296296296297</v>
      </c>
      <c r="I1409" s="271">
        <v>44425.92013888889</v>
      </c>
      <c r="J1409" s="268"/>
      <c r="K1409" s="271">
        <v>44425.9387037037</v>
      </c>
      <c r="L1409" s="288" t="str">
        <f t="shared" si="63"/>
        <v>12:26:44 AM</v>
      </c>
      <c r="M1409" s="278"/>
      <c r="N1409" s="290"/>
      <c r="O1409" s="276"/>
      <c r="P1409" s="276"/>
      <c r="Q1409" s="276"/>
      <c r="R1409" s="278"/>
      <c r="S1409" s="278"/>
      <c r="T1409" s="278"/>
      <c r="U1409" s="279"/>
      <c r="V1409" s="279" t="s">
        <v>1824</v>
      </c>
      <c r="W1409" s="280">
        <v>44427.0</v>
      </c>
      <c r="X1409" s="281">
        <v>0.08333333333333333</v>
      </c>
      <c r="Y1409" s="279" t="s">
        <v>1693</v>
      </c>
      <c r="Z1409" s="282" t="s">
        <v>53</v>
      </c>
      <c r="AA1409" s="282" t="s">
        <v>4959</v>
      </c>
      <c r="AB1409" s="283">
        <v>44426.0</v>
      </c>
      <c r="AC1409" s="284"/>
      <c r="AD1409" s="284"/>
    </row>
    <row r="1410" ht="14.25" customHeight="1">
      <c r="A1410" s="265">
        <v>44426.0</v>
      </c>
      <c r="B1410" s="266" t="s">
        <v>1500</v>
      </c>
      <c r="C1410" s="266" t="s">
        <v>4960</v>
      </c>
      <c r="D1410" s="266" t="s">
        <v>1543</v>
      </c>
      <c r="E1410" s="268"/>
      <c r="F1410" s="291" t="s">
        <v>4961</v>
      </c>
      <c r="G1410" s="268" t="s">
        <v>1463</v>
      </c>
      <c r="H1410" s="270">
        <v>0.003252314814814815</v>
      </c>
      <c r="I1410" s="271">
        <v>44426.70625</v>
      </c>
      <c r="J1410" s="268"/>
      <c r="K1410" s="271">
        <v>44426.71648148148</v>
      </c>
      <c r="L1410" s="288"/>
      <c r="M1410" s="278" t="s">
        <v>4962</v>
      </c>
      <c r="N1410" s="290"/>
      <c r="O1410" s="276"/>
      <c r="P1410" s="276"/>
      <c r="Q1410" s="276"/>
      <c r="R1410" s="278"/>
      <c r="S1410" s="278"/>
      <c r="T1410" s="278"/>
      <c r="U1410" s="279"/>
      <c r="V1410" s="279" t="s">
        <v>1738</v>
      </c>
      <c r="W1410" s="280">
        <v>44445.0</v>
      </c>
      <c r="X1410" s="281">
        <v>0.010416666666666666</v>
      </c>
      <c r="Y1410" s="279" t="s">
        <v>1693</v>
      </c>
      <c r="Z1410" s="282" t="s">
        <v>53</v>
      </c>
      <c r="AA1410" s="282">
        <v>6499300.0</v>
      </c>
      <c r="AB1410" s="283">
        <v>44427.0</v>
      </c>
      <c r="AC1410" s="284"/>
      <c r="AD1410" s="284"/>
    </row>
    <row r="1411" ht="14.25" customHeight="1">
      <c r="A1411" s="265">
        <v>44426.0</v>
      </c>
      <c r="B1411" s="266" t="s">
        <v>1500</v>
      </c>
      <c r="C1411" s="266" t="s">
        <v>1450</v>
      </c>
      <c r="D1411" s="266" t="s">
        <v>1543</v>
      </c>
      <c r="E1411" s="268"/>
      <c r="F1411" s="291" t="s">
        <v>4963</v>
      </c>
      <c r="G1411" s="268" t="s">
        <v>1463</v>
      </c>
      <c r="H1411" s="270">
        <v>0.0020949074074074073</v>
      </c>
      <c r="I1411" s="271">
        <v>44428.60486111111</v>
      </c>
      <c r="J1411" s="268"/>
      <c r="K1411" s="271">
        <v>44433.642233796294</v>
      </c>
      <c r="L1411" s="288"/>
      <c r="M1411" s="278" t="s">
        <v>4964</v>
      </c>
      <c r="N1411" s="290"/>
      <c r="O1411" s="276"/>
      <c r="P1411" s="276"/>
      <c r="Q1411" s="276"/>
      <c r="R1411" s="278"/>
      <c r="S1411" s="278"/>
      <c r="T1411" s="278"/>
      <c r="U1411" s="279"/>
      <c r="V1411" s="279" t="s">
        <v>1738</v>
      </c>
      <c r="W1411" s="280">
        <v>44445.0</v>
      </c>
      <c r="X1411" s="281">
        <v>0.010416666666666666</v>
      </c>
      <c r="Y1411" s="279" t="s">
        <v>1693</v>
      </c>
      <c r="Z1411" s="282" t="s">
        <v>53</v>
      </c>
      <c r="AA1411" s="282">
        <v>6533045.0</v>
      </c>
      <c r="AB1411" s="283">
        <v>44434.0</v>
      </c>
      <c r="AC1411" s="284"/>
      <c r="AD1411" s="284"/>
    </row>
    <row r="1412" ht="14.25" customHeight="1">
      <c r="A1412" s="265">
        <v>44426.0</v>
      </c>
      <c r="B1412" s="266" t="s">
        <v>1783</v>
      </c>
      <c r="C1412" s="266" t="s">
        <v>1831</v>
      </c>
      <c r="D1412" s="266" t="s">
        <v>1686</v>
      </c>
      <c r="E1412" s="268"/>
      <c r="F1412" s="286" t="s">
        <v>4965</v>
      </c>
      <c r="G1412" s="268" t="s">
        <v>4787</v>
      </c>
      <c r="H1412" s="270"/>
      <c r="I1412" s="271"/>
      <c r="J1412" s="268"/>
      <c r="K1412" s="271"/>
      <c r="L1412" s="288"/>
      <c r="M1412" s="278" t="s">
        <v>3915</v>
      </c>
      <c r="N1412" s="290"/>
      <c r="O1412" s="276"/>
      <c r="P1412" s="276"/>
      <c r="Q1412" s="276"/>
      <c r="R1412" s="278"/>
      <c r="S1412" s="278"/>
      <c r="T1412" s="278" t="s">
        <v>3915</v>
      </c>
      <c r="U1412" s="279" t="s">
        <v>28</v>
      </c>
      <c r="V1412" s="279" t="s">
        <v>28</v>
      </c>
      <c r="W1412" s="280" t="s">
        <v>28</v>
      </c>
      <c r="X1412" s="281" t="s">
        <v>28</v>
      </c>
      <c r="Y1412" s="279" t="s">
        <v>28</v>
      </c>
      <c r="Z1412" s="282" t="s">
        <v>28</v>
      </c>
      <c r="AA1412" s="282" t="s">
        <v>28</v>
      </c>
      <c r="AB1412" s="282" t="s">
        <v>28</v>
      </c>
      <c r="AC1412" s="284"/>
      <c r="AD1412" s="284"/>
    </row>
    <row r="1413" ht="14.25" customHeight="1">
      <c r="A1413" s="265">
        <v>44426.0</v>
      </c>
      <c r="B1413" s="266" t="s">
        <v>1500</v>
      </c>
      <c r="C1413" s="266"/>
      <c r="D1413" s="266" t="s">
        <v>1450</v>
      </c>
      <c r="E1413" s="268"/>
      <c r="F1413" s="358" t="s">
        <v>4966</v>
      </c>
      <c r="G1413" s="268" t="s">
        <v>2085</v>
      </c>
      <c r="H1413" s="270">
        <v>0.09791666666666667</v>
      </c>
      <c r="I1413" s="271">
        <v>44426.56458333333</v>
      </c>
      <c r="J1413" s="268"/>
      <c r="K1413" s="271">
        <v>44426.64438657407</v>
      </c>
      <c r="L1413" s="288" t="str">
        <f t="shared" ref="L1413:L1416" si="64">IFERROR(IF(OR(I1413="",K1413=""),"",K1413-I1413),"")</f>
        <v>1:54:55 AM</v>
      </c>
      <c r="M1413" s="278"/>
      <c r="N1413" s="290"/>
      <c r="O1413" s="276"/>
      <c r="P1413" s="276"/>
      <c r="Q1413" s="276"/>
      <c r="R1413" s="278"/>
      <c r="S1413" s="278"/>
      <c r="T1413" s="278"/>
      <c r="U1413" s="279"/>
      <c r="V1413" s="279" t="s">
        <v>1685</v>
      </c>
      <c r="W1413" s="280">
        <v>44427.0</v>
      </c>
      <c r="X1413" s="281">
        <v>0.2708333333333333</v>
      </c>
      <c r="Y1413" s="279" t="s">
        <v>1693</v>
      </c>
      <c r="Z1413" s="282" t="s">
        <v>53</v>
      </c>
      <c r="AA1413" s="282" t="s">
        <v>4966</v>
      </c>
      <c r="AB1413" s="283">
        <v>44427.0</v>
      </c>
      <c r="AC1413" s="284"/>
      <c r="AD1413" s="284"/>
    </row>
    <row r="1414" ht="14.25" customHeight="1">
      <c r="A1414" s="265">
        <v>44426.0</v>
      </c>
      <c r="B1414" s="266" t="s">
        <v>1738</v>
      </c>
      <c r="C1414" s="266"/>
      <c r="D1414" s="266" t="s">
        <v>1452</v>
      </c>
      <c r="E1414" s="268"/>
      <c r="F1414" s="358" t="s">
        <v>4967</v>
      </c>
      <c r="G1414" s="268" t="s">
        <v>2085</v>
      </c>
      <c r="H1414" s="270">
        <v>0.0011574074074074073</v>
      </c>
      <c r="I1414" s="271">
        <v>44426.51388888889</v>
      </c>
      <c r="J1414" s="268"/>
      <c r="K1414" s="271">
        <v>44426.65387731481</v>
      </c>
      <c r="L1414" s="288" t="str">
        <f t="shared" si="64"/>
        <v>3:21:35 AM</v>
      </c>
      <c r="M1414" s="278"/>
      <c r="N1414" s="290"/>
      <c r="O1414" s="276"/>
      <c r="P1414" s="276"/>
      <c r="Q1414" s="276"/>
      <c r="R1414" s="278"/>
      <c r="S1414" s="278"/>
      <c r="T1414" s="278"/>
      <c r="U1414" s="279"/>
      <c r="V1414" s="279" t="s">
        <v>1738</v>
      </c>
      <c r="W1414" s="280">
        <v>44426.0</v>
      </c>
      <c r="X1414" s="281">
        <v>0.006944444444444444</v>
      </c>
      <c r="Y1414" s="279" t="s">
        <v>1693</v>
      </c>
      <c r="Z1414" s="282" t="s">
        <v>53</v>
      </c>
      <c r="AA1414" s="282" t="s">
        <v>4967</v>
      </c>
      <c r="AB1414" s="283">
        <v>44427.0</v>
      </c>
      <c r="AC1414" s="284"/>
      <c r="AD1414" s="284"/>
    </row>
    <row r="1415" ht="14.25" customHeight="1">
      <c r="A1415" s="265">
        <v>44426.0</v>
      </c>
      <c r="B1415" s="266" t="s">
        <v>1783</v>
      </c>
      <c r="C1415" s="266"/>
      <c r="D1415" s="266" t="s">
        <v>1686</v>
      </c>
      <c r="E1415" s="268"/>
      <c r="F1415" s="358" t="s">
        <v>4968</v>
      </c>
      <c r="G1415" s="268" t="s">
        <v>2085</v>
      </c>
      <c r="H1415" s="270">
        <v>0.039560185185185184</v>
      </c>
      <c r="I1415" s="271">
        <v>44426.63402777778</v>
      </c>
      <c r="J1415" s="268"/>
      <c r="K1415" s="271">
        <v>44426.66778935185</v>
      </c>
      <c r="L1415" s="288" t="str">
        <f t="shared" si="64"/>
        <v>12:48:37 AM</v>
      </c>
      <c r="M1415" s="278"/>
      <c r="N1415" s="290"/>
      <c r="O1415" s="276"/>
      <c r="P1415" s="276"/>
      <c r="Q1415" s="276"/>
      <c r="R1415" s="278"/>
      <c r="S1415" s="278"/>
      <c r="T1415" s="278"/>
      <c r="U1415" s="279"/>
      <c r="V1415" s="279" t="s">
        <v>1783</v>
      </c>
      <c r="W1415" s="280">
        <v>44427.0</v>
      </c>
      <c r="X1415" s="281">
        <v>0.14583333333333334</v>
      </c>
      <c r="Y1415" s="279" t="s">
        <v>1693</v>
      </c>
      <c r="Z1415" s="282" t="s">
        <v>53</v>
      </c>
      <c r="AA1415" s="282" t="s">
        <v>4968</v>
      </c>
      <c r="AB1415" s="283">
        <v>44427.0</v>
      </c>
      <c r="AC1415" s="284"/>
      <c r="AD1415" s="284"/>
    </row>
    <row r="1416" ht="14.25" customHeight="1">
      <c r="A1416" s="265">
        <v>44426.0</v>
      </c>
      <c r="B1416" s="266" t="s">
        <v>1500</v>
      </c>
      <c r="C1416" s="266"/>
      <c r="D1416" s="266" t="s">
        <v>1455</v>
      </c>
      <c r="E1416" s="268"/>
      <c r="F1416" s="358" t="s">
        <v>4969</v>
      </c>
      <c r="G1416" s="268" t="s">
        <v>2085</v>
      </c>
      <c r="H1416" s="270">
        <v>0.019108796296296294</v>
      </c>
      <c r="I1416" s="271">
        <v>44428.541666666664</v>
      </c>
      <c r="J1416" s="268"/>
      <c r="K1416" s="271">
        <v>44428.59137731481</v>
      </c>
      <c r="L1416" s="288" t="str">
        <f t="shared" si="64"/>
        <v>1:11:35 AM</v>
      </c>
      <c r="M1416" s="278"/>
      <c r="N1416" s="290"/>
      <c r="O1416" s="276"/>
      <c r="P1416" s="276"/>
      <c r="Q1416" s="276"/>
      <c r="R1416" s="278"/>
      <c r="S1416" s="278"/>
      <c r="T1416" s="278"/>
      <c r="U1416" s="279"/>
      <c r="V1416" s="279" t="s">
        <v>1824</v>
      </c>
      <c r="W1416" s="280">
        <v>44428.0</v>
      </c>
      <c r="X1416" s="281">
        <v>0.08333333333333333</v>
      </c>
      <c r="Y1416" s="279" t="s">
        <v>1693</v>
      </c>
      <c r="Z1416" s="282" t="s">
        <v>53</v>
      </c>
      <c r="AA1416" s="282" t="s">
        <v>4969</v>
      </c>
      <c r="AB1416" s="283">
        <v>44431.0</v>
      </c>
      <c r="AC1416" s="284"/>
      <c r="AD1416" s="284"/>
    </row>
    <row r="1417" ht="14.25" customHeight="1">
      <c r="A1417" s="265">
        <v>44427.0</v>
      </c>
      <c r="B1417" s="266" t="s">
        <v>1500</v>
      </c>
      <c r="C1417" s="266" t="s">
        <v>1696</v>
      </c>
      <c r="D1417" s="266" t="s">
        <v>1543</v>
      </c>
      <c r="E1417" s="268"/>
      <c r="F1417" s="269" t="s">
        <v>4970</v>
      </c>
      <c r="G1417" s="268" t="s">
        <v>1463</v>
      </c>
      <c r="H1417" s="270">
        <v>0.002939814814814815</v>
      </c>
      <c r="I1417" s="271">
        <v>44428.561111111114</v>
      </c>
      <c r="J1417" s="268"/>
      <c r="K1417" s="271">
        <v>44428.57064814815</v>
      </c>
      <c r="L1417" s="288"/>
      <c r="M1417" s="278" t="s">
        <v>4971</v>
      </c>
      <c r="N1417" s="290"/>
      <c r="O1417" s="276"/>
      <c r="P1417" s="276"/>
      <c r="Q1417" s="276"/>
      <c r="R1417" s="278"/>
      <c r="S1417" s="278"/>
      <c r="T1417" s="278"/>
      <c r="U1417" s="279"/>
      <c r="V1417" s="279" t="s">
        <v>1738</v>
      </c>
      <c r="W1417" s="280">
        <v>44445.0</v>
      </c>
      <c r="X1417" s="281">
        <v>0.010416666666666666</v>
      </c>
      <c r="Y1417" s="279" t="s">
        <v>1693</v>
      </c>
      <c r="Z1417" s="282" t="s">
        <v>53</v>
      </c>
      <c r="AA1417" s="282">
        <v>6522196.0</v>
      </c>
      <c r="AB1417" s="283">
        <v>44431.0</v>
      </c>
      <c r="AC1417" s="284"/>
      <c r="AD1417" s="284"/>
    </row>
    <row r="1418" ht="14.25" customHeight="1">
      <c r="A1418" s="265">
        <v>44427.0</v>
      </c>
      <c r="B1418" s="266" t="s">
        <v>1685</v>
      </c>
      <c r="C1418" s="266"/>
      <c r="D1418" s="266" t="s">
        <v>1450</v>
      </c>
      <c r="E1418" s="268"/>
      <c r="F1418" s="358" t="s">
        <v>4972</v>
      </c>
      <c r="G1418" s="268" t="s">
        <v>2085</v>
      </c>
      <c r="H1418" s="270">
        <v>0.09888888888888887</v>
      </c>
      <c r="I1418" s="271">
        <v>44428.39861111111</v>
      </c>
      <c r="J1418" s="268"/>
      <c r="K1418" s="271">
        <v>44428.49193287037</v>
      </c>
      <c r="L1418" s="288" t="str">
        <f t="shared" ref="L1418:L1427" si="65">IFERROR(IF(OR(I1418="",K1418=""),"",K1418-I1418),"")</f>
        <v>2:14:23 AM</v>
      </c>
      <c r="M1418" s="278"/>
      <c r="N1418" s="290"/>
      <c r="O1418" s="276"/>
      <c r="P1418" s="276"/>
      <c r="Q1418" s="276"/>
      <c r="R1418" s="278"/>
      <c r="S1418" s="278"/>
      <c r="T1418" s="278"/>
      <c r="U1418" s="279"/>
      <c r="V1418" s="279" t="s">
        <v>1685</v>
      </c>
      <c r="W1418" s="280">
        <v>44428.0</v>
      </c>
      <c r="X1418" s="281">
        <v>0.25</v>
      </c>
      <c r="Y1418" s="279" t="s">
        <v>1693</v>
      </c>
      <c r="Z1418" s="282" t="s">
        <v>53</v>
      </c>
      <c r="AA1418" s="282" t="s">
        <v>4972</v>
      </c>
      <c r="AB1418" s="283">
        <v>44431.0</v>
      </c>
      <c r="AC1418" s="284"/>
      <c r="AD1418" s="284"/>
    </row>
    <row r="1419" ht="14.25" customHeight="1">
      <c r="A1419" s="265">
        <v>44427.0</v>
      </c>
      <c r="B1419" s="266" t="s">
        <v>1738</v>
      </c>
      <c r="C1419" s="266"/>
      <c r="D1419" s="266" t="s">
        <v>1452</v>
      </c>
      <c r="E1419" s="268"/>
      <c r="F1419" s="358" t="s">
        <v>4973</v>
      </c>
      <c r="G1419" s="268" t="s">
        <v>2085</v>
      </c>
      <c r="H1419" s="270">
        <v>0.0035416666666666665</v>
      </c>
      <c r="I1419" s="271">
        <v>44427.50763888889</v>
      </c>
      <c r="J1419" s="268"/>
      <c r="K1419" s="271">
        <v>44427.5125</v>
      </c>
      <c r="L1419" s="288" t="str">
        <f t="shared" si="65"/>
        <v>12:07:00 AM</v>
      </c>
      <c r="M1419" s="278"/>
      <c r="N1419" s="290"/>
      <c r="O1419" s="276"/>
      <c r="P1419" s="276"/>
      <c r="Q1419" s="276"/>
      <c r="R1419" s="278"/>
      <c r="S1419" s="278"/>
      <c r="T1419" s="278"/>
      <c r="U1419" s="279"/>
      <c r="V1419" s="279" t="s">
        <v>1738</v>
      </c>
      <c r="W1419" s="280">
        <v>44427.0</v>
      </c>
      <c r="X1419" s="281">
        <v>0.006944444444444444</v>
      </c>
      <c r="Y1419" s="279" t="s">
        <v>1693</v>
      </c>
      <c r="Z1419" s="282" t="s">
        <v>53</v>
      </c>
      <c r="AA1419" s="282" t="s">
        <v>4973</v>
      </c>
      <c r="AB1419" s="283">
        <v>44427.0</v>
      </c>
      <c r="AC1419" s="284"/>
      <c r="AD1419" s="284"/>
    </row>
    <row r="1420" ht="14.25" customHeight="1">
      <c r="A1420" s="265">
        <v>44427.0</v>
      </c>
      <c r="B1420" s="266" t="s">
        <v>1783</v>
      </c>
      <c r="C1420" s="266"/>
      <c r="D1420" s="266" t="s">
        <v>1686</v>
      </c>
      <c r="E1420" s="268"/>
      <c r="F1420" s="358" t="s">
        <v>4974</v>
      </c>
      <c r="G1420" s="268" t="s">
        <v>2085</v>
      </c>
      <c r="H1420" s="270">
        <v>0.03796296296296296</v>
      </c>
      <c r="I1420" s="271">
        <v>44427.575</v>
      </c>
      <c r="J1420" s="268"/>
      <c r="K1420" s="271" t="s">
        <v>4975</v>
      </c>
      <c r="L1420" s="288" t="str">
        <f t="shared" si="65"/>
        <v/>
      </c>
      <c r="M1420" s="278"/>
      <c r="N1420" s="290"/>
      <c r="O1420" s="276"/>
      <c r="P1420" s="276"/>
      <c r="Q1420" s="276"/>
      <c r="R1420" s="278"/>
      <c r="S1420" s="278"/>
      <c r="T1420" s="278"/>
      <c r="U1420" s="279"/>
      <c r="V1420" s="279" t="s">
        <v>1783</v>
      </c>
      <c r="W1420" s="280">
        <v>44428.0</v>
      </c>
      <c r="X1420" s="281">
        <v>0.15277777777777776</v>
      </c>
      <c r="Y1420" s="279" t="s">
        <v>1693</v>
      </c>
      <c r="Z1420" s="282" t="s">
        <v>53</v>
      </c>
      <c r="AA1420" s="282" t="s">
        <v>4974</v>
      </c>
      <c r="AB1420" s="283">
        <v>44431.0</v>
      </c>
      <c r="AC1420" s="284"/>
      <c r="AD1420" s="284"/>
    </row>
    <row r="1421" ht="14.25" customHeight="1">
      <c r="A1421" s="265">
        <v>44427.0</v>
      </c>
      <c r="B1421" s="266" t="s">
        <v>1500</v>
      </c>
      <c r="C1421" s="266"/>
      <c r="D1421" s="266" t="s">
        <v>1455</v>
      </c>
      <c r="E1421" s="268"/>
      <c r="F1421" s="358" t="s">
        <v>4976</v>
      </c>
      <c r="G1421" s="268" t="s">
        <v>2085</v>
      </c>
      <c r="H1421" s="270">
        <v>0.021354166666666664</v>
      </c>
      <c r="I1421" s="271">
        <v>44428.54791666667</v>
      </c>
      <c r="J1421" s="268"/>
      <c r="K1421" s="271">
        <v>44428.56306712963</v>
      </c>
      <c r="L1421" s="288" t="str">
        <f t="shared" si="65"/>
        <v>12:21:49 AM</v>
      </c>
      <c r="M1421" s="278"/>
      <c r="N1421" s="290"/>
      <c r="O1421" s="276"/>
      <c r="P1421" s="276"/>
      <c r="Q1421" s="276"/>
      <c r="R1421" s="278"/>
      <c r="S1421" s="278"/>
      <c r="T1421" s="278"/>
      <c r="U1421" s="279"/>
      <c r="V1421" s="279" t="s">
        <v>1824</v>
      </c>
      <c r="W1421" s="280">
        <v>44428.0</v>
      </c>
      <c r="X1421" s="281">
        <v>0.08333333333333333</v>
      </c>
      <c r="Y1421" s="279" t="s">
        <v>1693</v>
      </c>
      <c r="Z1421" s="282" t="s">
        <v>53</v>
      </c>
      <c r="AA1421" s="282" t="s">
        <v>4976</v>
      </c>
      <c r="AB1421" s="283">
        <v>44431.0</v>
      </c>
      <c r="AC1421" s="284"/>
      <c r="AD1421" s="284"/>
    </row>
    <row r="1422" ht="14.25" customHeight="1">
      <c r="A1422" s="265">
        <v>44428.0</v>
      </c>
      <c r="B1422" s="266"/>
      <c r="C1422" s="266"/>
      <c r="D1422" s="266" t="s">
        <v>1452</v>
      </c>
      <c r="E1422" s="268"/>
      <c r="F1422" s="291" t="s">
        <v>4036</v>
      </c>
      <c r="G1422" s="268" t="s">
        <v>28</v>
      </c>
      <c r="H1422" s="268" t="s">
        <v>28</v>
      </c>
      <c r="I1422" s="268" t="s">
        <v>28</v>
      </c>
      <c r="J1422" s="268"/>
      <c r="K1422" s="268" t="s">
        <v>28</v>
      </c>
      <c r="L1422" s="288" t="str">
        <f t="shared" si="65"/>
        <v/>
      </c>
      <c r="M1422" s="278" t="s">
        <v>3915</v>
      </c>
      <c r="N1422" s="290"/>
      <c r="O1422" s="276"/>
      <c r="P1422" s="276"/>
      <c r="Q1422" s="276"/>
      <c r="R1422" s="278"/>
      <c r="S1422" s="278"/>
      <c r="T1422" s="278" t="s">
        <v>3915</v>
      </c>
      <c r="U1422" s="279"/>
      <c r="V1422" s="279" t="s">
        <v>28</v>
      </c>
      <c r="W1422" s="279" t="s">
        <v>28</v>
      </c>
      <c r="X1422" s="279" t="s">
        <v>28</v>
      </c>
      <c r="Y1422" s="279" t="s">
        <v>28</v>
      </c>
      <c r="Z1422" s="282" t="s">
        <v>28</v>
      </c>
      <c r="AA1422" s="282" t="s">
        <v>28</v>
      </c>
      <c r="AB1422" s="282" t="s">
        <v>28</v>
      </c>
      <c r="AC1422" s="284"/>
      <c r="AD1422" s="284"/>
    </row>
    <row r="1423" ht="14.25" customHeight="1">
      <c r="A1423" s="265">
        <v>44428.0</v>
      </c>
      <c r="B1423" s="266" t="s">
        <v>1685</v>
      </c>
      <c r="C1423" s="266"/>
      <c r="D1423" s="266" t="s">
        <v>1450</v>
      </c>
      <c r="E1423" s="268"/>
      <c r="F1423" s="358" t="s">
        <v>4977</v>
      </c>
      <c r="G1423" s="268" t="s">
        <v>2085</v>
      </c>
      <c r="H1423" s="288">
        <v>0.09868055555555555</v>
      </c>
      <c r="I1423" s="271">
        <v>44431.106400462966</v>
      </c>
      <c r="J1423" s="268"/>
      <c r="K1423" s="271">
        <v>44431.106400462966</v>
      </c>
      <c r="L1423" s="288" t="str">
        <f t="shared" si="65"/>
        <v>12:00:00 AM</v>
      </c>
      <c r="M1423" s="278"/>
      <c r="N1423" s="290"/>
      <c r="O1423" s="276"/>
      <c r="P1423" s="276"/>
      <c r="Q1423" s="276"/>
      <c r="R1423" s="278"/>
      <c r="S1423" s="278"/>
      <c r="T1423" s="278"/>
      <c r="U1423" s="279"/>
      <c r="V1423" s="279" t="s">
        <v>1685</v>
      </c>
      <c r="W1423" s="280" t="s">
        <v>4978</v>
      </c>
      <c r="X1423" s="279"/>
      <c r="Y1423" s="279" t="s">
        <v>1693</v>
      </c>
      <c r="Z1423" s="282" t="s">
        <v>53</v>
      </c>
      <c r="AA1423" s="282" t="s">
        <v>4977</v>
      </c>
      <c r="AB1423" s="283">
        <v>44431.0</v>
      </c>
      <c r="AC1423" s="284"/>
      <c r="AD1423" s="284"/>
    </row>
    <row r="1424" ht="14.25" customHeight="1">
      <c r="A1424" s="265">
        <v>44428.0</v>
      </c>
      <c r="B1424" s="266" t="s">
        <v>1783</v>
      </c>
      <c r="C1424" s="266"/>
      <c r="D1424" s="266" t="s">
        <v>1686</v>
      </c>
      <c r="E1424" s="268"/>
      <c r="F1424" s="358" t="s">
        <v>4979</v>
      </c>
      <c r="G1424" s="268" t="s">
        <v>2085</v>
      </c>
      <c r="H1424" s="270">
        <v>0.037002314814814814</v>
      </c>
      <c r="I1424" s="271">
        <v>44428.5875</v>
      </c>
      <c r="J1424" s="268"/>
      <c r="K1424" s="271">
        <v>44428.625601851854</v>
      </c>
      <c r="L1424" s="288" t="str">
        <f t="shared" si="65"/>
        <v>12:54:52 AM</v>
      </c>
      <c r="M1424" s="278"/>
      <c r="N1424" s="290"/>
      <c r="O1424" s="276"/>
      <c r="P1424" s="276"/>
      <c r="Q1424" s="276"/>
      <c r="R1424" s="278"/>
      <c r="S1424" s="278"/>
      <c r="T1424" s="278"/>
      <c r="U1424" s="279"/>
      <c r="V1424" s="279" t="s">
        <v>1783</v>
      </c>
      <c r="W1424" s="280" t="s">
        <v>4980</v>
      </c>
      <c r="X1424" s="281">
        <v>0.14583333333333334</v>
      </c>
      <c r="Y1424" s="279" t="s">
        <v>1693</v>
      </c>
      <c r="Z1424" s="282" t="s">
        <v>53</v>
      </c>
      <c r="AA1424" s="282" t="s">
        <v>4979</v>
      </c>
      <c r="AB1424" s="283">
        <v>44431.0</v>
      </c>
      <c r="AC1424" s="284"/>
      <c r="AD1424" s="284"/>
    </row>
    <row r="1425" ht="14.25" customHeight="1">
      <c r="A1425" s="265">
        <v>44428.0</v>
      </c>
      <c r="B1425" s="266" t="s">
        <v>1746</v>
      </c>
      <c r="C1425" s="266"/>
      <c r="D1425" s="266" t="s">
        <v>1455</v>
      </c>
      <c r="E1425" s="268"/>
      <c r="F1425" s="358" t="s">
        <v>4981</v>
      </c>
      <c r="G1425" s="268" t="s">
        <v>2085</v>
      </c>
      <c r="H1425" s="270">
        <v>0.020775462962962964</v>
      </c>
      <c r="I1425" s="271">
        <v>44431.47083333333</v>
      </c>
      <c r="J1425" s="268"/>
      <c r="K1425" s="424" t="s">
        <v>4982</v>
      </c>
      <c r="L1425" s="288" t="str">
        <f t="shared" si="65"/>
        <v/>
      </c>
      <c r="M1425" s="278"/>
      <c r="N1425" s="290"/>
      <c r="O1425" s="276"/>
      <c r="P1425" s="276"/>
      <c r="Q1425" s="276"/>
      <c r="R1425" s="278"/>
      <c r="S1425" s="278"/>
      <c r="T1425" s="278"/>
      <c r="U1425" s="279"/>
      <c r="V1425" s="279" t="s">
        <v>1824</v>
      </c>
      <c r="W1425" s="280">
        <v>44432.0</v>
      </c>
      <c r="X1425" s="281">
        <v>0.08333333333333333</v>
      </c>
      <c r="Y1425" s="279" t="s">
        <v>1693</v>
      </c>
      <c r="Z1425" s="282" t="s">
        <v>53</v>
      </c>
      <c r="AA1425" s="282" t="s">
        <v>4981</v>
      </c>
      <c r="AB1425" s="283">
        <v>44432.0</v>
      </c>
      <c r="AC1425" s="284"/>
      <c r="AD1425" s="284"/>
    </row>
    <row r="1426" ht="14.25" customHeight="1">
      <c r="A1426" s="265">
        <v>44429.0</v>
      </c>
      <c r="B1426" s="266" t="s">
        <v>1783</v>
      </c>
      <c r="C1426" s="266"/>
      <c r="D1426" s="266" t="s">
        <v>1686</v>
      </c>
      <c r="E1426" s="268"/>
      <c r="F1426" s="358" t="s">
        <v>4983</v>
      </c>
      <c r="G1426" s="268" t="s">
        <v>2085</v>
      </c>
      <c r="H1426" s="270">
        <v>0.03747685185185185</v>
      </c>
      <c r="I1426" s="271">
        <v>44431.36319444444</v>
      </c>
      <c r="J1426" s="268"/>
      <c r="K1426" s="271">
        <v>44431.47555555555</v>
      </c>
      <c r="L1426" s="288" t="str">
        <f t="shared" si="65"/>
        <v>2:41:48 AM</v>
      </c>
      <c r="M1426" s="278"/>
      <c r="N1426" s="290"/>
      <c r="O1426" s="276"/>
      <c r="P1426" s="276"/>
      <c r="Q1426" s="276"/>
      <c r="R1426" s="278"/>
      <c r="S1426" s="278"/>
      <c r="T1426" s="278"/>
      <c r="U1426" s="279"/>
      <c r="V1426" s="279" t="s">
        <v>1783</v>
      </c>
      <c r="W1426" s="280">
        <v>44431.0</v>
      </c>
      <c r="X1426" s="281">
        <v>0.14583333333333334</v>
      </c>
      <c r="Y1426" s="279" t="s">
        <v>1693</v>
      </c>
      <c r="Z1426" s="282" t="s">
        <v>53</v>
      </c>
      <c r="AA1426" s="282" t="s">
        <v>4983</v>
      </c>
      <c r="AB1426" s="283">
        <v>44432.0</v>
      </c>
      <c r="AC1426" s="284"/>
      <c r="AD1426" s="284"/>
    </row>
    <row r="1427" ht="14.25" customHeight="1">
      <c r="A1427" s="265">
        <v>44429.0</v>
      </c>
      <c r="B1427" s="266" t="s">
        <v>3677</v>
      </c>
      <c r="C1427" s="266"/>
      <c r="D1427" s="266" t="s">
        <v>1455</v>
      </c>
      <c r="E1427" s="268"/>
      <c r="F1427" s="358" t="s">
        <v>4984</v>
      </c>
      <c r="G1427" s="268" t="s">
        <v>2085</v>
      </c>
      <c r="H1427" s="270">
        <v>0.01462962962962963</v>
      </c>
      <c r="I1427" s="271">
        <v>44431.47083333333</v>
      </c>
      <c r="J1427" s="268"/>
      <c r="K1427" s="271">
        <v>44432.29072916666</v>
      </c>
      <c r="L1427" s="288" t="str">
        <f t="shared" si="65"/>
        <v>7:40:39 PM</v>
      </c>
      <c r="M1427" s="278"/>
      <c r="N1427" s="290"/>
      <c r="O1427" s="276"/>
      <c r="P1427" s="276"/>
      <c r="Q1427" s="276"/>
      <c r="R1427" s="278"/>
      <c r="S1427" s="278"/>
      <c r="T1427" s="278"/>
      <c r="U1427" s="279"/>
      <c r="V1427" s="279" t="s">
        <v>1824</v>
      </c>
      <c r="W1427" s="280">
        <v>44432.0</v>
      </c>
      <c r="X1427" s="281">
        <v>0.08333333333333333</v>
      </c>
      <c r="Y1427" s="279" t="s">
        <v>1693</v>
      </c>
      <c r="Z1427" s="282" t="s">
        <v>53</v>
      </c>
      <c r="AA1427" s="282" t="s">
        <v>4984</v>
      </c>
      <c r="AB1427" s="283">
        <v>44432.0</v>
      </c>
      <c r="AC1427" s="284"/>
      <c r="AD1427" s="284"/>
    </row>
    <row r="1428" ht="14.25" customHeight="1">
      <c r="A1428" s="265">
        <v>44430.0</v>
      </c>
      <c r="B1428" s="266" t="s">
        <v>1500</v>
      </c>
      <c r="C1428" s="266"/>
      <c r="D1428" s="266" t="s">
        <v>4985</v>
      </c>
      <c r="E1428" s="268"/>
      <c r="F1428" s="358">
        <v>6483183.0</v>
      </c>
      <c r="G1428" s="268" t="s">
        <v>3839</v>
      </c>
      <c r="H1428" s="270">
        <v>0.02271990740740741</v>
      </c>
      <c r="I1428" s="271">
        <v>44431.53125</v>
      </c>
      <c r="J1428" s="268"/>
      <c r="K1428" s="268"/>
      <c r="L1428" s="288"/>
      <c r="M1428" s="278"/>
      <c r="N1428" s="290"/>
      <c r="O1428" s="276"/>
      <c r="P1428" s="276"/>
      <c r="Q1428" s="276"/>
      <c r="R1428" s="278"/>
      <c r="S1428" s="278"/>
      <c r="T1428" s="278"/>
      <c r="U1428" s="279"/>
      <c r="V1428" s="279"/>
      <c r="W1428" s="279"/>
      <c r="X1428" s="279"/>
      <c r="Y1428" s="279"/>
      <c r="Z1428" s="282" t="s">
        <v>4986</v>
      </c>
      <c r="AA1428" s="282">
        <v>6483183.0</v>
      </c>
      <c r="AB1428" s="283">
        <v>44432.0</v>
      </c>
      <c r="AC1428" s="284"/>
      <c r="AD1428" s="284"/>
    </row>
    <row r="1429" ht="14.25" customHeight="1">
      <c r="A1429" s="265">
        <v>44430.0</v>
      </c>
      <c r="B1429" s="266" t="s">
        <v>1500</v>
      </c>
      <c r="C1429" s="266"/>
      <c r="D1429" s="266" t="s">
        <v>1457</v>
      </c>
      <c r="E1429" s="268"/>
      <c r="F1429" s="358" t="s">
        <v>4987</v>
      </c>
      <c r="G1429" s="268" t="s">
        <v>2085</v>
      </c>
      <c r="H1429" s="270">
        <v>0.017974537037037035</v>
      </c>
      <c r="I1429" s="271">
        <v>44431.47222222222</v>
      </c>
      <c r="J1429" s="268"/>
      <c r="K1429" s="271">
        <v>44432.291655092595</v>
      </c>
      <c r="L1429" s="288" t="str">
        <f t="shared" ref="L1429:L1430" si="66">IFERROR(IF(OR(I1429="",K1429=""),"",K1429-I1429),"")</f>
        <v>7:39:59 PM</v>
      </c>
      <c r="M1429" s="278"/>
      <c r="N1429" s="290"/>
      <c r="O1429" s="276"/>
      <c r="P1429" s="276"/>
      <c r="Q1429" s="276"/>
      <c r="R1429" s="278"/>
      <c r="S1429" s="278"/>
      <c r="T1429" s="278"/>
      <c r="U1429" s="279"/>
      <c r="V1429" s="279" t="s">
        <v>1824</v>
      </c>
      <c r="W1429" s="280">
        <v>44432.0</v>
      </c>
      <c r="X1429" s="281">
        <v>0.041666666666666664</v>
      </c>
      <c r="Y1429" s="279" t="s">
        <v>1693</v>
      </c>
      <c r="Z1429" s="282" t="s">
        <v>53</v>
      </c>
      <c r="AA1429" s="282" t="s">
        <v>4987</v>
      </c>
      <c r="AB1429" s="283">
        <v>44432.0</v>
      </c>
      <c r="AC1429" s="284"/>
      <c r="AD1429" s="284"/>
    </row>
    <row r="1430" ht="14.25" customHeight="1">
      <c r="A1430" s="265">
        <v>44430.0</v>
      </c>
      <c r="B1430" s="266" t="s">
        <v>1500</v>
      </c>
      <c r="C1430" s="266"/>
      <c r="D1430" s="266" t="s">
        <v>2829</v>
      </c>
      <c r="E1430" s="268"/>
      <c r="F1430" s="358" t="s">
        <v>4988</v>
      </c>
      <c r="G1430" s="268" t="s">
        <v>2085</v>
      </c>
      <c r="H1430" s="270">
        <v>0.018877314814814816</v>
      </c>
      <c r="I1430" s="271">
        <v>44431.48263888889</v>
      </c>
      <c r="J1430" s="268"/>
      <c r="K1430" s="268"/>
      <c r="L1430" s="288" t="str">
        <f t="shared" si="66"/>
        <v/>
      </c>
      <c r="M1430" s="278"/>
      <c r="N1430" s="273">
        <v>44432.42361111111</v>
      </c>
      <c r="O1430" s="276" t="s">
        <v>4989</v>
      </c>
      <c r="P1430" s="276" t="s">
        <v>1463</v>
      </c>
      <c r="Q1430" s="276" t="s">
        <v>1819</v>
      </c>
      <c r="R1430" s="277">
        <v>44432.472407407404</v>
      </c>
      <c r="S1430" s="278"/>
      <c r="T1430" s="278" t="s">
        <v>4990</v>
      </c>
      <c r="U1430" s="279"/>
      <c r="V1430" s="279"/>
      <c r="W1430" s="279"/>
      <c r="X1430" s="279"/>
      <c r="Y1430" s="279"/>
      <c r="Z1430" s="282" t="s">
        <v>53</v>
      </c>
      <c r="AA1430" s="282" t="s">
        <v>4988</v>
      </c>
      <c r="AB1430" s="283">
        <v>44433.0</v>
      </c>
      <c r="AC1430" s="284"/>
      <c r="AD1430" s="284"/>
    </row>
    <row r="1431" ht="14.25" customHeight="1">
      <c r="A1431" s="265">
        <v>44431.0</v>
      </c>
      <c r="B1431" s="266" t="s">
        <v>1500</v>
      </c>
      <c r="C1431" s="266" t="s">
        <v>1686</v>
      </c>
      <c r="D1431" s="266" t="s">
        <v>1543</v>
      </c>
      <c r="E1431" s="268"/>
      <c r="F1431" s="291" t="s">
        <v>4991</v>
      </c>
      <c r="G1431" s="268" t="s">
        <v>1463</v>
      </c>
      <c r="H1431" s="270">
        <v>0.002199074074074074</v>
      </c>
      <c r="I1431" s="271">
        <v>44431.768055555556</v>
      </c>
      <c r="J1431" s="268"/>
      <c r="K1431" s="271">
        <v>44432.107037037036</v>
      </c>
      <c r="L1431" s="288"/>
      <c r="M1431" s="278" t="s">
        <v>4992</v>
      </c>
      <c r="N1431" s="290"/>
      <c r="O1431" s="276"/>
      <c r="P1431" s="276"/>
      <c r="Q1431" s="276"/>
      <c r="R1431" s="278"/>
      <c r="S1431" s="278"/>
      <c r="T1431" s="278"/>
      <c r="U1431" s="279"/>
      <c r="V1431" s="279" t="s">
        <v>1738</v>
      </c>
      <c r="W1431" s="280">
        <v>44445.0</v>
      </c>
      <c r="X1431" s="281">
        <v>0.010416666666666666</v>
      </c>
      <c r="Y1431" s="279" t="s">
        <v>1693</v>
      </c>
      <c r="Z1431" s="282" t="s">
        <v>53</v>
      </c>
      <c r="AA1431" s="282">
        <v>6529494.0</v>
      </c>
      <c r="AB1431" s="283">
        <v>44433.0</v>
      </c>
      <c r="AC1431" s="284"/>
      <c r="AD1431" s="284"/>
    </row>
    <row r="1432" ht="14.25" customHeight="1">
      <c r="A1432" s="265">
        <v>44431.0</v>
      </c>
      <c r="B1432" s="266" t="s">
        <v>1783</v>
      </c>
      <c r="C1432" s="266" t="s">
        <v>1831</v>
      </c>
      <c r="D1432" s="266" t="s">
        <v>1686</v>
      </c>
      <c r="E1432" s="268"/>
      <c r="F1432" s="286" t="s">
        <v>4993</v>
      </c>
      <c r="G1432" s="268" t="s">
        <v>4787</v>
      </c>
      <c r="H1432" s="270"/>
      <c r="I1432" s="271"/>
      <c r="J1432" s="268"/>
      <c r="K1432" s="271"/>
      <c r="L1432" s="288"/>
      <c r="M1432" s="278" t="s">
        <v>3915</v>
      </c>
      <c r="N1432" s="290"/>
      <c r="O1432" s="276"/>
      <c r="P1432" s="276"/>
      <c r="Q1432" s="276"/>
      <c r="R1432" s="278"/>
      <c r="S1432" s="278"/>
      <c r="T1432" s="278" t="s">
        <v>3915</v>
      </c>
      <c r="U1432" s="279"/>
      <c r="V1432" s="279" t="s">
        <v>28</v>
      </c>
      <c r="W1432" s="280" t="s">
        <v>28</v>
      </c>
      <c r="X1432" s="279" t="s">
        <v>28</v>
      </c>
      <c r="Y1432" s="279" t="s">
        <v>28</v>
      </c>
      <c r="Z1432" s="282" t="s">
        <v>28</v>
      </c>
      <c r="AA1432" s="282" t="s">
        <v>28</v>
      </c>
      <c r="AB1432" s="283" t="s">
        <v>28</v>
      </c>
      <c r="AC1432" s="284"/>
      <c r="AD1432" s="284"/>
    </row>
    <row r="1433" ht="14.25" customHeight="1">
      <c r="A1433" s="265">
        <v>44431.0</v>
      </c>
      <c r="B1433" s="266" t="s">
        <v>1685</v>
      </c>
      <c r="C1433" s="266"/>
      <c r="D1433" s="266" t="s">
        <v>1450</v>
      </c>
      <c r="E1433" s="268"/>
      <c r="F1433" s="358" t="s">
        <v>4994</v>
      </c>
      <c r="G1433" s="268" t="s">
        <v>2085</v>
      </c>
      <c r="H1433" s="270">
        <v>0.09907407407407408</v>
      </c>
      <c r="I1433" s="271">
        <v>44431.48611111111</v>
      </c>
      <c r="J1433" s="268"/>
      <c r="K1433" s="271">
        <v>44432.29829861111</v>
      </c>
      <c r="L1433" s="288" t="str">
        <f t="shared" ref="L1433:L1436" si="67">IFERROR(IF(OR(I1433="",K1433=""),"",K1433-I1433),"")</f>
        <v>7:29:33 PM</v>
      </c>
      <c r="M1433" s="278"/>
      <c r="N1433" s="290"/>
      <c r="O1433" s="276"/>
      <c r="P1433" s="276"/>
      <c r="Q1433" s="276"/>
      <c r="R1433" s="278"/>
      <c r="S1433" s="278"/>
      <c r="T1433" s="278"/>
      <c r="U1433" s="279"/>
      <c r="V1433" s="279" t="s">
        <v>1685</v>
      </c>
      <c r="W1433" s="280">
        <v>44432.0</v>
      </c>
      <c r="X1433" s="281">
        <v>0.25</v>
      </c>
      <c r="Y1433" s="279" t="s">
        <v>1693</v>
      </c>
      <c r="Z1433" s="282" t="s">
        <v>53</v>
      </c>
      <c r="AA1433" s="282" t="s">
        <v>4994</v>
      </c>
      <c r="AB1433" s="283">
        <v>44432.0</v>
      </c>
      <c r="AC1433" s="284"/>
      <c r="AD1433" s="284"/>
    </row>
    <row r="1434" ht="14.25" customHeight="1">
      <c r="A1434" s="265">
        <v>44431.0</v>
      </c>
      <c r="B1434" s="266" t="s">
        <v>1783</v>
      </c>
      <c r="C1434" s="266"/>
      <c r="D1434" s="266" t="s">
        <v>1452</v>
      </c>
      <c r="E1434" s="268"/>
      <c r="F1434" s="358" t="s">
        <v>4995</v>
      </c>
      <c r="G1434" s="268" t="s">
        <v>2085</v>
      </c>
      <c r="H1434" s="270">
        <v>0.003263888888888889</v>
      </c>
      <c r="I1434" s="271">
        <v>44431.47986111111</v>
      </c>
      <c r="J1434" s="268"/>
      <c r="K1434" s="271">
        <v>44432.29274305556</v>
      </c>
      <c r="L1434" s="288" t="str">
        <f t="shared" si="67"/>
        <v>7:30:33 PM</v>
      </c>
      <c r="M1434" s="278"/>
      <c r="N1434" s="290"/>
      <c r="O1434" s="276"/>
      <c r="P1434" s="276"/>
      <c r="Q1434" s="276"/>
      <c r="R1434" s="278"/>
      <c r="S1434" s="278"/>
      <c r="T1434" s="278"/>
      <c r="U1434" s="279"/>
      <c r="V1434" s="279" t="s">
        <v>1783</v>
      </c>
      <c r="W1434" s="280">
        <v>44431.0</v>
      </c>
      <c r="X1434" s="281">
        <v>0.006944444444444444</v>
      </c>
      <c r="Y1434" s="279" t="s">
        <v>1693</v>
      </c>
      <c r="Z1434" s="282" t="s">
        <v>53</v>
      </c>
      <c r="AA1434" s="282" t="s">
        <v>4995</v>
      </c>
      <c r="AB1434" s="283">
        <v>44432.0</v>
      </c>
      <c r="AC1434" s="284"/>
      <c r="AD1434" s="284"/>
    </row>
    <row r="1435" ht="14.25" customHeight="1">
      <c r="A1435" s="265">
        <v>44431.0</v>
      </c>
      <c r="B1435" s="266" t="s">
        <v>1783</v>
      </c>
      <c r="C1435" s="266"/>
      <c r="D1435" s="266" t="s">
        <v>1686</v>
      </c>
      <c r="E1435" s="268"/>
      <c r="F1435" s="358" t="s">
        <v>4996</v>
      </c>
      <c r="G1435" s="268" t="s">
        <v>2085</v>
      </c>
      <c r="H1435" s="270">
        <v>0.03840277777777778</v>
      </c>
      <c r="I1435" s="271">
        <v>44431.6125</v>
      </c>
      <c r="J1435" s="268"/>
      <c r="K1435" s="271">
        <v>44431.98275462963</v>
      </c>
      <c r="L1435" s="288" t="str">
        <f t="shared" si="67"/>
        <v>8:53:10 AM</v>
      </c>
      <c r="M1435" s="278"/>
      <c r="N1435" s="290"/>
      <c r="O1435" s="276"/>
      <c r="P1435" s="276"/>
      <c r="Q1435" s="276"/>
      <c r="R1435" s="278"/>
      <c r="S1435" s="278"/>
      <c r="T1435" s="278"/>
      <c r="U1435" s="279"/>
      <c r="V1435" s="279" t="s">
        <v>1783</v>
      </c>
      <c r="W1435" s="280">
        <v>44432.0</v>
      </c>
      <c r="X1435" s="281">
        <v>0.16666666666666666</v>
      </c>
      <c r="Y1435" s="279" t="s">
        <v>1693</v>
      </c>
      <c r="Z1435" s="282" t="s">
        <v>53</v>
      </c>
      <c r="AA1435" s="282" t="s">
        <v>4996</v>
      </c>
      <c r="AB1435" s="283">
        <v>44432.0</v>
      </c>
      <c r="AC1435" s="284"/>
      <c r="AD1435" s="284"/>
    </row>
    <row r="1436" ht="14.25" customHeight="1">
      <c r="A1436" s="265">
        <v>44431.0</v>
      </c>
      <c r="B1436" s="266" t="s">
        <v>1746</v>
      </c>
      <c r="C1436" s="266"/>
      <c r="D1436" s="266" t="s">
        <v>1455</v>
      </c>
      <c r="E1436" s="268"/>
      <c r="F1436" s="358" t="s">
        <v>4997</v>
      </c>
      <c r="G1436" s="268" t="s">
        <v>2085</v>
      </c>
      <c r="H1436" s="270">
        <v>0.017430555555555557</v>
      </c>
      <c r="I1436" s="271">
        <v>44431.975694444445</v>
      </c>
      <c r="J1436" s="268"/>
      <c r="K1436" s="424" t="s">
        <v>4998</v>
      </c>
      <c r="L1436" s="288" t="str">
        <f t="shared" si="67"/>
        <v/>
      </c>
      <c r="M1436" s="278"/>
      <c r="N1436" s="290"/>
      <c r="O1436" s="276"/>
      <c r="P1436" s="276"/>
      <c r="Q1436" s="276"/>
      <c r="R1436" s="278"/>
      <c r="S1436" s="278"/>
      <c r="T1436" s="278"/>
      <c r="U1436" s="279"/>
      <c r="V1436" s="279" t="s">
        <v>1824</v>
      </c>
      <c r="W1436" s="280">
        <v>44433.0</v>
      </c>
      <c r="X1436" s="281">
        <v>0.08333333333333333</v>
      </c>
      <c r="Y1436" s="279" t="s">
        <v>1693</v>
      </c>
      <c r="Z1436" s="282" t="s">
        <v>53</v>
      </c>
      <c r="AA1436" s="282" t="s">
        <v>4997</v>
      </c>
      <c r="AB1436" s="283">
        <v>44432.0</v>
      </c>
      <c r="AC1436" s="284"/>
      <c r="AD1436" s="284"/>
    </row>
    <row r="1437" ht="14.25" customHeight="1">
      <c r="A1437" s="265">
        <v>44432.0</v>
      </c>
      <c r="B1437" s="266" t="s">
        <v>1500</v>
      </c>
      <c r="C1437" s="266" t="s">
        <v>1450</v>
      </c>
      <c r="D1437" s="266" t="s">
        <v>1543</v>
      </c>
      <c r="E1437" s="268"/>
      <c r="F1437" s="269" t="s">
        <v>4999</v>
      </c>
      <c r="G1437" s="268" t="s">
        <v>1463</v>
      </c>
      <c r="H1437" s="270">
        <v>0.0012152777777777778</v>
      </c>
      <c r="I1437" s="271">
        <v>44434.603472222225</v>
      </c>
      <c r="J1437" s="268"/>
      <c r="K1437" s="271">
        <v>44434.6159375</v>
      </c>
      <c r="L1437" s="288"/>
      <c r="M1437" s="278" t="s">
        <v>5000</v>
      </c>
      <c r="N1437" s="290"/>
      <c r="O1437" s="276"/>
      <c r="P1437" s="276"/>
      <c r="Q1437" s="276"/>
      <c r="R1437" s="278"/>
      <c r="S1437" s="278"/>
      <c r="T1437" s="278"/>
      <c r="U1437" s="279"/>
      <c r="V1437" s="279" t="s">
        <v>1738</v>
      </c>
      <c r="W1437" s="280">
        <v>44445.0</v>
      </c>
      <c r="X1437" s="281">
        <v>0.010416666666666666</v>
      </c>
      <c r="Y1437" s="279" t="s">
        <v>1693</v>
      </c>
      <c r="Z1437" s="282" t="s">
        <v>53</v>
      </c>
      <c r="AA1437" s="282">
        <v>6536965.0</v>
      </c>
      <c r="AB1437" s="283">
        <v>44435.0</v>
      </c>
      <c r="AC1437" s="284"/>
      <c r="AD1437" s="284"/>
    </row>
    <row r="1438" ht="14.25" customHeight="1">
      <c r="A1438" s="265">
        <v>44432.0</v>
      </c>
      <c r="B1438" s="266" t="s">
        <v>1685</v>
      </c>
      <c r="C1438" s="266"/>
      <c r="D1438" s="266" t="s">
        <v>1450</v>
      </c>
      <c r="E1438" s="268"/>
      <c r="F1438" s="358" t="s">
        <v>5001</v>
      </c>
      <c r="G1438" s="268" t="s">
        <v>2085</v>
      </c>
      <c r="H1438" s="270">
        <v>0.0977662037037037</v>
      </c>
      <c r="I1438" s="271">
        <v>44432.49930555555</v>
      </c>
      <c r="J1438" s="268"/>
      <c r="K1438" s="268"/>
      <c r="L1438" s="288" t="str">
        <f t="shared" ref="L1438:L1441" si="68">IFERROR(IF(OR(I1438="",K1438=""),"",K1438-I1438),"")</f>
        <v/>
      </c>
      <c r="M1438" s="307" t="s">
        <v>2808</v>
      </c>
      <c r="N1438" s="273">
        <v>44432.72708333333</v>
      </c>
      <c r="O1438" s="276" t="s">
        <v>5002</v>
      </c>
      <c r="P1438" s="276" t="s">
        <v>1463</v>
      </c>
      <c r="Q1438" s="276" t="s">
        <v>1819</v>
      </c>
      <c r="R1438" s="278"/>
      <c r="S1438" s="278"/>
      <c r="T1438" s="278" t="s">
        <v>5003</v>
      </c>
      <c r="U1438" s="279"/>
      <c r="V1438" s="279" t="s">
        <v>1685</v>
      </c>
      <c r="W1438" s="280">
        <v>44433.0</v>
      </c>
      <c r="X1438" s="281">
        <v>0.25</v>
      </c>
      <c r="Y1438" s="279" t="s">
        <v>1693</v>
      </c>
      <c r="Z1438" s="282" t="s">
        <v>53</v>
      </c>
      <c r="AA1438" s="282" t="s">
        <v>5001</v>
      </c>
      <c r="AB1438" s="283">
        <v>44433.0</v>
      </c>
      <c r="AC1438" s="284"/>
      <c r="AD1438" s="284"/>
    </row>
    <row r="1439" ht="14.25" customHeight="1">
      <c r="A1439" s="265">
        <v>44432.0</v>
      </c>
      <c r="B1439" s="266" t="s">
        <v>1783</v>
      </c>
      <c r="C1439" s="266"/>
      <c r="D1439" s="266" t="s">
        <v>1452</v>
      </c>
      <c r="E1439" s="268"/>
      <c r="F1439" s="358" t="s">
        <v>5004</v>
      </c>
      <c r="G1439" s="268" t="s">
        <v>2085</v>
      </c>
      <c r="H1439" s="270">
        <v>0.005011574074074074</v>
      </c>
      <c r="I1439" s="271">
        <v>44432.44861111111</v>
      </c>
      <c r="J1439" s="268"/>
      <c r="K1439" s="271">
        <v>44432.494618055556</v>
      </c>
      <c r="L1439" s="288" t="str">
        <f t="shared" si="68"/>
        <v>1:06:15 AM</v>
      </c>
      <c r="M1439" s="278"/>
      <c r="N1439" s="290"/>
      <c r="O1439" s="276"/>
      <c r="P1439" s="276"/>
      <c r="Q1439" s="276"/>
      <c r="R1439" s="278"/>
      <c r="S1439" s="278"/>
      <c r="T1439" s="278"/>
      <c r="U1439" s="279"/>
      <c r="V1439" s="279" t="s">
        <v>1783</v>
      </c>
      <c r="W1439" s="280">
        <v>44432.0</v>
      </c>
      <c r="X1439" s="281">
        <v>0.015277777777777777</v>
      </c>
      <c r="Y1439" s="279" t="s">
        <v>1693</v>
      </c>
      <c r="Z1439" s="282" t="s">
        <v>53</v>
      </c>
      <c r="AA1439" s="282" t="s">
        <v>5004</v>
      </c>
      <c r="AB1439" s="283">
        <v>44433.0</v>
      </c>
      <c r="AC1439" s="284"/>
      <c r="AD1439" s="284"/>
    </row>
    <row r="1440" ht="14.25" customHeight="1">
      <c r="A1440" s="265">
        <v>44432.0</v>
      </c>
      <c r="B1440" s="266" t="s">
        <v>1783</v>
      </c>
      <c r="C1440" s="266"/>
      <c r="D1440" s="266" t="s">
        <v>1686</v>
      </c>
      <c r="E1440" s="268"/>
      <c r="F1440" s="358" t="s">
        <v>5005</v>
      </c>
      <c r="G1440" s="268" t="s">
        <v>2085</v>
      </c>
      <c r="H1440" s="270">
        <v>0.03702546296296296</v>
      </c>
      <c r="I1440" s="271">
        <v>44432.63402777778</v>
      </c>
      <c r="J1440" s="268"/>
      <c r="K1440" s="271">
        <v>44433.37342592593</v>
      </c>
      <c r="L1440" s="288" t="str">
        <f t="shared" si="68"/>
        <v>5:44:44 PM</v>
      </c>
      <c r="M1440" s="278"/>
      <c r="N1440" s="290"/>
      <c r="O1440" s="276"/>
      <c r="P1440" s="276"/>
      <c r="Q1440" s="276"/>
      <c r="R1440" s="278"/>
      <c r="S1440" s="278"/>
      <c r="T1440" s="278"/>
      <c r="U1440" s="279"/>
      <c r="V1440" s="279" t="s">
        <v>1783</v>
      </c>
      <c r="W1440" s="280">
        <v>44433.0</v>
      </c>
      <c r="X1440" s="281">
        <v>0.15277777777777776</v>
      </c>
      <c r="Y1440" s="279" t="s">
        <v>1693</v>
      </c>
      <c r="Z1440" s="282" t="s">
        <v>53</v>
      </c>
      <c r="AA1440" s="282" t="s">
        <v>5005</v>
      </c>
      <c r="AB1440" s="283">
        <v>44433.0</v>
      </c>
      <c r="AC1440" s="284"/>
      <c r="AD1440" s="284"/>
    </row>
    <row r="1441" ht="14.25" customHeight="1">
      <c r="A1441" s="265">
        <v>44432.0</v>
      </c>
      <c r="B1441" s="266" t="s">
        <v>1746</v>
      </c>
      <c r="C1441" s="266"/>
      <c r="D1441" s="266" t="s">
        <v>1455</v>
      </c>
      <c r="E1441" s="268"/>
      <c r="F1441" s="358" t="s">
        <v>5006</v>
      </c>
      <c r="G1441" s="268" t="s">
        <v>2085</v>
      </c>
      <c r="H1441" s="270">
        <v>0.02107638888888889</v>
      </c>
      <c r="I1441" s="271">
        <v>44432.993055555555</v>
      </c>
      <c r="J1441" s="268"/>
      <c r="K1441" s="271">
        <v>44434.00814814815</v>
      </c>
      <c r="L1441" s="288" t="str">
        <f t="shared" si="68"/>
        <v>12:21:44 AM</v>
      </c>
      <c r="M1441" s="278"/>
      <c r="N1441" s="290"/>
      <c r="O1441" s="276"/>
      <c r="P1441" s="276"/>
      <c r="Q1441" s="276"/>
      <c r="R1441" s="278"/>
      <c r="S1441" s="278"/>
      <c r="T1441" s="278"/>
      <c r="U1441" s="279"/>
      <c r="V1441" s="279" t="s">
        <v>1824</v>
      </c>
      <c r="W1441" s="280">
        <v>44433.0</v>
      </c>
      <c r="X1441" s="281">
        <v>0.08333333333333333</v>
      </c>
      <c r="Y1441" s="279" t="s">
        <v>1693</v>
      </c>
      <c r="Z1441" s="282" t="s">
        <v>53</v>
      </c>
      <c r="AA1441" s="282" t="s">
        <v>5006</v>
      </c>
      <c r="AB1441" s="283">
        <v>44433.0</v>
      </c>
      <c r="AC1441" s="284"/>
      <c r="AD1441" s="284"/>
    </row>
    <row r="1442" ht="14.25" customHeight="1">
      <c r="A1442" s="265">
        <v>44433.0</v>
      </c>
      <c r="B1442" s="266" t="s">
        <v>1783</v>
      </c>
      <c r="C1442" s="266" t="s">
        <v>1831</v>
      </c>
      <c r="D1442" s="266" t="s">
        <v>1686</v>
      </c>
      <c r="E1442" s="268"/>
      <c r="F1442" s="358" t="s">
        <v>5007</v>
      </c>
      <c r="G1442" s="268" t="s">
        <v>1463</v>
      </c>
      <c r="H1442" s="270">
        <v>0.004085648148148148</v>
      </c>
      <c r="I1442" s="271">
        <v>44433.57986111111</v>
      </c>
      <c r="J1442" s="268"/>
      <c r="K1442" s="271">
        <v>44433.58541666667</v>
      </c>
      <c r="L1442" s="288"/>
      <c r="M1442" s="278" t="s">
        <v>5008</v>
      </c>
      <c r="N1442" s="290"/>
      <c r="O1442" s="276"/>
      <c r="P1442" s="276"/>
      <c r="Q1442" s="276"/>
      <c r="R1442" s="278"/>
      <c r="S1442" s="278"/>
      <c r="T1442" s="278"/>
      <c r="U1442" s="279"/>
      <c r="V1442" s="279" t="s">
        <v>1783</v>
      </c>
      <c r="W1442" s="280">
        <v>44434.0</v>
      </c>
      <c r="X1442" s="281">
        <v>0.003472222222222222</v>
      </c>
      <c r="Y1442" s="279" t="s">
        <v>1693</v>
      </c>
      <c r="Z1442" s="282" t="s">
        <v>53</v>
      </c>
      <c r="AA1442" s="282">
        <v>6533046.0</v>
      </c>
      <c r="AB1442" s="283">
        <v>44434.0</v>
      </c>
      <c r="AC1442" s="284"/>
      <c r="AD1442" s="284"/>
    </row>
    <row r="1443" ht="14.25" customHeight="1">
      <c r="A1443" s="265">
        <v>44433.0</v>
      </c>
      <c r="B1443" s="266" t="s">
        <v>1685</v>
      </c>
      <c r="C1443" s="266"/>
      <c r="D1443" s="266" t="s">
        <v>1450</v>
      </c>
      <c r="E1443" s="268"/>
      <c r="F1443" s="358" t="s">
        <v>5009</v>
      </c>
      <c r="G1443" s="268" t="s">
        <v>2085</v>
      </c>
      <c r="H1443" s="270">
        <v>0.09787037037037037</v>
      </c>
      <c r="I1443" s="271">
        <v>44400.420324074075</v>
      </c>
      <c r="J1443" s="268"/>
      <c r="K1443" s="271">
        <v>44434.34247685185</v>
      </c>
      <c r="L1443" s="288" t="str">
        <f t="shared" ref="L1443:L1446" si="69">IFERROR(IF(OR(I1443="",K1443=""),"",K1443-I1443),"")</f>
        <v>10:07:54 PM</v>
      </c>
      <c r="M1443" s="278"/>
      <c r="N1443" s="290"/>
      <c r="O1443" s="276"/>
      <c r="P1443" s="276"/>
      <c r="Q1443" s="276"/>
      <c r="R1443" s="278"/>
      <c r="S1443" s="278"/>
      <c r="T1443" s="278"/>
      <c r="U1443" s="279"/>
      <c r="V1443" s="279" t="s">
        <v>1685</v>
      </c>
      <c r="W1443" s="280">
        <v>44434.0</v>
      </c>
      <c r="X1443" s="281">
        <v>0.25</v>
      </c>
      <c r="Y1443" s="279" t="s">
        <v>1693</v>
      </c>
      <c r="Z1443" s="282" t="s">
        <v>53</v>
      </c>
      <c r="AA1443" s="282" t="s">
        <v>5009</v>
      </c>
      <c r="AB1443" s="283">
        <v>44434.0</v>
      </c>
      <c r="AC1443" s="284"/>
      <c r="AD1443" s="284"/>
    </row>
    <row r="1444" ht="14.25" customHeight="1">
      <c r="A1444" s="265">
        <v>44433.0</v>
      </c>
      <c r="B1444" s="266" t="s">
        <v>1783</v>
      </c>
      <c r="C1444" s="266"/>
      <c r="D1444" s="266" t="s">
        <v>1452</v>
      </c>
      <c r="E1444" s="268"/>
      <c r="F1444" s="358" t="s">
        <v>5010</v>
      </c>
      <c r="G1444" s="268" t="s">
        <v>2085</v>
      </c>
      <c r="H1444" s="270">
        <v>0.005208333333333333</v>
      </c>
      <c r="I1444" s="271">
        <v>44433.447916666664</v>
      </c>
      <c r="J1444" s="268"/>
      <c r="K1444" s="271">
        <v>44433.52547453704</v>
      </c>
      <c r="L1444" s="288" t="str">
        <f t="shared" si="69"/>
        <v>1:51:41 AM</v>
      </c>
      <c r="M1444" s="278"/>
      <c r="N1444" s="290"/>
      <c r="O1444" s="276"/>
      <c r="P1444" s="276"/>
      <c r="Q1444" s="276"/>
      <c r="R1444" s="278"/>
      <c r="S1444" s="278"/>
      <c r="T1444" s="278"/>
      <c r="U1444" s="279"/>
      <c r="V1444" s="279" t="s">
        <v>1783</v>
      </c>
      <c r="W1444" s="280">
        <v>44433.0</v>
      </c>
      <c r="X1444" s="281">
        <v>0.013888888888888888</v>
      </c>
      <c r="Y1444" s="279" t="s">
        <v>1693</v>
      </c>
      <c r="Z1444" s="282" t="s">
        <v>53</v>
      </c>
      <c r="AA1444" s="282" t="s">
        <v>5010</v>
      </c>
      <c r="AB1444" s="283">
        <v>44434.0</v>
      </c>
      <c r="AC1444" s="284"/>
      <c r="AD1444" s="284"/>
    </row>
    <row r="1445" ht="14.25" customHeight="1">
      <c r="A1445" s="265">
        <v>44433.0</v>
      </c>
      <c r="B1445" s="266" t="s">
        <v>1783</v>
      </c>
      <c r="C1445" s="266"/>
      <c r="D1445" s="266" t="s">
        <v>1686</v>
      </c>
      <c r="E1445" s="268"/>
      <c r="F1445" s="358" t="s">
        <v>5011</v>
      </c>
      <c r="G1445" s="268" t="s">
        <v>2085</v>
      </c>
      <c r="H1445" s="270">
        <v>0.038599537037037036</v>
      </c>
      <c r="I1445" s="271">
        <v>44433.57708333333</v>
      </c>
      <c r="J1445" s="268"/>
      <c r="K1445" s="271">
        <v>44433.608148148145</v>
      </c>
      <c r="L1445" s="288" t="str">
        <f t="shared" si="69"/>
        <v>12:44:44 AM</v>
      </c>
      <c r="M1445" s="278"/>
      <c r="N1445" s="290"/>
      <c r="O1445" s="276"/>
      <c r="P1445" s="276"/>
      <c r="Q1445" s="276"/>
      <c r="R1445" s="278"/>
      <c r="S1445" s="278"/>
      <c r="T1445" s="278"/>
      <c r="U1445" s="279"/>
      <c r="V1445" s="279" t="s">
        <v>1783</v>
      </c>
      <c r="W1445" s="280">
        <v>44434.0</v>
      </c>
      <c r="X1445" s="281">
        <v>0.15277777777777776</v>
      </c>
      <c r="Y1445" s="279" t="s">
        <v>1693</v>
      </c>
      <c r="Z1445" s="282" t="s">
        <v>53</v>
      </c>
      <c r="AA1445" s="282" t="s">
        <v>5011</v>
      </c>
      <c r="AB1445" s="283">
        <v>44434.0</v>
      </c>
      <c r="AC1445" s="284"/>
      <c r="AD1445" s="284"/>
    </row>
    <row r="1446" ht="14.25" customHeight="1">
      <c r="A1446" s="265">
        <v>44433.0</v>
      </c>
      <c r="B1446" s="266" t="s">
        <v>1746</v>
      </c>
      <c r="C1446" s="266"/>
      <c r="D1446" s="266" t="s">
        <v>1455</v>
      </c>
      <c r="E1446" s="268"/>
      <c r="F1446" s="358" t="s">
        <v>5012</v>
      </c>
      <c r="G1446" s="268" t="s">
        <v>2085</v>
      </c>
      <c r="H1446" s="270">
        <v>0.020266203703703703</v>
      </c>
      <c r="I1446" s="271">
        <v>44434.02777777778</v>
      </c>
      <c r="J1446" s="268"/>
      <c r="K1446" s="424" t="s">
        <v>5013</v>
      </c>
      <c r="L1446" s="288" t="str">
        <f t="shared" si="69"/>
        <v/>
      </c>
      <c r="M1446" s="278"/>
      <c r="N1446" s="290"/>
      <c r="O1446" s="276"/>
      <c r="P1446" s="276"/>
      <c r="Q1446" s="276"/>
      <c r="R1446" s="278"/>
      <c r="S1446" s="278"/>
      <c r="T1446" s="278"/>
      <c r="U1446" s="279"/>
      <c r="V1446" s="279" t="s">
        <v>1824</v>
      </c>
      <c r="W1446" s="280">
        <v>44434.0</v>
      </c>
      <c r="X1446" s="281">
        <v>0.08333333333333333</v>
      </c>
      <c r="Y1446" s="279" t="s">
        <v>1693</v>
      </c>
      <c r="Z1446" s="282" t="s">
        <v>53</v>
      </c>
      <c r="AA1446" s="282" t="s">
        <v>5012</v>
      </c>
      <c r="AB1446" s="283">
        <v>44434.0</v>
      </c>
      <c r="AC1446" s="284"/>
      <c r="AD1446" s="284"/>
    </row>
    <row r="1447" ht="14.25" customHeight="1">
      <c r="A1447" s="265">
        <v>44434.0</v>
      </c>
      <c r="B1447" s="266" t="s">
        <v>1783</v>
      </c>
      <c r="C1447" s="266" t="s">
        <v>1831</v>
      </c>
      <c r="D1447" s="266" t="s">
        <v>1686</v>
      </c>
      <c r="E1447" s="268"/>
      <c r="F1447" s="358" t="s">
        <v>5014</v>
      </c>
      <c r="G1447" s="268" t="s">
        <v>1463</v>
      </c>
      <c r="H1447" s="270">
        <v>0.004108796296296297</v>
      </c>
      <c r="I1447" s="271">
        <v>44434.59166666667</v>
      </c>
      <c r="J1447" s="268"/>
      <c r="K1447" s="271">
        <v>44434.60306712963</v>
      </c>
      <c r="L1447" s="288"/>
      <c r="M1447" s="278" t="s">
        <v>5015</v>
      </c>
      <c r="N1447" s="290"/>
      <c r="O1447" s="276"/>
      <c r="P1447" s="276"/>
      <c r="Q1447" s="276"/>
      <c r="R1447" s="278"/>
      <c r="S1447" s="278"/>
      <c r="T1447" s="278"/>
      <c r="U1447" s="279"/>
      <c r="V1447" s="279" t="s">
        <v>1783</v>
      </c>
      <c r="W1447" s="280">
        <v>44435.0</v>
      </c>
      <c r="X1447" s="281">
        <v>0.003472222222222222</v>
      </c>
      <c r="Y1447" s="279" t="s">
        <v>1693</v>
      </c>
      <c r="Z1447" s="282" t="s">
        <v>53</v>
      </c>
      <c r="AA1447" s="282">
        <v>6536966.0</v>
      </c>
      <c r="AB1447" s="283">
        <v>44435.0</v>
      </c>
      <c r="AC1447" s="284"/>
      <c r="AD1447" s="284"/>
    </row>
    <row r="1448" ht="14.25" customHeight="1">
      <c r="A1448" s="265">
        <v>44434.0</v>
      </c>
      <c r="B1448" s="266" t="s">
        <v>1685</v>
      </c>
      <c r="C1448" s="266"/>
      <c r="D1448" s="266" t="s">
        <v>1450</v>
      </c>
      <c r="E1448" s="268"/>
      <c r="F1448" s="358" t="s">
        <v>5016</v>
      </c>
      <c r="G1448" s="268" t="s">
        <v>2085</v>
      </c>
      <c r="H1448" s="270">
        <v>0.07701388888888888</v>
      </c>
      <c r="I1448" s="271">
        <v>44434.444444444445</v>
      </c>
      <c r="J1448" s="268"/>
      <c r="K1448" s="271">
        <v>44436.05525462963</v>
      </c>
      <c r="L1448" s="288" t="str">
        <f t="shared" ref="L1448:L1451" si="70">IFERROR(IF(OR(I1448="",K1448=""),"",K1448-I1448),"")</f>
        <v>2:39:34 PM</v>
      </c>
      <c r="M1448" s="277" t="s">
        <v>5017</v>
      </c>
      <c r="N1448" s="290"/>
      <c r="O1448" s="276"/>
      <c r="P1448" s="276"/>
      <c r="Q1448" s="276"/>
      <c r="R1448" s="278"/>
      <c r="S1448" s="278"/>
      <c r="T1448" s="278"/>
      <c r="U1448" s="279"/>
      <c r="V1448" s="279" t="s">
        <v>1685</v>
      </c>
      <c r="W1448" s="280"/>
      <c r="X1448" s="279"/>
      <c r="Y1448" s="279"/>
      <c r="Z1448" s="282" t="s">
        <v>53</v>
      </c>
      <c r="AA1448" s="282" t="s">
        <v>5016</v>
      </c>
      <c r="AB1448" s="283">
        <v>44438.0</v>
      </c>
      <c r="AC1448" s="284"/>
      <c r="AD1448" s="284"/>
    </row>
    <row r="1449" ht="14.25" customHeight="1">
      <c r="A1449" s="265">
        <v>44434.0</v>
      </c>
      <c r="B1449" s="266" t="s">
        <v>1783</v>
      </c>
      <c r="C1449" s="266"/>
      <c r="D1449" s="266" t="s">
        <v>1452</v>
      </c>
      <c r="E1449" s="268"/>
      <c r="F1449" s="358" t="s">
        <v>5018</v>
      </c>
      <c r="G1449" s="268" t="s">
        <v>2085</v>
      </c>
      <c r="H1449" s="270">
        <v>0.002962962962962963</v>
      </c>
      <c r="I1449" s="271">
        <v>44434.45694444444</v>
      </c>
      <c r="J1449" s="268"/>
      <c r="K1449" s="268" t="s">
        <v>5019</v>
      </c>
      <c r="L1449" s="288" t="str">
        <f t="shared" si="70"/>
        <v/>
      </c>
      <c r="M1449" s="278"/>
      <c r="N1449" s="290"/>
      <c r="O1449" s="276"/>
      <c r="P1449" s="276"/>
      <c r="Q1449" s="276"/>
      <c r="R1449" s="278"/>
      <c r="S1449" s="278"/>
      <c r="T1449" s="278"/>
      <c r="U1449" s="279"/>
      <c r="V1449" s="279" t="s">
        <v>1783</v>
      </c>
      <c r="W1449" s="280">
        <v>44434.0</v>
      </c>
      <c r="X1449" s="281">
        <v>0.006944444444444444</v>
      </c>
      <c r="Y1449" s="279" t="s">
        <v>1693</v>
      </c>
      <c r="Z1449" s="282" t="s">
        <v>53</v>
      </c>
      <c r="AA1449" s="282" t="s">
        <v>5018</v>
      </c>
      <c r="AB1449" s="283">
        <v>44435.0</v>
      </c>
      <c r="AC1449" s="284"/>
      <c r="AD1449" s="284"/>
    </row>
    <row r="1450" ht="14.25" customHeight="1">
      <c r="A1450" s="265">
        <v>44434.0</v>
      </c>
      <c r="B1450" s="266" t="s">
        <v>1783</v>
      </c>
      <c r="C1450" s="266"/>
      <c r="D1450" s="266" t="s">
        <v>1686</v>
      </c>
      <c r="E1450" s="268"/>
      <c r="F1450" s="358" t="s">
        <v>5020</v>
      </c>
      <c r="G1450" s="268" t="s">
        <v>2085</v>
      </c>
      <c r="H1450" s="270">
        <v>0.03978009259259259</v>
      </c>
      <c r="I1450" s="271">
        <v>44434.589583333334</v>
      </c>
      <c r="J1450" s="268"/>
      <c r="K1450" s="268" t="s">
        <v>5021</v>
      </c>
      <c r="L1450" s="288" t="str">
        <f t="shared" si="70"/>
        <v/>
      </c>
      <c r="M1450" s="278"/>
      <c r="N1450" s="290"/>
      <c r="O1450" s="276"/>
      <c r="P1450" s="276"/>
      <c r="Q1450" s="276"/>
      <c r="R1450" s="278"/>
      <c r="S1450" s="278"/>
      <c r="T1450" s="278"/>
      <c r="U1450" s="279"/>
      <c r="V1450" s="279" t="s">
        <v>1783</v>
      </c>
      <c r="W1450" s="280">
        <v>44435.0</v>
      </c>
      <c r="X1450" s="281">
        <v>0.16666666666666666</v>
      </c>
      <c r="Y1450" s="279" t="s">
        <v>1693</v>
      </c>
      <c r="Z1450" s="282" t="s">
        <v>53</v>
      </c>
      <c r="AA1450" s="282" t="s">
        <v>5020</v>
      </c>
      <c r="AB1450" s="283">
        <v>44435.0</v>
      </c>
      <c r="AC1450" s="284"/>
      <c r="AD1450" s="284"/>
    </row>
    <row r="1451" ht="14.25" customHeight="1">
      <c r="A1451" s="265">
        <v>44434.0</v>
      </c>
      <c r="B1451" s="266" t="s">
        <v>1746</v>
      </c>
      <c r="C1451" s="266"/>
      <c r="D1451" s="266" t="s">
        <v>1455</v>
      </c>
      <c r="E1451" s="268"/>
      <c r="F1451" s="358" t="s">
        <v>5022</v>
      </c>
      <c r="G1451" s="268" t="s">
        <v>2085</v>
      </c>
      <c r="H1451" s="270">
        <v>0.022118055555555557</v>
      </c>
      <c r="I1451" s="271">
        <v>44434.868055555555</v>
      </c>
      <c r="J1451" s="268"/>
      <c r="K1451" s="424" t="s">
        <v>5023</v>
      </c>
      <c r="L1451" s="288" t="str">
        <f t="shared" si="70"/>
        <v/>
      </c>
      <c r="M1451" s="278"/>
      <c r="N1451" s="290"/>
      <c r="O1451" s="276"/>
      <c r="P1451" s="276"/>
      <c r="Q1451" s="276"/>
      <c r="R1451" s="278"/>
      <c r="S1451" s="278"/>
      <c r="T1451" s="278"/>
      <c r="U1451" s="279"/>
      <c r="V1451" s="279" t="s">
        <v>1824</v>
      </c>
      <c r="W1451" s="280">
        <v>44435.0</v>
      </c>
      <c r="X1451" s="281">
        <v>0.08333333333333333</v>
      </c>
      <c r="Y1451" s="279" t="s">
        <v>1693</v>
      </c>
      <c r="Z1451" s="282" t="s">
        <v>53</v>
      </c>
      <c r="AA1451" s="282" t="s">
        <v>5022</v>
      </c>
      <c r="AB1451" s="283">
        <v>44435.0</v>
      </c>
      <c r="AC1451" s="284"/>
      <c r="AD1451" s="284"/>
    </row>
    <row r="1452" ht="14.25" customHeight="1">
      <c r="A1452" s="265">
        <v>44435.0</v>
      </c>
      <c r="B1452" s="266" t="s">
        <v>1783</v>
      </c>
      <c r="C1452" s="266" t="s">
        <v>1831</v>
      </c>
      <c r="D1452" s="266" t="s">
        <v>1686</v>
      </c>
      <c r="E1452" s="268"/>
      <c r="F1452" s="358" t="s">
        <v>5024</v>
      </c>
      <c r="G1452" s="268" t="s">
        <v>1463</v>
      </c>
      <c r="H1452" s="270">
        <v>0.004560185185185185</v>
      </c>
      <c r="I1452" s="271">
        <v>44435.57777777778</v>
      </c>
      <c r="J1452" s="268"/>
      <c r="K1452" s="271">
        <v>44435.58763888889</v>
      </c>
      <c r="L1452" s="288"/>
      <c r="M1452" s="278" t="s">
        <v>5025</v>
      </c>
      <c r="N1452" s="290"/>
      <c r="O1452" s="276"/>
      <c r="P1452" s="276"/>
      <c r="Q1452" s="276"/>
      <c r="R1452" s="278"/>
      <c r="S1452" s="278"/>
      <c r="T1452" s="278"/>
      <c r="U1452" s="279"/>
      <c r="V1452" s="279" t="s">
        <v>1824</v>
      </c>
      <c r="W1452" s="280">
        <v>44441.0</v>
      </c>
      <c r="X1452" s="281">
        <v>0.0020833333333333333</v>
      </c>
      <c r="Y1452" s="279" t="s">
        <v>1693</v>
      </c>
      <c r="Z1452" s="282" t="s">
        <v>53</v>
      </c>
      <c r="AA1452" s="282">
        <v>6547284.0</v>
      </c>
      <c r="AB1452" s="283">
        <v>44438.0</v>
      </c>
      <c r="AC1452" s="284"/>
      <c r="AD1452" s="284"/>
    </row>
    <row r="1453" ht="14.25" customHeight="1">
      <c r="A1453" s="265">
        <v>44435.0</v>
      </c>
      <c r="B1453" s="266" t="s">
        <v>2030</v>
      </c>
      <c r="C1453" s="266" t="s">
        <v>1686</v>
      </c>
      <c r="D1453" s="266" t="s">
        <v>1543</v>
      </c>
      <c r="E1453" s="268"/>
      <c r="F1453" s="269" t="s">
        <v>5026</v>
      </c>
      <c r="G1453" s="268" t="s">
        <v>1463</v>
      </c>
      <c r="H1453" s="270">
        <v>0.001736111111111111</v>
      </c>
      <c r="I1453" s="271">
        <v>44441.36875</v>
      </c>
      <c r="J1453" s="268"/>
      <c r="K1453" s="348">
        <v>44410.37291666667</v>
      </c>
      <c r="L1453" s="288"/>
      <c r="M1453" s="278" t="s">
        <v>5027</v>
      </c>
      <c r="N1453" s="290"/>
      <c r="O1453" s="276"/>
      <c r="P1453" s="276"/>
      <c r="Q1453" s="276"/>
      <c r="R1453" s="278"/>
      <c r="S1453" s="278"/>
      <c r="T1453" s="278"/>
      <c r="U1453" s="279"/>
      <c r="V1453" s="279" t="s">
        <v>1738</v>
      </c>
      <c r="W1453" s="280">
        <v>44445.0</v>
      </c>
      <c r="X1453" s="281">
        <v>0.010416666666666666</v>
      </c>
      <c r="Y1453" s="279" t="s">
        <v>1693</v>
      </c>
      <c r="Z1453" s="282" t="s">
        <v>53</v>
      </c>
      <c r="AA1453" s="282">
        <v>6562943.0</v>
      </c>
      <c r="AB1453" s="283">
        <v>44443.0</v>
      </c>
      <c r="AC1453" s="284"/>
      <c r="AD1453" s="284"/>
    </row>
    <row r="1454" ht="14.25" customHeight="1">
      <c r="A1454" s="265">
        <v>44435.0</v>
      </c>
      <c r="B1454" s="266" t="s">
        <v>2030</v>
      </c>
      <c r="C1454" s="266" t="s">
        <v>1686</v>
      </c>
      <c r="D1454" s="266" t="s">
        <v>1543</v>
      </c>
      <c r="E1454" s="268"/>
      <c r="F1454" s="269" t="s">
        <v>5028</v>
      </c>
      <c r="G1454" s="268" t="s">
        <v>1463</v>
      </c>
      <c r="H1454" s="270">
        <v>0.0017245370370370372</v>
      </c>
      <c r="I1454" s="271">
        <v>44441.42361111111</v>
      </c>
      <c r="J1454" s="268"/>
      <c r="K1454" s="348">
        <v>44441.45486111111</v>
      </c>
      <c r="L1454" s="288"/>
      <c r="M1454" s="278" t="s">
        <v>5029</v>
      </c>
      <c r="N1454" s="290"/>
      <c r="O1454" s="276"/>
      <c r="P1454" s="276"/>
      <c r="Q1454" s="276"/>
      <c r="R1454" s="278"/>
      <c r="S1454" s="278"/>
      <c r="T1454" s="278"/>
      <c r="U1454" s="279"/>
      <c r="V1454" s="279" t="s">
        <v>1738</v>
      </c>
      <c r="W1454" s="280">
        <v>44445.0</v>
      </c>
      <c r="X1454" s="281">
        <v>0.010416666666666666</v>
      </c>
      <c r="Y1454" s="279" t="s">
        <v>1693</v>
      </c>
      <c r="Z1454" s="282" t="s">
        <v>53</v>
      </c>
      <c r="AA1454" s="282">
        <v>6562944.0</v>
      </c>
      <c r="AB1454" s="283">
        <v>44443.0</v>
      </c>
      <c r="AC1454" s="284"/>
      <c r="AD1454" s="284"/>
    </row>
    <row r="1455" ht="14.25" customHeight="1">
      <c r="A1455" s="265">
        <v>44435.0</v>
      </c>
      <c r="B1455" s="266" t="s">
        <v>2030</v>
      </c>
      <c r="C1455" s="266" t="s">
        <v>1686</v>
      </c>
      <c r="D1455" s="266" t="s">
        <v>1543</v>
      </c>
      <c r="E1455" s="268"/>
      <c r="F1455" s="269" t="s">
        <v>5030</v>
      </c>
      <c r="G1455" s="268" t="s">
        <v>1463</v>
      </c>
      <c r="H1455" s="270">
        <v>0.0013310185185185185</v>
      </c>
      <c r="I1455" s="271">
        <v>44441.450694444444</v>
      </c>
      <c r="J1455" s="268"/>
      <c r="K1455" s="348">
        <v>44441.45277777778</v>
      </c>
      <c r="L1455" s="288"/>
      <c r="M1455" s="278" t="s">
        <v>5031</v>
      </c>
      <c r="N1455" s="290"/>
      <c r="O1455" s="276"/>
      <c r="P1455" s="276"/>
      <c r="Q1455" s="276"/>
      <c r="R1455" s="278"/>
      <c r="S1455" s="278"/>
      <c r="T1455" s="278"/>
      <c r="U1455" s="279"/>
      <c r="V1455" s="279" t="s">
        <v>1738</v>
      </c>
      <c r="W1455" s="280">
        <v>44445.0</v>
      </c>
      <c r="X1455" s="281">
        <v>0.010416666666666666</v>
      </c>
      <c r="Y1455" s="279" t="s">
        <v>1693</v>
      </c>
      <c r="Z1455" s="282" t="s">
        <v>53</v>
      </c>
      <c r="AA1455" s="282">
        <v>6562945.0</v>
      </c>
      <c r="AB1455" s="283">
        <v>44443.0</v>
      </c>
      <c r="AC1455" s="284"/>
      <c r="AD1455" s="284"/>
    </row>
    <row r="1456" ht="14.25" customHeight="1">
      <c r="A1456" s="265">
        <v>44435.0</v>
      </c>
      <c r="B1456" s="266" t="s">
        <v>2030</v>
      </c>
      <c r="C1456" s="266" t="s">
        <v>1686</v>
      </c>
      <c r="D1456" s="266" t="s">
        <v>1543</v>
      </c>
      <c r="E1456" s="268"/>
      <c r="F1456" s="269" t="s">
        <v>5032</v>
      </c>
      <c r="G1456" s="268" t="s">
        <v>1463</v>
      </c>
      <c r="H1456" s="270">
        <v>6.597222222222221E-4</v>
      </c>
      <c r="I1456" s="271">
        <v>44441.486805555556</v>
      </c>
      <c r="J1456" s="268"/>
      <c r="K1456" s="348">
        <v>44441.825162037036</v>
      </c>
      <c r="L1456" s="288"/>
      <c r="M1456" s="278" t="s">
        <v>5033</v>
      </c>
      <c r="N1456" s="290"/>
      <c r="O1456" s="276"/>
      <c r="P1456" s="276"/>
      <c r="Q1456" s="276"/>
      <c r="R1456" s="278"/>
      <c r="S1456" s="278"/>
      <c r="T1456" s="278"/>
      <c r="U1456" s="279"/>
      <c r="V1456" s="279" t="s">
        <v>1738</v>
      </c>
      <c r="W1456" s="280">
        <v>44446.0</v>
      </c>
      <c r="X1456" s="281">
        <v>0.006944444444444444</v>
      </c>
      <c r="Y1456" s="279" t="s">
        <v>1693</v>
      </c>
      <c r="Z1456" s="282" t="s">
        <v>53</v>
      </c>
      <c r="AA1456" s="282">
        <v>6603194.0</v>
      </c>
      <c r="AB1456" s="283">
        <v>44449.0</v>
      </c>
      <c r="AC1456" s="284"/>
      <c r="AD1456" s="284"/>
    </row>
    <row r="1457" ht="14.25" customHeight="1">
      <c r="A1457" s="265">
        <v>44435.0</v>
      </c>
      <c r="B1457" s="266" t="s">
        <v>1783</v>
      </c>
      <c r="C1457" s="266"/>
      <c r="D1457" s="266" t="s">
        <v>1452</v>
      </c>
      <c r="E1457" s="268"/>
      <c r="F1457" s="291" t="s">
        <v>4036</v>
      </c>
      <c r="G1457" s="268" t="s">
        <v>28</v>
      </c>
      <c r="H1457" s="268" t="s">
        <v>28</v>
      </c>
      <c r="I1457" s="268" t="s">
        <v>28</v>
      </c>
      <c r="J1457" s="268"/>
      <c r="K1457" s="268" t="s">
        <v>28</v>
      </c>
      <c r="L1457" s="288" t="str">
        <f t="shared" ref="L1457:L1460" si="71">IFERROR(IF(OR(I1457="",K1457=""),"",K1457-I1457),"")</f>
        <v/>
      </c>
      <c r="M1457" s="278" t="s">
        <v>3915</v>
      </c>
      <c r="N1457" s="290"/>
      <c r="O1457" s="276"/>
      <c r="P1457" s="276"/>
      <c r="Q1457" s="276"/>
      <c r="R1457" s="278"/>
      <c r="S1457" s="278"/>
      <c r="T1457" s="278" t="s">
        <v>3915</v>
      </c>
      <c r="U1457" s="279"/>
      <c r="V1457" s="279" t="s">
        <v>28</v>
      </c>
      <c r="W1457" s="279" t="s">
        <v>28</v>
      </c>
      <c r="X1457" s="279" t="s">
        <v>28</v>
      </c>
      <c r="Y1457" s="279" t="s">
        <v>28</v>
      </c>
      <c r="Z1457" s="282" t="s">
        <v>28</v>
      </c>
      <c r="AA1457" s="282" t="s">
        <v>28</v>
      </c>
      <c r="AB1457" s="282" t="s">
        <v>28</v>
      </c>
      <c r="AC1457" s="284"/>
      <c r="AD1457" s="284"/>
    </row>
    <row r="1458" ht="14.25" customHeight="1">
      <c r="A1458" s="265">
        <v>44435.0</v>
      </c>
      <c r="B1458" s="266" t="s">
        <v>1685</v>
      </c>
      <c r="C1458" s="266"/>
      <c r="D1458" s="266" t="s">
        <v>1450</v>
      </c>
      <c r="E1458" s="268"/>
      <c r="F1458" s="358" t="s">
        <v>5034</v>
      </c>
      <c r="G1458" s="268" t="s">
        <v>2085</v>
      </c>
      <c r="H1458" s="270">
        <v>0.09880787037037037</v>
      </c>
      <c r="I1458" s="271">
        <v>44435.52777777778</v>
      </c>
      <c r="J1458" s="268"/>
      <c r="K1458" s="268"/>
      <c r="L1458" s="288" t="str">
        <f t="shared" si="71"/>
        <v/>
      </c>
      <c r="M1458" s="307" t="s">
        <v>5035</v>
      </c>
      <c r="N1458" s="273">
        <v>44436.70208333333</v>
      </c>
      <c r="O1458" s="276" t="s">
        <v>5036</v>
      </c>
      <c r="P1458" s="276" t="s">
        <v>1463</v>
      </c>
      <c r="Q1458" s="276" t="s">
        <v>1819</v>
      </c>
      <c r="R1458" s="425">
        <v>44436.810381944444</v>
      </c>
      <c r="S1458" s="278"/>
      <c r="T1458" s="278" t="s">
        <v>5037</v>
      </c>
      <c r="U1458" s="279"/>
      <c r="V1458" s="279" t="s">
        <v>1685</v>
      </c>
      <c r="W1458" s="280">
        <v>44435.0</v>
      </c>
      <c r="X1458" s="281">
        <v>0.2708333333333333</v>
      </c>
      <c r="Y1458" s="279" t="s">
        <v>1693</v>
      </c>
      <c r="Z1458" s="282" t="s">
        <v>53</v>
      </c>
      <c r="AA1458" s="282" t="s">
        <v>5034</v>
      </c>
      <c r="AB1458" s="283">
        <v>44438.0</v>
      </c>
      <c r="AC1458" s="284"/>
      <c r="AD1458" s="284"/>
    </row>
    <row r="1459" ht="14.25" customHeight="1">
      <c r="A1459" s="265">
        <v>44435.0</v>
      </c>
      <c r="B1459" s="266" t="s">
        <v>1783</v>
      </c>
      <c r="C1459" s="266"/>
      <c r="D1459" s="266" t="s">
        <v>1686</v>
      </c>
      <c r="E1459" s="268"/>
      <c r="F1459" s="358" t="s">
        <v>5038</v>
      </c>
      <c r="G1459" s="268" t="s">
        <v>2085</v>
      </c>
      <c r="H1459" s="270">
        <v>0.037939814814814815</v>
      </c>
      <c r="I1459" s="271">
        <v>44435.57708333333</v>
      </c>
      <c r="J1459" s="268"/>
      <c r="K1459" s="271">
        <v>44435.61818287037</v>
      </c>
      <c r="L1459" s="288" t="str">
        <f t="shared" si="71"/>
        <v>12:59:11 AM</v>
      </c>
      <c r="M1459" s="287"/>
      <c r="N1459" s="290"/>
      <c r="O1459" s="276"/>
      <c r="P1459" s="276"/>
      <c r="Q1459" s="276"/>
      <c r="R1459" s="278"/>
      <c r="S1459" s="278"/>
      <c r="T1459" s="278"/>
      <c r="U1459" s="279"/>
      <c r="V1459" s="279" t="s">
        <v>1824</v>
      </c>
      <c r="W1459" s="280">
        <v>44438.0</v>
      </c>
      <c r="X1459" s="281">
        <v>0.16666666666666666</v>
      </c>
      <c r="Y1459" s="279" t="s">
        <v>1693</v>
      </c>
      <c r="Z1459" s="282" t="s">
        <v>53</v>
      </c>
      <c r="AA1459" s="282" t="s">
        <v>5038</v>
      </c>
      <c r="AB1459" s="283">
        <v>44438.0</v>
      </c>
      <c r="AC1459" s="284"/>
      <c r="AD1459" s="284"/>
    </row>
    <row r="1460" ht="14.25" customHeight="1">
      <c r="A1460" s="265">
        <v>44435.0</v>
      </c>
      <c r="B1460" s="266" t="s">
        <v>1746</v>
      </c>
      <c r="C1460" s="266"/>
      <c r="D1460" s="266" t="s">
        <v>1455</v>
      </c>
      <c r="E1460" s="268"/>
      <c r="F1460" s="358" t="s">
        <v>5039</v>
      </c>
      <c r="G1460" s="268" t="s">
        <v>2085</v>
      </c>
      <c r="H1460" s="270">
        <v>0.01980324074074074</v>
      </c>
      <c r="I1460" s="271">
        <v>44435.96875</v>
      </c>
      <c r="J1460" s="268"/>
      <c r="K1460" s="348">
        <v>44435.99444444444</v>
      </c>
      <c r="L1460" s="288" t="str">
        <f t="shared" si="71"/>
        <v>12:37:00 AM</v>
      </c>
      <c r="M1460" s="278"/>
      <c r="N1460" s="290"/>
      <c r="O1460" s="276"/>
      <c r="P1460" s="276"/>
      <c r="Q1460" s="276"/>
      <c r="R1460" s="278"/>
      <c r="S1460" s="278"/>
      <c r="T1460" s="278"/>
      <c r="U1460" s="279"/>
      <c r="V1460" s="279" t="s">
        <v>1783</v>
      </c>
      <c r="W1460" s="280">
        <v>44438.0</v>
      </c>
      <c r="X1460" s="281">
        <v>0.08333333333333333</v>
      </c>
      <c r="Y1460" s="279" t="s">
        <v>1693</v>
      </c>
      <c r="Z1460" s="282" t="s">
        <v>53</v>
      </c>
      <c r="AA1460" s="282" t="s">
        <v>5039</v>
      </c>
      <c r="AB1460" s="283">
        <v>44438.0</v>
      </c>
      <c r="AC1460" s="284"/>
      <c r="AD1460" s="284"/>
    </row>
    <row r="1461" ht="14.25" customHeight="1">
      <c r="A1461" s="265">
        <v>44436.0</v>
      </c>
      <c r="B1461" s="266" t="s">
        <v>2030</v>
      </c>
      <c r="C1461" s="266" t="s">
        <v>1686</v>
      </c>
      <c r="D1461" s="266" t="s">
        <v>1543</v>
      </c>
      <c r="E1461" s="268"/>
      <c r="F1461" s="269" t="s">
        <v>5040</v>
      </c>
      <c r="G1461" s="268" t="s">
        <v>1463</v>
      </c>
      <c r="H1461" s="270">
        <v>0.0011574074074074073</v>
      </c>
      <c r="I1461" s="271">
        <v>44441.50833333333</v>
      </c>
      <c r="J1461" s="268"/>
      <c r="K1461" s="271">
        <v>44441.00850694445</v>
      </c>
      <c r="L1461" s="288"/>
      <c r="M1461" s="278" t="s">
        <v>5041</v>
      </c>
      <c r="N1461" s="290"/>
      <c r="O1461" s="276"/>
      <c r="P1461" s="276"/>
      <c r="Q1461" s="276"/>
      <c r="R1461" s="277"/>
      <c r="S1461" s="278"/>
      <c r="T1461" s="278"/>
      <c r="U1461" s="279"/>
      <c r="V1461" s="279" t="s">
        <v>1738</v>
      </c>
      <c r="W1461" s="280">
        <v>44445.0</v>
      </c>
      <c r="X1461" s="281">
        <v>0.010416666666666666</v>
      </c>
      <c r="Y1461" s="279" t="s">
        <v>1693</v>
      </c>
      <c r="Z1461" s="282" t="s">
        <v>53</v>
      </c>
      <c r="AA1461" s="282">
        <v>6562946.0</v>
      </c>
      <c r="AB1461" s="283">
        <v>44443.0</v>
      </c>
      <c r="AC1461" s="284"/>
      <c r="AD1461" s="284"/>
    </row>
    <row r="1462" ht="14.25" customHeight="1">
      <c r="A1462" s="265">
        <v>44436.0</v>
      </c>
      <c r="B1462" s="266" t="s">
        <v>1500</v>
      </c>
      <c r="C1462" s="266"/>
      <c r="D1462" s="266" t="s">
        <v>1686</v>
      </c>
      <c r="E1462" s="268"/>
      <c r="F1462" s="358" t="s">
        <v>5042</v>
      </c>
      <c r="G1462" s="268" t="s">
        <v>2085</v>
      </c>
      <c r="H1462" s="270">
        <v>0.038078703703703705</v>
      </c>
      <c r="I1462" s="271">
        <v>44467.708333333336</v>
      </c>
      <c r="J1462" s="268"/>
      <c r="K1462" s="271">
        <v>44436.730775462966</v>
      </c>
      <c r="L1462" s="288" t="str">
        <f t="shared" ref="L1462:L1463" si="72">IFERROR(IF(OR(I1462="",K1462=""),"",K1462-I1462),"")</f>
        <v>12:32:19 AM</v>
      </c>
      <c r="M1462" s="278"/>
      <c r="N1462" s="290"/>
      <c r="O1462" s="276"/>
      <c r="P1462" s="276"/>
      <c r="Q1462" s="276"/>
      <c r="R1462" s="278"/>
      <c r="S1462" s="278"/>
      <c r="T1462" s="278"/>
      <c r="U1462" s="279"/>
      <c r="V1462" s="279" t="s">
        <v>1824</v>
      </c>
      <c r="W1462" s="280">
        <v>44439.0</v>
      </c>
      <c r="X1462" s="281">
        <v>0.16666666666666666</v>
      </c>
      <c r="Y1462" s="279" t="s">
        <v>1693</v>
      </c>
      <c r="Z1462" s="282" t="s">
        <v>53</v>
      </c>
      <c r="AA1462" s="282" t="s">
        <v>5042</v>
      </c>
      <c r="AB1462" s="283">
        <v>44438.0</v>
      </c>
      <c r="AC1462" s="284"/>
      <c r="AD1462" s="284"/>
    </row>
    <row r="1463" ht="14.25" customHeight="1">
      <c r="A1463" s="265">
        <v>44436.0</v>
      </c>
      <c r="B1463" s="266" t="s">
        <v>1746</v>
      </c>
      <c r="C1463" s="266"/>
      <c r="D1463" s="266" t="s">
        <v>1455</v>
      </c>
      <c r="E1463" s="268"/>
      <c r="F1463" s="358" t="s">
        <v>5043</v>
      </c>
      <c r="G1463" s="268" t="s">
        <v>2085</v>
      </c>
      <c r="H1463" s="270">
        <v>0.015208333333333332</v>
      </c>
      <c r="I1463" s="271">
        <v>44437.95</v>
      </c>
      <c r="J1463" s="268"/>
      <c r="K1463" s="271">
        <v>44437.961805555555</v>
      </c>
      <c r="L1463" s="288" t="str">
        <f t="shared" si="72"/>
        <v>12:17:00 AM</v>
      </c>
      <c r="M1463" s="278"/>
      <c r="N1463" s="290"/>
      <c r="O1463" s="276"/>
      <c r="P1463" s="276"/>
      <c r="Q1463" s="276"/>
      <c r="R1463" s="277"/>
      <c r="S1463" s="278"/>
      <c r="T1463" s="278"/>
      <c r="U1463" s="279"/>
      <c r="V1463" s="279" t="s">
        <v>1783</v>
      </c>
      <c r="W1463" s="280">
        <v>44438.0</v>
      </c>
      <c r="X1463" s="281">
        <v>0.08333333333333333</v>
      </c>
      <c r="Y1463" s="279" t="s">
        <v>1693</v>
      </c>
      <c r="Z1463" s="282" t="s">
        <v>53</v>
      </c>
      <c r="AA1463" s="282" t="s">
        <v>5043</v>
      </c>
      <c r="AB1463" s="283">
        <v>44438.0</v>
      </c>
      <c r="AC1463" s="284"/>
      <c r="AD1463" s="284"/>
    </row>
    <row r="1464" ht="14.25" customHeight="1">
      <c r="A1464" s="265">
        <v>44437.0</v>
      </c>
      <c r="B1464" s="266" t="s">
        <v>1500</v>
      </c>
      <c r="C1464" s="266"/>
      <c r="D1464" s="266" t="s">
        <v>4985</v>
      </c>
      <c r="E1464" s="268"/>
      <c r="F1464" s="358">
        <v>6515684.0</v>
      </c>
      <c r="G1464" s="268" t="s">
        <v>3839</v>
      </c>
      <c r="H1464" s="270">
        <v>0.03640046296296296</v>
      </c>
      <c r="I1464" s="271">
        <v>44440.46600694444</v>
      </c>
      <c r="J1464" s="268"/>
      <c r="K1464" s="271">
        <v>44440.82140046296</v>
      </c>
      <c r="L1464" s="288"/>
      <c r="M1464" s="315" t="s">
        <v>1499</v>
      </c>
      <c r="N1464" s="290"/>
      <c r="O1464" s="276"/>
      <c r="P1464" s="276"/>
      <c r="Q1464" s="276"/>
      <c r="R1464" s="277"/>
      <c r="S1464" s="278"/>
      <c r="T1464" s="278" t="s">
        <v>1499</v>
      </c>
      <c r="U1464" s="279"/>
      <c r="V1464" s="279"/>
      <c r="W1464" s="279"/>
      <c r="X1464" s="279"/>
      <c r="Y1464" s="279"/>
      <c r="Z1464" s="282" t="s">
        <v>5044</v>
      </c>
      <c r="AA1464" s="282">
        <v>6515684.0</v>
      </c>
      <c r="AB1464" s="283">
        <v>44440.0</v>
      </c>
      <c r="AC1464" s="284"/>
      <c r="AD1464" s="284"/>
    </row>
    <row r="1465" ht="14.25" customHeight="1">
      <c r="A1465" s="265">
        <v>44437.0</v>
      </c>
      <c r="B1465" s="266" t="s">
        <v>1500</v>
      </c>
      <c r="C1465" s="266" t="s">
        <v>4567</v>
      </c>
      <c r="D1465" s="266" t="s">
        <v>1543</v>
      </c>
      <c r="E1465" s="268"/>
      <c r="F1465" s="291" t="s">
        <v>5045</v>
      </c>
      <c r="G1465" s="268" t="s">
        <v>1463</v>
      </c>
      <c r="H1465" s="270">
        <v>0.00650462962962963</v>
      </c>
      <c r="I1465" s="268"/>
      <c r="J1465" s="268"/>
      <c r="K1465" s="268"/>
      <c r="L1465" s="288"/>
      <c r="M1465" s="307" t="s">
        <v>5046</v>
      </c>
      <c r="N1465" s="273">
        <v>44440.478472222225</v>
      </c>
      <c r="O1465" s="291" t="s">
        <v>5047</v>
      </c>
      <c r="P1465" s="276" t="s">
        <v>1463</v>
      </c>
      <c r="Q1465" s="276" t="s">
        <v>1819</v>
      </c>
      <c r="R1465" s="277">
        <v>44440.48299768518</v>
      </c>
      <c r="S1465" s="278"/>
      <c r="T1465" s="278" t="s">
        <v>5048</v>
      </c>
      <c r="U1465" s="279"/>
      <c r="V1465" s="279" t="s">
        <v>2030</v>
      </c>
      <c r="W1465" s="280">
        <v>44409.0</v>
      </c>
      <c r="X1465" s="281">
        <v>0.020833333333333332</v>
      </c>
      <c r="Y1465" s="279" t="s">
        <v>1693</v>
      </c>
      <c r="Z1465" s="282" t="s">
        <v>53</v>
      </c>
      <c r="AA1465" s="282">
        <v>6562947.0</v>
      </c>
      <c r="AB1465" s="283">
        <v>44443.0</v>
      </c>
      <c r="AC1465" s="284"/>
      <c r="AD1465" s="284"/>
    </row>
    <row r="1466" ht="14.25" customHeight="1">
      <c r="A1466" s="265">
        <v>44437.0</v>
      </c>
      <c r="B1466" s="266" t="s">
        <v>1500</v>
      </c>
      <c r="C1466" s="266" t="s">
        <v>2641</v>
      </c>
      <c r="D1466" s="266" t="s">
        <v>1543</v>
      </c>
      <c r="E1466" s="268"/>
      <c r="F1466" s="291" t="s">
        <v>5049</v>
      </c>
      <c r="G1466" s="268" t="s">
        <v>1463</v>
      </c>
      <c r="H1466" s="270">
        <v>0.0020949074074074073</v>
      </c>
      <c r="I1466" s="271">
        <v>44440.48611111111</v>
      </c>
      <c r="J1466" s="268"/>
      <c r="K1466" s="271">
        <v>44440.49407407407</v>
      </c>
      <c r="L1466" s="288"/>
      <c r="M1466" s="272" t="s">
        <v>5050</v>
      </c>
      <c r="N1466" s="273"/>
      <c r="O1466" s="291"/>
      <c r="P1466" s="276"/>
      <c r="Q1466" s="276"/>
      <c r="R1466" s="277"/>
      <c r="S1466" s="278"/>
      <c r="T1466" s="278"/>
      <c r="U1466" s="279"/>
      <c r="V1466" s="279" t="s">
        <v>1738</v>
      </c>
      <c r="W1466" s="280">
        <v>44445.0</v>
      </c>
      <c r="X1466" s="281">
        <v>0.010416666666666666</v>
      </c>
      <c r="Y1466" s="279" t="s">
        <v>1693</v>
      </c>
      <c r="Z1466" s="282" t="s">
        <v>53</v>
      </c>
      <c r="AA1466" s="282">
        <v>6562948.0</v>
      </c>
      <c r="AB1466" s="283">
        <v>44443.0</v>
      </c>
      <c r="AC1466" s="284"/>
      <c r="AD1466" s="284"/>
    </row>
    <row r="1467" ht="14.25" customHeight="1">
      <c r="A1467" s="265">
        <v>44437.0</v>
      </c>
      <c r="B1467" s="266" t="s">
        <v>2030</v>
      </c>
      <c r="C1467" s="266" t="s">
        <v>4567</v>
      </c>
      <c r="D1467" s="266" t="s">
        <v>1543</v>
      </c>
      <c r="E1467" s="268"/>
      <c r="F1467" s="291" t="s">
        <v>5051</v>
      </c>
      <c r="G1467" s="268" t="s">
        <v>1463</v>
      </c>
      <c r="H1467" s="270">
        <v>0.0017592592592592592</v>
      </c>
      <c r="I1467" s="271">
        <v>44440.71319444444</v>
      </c>
      <c r="J1467" s="268"/>
      <c r="K1467" s="271">
        <v>44440.717361111114</v>
      </c>
      <c r="L1467" s="288"/>
      <c r="M1467" s="272" t="s">
        <v>5052</v>
      </c>
      <c r="N1467" s="273"/>
      <c r="O1467" s="291"/>
      <c r="P1467" s="276"/>
      <c r="Q1467" s="276"/>
      <c r="R1467" s="277"/>
      <c r="S1467" s="278"/>
      <c r="T1467" s="278"/>
      <c r="U1467" s="279"/>
      <c r="V1467" s="279" t="s">
        <v>1824</v>
      </c>
      <c r="W1467" s="280">
        <v>44448.0</v>
      </c>
      <c r="X1467" s="281">
        <v>0.009027777777777779</v>
      </c>
      <c r="Y1467" s="279" t="s">
        <v>1693</v>
      </c>
      <c r="Z1467" s="282" t="s">
        <v>53</v>
      </c>
      <c r="AA1467" s="282">
        <v>6562949.0</v>
      </c>
      <c r="AB1467" s="283">
        <v>44443.0</v>
      </c>
      <c r="AC1467" s="284"/>
      <c r="AD1467" s="284"/>
    </row>
    <row r="1468" ht="14.25" customHeight="1">
      <c r="A1468" s="265">
        <v>44437.0</v>
      </c>
      <c r="B1468" s="266" t="s">
        <v>2030</v>
      </c>
      <c r="C1468" s="266" t="s">
        <v>1686</v>
      </c>
      <c r="D1468" s="266" t="s">
        <v>1543</v>
      </c>
      <c r="E1468" s="268"/>
      <c r="F1468" s="291" t="s">
        <v>5053</v>
      </c>
      <c r="G1468" s="268" t="s">
        <v>1463</v>
      </c>
      <c r="H1468" s="270">
        <v>0.002337962962962963</v>
      </c>
      <c r="I1468" s="271">
        <v>44441.59097222222</v>
      </c>
      <c r="J1468" s="268"/>
      <c r="K1468" s="271">
        <v>44441.933530092596</v>
      </c>
      <c r="L1468" s="288"/>
      <c r="M1468" s="272" t="s">
        <v>5054</v>
      </c>
      <c r="N1468" s="273"/>
      <c r="O1468" s="291"/>
      <c r="P1468" s="276"/>
      <c r="Q1468" s="276"/>
      <c r="R1468" s="277"/>
      <c r="S1468" s="278"/>
      <c r="T1468" s="278"/>
      <c r="U1468" s="279"/>
      <c r="V1468" s="279" t="s">
        <v>1738</v>
      </c>
      <c r="W1468" s="280">
        <v>44446.0</v>
      </c>
      <c r="X1468" s="281">
        <v>0.010416666666666666</v>
      </c>
      <c r="Y1468" s="279" t="s">
        <v>1693</v>
      </c>
      <c r="Z1468" s="282" t="s">
        <v>53</v>
      </c>
      <c r="AA1468" s="282">
        <v>6591540.0</v>
      </c>
      <c r="AB1468" s="283">
        <v>44446.0</v>
      </c>
      <c r="AC1468" s="284"/>
      <c r="AD1468" s="284"/>
    </row>
    <row r="1469" ht="14.25" customHeight="1">
      <c r="A1469" s="265">
        <v>44437.0</v>
      </c>
      <c r="B1469" s="266" t="s">
        <v>1824</v>
      </c>
      <c r="C1469" s="266" t="s">
        <v>5055</v>
      </c>
      <c r="D1469" s="266" t="s">
        <v>1457</v>
      </c>
      <c r="E1469" s="268"/>
      <c r="F1469" s="269" t="s">
        <v>5056</v>
      </c>
      <c r="G1469" s="268" t="s">
        <v>1463</v>
      </c>
      <c r="H1469" s="270">
        <v>0.0032175925925925926</v>
      </c>
      <c r="I1469" s="271">
        <v>44449.518055555556</v>
      </c>
      <c r="J1469" s="268"/>
      <c r="K1469" s="271">
        <v>44449.525</v>
      </c>
      <c r="L1469" s="288"/>
      <c r="M1469" s="278" t="s">
        <v>5057</v>
      </c>
      <c r="N1469" s="273"/>
      <c r="O1469" s="276"/>
      <c r="P1469" s="276"/>
      <c r="Q1469" s="276"/>
      <c r="R1469" s="277"/>
      <c r="S1469" s="278"/>
      <c r="T1469" s="278"/>
      <c r="U1469" s="279"/>
      <c r="V1469" s="279" t="s">
        <v>1824</v>
      </c>
      <c r="W1469" s="280">
        <v>44449.0</v>
      </c>
      <c r="X1469" s="281">
        <v>0.003472222222222222</v>
      </c>
      <c r="Y1469" s="279" t="s">
        <v>1693</v>
      </c>
      <c r="Z1469" s="282" t="s">
        <v>53</v>
      </c>
      <c r="AA1469" s="282">
        <v>6613312.0</v>
      </c>
      <c r="AB1469" s="283">
        <v>44452.0</v>
      </c>
      <c r="AC1469" s="284"/>
      <c r="AD1469" s="284"/>
    </row>
    <row r="1470" ht="14.25" customHeight="1">
      <c r="A1470" s="265">
        <v>44437.0</v>
      </c>
      <c r="B1470" s="266" t="s">
        <v>1500</v>
      </c>
      <c r="C1470" s="266"/>
      <c r="D1470" s="266" t="s">
        <v>1457</v>
      </c>
      <c r="E1470" s="268"/>
      <c r="F1470" s="358" t="s">
        <v>5058</v>
      </c>
      <c r="G1470" s="268" t="s">
        <v>2085</v>
      </c>
      <c r="H1470" s="270">
        <v>0.017592592592592594</v>
      </c>
      <c r="I1470" s="271">
        <v>44438.49166666667</v>
      </c>
      <c r="J1470" s="268"/>
      <c r="K1470" s="271">
        <v>44438.84074074074</v>
      </c>
      <c r="L1470" s="288" t="str">
        <f t="shared" ref="L1470:L1471" si="73">IFERROR(IF(OR(I1470="",K1470=""),"",K1470-I1470),"")</f>
        <v>8:22:40 AM</v>
      </c>
      <c r="M1470" s="278"/>
      <c r="N1470" s="273"/>
      <c r="O1470" s="276"/>
      <c r="P1470" s="276"/>
      <c r="Q1470" s="276"/>
      <c r="R1470" s="277"/>
      <c r="S1470" s="278"/>
      <c r="T1470" s="278"/>
      <c r="U1470" s="279"/>
      <c r="V1470" s="279" t="s">
        <v>1824</v>
      </c>
      <c r="W1470" s="280">
        <v>44447.0</v>
      </c>
      <c r="X1470" s="281">
        <v>0.041666666666666664</v>
      </c>
      <c r="Y1470" s="279" t="s">
        <v>1693</v>
      </c>
      <c r="Z1470" s="282" t="s">
        <v>53</v>
      </c>
      <c r="AA1470" s="282" t="s">
        <v>5058</v>
      </c>
      <c r="AB1470" s="283">
        <v>44439.0</v>
      </c>
      <c r="AC1470" s="284"/>
      <c r="AD1470" s="284"/>
    </row>
    <row r="1471" ht="14.25" customHeight="1">
      <c r="A1471" s="265">
        <v>44437.0</v>
      </c>
      <c r="B1471" s="266" t="s">
        <v>1500</v>
      </c>
      <c r="C1471" s="266"/>
      <c r="D1471" s="266" t="s">
        <v>2829</v>
      </c>
      <c r="E1471" s="268"/>
      <c r="F1471" s="358" t="s">
        <v>5059</v>
      </c>
      <c r="G1471" s="268" t="s">
        <v>2085</v>
      </c>
      <c r="H1471" s="270">
        <v>0.01840277777777778</v>
      </c>
      <c r="I1471" s="271">
        <v>44440.458333333336</v>
      </c>
      <c r="J1471" s="268"/>
      <c r="K1471" s="271">
        <v>44440.475694444445</v>
      </c>
      <c r="L1471" s="288" t="str">
        <f t="shared" si="73"/>
        <v>12:25:00 AM</v>
      </c>
      <c r="M1471" s="278"/>
      <c r="N1471" s="273">
        <v>44440.36094907407</v>
      </c>
      <c r="O1471" s="276" t="s">
        <v>1466</v>
      </c>
      <c r="P1471" s="276" t="s">
        <v>1463</v>
      </c>
      <c r="Q1471" s="276" t="s">
        <v>1819</v>
      </c>
      <c r="R1471" s="277">
        <v>44440.831828703704</v>
      </c>
      <c r="S1471" s="278"/>
      <c r="T1471" s="278" t="s">
        <v>5060</v>
      </c>
      <c r="U1471" s="279"/>
      <c r="V1471" s="279"/>
      <c r="W1471" s="279"/>
      <c r="X1471" s="279"/>
      <c r="Y1471" s="279"/>
      <c r="Z1471" s="282" t="s">
        <v>53</v>
      </c>
      <c r="AA1471" s="282" t="s">
        <v>5059</v>
      </c>
      <c r="AB1471" s="283">
        <v>44443.0</v>
      </c>
      <c r="AC1471" s="284"/>
      <c r="AD1471" s="284"/>
    </row>
    <row r="1472" ht="14.25" customHeight="1">
      <c r="A1472" s="265">
        <v>44438.0</v>
      </c>
      <c r="B1472" s="266" t="s">
        <v>1738</v>
      </c>
      <c r="C1472" s="266" t="s">
        <v>1831</v>
      </c>
      <c r="D1472" s="266" t="s">
        <v>1686</v>
      </c>
      <c r="E1472" s="268"/>
      <c r="F1472" s="269" t="s">
        <v>5061</v>
      </c>
      <c r="G1472" s="268" t="s">
        <v>1463</v>
      </c>
      <c r="H1472" s="270">
        <v>0.003483796296296296</v>
      </c>
      <c r="I1472" s="271">
        <v>44442.62777777778</v>
      </c>
      <c r="J1472" s="268"/>
      <c r="K1472" s="271">
        <v>44442.629166666666</v>
      </c>
      <c r="L1472" s="288">
        <v>0.001388888888888889</v>
      </c>
      <c r="M1472" s="278" t="s">
        <v>5062</v>
      </c>
      <c r="N1472" s="290"/>
      <c r="O1472" s="276"/>
      <c r="P1472" s="276"/>
      <c r="Q1472" s="276"/>
      <c r="R1472" s="277"/>
      <c r="S1472" s="278"/>
      <c r="T1472" s="278"/>
      <c r="U1472" s="279"/>
      <c r="V1472" s="279" t="s">
        <v>1824</v>
      </c>
      <c r="W1472" s="280">
        <v>44414.0</v>
      </c>
      <c r="X1472" s="281" t="s">
        <v>5063</v>
      </c>
      <c r="Y1472" s="279" t="s">
        <v>1693</v>
      </c>
      <c r="Z1472" s="282" t="s">
        <v>53</v>
      </c>
      <c r="AA1472" s="282">
        <v>6591541.0</v>
      </c>
      <c r="AB1472" s="283">
        <v>44446.0</v>
      </c>
      <c r="AC1472" s="284"/>
      <c r="AD1472" s="284"/>
    </row>
    <row r="1473" ht="14.25" customHeight="1">
      <c r="A1473" s="265">
        <v>44438.0</v>
      </c>
      <c r="B1473" s="266" t="s">
        <v>2753</v>
      </c>
      <c r="C1473" s="266" t="s">
        <v>1696</v>
      </c>
      <c r="D1473" s="266" t="s">
        <v>1543</v>
      </c>
      <c r="E1473" s="268"/>
      <c r="F1473" s="269" t="s">
        <v>5064</v>
      </c>
      <c r="G1473" s="268" t="s">
        <v>1463</v>
      </c>
      <c r="H1473" s="270">
        <v>0.0010532407407407407</v>
      </c>
      <c r="I1473" s="271">
        <v>44441.58125</v>
      </c>
      <c r="J1473" s="268"/>
      <c r="K1473" s="271">
        <v>44441.91636574074</v>
      </c>
      <c r="L1473" s="288"/>
      <c r="M1473" s="278" t="s">
        <v>5065</v>
      </c>
      <c r="N1473" s="290"/>
      <c r="O1473" s="276"/>
      <c r="P1473" s="276"/>
      <c r="Q1473" s="276"/>
      <c r="R1473" s="277"/>
      <c r="S1473" s="278"/>
      <c r="T1473" s="278"/>
      <c r="U1473" s="279"/>
      <c r="V1473" s="279" t="s">
        <v>1738</v>
      </c>
      <c r="W1473" s="280">
        <v>44446.0</v>
      </c>
      <c r="X1473" s="281">
        <v>0.010416666666666666</v>
      </c>
      <c r="Y1473" s="279" t="s">
        <v>1693</v>
      </c>
      <c r="Z1473" s="282" t="s">
        <v>53</v>
      </c>
      <c r="AA1473" s="282">
        <v>6591542.0</v>
      </c>
      <c r="AB1473" s="283">
        <v>44446.0</v>
      </c>
      <c r="AC1473" s="284"/>
      <c r="AD1473" s="284"/>
    </row>
    <row r="1474" ht="14.25" customHeight="1">
      <c r="A1474" s="265">
        <v>44438.0</v>
      </c>
      <c r="B1474" s="266" t="s">
        <v>2753</v>
      </c>
      <c r="C1474" s="266" t="s">
        <v>1450</v>
      </c>
      <c r="D1474" s="266" t="s">
        <v>1543</v>
      </c>
      <c r="E1474" s="268"/>
      <c r="F1474" s="269" t="s">
        <v>5066</v>
      </c>
      <c r="G1474" s="268" t="s">
        <v>1463</v>
      </c>
      <c r="H1474" s="270">
        <v>0.0019212962962962962</v>
      </c>
      <c r="I1474" s="271">
        <v>44470.69097222222</v>
      </c>
      <c r="J1474" s="268"/>
      <c r="K1474" s="271">
        <v>44471.032013888886</v>
      </c>
      <c r="L1474" s="288"/>
      <c r="M1474" s="278" t="s">
        <v>5067</v>
      </c>
      <c r="N1474" s="290"/>
      <c r="O1474" s="276"/>
      <c r="P1474" s="276"/>
      <c r="Q1474" s="276"/>
      <c r="R1474" s="277"/>
      <c r="S1474" s="278"/>
      <c r="T1474" s="278"/>
      <c r="U1474" s="279"/>
      <c r="V1474" s="279" t="s">
        <v>1824</v>
      </c>
      <c r="W1474" s="280">
        <v>44473.0</v>
      </c>
      <c r="X1474" s="281">
        <v>0.003472222222222222</v>
      </c>
      <c r="Y1474" s="279" t="s">
        <v>1693</v>
      </c>
      <c r="Z1474" s="282" t="s">
        <v>53</v>
      </c>
      <c r="AA1474" s="282">
        <v>6736621.0</v>
      </c>
      <c r="AB1474" s="283">
        <v>44473.0</v>
      </c>
      <c r="AC1474" s="284"/>
      <c r="AD1474" s="284"/>
    </row>
    <row r="1475" ht="14.25" customHeight="1">
      <c r="A1475" s="265">
        <v>44438.0</v>
      </c>
      <c r="B1475" s="266" t="s">
        <v>1685</v>
      </c>
      <c r="C1475" s="266"/>
      <c r="D1475" s="266" t="s">
        <v>1450</v>
      </c>
      <c r="E1475" s="268"/>
      <c r="F1475" s="358" t="s">
        <v>5068</v>
      </c>
      <c r="G1475" s="268" t="s">
        <v>2085</v>
      </c>
      <c r="H1475" s="270">
        <v>0.09793981481481483</v>
      </c>
      <c r="I1475" s="271">
        <v>44438.48611111111</v>
      </c>
      <c r="J1475" s="268"/>
      <c r="K1475" s="268"/>
      <c r="L1475" s="288" t="str">
        <f t="shared" ref="L1475:L1478" si="74">IFERROR(IF(OR(I1475="",K1475=""),"",K1475-I1475),"")</f>
        <v/>
      </c>
      <c r="M1475" s="278"/>
      <c r="N1475" s="290"/>
      <c r="O1475" s="276"/>
      <c r="P1475" s="276"/>
      <c r="Q1475" s="276"/>
      <c r="R1475" s="277"/>
      <c r="S1475" s="278"/>
      <c r="T1475" s="278"/>
      <c r="U1475" s="279"/>
      <c r="V1475" s="279" t="s">
        <v>1685</v>
      </c>
      <c r="W1475" s="280">
        <v>44439.0</v>
      </c>
      <c r="X1475" s="281">
        <v>0.2708333333333333</v>
      </c>
      <c r="Y1475" s="279" t="s">
        <v>1693</v>
      </c>
      <c r="Z1475" s="282" t="s">
        <v>53</v>
      </c>
      <c r="AA1475" s="282" t="s">
        <v>5068</v>
      </c>
      <c r="AB1475" s="283">
        <v>44439.0</v>
      </c>
      <c r="AC1475" s="284"/>
      <c r="AD1475" s="284"/>
    </row>
    <row r="1476" ht="14.25" customHeight="1">
      <c r="A1476" s="265">
        <v>44438.0</v>
      </c>
      <c r="B1476" s="266" t="s">
        <v>1783</v>
      </c>
      <c r="C1476" s="266"/>
      <c r="D1476" s="266" t="s">
        <v>1452</v>
      </c>
      <c r="E1476" s="268"/>
      <c r="F1476" s="358" t="s">
        <v>5069</v>
      </c>
      <c r="G1476" s="268" t="s">
        <v>2085</v>
      </c>
      <c r="H1476" s="270">
        <v>0.00318287037037037</v>
      </c>
      <c r="I1476" s="271">
        <v>44438.444444444445</v>
      </c>
      <c r="J1476" s="268"/>
      <c r="K1476" s="268" t="s">
        <v>5070</v>
      </c>
      <c r="L1476" s="288" t="str">
        <f t="shared" si="74"/>
        <v/>
      </c>
      <c r="M1476" s="278"/>
      <c r="N1476" s="290"/>
      <c r="O1476" s="276"/>
      <c r="P1476" s="276"/>
      <c r="Q1476" s="276"/>
      <c r="R1476" s="277"/>
      <c r="S1476" s="278"/>
      <c r="T1476" s="278"/>
      <c r="U1476" s="279"/>
      <c r="V1476" s="279" t="s">
        <v>1783</v>
      </c>
      <c r="W1476" s="280">
        <v>44439.0</v>
      </c>
      <c r="X1476" s="281">
        <v>0.010416666666666666</v>
      </c>
      <c r="Y1476" s="279" t="s">
        <v>1693</v>
      </c>
      <c r="Z1476" s="282" t="s">
        <v>53</v>
      </c>
      <c r="AA1476" s="282" t="s">
        <v>5069</v>
      </c>
      <c r="AB1476" s="283">
        <v>44439.0</v>
      </c>
      <c r="AC1476" s="284"/>
      <c r="AD1476" s="284"/>
    </row>
    <row r="1477" ht="14.25" customHeight="1">
      <c r="A1477" s="265">
        <v>44438.0</v>
      </c>
      <c r="B1477" s="266" t="s">
        <v>1824</v>
      </c>
      <c r="C1477" s="266"/>
      <c r="D1477" s="266" t="s">
        <v>1686</v>
      </c>
      <c r="E1477" s="268"/>
      <c r="F1477" s="358" t="s">
        <v>5071</v>
      </c>
      <c r="G1477" s="268" t="s">
        <v>2085</v>
      </c>
      <c r="H1477" s="270">
        <v>0.03965277777777778</v>
      </c>
      <c r="I1477" s="271">
        <v>44440.402083333334</v>
      </c>
      <c r="J1477" s="268"/>
      <c r="K1477" s="271">
        <v>44440.432905092595</v>
      </c>
      <c r="L1477" s="288" t="str">
        <f t="shared" si="74"/>
        <v>12:44:23 AM</v>
      </c>
      <c r="M1477" s="278"/>
      <c r="N1477" s="290"/>
      <c r="O1477" s="276"/>
      <c r="P1477" s="276"/>
      <c r="Q1477" s="276"/>
      <c r="R1477" s="277"/>
      <c r="S1477" s="278"/>
      <c r="T1477" s="278"/>
      <c r="U1477" s="279"/>
      <c r="V1477" s="279" t="s">
        <v>1824</v>
      </c>
      <c r="W1477" s="280">
        <v>44440.0</v>
      </c>
      <c r="X1477" s="281">
        <v>0.16666666666666666</v>
      </c>
      <c r="Y1477" s="279" t="s">
        <v>1693</v>
      </c>
      <c r="Z1477" s="282" t="s">
        <v>53</v>
      </c>
      <c r="AA1477" s="282" t="s">
        <v>5071</v>
      </c>
      <c r="AB1477" s="283">
        <v>44442.0</v>
      </c>
      <c r="AC1477" s="284"/>
      <c r="AD1477" s="284"/>
    </row>
    <row r="1478" ht="14.25" customHeight="1">
      <c r="A1478" s="265">
        <v>44438.0</v>
      </c>
      <c r="B1478" s="266" t="s">
        <v>1746</v>
      </c>
      <c r="C1478" s="266"/>
      <c r="D1478" s="266" t="s">
        <v>1455</v>
      </c>
      <c r="E1478" s="268"/>
      <c r="F1478" s="358" t="s">
        <v>5072</v>
      </c>
      <c r="G1478" s="268" t="s">
        <v>2085</v>
      </c>
      <c r="H1478" s="270">
        <v>0.02136574074074074</v>
      </c>
      <c r="I1478" s="271">
        <v>44438.98611111111</v>
      </c>
      <c r="J1478" s="268"/>
      <c r="K1478" s="271">
        <v>44439.04027777778</v>
      </c>
      <c r="L1478" s="288" t="str">
        <f t="shared" si="74"/>
        <v>1:18:00 AM</v>
      </c>
      <c r="M1478" s="278"/>
      <c r="N1478" s="290"/>
      <c r="O1478" s="276"/>
      <c r="P1478" s="276"/>
      <c r="Q1478" s="276"/>
      <c r="R1478" s="277"/>
      <c r="S1478" s="278"/>
      <c r="T1478" s="278"/>
      <c r="U1478" s="279"/>
      <c r="V1478" s="279" t="s">
        <v>1783</v>
      </c>
      <c r="W1478" s="280">
        <v>44439.0</v>
      </c>
      <c r="X1478" s="281">
        <v>0.09375</v>
      </c>
      <c r="Y1478" s="279" t="s">
        <v>1693</v>
      </c>
      <c r="Z1478" s="282" t="s">
        <v>53</v>
      </c>
      <c r="AA1478" s="282" t="s">
        <v>5072</v>
      </c>
      <c r="AB1478" s="283">
        <v>44440.0</v>
      </c>
      <c r="AC1478" s="284"/>
      <c r="AD1478" s="284"/>
    </row>
    <row r="1479" ht="14.25" customHeight="1">
      <c r="A1479" s="265">
        <v>44439.0</v>
      </c>
      <c r="B1479" s="266" t="s">
        <v>2753</v>
      </c>
      <c r="C1479" s="266" t="s">
        <v>1696</v>
      </c>
      <c r="D1479" s="266" t="s">
        <v>1543</v>
      </c>
      <c r="E1479" s="268"/>
      <c r="F1479" s="269" t="s">
        <v>5073</v>
      </c>
      <c r="G1479" s="268" t="s">
        <v>1463</v>
      </c>
      <c r="H1479" s="270">
        <v>0.0011574074074074073</v>
      </c>
      <c r="I1479" s="271">
        <v>44441.59097222222</v>
      </c>
      <c r="J1479" s="268"/>
      <c r="K1479" s="271">
        <v>44441.929085648146</v>
      </c>
      <c r="L1479" s="288"/>
      <c r="M1479" s="278" t="s">
        <v>5074</v>
      </c>
      <c r="N1479" s="290"/>
      <c r="O1479" s="276"/>
      <c r="P1479" s="276"/>
      <c r="Q1479" s="276"/>
      <c r="R1479" s="277"/>
      <c r="S1479" s="278"/>
      <c r="T1479" s="278"/>
      <c r="U1479" s="279"/>
      <c r="V1479" s="279" t="s">
        <v>1738</v>
      </c>
      <c r="W1479" s="280">
        <v>44446.0</v>
      </c>
      <c r="X1479" s="281">
        <v>0.010416666666666666</v>
      </c>
      <c r="Y1479" s="279" t="s">
        <v>1693</v>
      </c>
      <c r="Z1479" s="282" t="s">
        <v>53</v>
      </c>
      <c r="AA1479" s="282">
        <v>6573572.0</v>
      </c>
      <c r="AB1479" s="283">
        <v>44443.0</v>
      </c>
      <c r="AC1479" s="284"/>
      <c r="AD1479" s="284"/>
    </row>
    <row r="1480" ht="14.25" customHeight="1">
      <c r="A1480" s="265">
        <v>44439.0</v>
      </c>
      <c r="B1480" s="266" t="s">
        <v>1783</v>
      </c>
      <c r="C1480" s="266"/>
      <c r="D1480" s="266" t="s">
        <v>1452</v>
      </c>
      <c r="E1480" s="268"/>
      <c r="F1480" s="358" t="s">
        <v>5075</v>
      </c>
      <c r="G1480" s="268" t="s">
        <v>2085</v>
      </c>
      <c r="H1480" s="270">
        <v>0.0027546296296296294</v>
      </c>
      <c r="I1480" s="271">
        <v>44439.51388888889</v>
      </c>
      <c r="J1480" s="268"/>
      <c r="K1480" s="268" t="s">
        <v>5076</v>
      </c>
      <c r="L1480" s="288" t="str">
        <f t="shared" ref="L1480:L1483" si="75">IFERROR(IF(OR(I1480="",K1480=""),"",K1480-I1480),"")</f>
        <v/>
      </c>
      <c r="M1480" s="278"/>
      <c r="N1480" s="290"/>
      <c r="O1480" s="276"/>
      <c r="P1480" s="276"/>
      <c r="Q1480" s="276"/>
      <c r="R1480" s="277"/>
      <c r="S1480" s="278"/>
      <c r="T1480" s="278"/>
      <c r="U1480" s="279"/>
      <c r="V1480" s="279" t="s">
        <v>1783</v>
      </c>
      <c r="W1480" s="280">
        <v>44439.0</v>
      </c>
      <c r="X1480" s="281">
        <v>0.004861111111111111</v>
      </c>
      <c r="Y1480" s="279" t="s">
        <v>1693</v>
      </c>
      <c r="Z1480" s="282" t="s">
        <v>53</v>
      </c>
      <c r="AA1480" s="282" t="s">
        <v>5075</v>
      </c>
      <c r="AB1480" s="283">
        <v>44440.0</v>
      </c>
      <c r="AC1480" s="284"/>
      <c r="AD1480" s="284"/>
    </row>
    <row r="1481" ht="14.25" customHeight="1">
      <c r="A1481" s="265">
        <v>44439.0</v>
      </c>
      <c r="B1481" s="266" t="s">
        <v>1685</v>
      </c>
      <c r="C1481" s="266"/>
      <c r="D1481" s="266" t="s">
        <v>1450</v>
      </c>
      <c r="E1481" s="268"/>
      <c r="F1481" s="358" t="s">
        <v>5077</v>
      </c>
      <c r="G1481" s="268" t="s">
        <v>2085</v>
      </c>
      <c r="H1481" s="270">
        <v>0.0987037037037037</v>
      </c>
      <c r="I1481" s="271">
        <v>44439.459027777775</v>
      </c>
      <c r="J1481" s="268"/>
      <c r="K1481" s="271">
        <v>44439.62157407407</v>
      </c>
      <c r="L1481" s="288" t="str">
        <f t="shared" si="75"/>
        <v>3:54:04 AM</v>
      </c>
      <c r="M1481" s="278"/>
      <c r="N1481" s="290"/>
      <c r="O1481" s="276"/>
      <c r="P1481" s="276"/>
      <c r="Q1481" s="276"/>
      <c r="R1481" s="277"/>
      <c r="S1481" s="278"/>
      <c r="T1481" s="278"/>
      <c r="U1481" s="279"/>
      <c r="V1481" s="279" t="s">
        <v>1685</v>
      </c>
      <c r="W1481" s="280">
        <v>44440.0</v>
      </c>
      <c r="X1481" s="281">
        <v>0.2708333333333333</v>
      </c>
      <c r="Y1481" s="279" t="s">
        <v>1693</v>
      </c>
      <c r="Z1481" s="282" t="s">
        <v>53</v>
      </c>
      <c r="AA1481" s="282" t="s">
        <v>5077</v>
      </c>
      <c r="AB1481" s="283">
        <v>44440.0</v>
      </c>
      <c r="AC1481" s="284"/>
      <c r="AD1481" s="284"/>
    </row>
    <row r="1482" ht="14.25" customHeight="1">
      <c r="A1482" s="265">
        <v>44439.0</v>
      </c>
      <c r="B1482" s="266" t="s">
        <v>1824</v>
      </c>
      <c r="C1482" s="266"/>
      <c r="D1482" s="266" t="s">
        <v>1686</v>
      </c>
      <c r="E1482" s="268"/>
      <c r="F1482" s="358" t="s">
        <v>5078</v>
      </c>
      <c r="G1482" s="268" t="s">
        <v>2085</v>
      </c>
      <c r="H1482" s="270">
        <v>0.03788194444444444</v>
      </c>
      <c r="I1482" s="271">
        <v>44439.59375</v>
      </c>
      <c r="J1482" s="268"/>
      <c r="K1482" s="271">
        <v>44440.95354166667</v>
      </c>
      <c r="L1482" s="288" t="str">
        <f t="shared" si="75"/>
        <v>8:38:06 AM</v>
      </c>
      <c r="M1482" s="278"/>
      <c r="N1482" s="290"/>
      <c r="O1482" s="276"/>
      <c r="P1482" s="276"/>
      <c r="Q1482" s="276"/>
      <c r="R1482" s="277"/>
      <c r="S1482" s="278"/>
      <c r="T1482" s="278"/>
      <c r="U1482" s="279"/>
      <c r="V1482" s="279" t="s">
        <v>1824</v>
      </c>
      <c r="W1482" s="280">
        <v>44441.0</v>
      </c>
      <c r="X1482" s="281">
        <v>0.16666666666666666</v>
      </c>
      <c r="Y1482" s="279" t="s">
        <v>1693</v>
      </c>
      <c r="Z1482" s="282" t="s">
        <v>53</v>
      </c>
      <c r="AA1482" s="282" t="s">
        <v>5078</v>
      </c>
      <c r="AB1482" s="283">
        <v>44442.0</v>
      </c>
      <c r="AC1482" s="284"/>
      <c r="AD1482" s="284"/>
    </row>
    <row r="1483" ht="14.25" customHeight="1">
      <c r="A1483" s="265">
        <v>44439.0</v>
      </c>
      <c r="B1483" s="266" t="s">
        <v>1746</v>
      </c>
      <c r="C1483" s="266"/>
      <c r="D1483" s="266" t="s">
        <v>1455</v>
      </c>
      <c r="E1483" s="268"/>
      <c r="F1483" s="358" t="s">
        <v>5079</v>
      </c>
      <c r="G1483" s="268" t="s">
        <v>2085</v>
      </c>
      <c r="H1483" s="270">
        <v>0.021215277777777777</v>
      </c>
      <c r="I1483" s="271">
        <v>44440.052083333336</v>
      </c>
      <c r="J1483" s="268"/>
      <c r="K1483" s="271">
        <v>44440.07638888889</v>
      </c>
      <c r="L1483" s="288" t="str">
        <f t="shared" si="75"/>
        <v>12:35:00 AM</v>
      </c>
      <c r="M1483" s="278"/>
      <c r="N1483" s="290"/>
      <c r="O1483" s="276"/>
      <c r="P1483" s="276"/>
      <c r="Q1483" s="276"/>
      <c r="R1483" s="277"/>
      <c r="S1483" s="278"/>
      <c r="T1483" s="278"/>
      <c r="U1483" s="279"/>
      <c r="V1483" s="279" t="s">
        <v>1783</v>
      </c>
      <c r="W1483" s="280">
        <v>44440.0</v>
      </c>
      <c r="X1483" s="281">
        <v>0.08333333333333333</v>
      </c>
      <c r="Y1483" s="279" t="s">
        <v>1693</v>
      </c>
      <c r="Z1483" s="282" t="s">
        <v>53</v>
      </c>
      <c r="AA1483" s="282" t="s">
        <v>5079</v>
      </c>
      <c r="AB1483" s="283">
        <v>44440.0</v>
      </c>
      <c r="AC1483" s="284"/>
      <c r="AD1483" s="284"/>
    </row>
    <row r="1484" ht="14.25" customHeight="1">
      <c r="A1484" s="265">
        <v>44440.0</v>
      </c>
      <c r="B1484" s="266" t="s">
        <v>2753</v>
      </c>
      <c r="C1484" s="266" t="s">
        <v>1450</v>
      </c>
      <c r="D1484" s="266" t="s">
        <v>1543</v>
      </c>
      <c r="E1484" s="268"/>
      <c r="F1484" s="269" t="s">
        <v>5080</v>
      </c>
      <c r="G1484" s="268" t="s">
        <v>1463</v>
      </c>
      <c r="H1484" s="270">
        <v>0.0011342592592592591</v>
      </c>
      <c r="I1484" s="271">
        <v>44441.404861111114</v>
      </c>
      <c r="J1484" s="268"/>
      <c r="K1484" s="271">
        <v>44442.33255787037</v>
      </c>
      <c r="L1484" s="288"/>
      <c r="M1484" s="278" t="s">
        <v>5081</v>
      </c>
      <c r="N1484" s="290"/>
      <c r="O1484" s="276"/>
      <c r="P1484" s="276"/>
      <c r="Q1484" s="276"/>
      <c r="R1484" s="277"/>
      <c r="S1484" s="278"/>
      <c r="T1484" s="278"/>
      <c r="U1484" s="279"/>
      <c r="V1484" s="279" t="s">
        <v>1738</v>
      </c>
      <c r="W1484" s="280">
        <v>44446.0</v>
      </c>
      <c r="X1484" s="281">
        <v>0.006944444444444444</v>
      </c>
      <c r="Y1484" s="279" t="s">
        <v>1693</v>
      </c>
      <c r="Z1484" s="282" t="s">
        <v>53</v>
      </c>
      <c r="AA1484" s="282">
        <v>6562950.0</v>
      </c>
      <c r="AB1484" s="283">
        <v>44443.0</v>
      </c>
      <c r="AC1484" s="284"/>
      <c r="AD1484" s="284"/>
    </row>
    <row r="1485" ht="14.25" customHeight="1">
      <c r="A1485" s="265">
        <v>44440.0</v>
      </c>
      <c r="B1485" s="266" t="s">
        <v>2753</v>
      </c>
      <c r="C1485" s="266" t="s">
        <v>1455</v>
      </c>
      <c r="D1485" s="266" t="s">
        <v>1543</v>
      </c>
      <c r="E1485" s="268"/>
      <c r="F1485" s="269" t="s">
        <v>5082</v>
      </c>
      <c r="G1485" s="268" t="s">
        <v>1463</v>
      </c>
      <c r="H1485" s="270">
        <v>0.0019560185185185184</v>
      </c>
      <c r="I1485" s="271">
        <v>44441.509722222225</v>
      </c>
      <c r="J1485" s="268"/>
      <c r="K1485" s="271">
        <v>44442.663831018515</v>
      </c>
      <c r="L1485" s="288"/>
      <c r="M1485" s="278" t="s">
        <v>5083</v>
      </c>
      <c r="N1485" s="290"/>
      <c r="O1485" s="276"/>
      <c r="P1485" s="276"/>
      <c r="Q1485" s="276"/>
      <c r="R1485" s="277"/>
      <c r="S1485" s="278"/>
      <c r="T1485" s="278"/>
      <c r="U1485" s="279"/>
      <c r="V1485" s="279" t="s">
        <v>1738</v>
      </c>
      <c r="W1485" s="280">
        <v>44446.0</v>
      </c>
      <c r="X1485" s="281">
        <v>0.006944444444444444</v>
      </c>
      <c r="Y1485" s="279" t="s">
        <v>1693</v>
      </c>
      <c r="Z1485" s="282" t="s">
        <v>53</v>
      </c>
      <c r="AA1485" s="282">
        <v>6591543.0</v>
      </c>
      <c r="AB1485" s="283">
        <v>44446.0</v>
      </c>
      <c r="AC1485" s="284"/>
      <c r="AD1485" s="284"/>
    </row>
    <row r="1486" ht="14.25" customHeight="1">
      <c r="A1486" s="265">
        <v>44440.0</v>
      </c>
      <c r="B1486" s="266" t="s">
        <v>2753</v>
      </c>
      <c r="C1486" s="266" t="s">
        <v>1450</v>
      </c>
      <c r="D1486" s="266" t="s">
        <v>1543</v>
      </c>
      <c r="E1486" s="268"/>
      <c r="F1486" s="269" t="s">
        <v>5084</v>
      </c>
      <c r="G1486" s="268" t="s">
        <v>1463</v>
      </c>
      <c r="H1486" s="270">
        <v>0.0014583333333333334</v>
      </c>
      <c r="I1486" s="271">
        <v>44441.63611111111</v>
      </c>
      <c r="J1486" s="268"/>
      <c r="K1486" s="271">
        <v>44442.97375</v>
      </c>
      <c r="L1486" s="288"/>
      <c r="M1486" s="426" t="s">
        <v>5085</v>
      </c>
      <c r="N1486" s="290"/>
      <c r="O1486" s="276"/>
      <c r="P1486" s="276"/>
      <c r="Q1486" s="276"/>
      <c r="R1486" s="277"/>
      <c r="S1486" s="278"/>
      <c r="T1486" s="278"/>
      <c r="U1486" s="279"/>
      <c r="V1486" s="279" t="s">
        <v>1738</v>
      </c>
      <c r="W1486" s="280">
        <v>44446.0</v>
      </c>
      <c r="X1486" s="281">
        <v>0.006944444444444444</v>
      </c>
      <c r="Y1486" s="279" t="s">
        <v>1693</v>
      </c>
      <c r="Z1486" s="282" t="s">
        <v>53</v>
      </c>
      <c r="AA1486" s="282">
        <v>6591544.0</v>
      </c>
      <c r="AB1486" s="283">
        <v>44446.0</v>
      </c>
      <c r="AC1486" s="284"/>
      <c r="AD1486" s="284"/>
    </row>
    <row r="1487" ht="14.25" customHeight="1">
      <c r="A1487" s="265">
        <v>44440.0</v>
      </c>
      <c r="B1487" s="266" t="s">
        <v>1685</v>
      </c>
      <c r="C1487" s="266"/>
      <c r="D1487" s="266" t="s">
        <v>1450</v>
      </c>
      <c r="E1487" s="268"/>
      <c r="F1487" s="358" t="s">
        <v>5086</v>
      </c>
      <c r="G1487" s="268" t="s">
        <v>2085</v>
      </c>
      <c r="H1487" s="270">
        <v>0.09810185185185184</v>
      </c>
      <c r="I1487" s="271">
        <v>44440.455555555556</v>
      </c>
      <c r="J1487" s="268"/>
      <c r="K1487" s="271">
        <v>44440.57496527778</v>
      </c>
      <c r="L1487" s="288" t="str">
        <f t="shared" ref="L1487:L1490" si="76">IFERROR(IF(OR(I1487="",K1487=""),"",K1487-I1487),"")</f>
        <v>2:51:57 AM</v>
      </c>
      <c r="M1487" s="278"/>
      <c r="N1487" s="290"/>
      <c r="O1487" s="276"/>
      <c r="P1487" s="276"/>
      <c r="Q1487" s="276"/>
      <c r="R1487" s="277"/>
      <c r="S1487" s="278"/>
      <c r="T1487" s="278"/>
      <c r="U1487" s="279"/>
      <c r="V1487" s="279" t="s">
        <v>1685</v>
      </c>
      <c r="W1487" s="280">
        <v>44441.0</v>
      </c>
      <c r="X1487" s="279"/>
      <c r="Y1487" s="279" t="s">
        <v>1693</v>
      </c>
      <c r="Z1487" s="282" t="s">
        <v>53</v>
      </c>
      <c r="AA1487" s="282" t="s">
        <v>5086</v>
      </c>
      <c r="AB1487" s="283">
        <v>44442.0</v>
      </c>
      <c r="AC1487" s="284"/>
      <c r="AD1487" s="284"/>
    </row>
    <row r="1488" ht="14.25" customHeight="1">
      <c r="A1488" s="265">
        <v>44440.0</v>
      </c>
      <c r="B1488" s="266" t="s">
        <v>1783</v>
      </c>
      <c r="C1488" s="266"/>
      <c r="D1488" s="266" t="s">
        <v>1452</v>
      </c>
      <c r="E1488" s="268"/>
      <c r="F1488" s="358" t="s">
        <v>5087</v>
      </c>
      <c r="G1488" s="268" t="s">
        <v>2085</v>
      </c>
      <c r="H1488" s="270">
        <v>0.0022685185185185182</v>
      </c>
      <c r="I1488" s="271">
        <v>44440.47777777778</v>
      </c>
      <c r="J1488" s="268"/>
      <c r="K1488" s="268" t="s">
        <v>5088</v>
      </c>
      <c r="L1488" s="288" t="str">
        <f t="shared" si="76"/>
        <v>12:31:49 AM</v>
      </c>
      <c r="M1488" s="278"/>
      <c r="N1488" s="290"/>
      <c r="O1488" s="276"/>
      <c r="P1488" s="276"/>
      <c r="Q1488" s="276"/>
      <c r="R1488" s="277"/>
      <c r="S1488" s="278"/>
      <c r="T1488" s="278"/>
      <c r="U1488" s="279"/>
      <c r="V1488" s="279" t="s">
        <v>1783</v>
      </c>
      <c r="W1488" s="280">
        <v>44440.0</v>
      </c>
      <c r="X1488" s="281">
        <v>0.006944444444444444</v>
      </c>
      <c r="Y1488" s="279" t="s">
        <v>1693</v>
      </c>
      <c r="Z1488" s="282" t="s">
        <v>53</v>
      </c>
      <c r="AA1488" s="282" t="s">
        <v>5087</v>
      </c>
      <c r="AB1488" s="283">
        <v>44442.0</v>
      </c>
      <c r="AC1488" s="284"/>
      <c r="AD1488" s="284"/>
    </row>
    <row r="1489" ht="14.25" customHeight="1">
      <c r="A1489" s="265">
        <v>44440.0</v>
      </c>
      <c r="B1489" s="266" t="s">
        <v>1824</v>
      </c>
      <c r="C1489" s="266"/>
      <c r="D1489" s="266" t="s">
        <v>1686</v>
      </c>
      <c r="E1489" s="268"/>
      <c r="F1489" s="291" t="s">
        <v>5089</v>
      </c>
      <c r="G1489" s="268" t="s">
        <v>2085</v>
      </c>
      <c r="H1489" s="270">
        <v>0.03988425925925926</v>
      </c>
      <c r="I1489" s="271">
        <v>44440.572222222225</v>
      </c>
      <c r="J1489" s="268"/>
      <c r="K1489" s="271">
        <v>44445.39236111111</v>
      </c>
      <c r="L1489" s="288" t="str">
        <f t="shared" si="76"/>
        <v>7:41:00 PM</v>
      </c>
      <c r="M1489" s="278"/>
      <c r="N1489" s="290"/>
      <c r="O1489" s="276"/>
      <c r="P1489" s="276"/>
      <c r="Q1489" s="276"/>
      <c r="R1489" s="277"/>
      <c r="S1489" s="278"/>
      <c r="T1489" s="278"/>
      <c r="U1489" s="279"/>
      <c r="V1489" s="279" t="s">
        <v>1824</v>
      </c>
      <c r="W1489" s="280">
        <v>44445.0</v>
      </c>
      <c r="X1489" s="281">
        <v>0.0020833333333333333</v>
      </c>
      <c r="Y1489" s="279" t="s">
        <v>1693</v>
      </c>
      <c r="Z1489" s="282" t="s">
        <v>53</v>
      </c>
      <c r="AA1489" s="282" t="s">
        <v>5089</v>
      </c>
      <c r="AB1489" s="283">
        <v>44446.0</v>
      </c>
      <c r="AC1489" s="284"/>
      <c r="AD1489" s="284"/>
    </row>
    <row r="1490" ht="14.25" customHeight="1">
      <c r="A1490" s="265">
        <v>44440.0</v>
      </c>
      <c r="B1490" s="266" t="s">
        <v>1746</v>
      </c>
      <c r="C1490" s="266"/>
      <c r="D1490" s="266" t="s">
        <v>1455</v>
      </c>
      <c r="E1490" s="268"/>
      <c r="F1490" s="358" t="s">
        <v>5090</v>
      </c>
      <c r="G1490" s="268" t="s">
        <v>2085</v>
      </c>
      <c r="H1490" s="270">
        <v>0.02146990740740741</v>
      </c>
      <c r="I1490" s="271">
        <v>44441.0625</v>
      </c>
      <c r="J1490" s="268"/>
      <c r="K1490" s="271">
        <v>44441.08263888889</v>
      </c>
      <c r="L1490" s="288" t="str">
        <f t="shared" si="76"/>
        <v>12:29:00 AM</v>
      </c>
      <c r="M1490" s="278"/>
      <c r="N1490" s="290"/>
      <c r="O1490" s="276"/>
      <c r="P1490" s="276"/>
      <c r="Q1490" s="276"/>
      <c r="R1490" s="277"/>
      <c r="S1490" s="278"/>
      <c r="T1490" s="278"/>
      <c r="U1490" s="279"/>
      <c r="V1490" s="279" t="s">
        <v>1783</v>
      </c>
      <c r="W1490" s="280">
        <v>44441.0</v>
      </c>
      <c r="X1490" s="281">
        <v>0.09375</v>
      </c>
      <c r="Y1490" s="279" t="s">
        <v>1693</v>
      </c>
      <c r="Z1490" s="282" t="s">
        <v>53</v>
      </c>
      <c r="AA1490" s="282" t="s">
        <v>5090</v>
      </c>
      <c r="AB1490" s="283">
        <v>44442.0</v>
      </c>
      <c r="AC1490" s="284"/>
      <c r="AD1490" s="284"/>
    </row>
    <row r="1491" ht="14.25" customHeight="1">
      <c r="A1491" s="265">
        <v>44441.0</v>
      </c>
      <c r="B1491" s="266" t="s">
        <v>2030</v>
      </c>
      <c r="C1491" s="266" t="s">
        <v>1686</v>
      </c>
      <c r="D1491" s="266" t="s">
        <v>1543</v>
      </c>
      <c r="E1491" s="268"/>
      <c r="F1491" s="269" t="s">
        <v>5091</v>
      </c>
      <c r="G1491" s="268" t="s">
        <v>1463</v>
      </c>
      <c r="H1491" s="270">
        <v>0.0017939814814814815</v>
      </c>
      <c r="I1491" s="271">
        <v>44446.51597222222</v>
      </c>
      <c r="J1491" s="268"/>
      <c r="K1491" s="271">
        <v>44446.51875</v>
      </c>
      <c r="L1491" s="288"/>
      <c r="M1491" s="278" t="s">
        <v>5092</v>
      </c>
      <c r="N1491" s="290"/>
      <c r="O1491" s="276"/>
      <c r="P1491" s="276"/>
      <c r="Q1491" s="276"/>
      <c r="R1491" s="277"/>
      <c r="S1491" s="278"/>
      <c r="T1491" s="278"/>
      <c r="U1491" s="279"/>
      <c r="V1491" s="279" t="s">
        <v>1738</v>
      </c>
      <c r="W1491" s="280">
        <v>44446.0</v>
      </c>
      <c r="X1491" s="281">
        <v>0.006944444444444444</v>
      </c>
      <c r="Y1491" s="279" t="s">
        <v>1693</v>
      </c>
      <c r="Z1491" s="282" t="s">
        <v>53</v>
      </c>
      <c r="AA1491" s="282">
        <v>6603195.0</v>
      </c>
      <c r="AB1491" s="283">
        <v>44449.0</v>
      </c>
      <c r="AC1491" s="284"/>
      <c r="AD1491" s="284"/>
    </row>
    <row r="1492" ht="14.25" customHeight="1">
      <c r="A1492" s="265">
        <v>44441.0</v>
      </c>
      <c r="B1492" s="266" t="s">
        <v>1685</v>
      </c>
      <c r="C1492" s="266"/>
      <c r="D1492" s="266" t="s">
        <v>1450</v>
      </c>
      <c r="E1492" s="268"/>
      <c r="F1492" s="358" t="s">
        <v>5093</v>
      </c>
      <c r="G1492" s="268" t="s">
        <v>2085</v>
      </c>
      <c r="H1492" s="270">
        <v>0.05288194444444444</v>
      </c>
      <c r="I1492" s="271">
        <v>44441.46875</v>
      </c>
      <c r="J1492" s="268"/>
      <c r="K1492" s="268"/>
      <c r="L1492" s="288" t="str">
        <f t="shared" ref="L1492:L1495" si="77">IFERROR(IF(OR(I1492="",K1492=""),"",K1492-I1492),"")</f>
        <v/>
      </c>
      <c r="M1492" s="278"/>
      <c r="N1492" s="290"/>
      <c r="O1492" s="276"/>
      <c r="P1492" s="276"/>
      <c r="Q1492" s="276"/>
      <c r="R1492" s="277"/>
      <c r="S1492" s="278"/>
      <c r="T1492" s="278"/>
      <c r="U1492" s="279"/>
      <c r="V1492" s="279" t="s">
        <v>1685</v>
      </c>
      <c r="W1492" s="280">
        <v>44442.0</v>
      </c>
      <c r="X1492" s="279"/>
      <c r="Y1492" s="279" t="s">
        <v>1693</v>
      </c>
      <c r="Z1492" s="282" t="s">
        <v>53</v>
      </c>
      <c r="AA1492" s="282" t="s">
        <v>5093</v>
      </c>
      <c r="AB1492" s="283">
        <v>44442.0</v>
      </c>
      <c r="AC1492" s="284"/>
      <c r="AD1492" s="284"/>
    </row>
    <row r="1493" ht="14.25" customHeight="1">
      <c r="A1493" s="265">
        <v>44441.0</v>
      </c>
      <c r="B1493" s="266" t="s">
        <v>1783</v>
      </c>
      <c r="C1493" s="266"/>
      <c r="D1493" s="266" t="s">
        <v>1452</v>
      </c>
      <c r="E1493" s="268"/>
      <c r="F1493" s="358" t="s">
        <v>5094</v>
      </c>
      <c r="G1493" s="268" t="s">
        <v>2085</v>
      </c>
      <c r="H1493" s="270">
        <v>0.0021759259259259258</v>
      </c>
      <c r="I1493" s="271">
        <v>44441.455555555556</v>
      </c>
      <c r="J1493" s="268"/>
      <c r="K1493" s="268" t="s">
        <v>5095</v>
      </c>
      <c r="L1493" s="288" t="str">
        <f t="shared" si="77"/>
        <v>12:11:38 AM</v>
      </c>
      <c r="M1493" s="278"/>
      <c r="N1493" s="290"/>
      <c r="O1493" s="276"/>
      <c r="P1493" s="276"/>
      <c r="Q1493" s="276"/>
      <c r="R1493" s="277"/>
      <c r="S1493" s="278"/>
      <c r="T1493" s="278"/>
      <c r="U1493" s="279"/>
      <c r="V1493" s="279" t="s">
        <v>1783</v>
      </c>
      <c r="W1493" s="280">
        <v>44441.0</v>
      </c>
      <c r="X1493" s="281">
        <v>0.006944444444444444</v>
      </c>
      <c r="Y1493" s="279" t="s">
        <v>1693</v>
      </c>
      <c r="Z1493" s="282" t="s">
        <v>53</v>
      </c>
      <c r="AA1493" s="282" t="s">
        <v>5094</v>
      </c>
      <c r="AB1493" s="283">
        <v>44442.0</v>
      </c>
      <c r="AC1493" s="284"/>
      <c r="AD1493" s="284"/>
    </row>
    <row r="1494" ht="14.25" customHeight="1">
      <c r="A1494" s="265">
        <v>44441.0</v>
      </c>
      <c r="B1494" s="266" t="s">
        <v>1824</v>
      </c>
      <c r="C1494" s="266"/>
      <c r="D1494" s="266" t="s">
        <v>1686</v>
      </c>
      <c r="E1494" s="268"/>
      <c r="F1494" s="291" t="s">
        <v>5096</v>
      </c>
      <c r="G1494" s="268" t="s">
        <v>2085</v>
      </c>
      <c r="H1494" s="270">
        <v>0.038182870370370374</v>
      </c>
      <c r="I1494" s="271"/>
      <c r="J1494" s="268"/>
      <c r="K1494" s="268"/>
      <c r="L1494" s="288" t="str">
        <f t="shared" si="77"/>
        <v/>
      </c>
      <c r="M1494" s="307" t="s">
        <v>5035</v>
      </c>
      <c r="N1494" s="273">
        <v>44445.58125</v>
      </c>
      <c r="O1494" s="276" t="s">
        <v>5097</v>
      </c>
      <c r="P1494" s="276" t="s">
        <v>1463</v>
      </c>
      <c r="Q1494" s="276" t="s">
        <v>1819</v>
      </c>
      <c r="R1494" s="396" t="s">
        <v>5098</v>
      </c>
      <c r="S1494" s="278"/>
      <c r="T1494" s="278" t="s">
        <v>5099</v>
      </c>
      <c r="U1494" s="279"/>
      <c r="V1494" s="279" t="s">
        <v>1824</v>
      </c>
      <c r="W1494" s="280">
        <v>44445.0</v>
      </c>
      <c r="X1494" s="281">
        <v>0.16666666666666666</v>
      </c>
      <c r="Y1494" s="279" t="s">
        <v>1693</v>
      </c>
      <c r="Z1494" s="282" t="s">
        <v>53</v>
      </c>
      <c r="AA1494" s="282" t="s">
        <v>5096</v>
      </c>
      <c r="AB1494" s="283">
        <v>44446.0</v>
      </c>
      <c r="AC1494" s="284"/>
      <c r="AD1494" s="284"/>
    </row>
    <row r="1495" ht="14.25" customHeight="1">
      <c r="A1495" s="265">
        <v>44441.0</v>
      </c>
      <c r="B1495" s="266" t="s">
        <v>1746</v>
      </c>
      <c r="C1495" s="266"/>
      <c r="D1495" s="266" t="s">
        <v>1455</v>
      </c>
      <c r="E1495" s="268"/>
      <c r="F1495" s="358" t="s">
        <v>5100</v>
      </c>
      <c r="G1495" s="268" t="s">
        <v>2085</v>
      </c>
      <c r="H1495" s="270">
        <v>0.021840277777777778</v>
      </c>
      <c r="I1495" s="271">
        <v>44442.055555555555</v>
      </c>
      <c r="J1495" s="268"/>
      <c r="K1495" s="271">
        <v>44442.07708333333</v>
      </c>
      <c r="L1495" s="288" t="str">
        <f t="shared" si="77"/>
        <v>12:31:00 AM</v>
      </c>
      <c r="M1495" s="278"/>
      <c r="N1495" s="290"/>
      <c r="O1495" s="276"/>
      <c r="P1495" s="276"/>
      <c r="Q1495" s="276"/>
      <c r="R1495" s="277"/>
      <c r="S1495" s="278"/>
      <c r="T1495" s="278"/>
      <c r="U1495" s="279"/>
      <c r="V1495" s="279" t="s">
        <v>1783</v>
      </c>
      <c r="W1495" s="280">
        <v>44442.0</v>
      </c>
      <c r="X1495" s="281">
        <v>0.09027777777777778</v>
      </c>
      <c r="Y1495" s="279" t="s">
        <v>1693</v>
      </c>
      <c r="Z1495" s="282" t="s">
        <v>53</v>
      </c>
      <c r="AA1495" s="282" t="s">
        <v>5100</v>
      </c>
      <c r="AB1495" s="283">
        <v>44442.0</v>
      </c>
      <c r="AC1495" s="284"/>
      <c r="AD1495" s="284"/>
    </row>
    <row r="1496" ht="14.25" customHeight="1">
      <c r="A1496" s="265">
        <v>44442.0</v>
      </c>
      <c r="B1496" s="266" t="s">
        <v>2030</v>
      </c>
      <c r="C1496" s="266" t="s">
        <v>1450</v>
      </c>
      <c r="D1496" s="266" t="s">
        <v>1543</v>
      </c>
      <c r="E1496" s="268"/>
      <c r="F1496" s="269" t="s">
        <v>5101</v>
      </c>
      <c r="G1496" s="268" t="s">
        <v>1463</v>
      </c>
      <c r="H1496" s="270">
        <v>0.0030671296296296297</v>
      </c>
      <c r="I1496" s="271">
        <v>44448.40625</v>
      </c>
      <c r="J1496" s="268"/>
      <c r="K1496" s="271">
        <v>44448.40833333333</v>
      </c>
      <c r="L1496" s="288"/>
      <c r="M1496" s="278" t="s">
        <v>5102</v>
      </c>
      <c r="N1496" s="290"/>
      <c r="O1496" s="276"/>
      <c r="P1496" s="276"/>
      <c r="Q1496" s="276"/>
      <c r="R1496" s="277"/>
      <c r="S1496" s="278"/>
      <c r="T1496" s="278"/>
      <c r="U1496" s="279"/>
      <c r="V1496" s="279" t="s">
        <v>1824</v>
      </c>
      <c r="W1496" s="280">
        <v>44449.0</v>
      </c>
      <c r="X1496" s="281">
        <v>0.003472222222222222</v>
      </c>
      <c r="Y1496" s="279" t="s">
        <v>1693</v>
      </c>
      <c r="Z1496" s="282" t="s">
        <v>53</v>
      </c>
      <c r="AA1496" s="282">
        <v>6607768.0</v>
      </c>
      <c r="AB1496" s="283">
        <v>44449.0</v>
      </c>
      <c r="AC1496" s="284"/>
      <c r="AD1496" s="284"/>
    </row>
    <row r="1497" ht="14.25" customHeight="1">
      <c r="A1497" s="265">
        <v>44442.0</v>
      </c>
      <c r="B1497" s="266" t="s">
        <v>1685</v>
      </c>
      <c r="C1497" s="266"/>
      <c r="D1497" s="266" t="s">
        <v>1450</v>
      </c>
      <c r="E1497" s="268"/>
      <c r="F1497" s="358" t="s">
        <v>5103</v>
      </c>
      <c r="G1497" s="268" t="s">
        <v>2085</v>
      </c>
      <c r="H1497" s="270">
        <v>0.09877314814814815</v>
      </c>
      <c r="I1497" s="271">
        <v>44442.50486111111</v>
      </c>
      <c r="J1497" s="268"/>
      <c r="K1497" s="268" t="s">
        <v>5104</v>
      </c>
      <c r="L1497" s="288" t="str">
        <f t="shared" ref="L1497:L1499" si="78">IFERROR(IF(OR(I1497="",K1497=""),"",K1497-I1497),"")</f>
        <v>2:40:59 AM</v>
      </c>
      <c r="M1497" s="278"/>
      <c r="N1497" s="290"/>
      <c r="O1497" s="276"/>
      <c r="P1497" s="276"/>
      <c r="Q1497" s="276"/>
      <c r="R1497" s="277"/>
      <c r="S1497" s="278"/>
      <c r="T1497" s="278"/>
      <c r="U1497" s="279"/>
      <c r="V1497" s="279" t="s">
        <v>1783</v>
      </c>
      <c r="W1497" s="279" t="s">
        <v>5105</v>
      </c>
      <c r="X1497" s="281">
        <v>0.2638888888888889</v>
      </c>
      <c r="Y1497" s="279" t="s">
        <v>1693</v>
      </c>
      <c r="Z1497" s="282" t="s">
        <v>53</v>
      </c>
      <c r="AA1497" s="282" t="s">
        <v>5103</v>
      </c>
      <c r="AB1497" s="283">
        <v>44443.0</v>
      </c>
      <c r="AC1497" s="284"/>
      <c r="AD1497" s="284"/>
    </row>
    <row r="1498" ht="14.25" customHeight="1">
      <c r="A1498" s="265">
        <v>44442.0</v>
      </c>
      <c r="B1498" s="266" t="s">
        <v>1783</v>
      </c>
      <c r="C1498" s="266"/>
      <c r="D1498" s="266" t="s">
        <v>1452</v>
      </c>
      <c r="E1498" s="268"/>
      <c r="F1498" s="358" t="s">
        <v>5106</v>
      </c>
      <c r="G1498" s="268" t="s">
        <v>2085</v>
      </c>
      <c r="H1498" s="270">
        <v>0.005208333333333333</v>
      </c>
      <c r="I1498" s="271">
        <v>44442.50069444445</v>
      </c>
      <c r="J1498" s="268"/>
      <c r="K1498" s="268" t="s">
        <v>5107</v>
      </c>
      <c r="L1498" s="288" t="str">
        <f t="shared" si="78"/>
        <v>12:12:44 AM</v>
      </c>
      <c r="M1498" s="278"/>
      <c r="N1498" s="290"/>
      <c r="O1498" s="276"/>
      <c r="P1498" s="276"/>
      <c r="Q1498" s="276"/>
      <c r="R1498" s="277"/>
      <c r="S1498" s="278"/>
      <c r="T1498" s="278"/>
      <c r="U1498" s="279"/>
      <c r="V1498" s="279" t="s">
        <v>1824</v>
      </c>
      <c r="W1498" s="280">
        <v>44448.0</v>
      </c>
      <c r="X1498" s="281">
        <v>0.015277777777777777</v>
      </c>
      <c r="Y1498" s="279" t="s">
        <v>1693</v>
      </c>
      <c r="Z1498" s="282" t="s">
        <v>53</v>
      </c>
      <c r="AA1498" s="282" t="s">
        <v>5106</v>
      </c>
      <c r="AB1498" s="283">
        <v>44443.0</v>
      </c>
      <c r="AC1498" s="284"/>
      <c r="AD1498" s="284"/>
    </row>
    <row r="1499" ht="14.25" customHeight="1">
      <c r="A1499" s="265">
        <v>44442.0</v>
      </c>
      <c r="B1499" s="266" t="s">
        <v>1824</v>
      </c>
      <c r="C1499" s="266"/>
      <c r="D1499" s="266" t="s">
        <v>1686</v>
      </c>
      <c r="E1499" s="268"/>
      <c r="F1499" s="291" t="s">
        <v>5108</v>
      </c>
      <c r="G1499" s="268" t="s">
        <v>2085</v>
      </c>
      <c r="H1499" s="270">
        <v>0.03722222222222222</v>
      </c>
      <c r="I1499" s="271">
        <v>44442.981944444444</v>
      </c>
      <c r="J1499" s="268"/>
      <c r="K1499" s="268"/>
      <c r="L1499" s="288" t="str">
        <f t="shared" si="78"/>
        <v/>
      </c>
      <c r="M1499" s="307" t="s">
        <v>5035</v>
      </c>
      <c r="N1499" s="273">
        <v>44445.55486111111</v>
      </c>
      <c r="O1499" s="276" t="s">
        <v>5109</v>
      </c>
      <c r="P1499" s="276" t="s">
        <v>1463</v>
      </c>
      <c r="Q1499" s="276" t="s">
        <v>1819</v>
      </c>
      <c r="R1499" s="277">
        <v>44445.610972222225</v>
      </c>
      <c r="S1499" s="278"/>
      <c r="T1499" s="278" t="s">
        <v>5110</v>
      </c>
      <c r="U1499" s="279"/>
      <c r="V1499" s="279" t="s">
        <v>1685</v>
      </c>
      <c r="W1499" s="280">
        <v>44445.0</v>
      </c>
      <c r="X1499" s="281">
        <v>0.125</v>
      </c>
      <c r="Y1499" s="279" t="s">
        <v>1693</v>
      </c>
      <c r="Z1499" s="282" t="s">
        <v>53</v>
      </c>
      <c r="AA1499" s="282" t="s">
        <v>5108</v>
      </c>
      <c r="AB1499" s="283">
        <v>44446.0</v>
      </c>
      <c r="AC1499" s="284"/>
      <c r="AD1499" s="284"/>
    </row>
    <row r="1500" ht="14.25" customHeight="1">
      <c r="A1500" s="265">
        <v>44442.0</v>
      </c>
      <c r="B1500" s="266" t="s">
        <v>1746</v>
      </c>
      <c r="C1500" s="266"/>
      <c r="D1500" s="266" t="s">
        <v>1455</v>
      </c>
      <c r="E1500" s="268"/>
      <c r="F1500" s="358" t="s">
        <v>5111</v>
      </c>
      <c r="G1500" s="268" t="s">
        <v>2085</v>
      </c>
      <c r="H1500" s="270">
        <v>0.020833333333333332</v>
      </c>
      <c r="I1500" s="271">
        <v>44442.95138888889</v>
      </c>
      <c r="J1500" s="268"/>
      <c r="K1500" s="271">
        <v>44442.993055555555</v>
      </c>
      <c r="L1500" s="288">
        <v>0.020833333333333332</v>
      </c>
      <c r="M1500" s="278"/>
      <c r="N1500" s="290"/>
      <c r="O1500" s="276"/>
      <c r="P1500" s="276"/>
      <c r="Q1500" s="276"/>
      <c r="R1500" s="277"/>
      <c r="S1500" s="278"/>
      <c r="T1500" s="278"/>
      <c r="U1500" s="279"/>
      <c r="V1500" s="279" t="s">
        <v>1733</v>
      </c>
      <c r="W1500" s="280">
        <v>44446.0</v>
      </c>
      <c r="X1500" s="281">
        <v>0.125</v>
      </c>
      <c r="Y1500" s="279" t="s">
        <v>1693</v>
      </c>
      <c r="Z1500" s="282" t="s">
        <v>53</v>
      </c>
      <c r="AA1500" s="282" t="s">
        <v>5111</v>
      </c>
      <c r="AB1500" s="283">
        <v>44443.0</v>
      </c>
      <c r="AC1500" s="284"/>
      <c r="AD1500" s="284"/>
    </row>
    <row r="1501" ht="14.25" customHeight="1">
      <c r="A1501" s="265">
        <v>44443.0</v>
      </c>
      <c r="B1501" s="266" t="s">
        <v>1500</v>
      </c>
      <c r="C1501" s="266" t="s">
        <v>1696</v>
      </c>
      <c r="D1501" s="266" t="s">
        <v>1543</v>
      </c>
      <c r="E1501" s="268"/>
      <c r="F1501" s="269" t="s">
        <v>5112</v>
      </c>
      <c r="G1501" s="268" t="s">
        <v>1463</v>
      </c>
      <c r="H1501" s="270">
        <v>0.0029282407407407412</v>
      </c>
      <c r="I1501" s="271">
        <v>44446.66805555556</v>
      </c>
      <c r="J1501" s="268"/>
      <c r="K1501" s="271">
        <v>44447.007881944446</v>
      </c>
      <c r="L1501" s="288"/>
      <c r="M1501" s="278" t="s">
        <v>5113</v>
      </c>
      <c r="N1501" s="290"/>
      <c r="O1501" s="276"/>
      <c r="P1501" s="276"/>
      <c r="Q1501" s="276"/>
      <c r="R1501" s="277"/>
      <c r="S1501" s="278"/>
      <c r="T1501" s="278"/>
      <c r="U1501" s="279"/>
      <c r="V1501" s="279" t="s">
        <v>1824</v>
      </c>
      <c r="W1501" s="280">
        <v>44449.0</v>
      </c>
      <c r="X1501" s="281">
        <v>0.008333333333333333</v>
      </c>
      <c r="Y1501" s="279" t="s">
        <v>1693</v>
      </c>
      <c r="Z1501" s="282" t="s">
        <v>53</v>
      </c>
      <c r="AA1501" s="282">
        <v>6603196.0</v>
      </c>
      <c r="AB1501" s="283">
        <v>44449.0</v>
      </c>
      <c r="AC1501" s="284"/>
      <c r="AD1501" s="284"/>
    </row>
    <row r="1502" ht="14.25" customHeight="1">
      <c r="A1502" s="265">
        <v>44443.0</v>
      </c>
      <c r="B1502" s="266" t="s">
        <v>1500</v>
      </c>
      <c r="C1502" s="266" t="s">
        <v>1686</v>
      </c>
      <c r="D1502" s="266" t="s">
        <v>1543</v>
      </c>
      <c r="E1502" s="268"/>
      <c r="F1502" s="269" t="s">
        <v>5114</v>
      </c>
      <c r="G1502" s="268" t="s">
        <v>1463</v>
      </c>
      <c r="H1502" s="270">
        <v>0.0020833333333333333</v>
      </c>
      <c r="I1502" s="271">
        <v>44446.748611111114</v>
      </c>
      <c r="J1502" s="268"/>
      <c r="K1502" s="271">
        <v>44447.08719907407</v>
      </c>
      <c r="L1502" s="288"/>
      <c r="M1502" s="278" t="s">
        <v>5115</v>
      </c>
      <c r="N1502" s="290"/>
      <c r="O1502" s="276"/>
      <c r="P1502" s="276"/>
      <c r="Q1502" s="276"/>
      <c r="R1502" s="277"/>
      <c r="S1502" s="278"/>
      <c r="T1502" s="278"/>
      <c r="U1502" s="279"/>
      <c r="V1502" s="279" t="s">
        <v>1824</v>
      </c>
      <c r="W1502" s="280">
        <v>44449.0</v>
      </c>
      <c r="X1502" s="281">
        <v>0.003472222222222222</v>
      </c>
      <c r="Y1502" s="279" t="s">
        <v>1693</v>
      </c>
      <c r="Z1502" s="282" t="s">
        <v>53</v>
      </c>
      <c r="AA1502" s="282">
        <v>6603197.0</v>
      </c>
      <c r="AB1502" s="283">
        <v>44449.0</v>
      </c>
      <c r="AC1502" s="284"/>
      <c r="AD1502" s="284"/>
    </row>
    <row r="1503" ht="14.25" customHeight="1">
      <c r="A1503" s="265">
        <v>44443.0</v>
      </c>
      <c r="B1503" s="266" t="s">
        <v>2030</v>
      </c>
      <c r="C1503" s="266"/>
      <c r="D1503" s="266" t="s">
        <v>1686</v>
      </c>
      <c r="E1503" s="268"/>
      <c r="F1503" s="291" t="s">
        <v>5116</v>
      </c>
      <c r="G1503" s="268" t="s">
        <v>2085</v>
      </c>
      <c r="H1503" s="270">
        <v>0.040682870370370376</v>
      </c>
      <c r="I1503" s="271">
        <v>44443.60138888889</v>
      </c>
      <c r="J1503" s="268"/>
      <c r="K1503" s="271">
        <v>44443.62430555555</v>
      </c>
      <c r="L1503" s="288" t="str">
        <f t="shared" ref="L1503:L1504" si="79">IFERROR(IF(OR(I1503="",K1503=""),"",K1503-I1503),"")</f>
        <v>12:33:00 AM</v>
      </c>
      <c r="M1503" s="278"/>
      <c r="N1503" s="290"/>
      <c r="O1503" s="276"/>
      <c r="P1503" s="276"/>
      <c r="Q1503" s="276"/>
      <c r="R1503" s="277"/>
      <c r="S1503" s="278"/>
      <c r="T1503" s="278"/>
      <c r="U1503" s="279"/>
      <c r="V1503" s="279" t="s">
        <v>1685</v>
      </c>
      <c r="W1503" s="280">
        <v>44445.0</v>
      </c>
      <c r="X1503" s="281">
        <v>0.125</v>
      </c>
      <c r="Y1503" s="279" t="s">
        <v>1693</v>
      </c>
      <c r="Z1503" s="282" t="s">
        <v>53</v>
      </c>
      <c r="AA1503" s="282" t="s">
        <v>5116</v>
      </c>
      <c r="AB1503" s="283">
        <v>44445.0</v>
      </c>
      <c r="AC1503" s="284"/>
      <c r="AD1503" s="284"/>
    </row>
    <row r="1504" ht="14.25" customHeight="1">
      <c r="A1504" s="265">
        <v>44443.0</v>
      </c>
      <c r="B1504" s="266" t="s">
        <v>1500</v>
      </c>
      <c r="C1504" s="266"/>
      <c r="D1504" s="266" t="s">
        <v>1455</v>
      </c>
      <c r="E1504" s="268"/>
      <c r="F1504" s="358" t="s">
        <v>5117</v>
      </c>
      <c r="G1504" s="268" t="s">
        <v>2085</v>
      </c>
      <c r="H1504" s="270">
        <v>0.013460648148148147</v>
      </c>
      <c r="I1504" s="271">
        <v>44445.592361111114</v>
      </c>
      <c r="J1504" s="268"/>
      <c r="K1504" s="271">
        <v>44445.6053125</v>
      </c>
      <c r="L1504" s="288" t="str">
        <f t="shared" si="79"/>
        <v>12:18:39 AM</v>
      </c>
      <c r="M1504" s="278"/>
      <c r="N1504" s="290"/>
      <c r="O1504" s="276"/>
      <c r="P1504" s="276"/>
      <c r="Q1504" s="276"/>
      <c r="R1504" s="277"/>
      <c r="S1504" s="278"/>
      <c r="T1504" s="278"/>
      <c r="U1504" s="279"/>
      <c r="V1504" s="279" t="s">
        <v>1733</v>
      </c>
      <c r="W1504" s="280">
        <v>44447.0</v>
      </c>
      <c r="X1504" s="281">
        <v>0.10486111111111111</v>
      </c>
      <c r="Y1504" s="279" t="s">
        <v>1693</v>
      </c>
      <c r="Z1504" s="282" t="s">
        <v>53</v>
      </c>
      <c r="AA1504" s="282" t="s">
        <v>5117</v>
      </c>
      <c r="AB1504" s="283">
        <v>44446.0</v>
      </c>
      <c r="AC1504" s="284"/>
      <c r="AD1504" s="284"/>
    </row>
    <row r="1505" ht="14.25" customHeight="1">
      <c r="A1505" s="265">
        <v>44444.0</v>
      </c>
      <c r="B1505" s="266" t="s">
        <v>2030</v>
      </c>
      <c r="C1505" s="266" t="s">
        <v>5118</v>
      </c>
      <c r="D1505" s="266" t="s">
        <v>1543</v>
      </c>
      <c r="E1505" s="268"/>
      <c r="F1505" s="291" t="s">
        <v>5119</v>
      </c>
      <c r="G1505" s="268" t="s">
        <v>1463</v>
      </c>
      <c r="H1505" s="270">
        <v>0.0042824074074074075</v>
      </c>
      <c r="I1505" s="271">
        <v>44445.375</v>
      </c>
      <c r="J1505" s="268"/>
      <c r="K1505" s="271">
        <v>44445.37847222222</v>
      </c>
      <c r="L1505" s="288"/>
      <c r="M1505" s="278" t="s">
        <v>5120</v>
      </c>
      <c r="N1505" s="290"/>
      <c r="O1505" s="276"/>
      <c r="P1505" s="276"/>
      <c r="Q1505" s="276"/>
      <c r="R1505" s="277"/>
      <c r="S1505" s="278"/>
      <c r="T1505" s="278"/>
      <c r="U1505" s="279"/>
      <c r="V1505" s="279" t="s">
        <v>1824</v>
      </c>
      <c r="W1505" s="280">
        <v>44448.0</v>
      </c>
      <c r="X1505" s="281">
        <v>0.008333333333333333</v>
      </c>
      <c r="Y1505" s="279" t="s">
        <v>1693</v>
      </c>
      <c r="Z1505" s="282" t="s">
        <v>53</v>
      </c>
      <c r="AA1505" s="282">
        <v>6591545.0</v>
      </c>
      <c r="AB1505" s="283">
        <v>44446.0</v>
      </c>
      <c r="AC1505" s="284"/>
      <c r="AD1505" s="284"/>
    </row>
    <row r="1506" ht="14.25" customHeight="1">
      <c r="A1506" s="265">
        <v>44444.0</v>
      </c>
      <c r="B1506" s="266" t="s">
        <v>2030</v>
      </c>
      <c r="C1506" s="266" t="s">
        <v>5118</v>
      </c>
      <c r="D1506" s="266" t="s">
        <v>1543</v>
      </c>
      <c r="E1506" s="268"/>
      <c r="F1506" s="291" t="s">
        <v>5121</v>
      </c>
      <c r="G1506" s="268" t="s">
        <v>1463</v>
      </c>
      <c r="H1506" s="270">
        <v>0.001979166666666667</v>
      </c>
      <c r="I1506" s="271">
        <v>44445.38055555556</v>
      </c>
      <c r="J1506" s="268"/>
      <c r="K1506" s="271">
        <v>44445.381944444445</v>
      </c>
      <c r="L1506" s="288"/>
      <c r="M1506" s="278" t="s">
        <v>5122</v>
      </c>
      <c r="N1506" s="290"/>
      <c r="O1506" s="276"/>
      <c r="P1506" s="276"/>
      <c r="Q1506" s="276"/>
      <c r="R1506" s="277"/>
      <c r="S1506" s="278"/>
      <c r="T1506" s="278"/>
      <c r="U1506" s="279"/>
      <c r="V1506" s="279" t="s">
        <v>1824</v>
      </c>
      <c r="W1506" s="280">
        <v>44448.0</v>
      </c>
      <c r="X1506" s="281">
        <v>0.009027777777777779</v>
      </c>
      <c r="Y1506" s="279" t="s">
        <v>1693</v>
      </c>
      <c r="Z1506" s="282" t="s">
        <v>53</v>
      </c>
      <c r="AA1506" s="282">
        <v>6591546.0</v>
      </c>
      <c r="AB1506" s="283">
        <v>44446.0</v>
      </c>
      <c r="AC1506" s="284"/>
      <c r="AD1506" s="284"/>
    </row>
    <row r="1507" ht="14.25" customHeight="1">
      <c r="A1507" s="265">
        <v>44444.0</v>
      </c>
      <c r="B1507" s="266" t="s">
        <v>2030</v>
      </c>
      <c r="C1507" s="266" t="s">
        <v>5118</v>
      </c>
      <c r="D1507" s="266" t="s">
        <v>1543</v>
      </c>
      <c r="E1507" s="268"/>
      <c r="F1507" s="291" t="s">
        <v>5123</v>
      </c>
      <c r="G1507" s="268" t="s">
        <v>1463</v>
      </c>
      <c r="H1507" s="270">
        <v>0.0014699074074074074</v>
      </c>
      <c r="I1507" s="271">
        <v>44445.38680555556</v>
      </c>
      <c r="J1507" s="268"/>
      <c r="K1507" s="271">
        <v>44445.38888888889</v>
      </c>
      <c r="L1507" s="288"/>
      <c r="M1507" s="278" t="s">
        <v>5124</v>
      </c>
      <c r="N1507" s="290"/>
      <c r="O1507" s="276"/>
      <c r="P1507" s="276"/>
      <c r="Q1507" s="276"/>
      <c r="R1507" s="277"/>
      <c r="S1507" s="278"/>
      <c r="T1507" s="278"/>
      <c r="U1507" s="279"/>
      <c r="V1507" s="279" t="s">
        <v>1824</v>
      </c>
      <c r="W1507" s="280">
        <v>44448.0</v>
      </c>
      <c r="X1507" s="281">
        <v>0.004166666666666667</v>
      </c>
      <c r="Y1507" s="279" t="s">
        <v>1693</v>
      </c>
      <c r="Z1507" s="282" t="s">
        <v>53</v>
      </c>
      <c r="AA1507" s="282">
        <v>6591547.0</v>
      </c>
      <c r="AB1507" s="283">
        <v>44446.0</v>
      </c>
      <c r="AC1507" s="284"/>
      <c r="AD1507" s="284"/>
    </row>
    <row r="1508" ht="14.25" customHeight="1">
      <c r="A1508" s="265">
        <v>44444.0</v>
      </c>
      <c r="B1508" s="266" t="s">
        <v>1500</v>
      </c>
      <c r="C1508" s="266" t="s">
        <v>5125</v>
      </c>
      <c r="D1508" s="266" t="s">
        <v>1543</v>
      </c>
      <c r="E1508" s="268"/>
      <c r="F1508" s="291" t="s">
        <v>5126</v>
      </c>
      <c r="G1508" s="268" t="s">
        <v>1463</v>
      </c>
      <c r="H1508" s="270">
        <v>0.0034953703703703705</v>
      </c>
      <c r="I1508" s="271">
        <v>44446.59444444445</v>
      </c>
      <c r="J1508" s="268"/>
      <c r="K1508" s="271">
        <v>44471.79666666667</v>
      </c>
      <c r="L1508" s="288"/>
      <c r="M1508" s="278" t="s">
        <v>5127</v>
      </c>
      <c r="N1508" s="290"/>
      <c r="O1508" s="276"/>
      <c r="P1508" s="276"/>
      <c r="Q1508" s="276"/>
      <c r="R1508" s="277"/>
      <c r="S1508" s="278"/>
      <c r="T1508" s="278"/>
      <c r="U1508" s="279"/>
      <c r="V1508" s="279" t="s">
        <v>1824</v>
      </c>
      <c r="W1508" s="280">
        <v>44473.0</v>
      </c>
      <c r="X1508" s="281">
        <v>0.006944444444444444</v>
      </c>
      <c r="Y1508" s="279" t="s">
        <v>1693</v>
      </c>
      <c r="Z1508" s="282" t="s">
        <v>53</v>
      </c>
      <c r="AA1508" s="282">
        <v>6736622.0</v>
      </c>
      <c r="AB1508" s="283">
        <v>44473.0</v>
      </c>
      <c r="AC1508" s="284"/>
      <c r="AD1508" s="284"/>
    </row>
    <row r="1509" ht="14.25" customHeight="1">
      <c r="A1509" s="265">
        <v>44444.0</v>
      </c>
      <c r="B1509" s="266" t="s">
        <v>1500</v>
      </c>
      <c r="C1509" s="266"/>
      <c r="D1509" s="266" t="s">
        <v>4985</v>
      </c>
      <c r="E1509" s="268"/>
      <c r="F1509" s="269" t="s">
        <v>5128</v>
      </c>
      <c r="G1509" s="268" t="s">
        <v>28</v>
      </c>
      <c r="H1509" s="270" t="s">
        <v>28</v>
      </c>
      <c r="I1509" s="271" t="s">
        <v>28</v>
      </c>
      <c r="J1509" s="268"/>
      <c r="K1509" s="268" t="s">
        <v>28</v>
      </c>
      <c r="L1509" s="288" t="s">
        <v>28</v>
      </c>
      <c r="M1509" s="278" t="s">
        <v>28</v>
      </c>
      <c r="N1509" s="290"/>
      <c r="O1509" s="276"/>
      <c r="P1509" s="276"/>
      <c r="Q1509" s="276"/>
      <c r="R1509" s="277"/>
      <c r="S1509" s="278"/>
      <c r="T1509" s="278"/>
      <c r="U1509" s="279" t="s">
        <v>28</v>
      </c>
      <c r="V1509" s="279" t="s">
        <v>28</v>
      </c>
      <c r="W1509" s="279" t="s">
        <v>28</v>
      </c>
      <c r="X1509" s="279" t="s">
        <v>28</v>
      </c>
      <c r="Y1509" s="279" t="s">
        <v>28</v>
      </c>
      <c r="Z1509" s="282" t="s">
        <v>28</v>
      </c>
      <c r="AA1509" s="282" t="s">
        <v>28</v>
      </c>
      <c r="AB1509" s="282" t="s">
        <v>28</v>
      </c>
      <c r="AC1509" s="284"/>
      <c r="AD1509" s="284"/>
    </row>
    <row r="1510" ht="14.25" customHeight="1">
      <c r="A1510" s="265">
        <v>44444.0</v>
      </c>
      <c r="B1510" s="266" t="s">
        <v>1500</v>
      </c>
      <c r="C1510" s="266"/>
      <c r="D1510" s="266" t="s">
        <v>1457</v>
      </c>
      <c r="E1510" s="268"/>
      <c r="F1510" s="358" t="s">
        <v>5129</v>
      </c>
      <c r="G1510" s="268" t="s">
        <v>2085</v>
      </c>
      <c r="H1510" s="270">
        <v>0.017997685185185186</v>
      </c>
      <c r="I1510" s="271">
        <v>44446.59722222222</v>
      </c>
      <c r="J1510" s="268"/>
      <c r="K1510" s="268"/>
      <c r="L1510" s="288" t="str">
        <f t="shared" ref="L1510:L1511" si="80">IFERROR(IF(OR(I1510="",K1510=""),"",K1510-I1510),"")</f>
        <v/>
      </c>
      <c r="M1510" s="278"/>
      <c r="N1510" s="290"/>
      <c r="O1510" s="276"/>
      <c r="P1510" s="276"/>
      <c r="Q1510" s="276"/>
      <c r="R1510" s="277"/>
      <c r="S1510" s="278"/>
      <c r="T1510" s="278"/>
      <c r="U1510" s="279"/>
      <c r="V1510" s="279" t="s">
        <v>1824</v>
      </c>
      <c r="W1510" s="280">
        <v>44447.0</v>
      </c>
      <c r="X1510" s="281">
        <v>0.041666666666666664</v>
      </c>
      <c r="Y1510" s="279" t="s">
        <v>1693</v>
      </c>
      <c r="Z1510" s="282" t="s">
        <v>53</v>
      </c>
      <c r="AA1510" s="282" t="s">
        <v>5129</v>
      </c>
      <c r="AB1510" s="283">
        <v>44446.0</v>
      </c>
      <c r="AC1510" s="284"/>
      <c r="AD1510" s="284"/>
    </row>
    <row r="1511" ht="14.25" customHeight="1">
      <c r="A1511" s="265">
        <v>44444.0</v>
      </c>
      <c r="B1511" s="266" t="s">
        <v>1500</v>
      </c>
      <c r="C1511" s="266"/>
      <c r="D1511" s="266" t="s">
        <v>2829</v>
      </c>
      <c r="E1511" s="268"/>
      <c r="F1511" s="358" t="s">
        <v>5130</v>
      </c>
      <c r="G1511" s="268" t="s">
        <v>2085</v>
      </c>
      <c r="H1511" s="270">
        <v>0.018645833333333334</v>
      </c>
      <c r="I1511" s="271">
        <v>44445.59930555556</v>
      </c>
      <c r="J1511" s="268"/>
      <c r="K1511" s="268"/>
      <c r="L1511" s="288" t="str">
        <f t="shared" si="80"/>
        <v/>
      </c>
      <c r="M1511" s="278" t="s">
        <v>5035</v>
      </c>
      <c r="N1511" s="273">
        <v>44448.76006944444</v>
      </c>
      <c r="O1511" s="332" t="s">
        <v>5131</v>
      </c>
      <c r="P1511" s="276" t="s">
        <v>1463</v>
      </c>
      <c r="Q1511" s="276" t="s">
        <v>1819</v>
      </c>
      <c r="R1511" s="277">
        <v>44448.77012731481</v>
      </c>
      <c r="S1511" s="278"/>
      <c r="T1511" s="278" t="s">
        <v>5132</v>
      </c>
      <c r="U1511" s="279"/>
      <c r="V1511" s="279"/>
      <c r="W1511" s="279"/>
      <c r="X1511" s="279"/>
      <c r="Y1511" s="279"/>
      <c r="Z1511" s="282" t="s">
        <v>53</v>
      </c>
      <c r="AA1511" s="282" t="s">
        <v>5130</v>
      </c>
      <c r="AB1511" s="283">
        <v>44450.0</v>
      </c>
      <c r="AC1511" s="284"/>
      <c r="AD1511" s="284"/>
    </row>
    <row r="1512" ht="14.25" customHeight="1">
      <c r="A1512" s="265">
        <v>44445.0</v>
      </c>
      <c r="B1512" s="267" t="s">
        <v>2030</v>
      </c>
      <c r="C1512" s="267" t="s">
        <v>1686</v>
      </c>
      <c r="D1512" s="267" t="s">
        <v>1543</v>
      </c>
      <c r="E1512" s="268"/>
      <c r="F1512" s="269" t="s">
        <v>5133</v>
      </c>
      <c r="G1512" s="268" t="s">
        <v>1463</v>
      </c>
      <c r="H1512" s="321">
        <v>0.0015856481481481479</v>
      </c>
      <c r="I1512" s="320">
        <v>44452.51944444444</v>
      </c>
      <c r="J1512" s="323"/>
      <c r="K1512" s="320">
        <v>44452.52222222222</v>
      </c>
      <c r="L1512" s="288"/>
      <c r="M1512" s="272" t="s">
        <v>5134</v>
      </c>
      <c r="N1512" s="273"/>
      <c r="O1512" s="276"/>
      <c r="P1512" s="276"/>
      <c r="Q1512" s="276"/>
      <c r="R1512" s="278"/>
      <c r="S1512" s="278"/>
      <c r="T1512" s="278"/>
      <c r="U1512" s="279"/>
      <c r="V1512" s="279" t="s">
        <v>1824</v>
      </c>
      <c r="W1512" s="280">
        <v>44456.0</v>
      </c>
      <c r="X1512" s="281">
        <v>0.004861111111111111</v>
      </c>
      <c r="Y1512" s="279" t="s">
        <v>1693</v>
      </c>
      <c r="Z1512" s="282" t="s">
        <v>53</v>
      </c>
      <c r="AA1512" s="282">
        <v>6629020.0</v>
      </c>
      <c r="AB1512" s="283">
        <v>44453.0</v>
      </c>
      <c r="AC1512" s="284"/>
      <c r="AD1512" s="284"/>
    </row>
    <row r="1513" ht="14.25" customHeight="1">
      <c r="A1513" s="265">
        <v>44445.0</v>
      </c>
      <c r="B1513" s="267" t="s">
        <v>1500</v>
      </c>
      <c r="C1513" s="267" t="s">
        <v>4567</v>
      </c>
      <c r="D1513" s="267" t="s">
        <v>1543</v>
      </c>
      <c r="E1513" s="268"/>
      <c r="F1513" s="269" t="s">
        <v>5135</v>
      </c>
      <c r="G1513" s="268" t="s">
        <v>1463</v>
      </c>
      <c r="H1513" s="321">
        <v>0.00125</v>
      </c>
      <c r="I1513" s="320">
        <v>44470.697916666664</v>
      </c>
      <c r="J1513" s="323"/>
      <c r="K1513" s="320">
        <v>44471.01243055556</v>
      </c>
      <c r="L1513" s="288"/>
      <c r="M1513" s="272" t="s">
        <v>5136</v>
      </c>
      <c r="N1513" s="273"/>
      <c r="O1513" s="276"/>
      <c r="P1513" s="276"/>
      <c r="Q1513" s="276"/>
      <c r="R1513" s="278"/>
      <c r="S1513" s="278"/>
      <c r="T1513" s="278"/>
      <c r="U1513" s="279"/>
      <c r="V1513" s="279" t="s">
        <v>1824</v>
      </c>
      <c r="W1513" s="280">
        <v>44473.0</v>
      </c>
      <c r="X1513" s="281">
        <v>0.0062499999999999995</v>
      </c>
      <c r="Y1513" s="279" t="s">
        <v>1693</v>
      </c>
      <c r="Z1513" s="282" t="s">
        <v>53</v>
      </c>
      <c r="AA1513" s="282">
        <v>6736623.0</v>
      </c>
      <c r="AB1513" s="283">
        <v>44473.0</v>
      </c>
      <c r="AC1513" s="284"/>
      <c r="AD1513" s="284"/>
    </row>
    <row r="1514" ht="14.25" customHeight="1">
      <c r="A1514" s="265">
        <v>44445.0</v>
      </c>
      <c r="B1514" s="267" t="s">
        <v>1733</v>
      </c>
      <c r="C1514" s="267" t="s">
        <v>3472</v>
      </c>
      <c r="D1514" s="267" t="s">
        <v>3758</v>
      </c>
      <c r="E1514" s="268"/>
      <c r="F1514" s="286" t="s">
        <v>5137</v>
      </c>
      <c r="G1514" s="316" t="s">
        <v>4787</v>
      </c>
      <c r="H1514" s="321"/>
      <c r="I1514" s="320"/>
      <c r="J1514" s="323"/>
      <c r="K1514" s="320"/>
      <c r="L1514" s="288"/>
      <c r="M1514" s="272" t="s">
        <v>3915</v>
      </c>
      <c r="N1514" s="273"/>
      <c r="O1514" s="276"/>
      <c r="P1514" s="276"/>
      <c r="Q1514" s="276"/>
      <c r="R1514" s="278"/>
      <c r="S1514" s="278"/>
      <c r="T1514" s="278" t="s">
        <v>3915</v>
      </c>
      <c r="U1514" s="279"/>
      <c r="V1514" s="279" t="s">
        <v>28</v>
      </c>
      <c r="W1514" s="280" t="s">
        <v>28</v>
      </c>
      <c r="X1514" s="279" t="s">
        <v>28</v>
      </c>
      <c r="Y1514" s="279" t="s">
        <v>28</v>
      </c>
      <c r="Z1514" s="282" t="s">
        <v>28</v>
      </c>
      <c r="AA1514" s="282" t="s">
        <v>28</v>
      </c>
      <c r="AB1514" s="282" t="s">
        <v>28</v>
      </c>
      <c r="AC1514" s="284"/>
      <c r="AD1514" s="284"/>
    </row>
    <row r="1515" ht="14.25" customHeight="1">
      <c r="A1515" s="265">
        <v>44445.0</v>
      </c>
      <c r="B1515" s="266" t="s">
        <v>1783</v>
      </c>
      <c r="C1515" s="266"/>
      <c r="D1515" s="266" t="s">
        <v>1450</v>
      </c>
      <c r="E1515" s="268"/>
      <c r="F1515" s="358" t="s">
        <v>5138</v>
      </c>
      <c r="G1515" s="268" t="s">
        <v>2085</v>
      </c>
      <c r="H1515" s="270">
        <v>0.09731481481481481</v>
      </c>
      <c r="I1515" s="271">
        <v>44445.46944444445</v>
      </c>
      <c r="J1515" s="268"/>
      <c r="K1515" s="268"/>
      <c r="L1515" s="288" t="str">
        <f t="shared" ref="L1515:L1518" si="81">IFERROR(IF(OR(I1515="",K1515=""),"",K1515-I1515),"")</f>
        <v/>
      </c>
      <c r="M1515" s="278" t="s">
        <v>2808</v>
      </c>
      <c r="N1515" s="273">
        <v>44445.61111111111</v>
      </c>
      <c r="O1515" s="276" t="s">
        <v>5139</v>
      </c>
      <c r="P1515" s="276" t="s">
        <v>1463</v>
      </c>
      <c r="Q1515" s="276" t="s">
        <v>1819</v>
      </c>
      <c r="R1515" s="277" t="s">
        <v>5140</v>
      </c>
      <c r="S1515" s="278"/>
      <c r="T1515" s="278" t="s">
        <v>5141</v>
      </c>
      <c r="U1515" s="279"/>
      <c r="V1515" s="279" t="s">
        <v>1783</v>
      </c>
      <c r="W1515" s="280">
        <v>44446.0</v>
      </c>
      <c r="X1515" s="281">
        <v>0.2638888888888889</v>
      </c>
      <c r="Y1515" s="279" t="s">
        <v>1693</v>
      </c>
      <c r="Z1515" s="282" t="s">
        <v>53</v>
      </c>
      <c r="AA1515" s="282" t="s">
        <v>5138</v>
      </c>
      <c r="AB1515" s="283">
        <v>44448.0</v>
      </c>
      <c r="AC1515" s="284"/>
      <c r="AD1515" s="284"/>
    </row>
    <row r="1516" ht="14.25" customHeight="1">
      <c r="A1516" s="265">
        <v>44445.0</v>
      </c>
      <c r="B1516" s="266" t="s">
        <v>1824</v>
      </c>
      <c r="C1516" s="266"/>
      <c r="D1516" s="266" t="s">
        <v>1452</v>
      </c>
      <c r="E1516" s="268"/>
      <c r="F1516" s="291" t="s">
        <v>5142</v>
      </c>
      <c r="G1516" s="268" t="s">
        <v>2085</v>
      </c>
      <c r="H1516" s="270">
        <v>0.003530092592592592</v>
      </c>
      <c r="I1516" s="271">
        <v>44445.794444444444</v>
      </c>
      <c r="J1516" s="268"/>
      <c r="K1516" s="268"/>
      <c r="L1516" s="288" t="str">
        <f t="shared" si="81"/>
        <v/>
      </c>
      <c r="M1516" s="278"/>
      <c r="N1516" s="290"/>
      <c r="O1516" s="276"/>
      <c r="P1516" s="276"/>
      <c r="Q1516" s="276"/>
      <c r="R1516" s="278"/>
      <c r="S1516" s="278"/>
      <c r="T1516" s="278"/>
      <c r="U1516" s="279"/>
      <c r="V1516" s="279" t="s">
        <v>1824</v>
      </c>
      <c r="W1516" s="280">
        <v>44447.0</v>
      </c>
      <c r="X1516" s="281">
        <v>0.006944444444444444</v>
      </c>
      <c r="Y1516" s="279" t="s">
        <v>1693</v>
      </c>
      <c r="Z1516" s="282" t="s">
        <v>53</v>
      </c>
      <c r="AA1516" s="282" t="s">
        <v>5142</v>
      </c>
      <c r="AB1516" s="283">
        <v>44446.0</v>
      </c>
      <c r="AC1516" s="284"/>
      <c r="AD1516" s="284"/>
    </row>
    <row r="1517" ht="14.25" customHeight="1">
      <c r="A1517" s="265">
        <v>44445.0</v>
      </c>
      <c r="B1517" s="266" t="s">
        <v>1685</v>
      </c>
      <c r="C1517" s="266"/>
      <c r="D1517" s="266" t="s">
        <v>1686</v>
      </c>
      <c r="E1517" s="268"/>
      <c r="F1517" s="291" t="s">
        <v>5143</v>
      </c>
      <c r="G1517" s="268" t="s">
        <v>1463</v>
      </c>
      <c r="H1517" s="270">
        <v>0.039155092592592596</v>
      </c>
      <c r="I1517" s="271">
        <v>44445.64722222222</v>
      </c>
      <c r="J1517" s="268"/>
      <c r="K1517" s="271">
        <v>44446.82596064815</v>
      </c>
      <c r="L1517" s="288" t="str">
        <f t="shared" si="81"/>
        <v>4:17:23 AM</v>
      </c>
      <c r="M1517" s="278"/>
      <c r="N1517" s="290"/>
      <c r="O1517" s="276"/>
      <c r="P1517" s="276"/>
      <c r="Q1517" s="276"/>
      <c r="R1517" s="278"/>
      <c r="S1517" s="278"/>
      <c r="T1517" s="278"/>
      <c r="U1517" s="279"/>
      <c r="V1517" s="279" t="s">
        <v>1685</v>
      </c>
      <c r="W1517" s="280">
        <v>44446.0</v>
      </c>
      <c r="X1517" s="281">
        <v>0.125</v>
      </c>
      <c r="Y1517" s="279" t="s">
        <v>1693</v>
      </c>
      <c r="Z1517" s="282" t="s">
        <v>53</v>
      </c>
      <c r="AA1517" s="282" t="s">
        <v>5143</v>
      </c>
      <c r="AB1517" s="283">
        <v>44446.0</v>
      </c>
      <c r="AC1517" s="284"/>
      <c r="AD1517" s="284"/>
    </row>
    <row r="1518" ht="14.25" customHeight="1">
      <c r="A1518" s="265">
        <v>44445.0</v>
      </c>
      <c r="B1518" s="267" t="s">
        <v>1746</v>
      </c>
      <c r="C1518" s="267"/>
      <c r="D1518" s="267" t="s">
        <v>1455</v>
      </c>
      <c r="E1518" s="268"/>
      <c r="F1518" s="358" t="s">
        <v>5144</v>
      </c>
      <c r="G1518" s="316" t="s">
        <v>2085</v>
      </c>
      <c r="H1518" s="321">
        <v>0.01943287037037037</v>
      </c>
      <c r="I1518" s="320">
        <v>44445.975694444445</v>
      </c>
      <c r="J1518" s="323"/>
      <c r="K1518" s="320">
        <v>44446.57943287037</v>
      </c>
      <c r="L1518" s="288" t="str">
        <f t="shared" si="81"/>
        <v>2:29:23 PM</v>
      </c>
      <c r="M1518" s="307"/>
      <c r="N1518" s="273"/>
      <c r="O1518" s="276"/>
      <c r="P1518" s="276"/>
      <c r="Q1518" s="276"/>
      <c r="R1518" s="278"/>
      <c r="S1518" s="278"/>
      <c r="T1518" s="278"/>
      <c r="U1518" s="279"/>
      <c r="V1518" s="279" t="s">
        <v>1733</v>
      </c>
      <c r="W1518" s="280">
        <v>44447.0</v>
      </c>
      <c r="X1518" s="281">
        <v>0.125</v>
      </c>
      <c r="Y1518" s="279" t="s">
        <v>1693</v>
      </c>
      <c r="Z1518" s="282" t="s">
        <v>53</v>
      </c>
      <c r="AA1518" s="282" t="s">
        <v>5144</v>
      </c>
      <c r="AB1518" s="283">
        <v>44448.0</v>
      </c>
      <c r="AC1518" s="284"/>
      <c r="AD1518" s="284"/>
    </row>
    <row r="1519" ht="14.25" customHeight="1">
      <c r="A1519" s="265">
        <v>44446.0</v>
      </c>
      <c r="B1519" s="267" t="s">
        <v>2030</v>
      </c>
      <c r="C1519" s="266" t="s">
        <v>1696</v>
      </c>
      <c r="D1519" s="266" t="s">
        <v>1543</v>
      </c>
      <c r="E1519" s="268"/>
      <c r="F1519" s="269" t="s">
        <v>5145</v>
      </c>
      <c r="G1519" s="268" t="s">
        <v>1463</v>
      </c>
      <c r="H1519" s="270">
        <v>0.0032291666666666666</v>
      </c>
      <c r="I1519" s="271">
        <v>44448.27638888889</v>
      </c>
      <c r="J1519" s="268"/>
      <c r="K1519" s="271">
        <v>44448.28194444445</v>
      </c>
      <c r="L1519" s="288"/>
      <c r="M1519" s="278" t="s">
        <v>5146</v>
      </c>
      <c r="N1519" s="290"/>
      <c r="O1519" s="276"/>
      <c r="P1519" s="276"/>
      <c r="Q1519" s="276"/>
      <c r="R1519" s="278"/>
      <c r="S1519" s="278"/>
      <c r="T1519" s="278"/>
      <c r="U1519" s="279"/>
      <c r="V1519" s="279" t="s">
        <v>1824</v>
      </c>
      <c r="W1519" s="280">
        <v>44449.0</v>
      </c>
      <c r="X1519" s="281">
        <v>0.008333333333333333</v>
      </c>
      <c r="Y1519" s="279" t="s">
        <v>1693</v>
      </c>
      <c r="Z1519" s="282" t="s">
        <v>53</v>
      </c>
      <c r="AA1519" s="282">
        <v>6603198.0</v>
      </c>
      <c r="AB1519" s="283">
        <v>44449.0</v>
      </c>
      <c r="AC1519" s="284"/>
      <c r="AD1519" s="284"/>
    </row>
    <row r="1520" ht="14.25" customHeight="1">
      <c r="A1520" s="265">
        <v>44446.0</v>
      </c>
      <c r="B1520" s="267" t="s">
        <v>2030</v>
      </c>
      <c r="C1520" s="266" t="s">
        <v>1696</v>
      </c>
      <c r="D1520" s="266" t="s">
        <v>1543</v>
      </c>
      <c r="E1520" s="268"/>
      <c r="F1520" s="269" t="s">
        <v>5147</v>
      </c>
      <c r="G1520" s="268" t="s">
        <v>1463</v>
      </c>
      <c r="H1520" s="270">
        <v>0.0016319444444444445</v>
      </c>
      <c r="I1520" s="271">
        <v>44448.277083333334</v>
      </c>
      <c r="J1520" s="268"/>
      <c r="K1520" s="271">
        <v>44448.28055555555</v>
      </c>
      <c r="L1520" s="288"/>
      <c r="M1520" s="278" t="s">
        <v>5148</v>
      </c>
      <c r="N1520" s="290"/>
      <c r="O1520" s="276"/>
      <c r="P1520" s="276"/>
      <c r="Q1520" s="276"/>
      <c r="R1520" s="278"/>
      <c r="S1520" s="278"/>
      <c r="T1520" s="278"/>
      <c r="U1520" s="279"/>
      <c r="V1520" s="279" t="s">
        <v>1824</v>
      </c>
      <c r="W1520" s="280">
        <v>44449.0</v>
      </c>
      <c r="X1520" s="281">
        <v>0.006944444444444444</v>
      </c>
      <c r="Y1520" s="279" t="s">
        <v>1693</v>
      </c>
      <c r="Z1520" s="282" t="s">
        <v>53</v>
      </c>
      <c r="AA1520" s="282">
        <v>6603199.0</v>
      </c>
      <c r="AB1520" s="283">
        <v>44449.0</v>
      </c>
      <c r="AC1520" s="284"/>
      <c r="AD1520" s="284"/>
    </row>
    <row r="1521" ht="14.25" customHeight="1">
      <c r="A1521" s="265">
        <v>44446.0</v>
      </c>
      <c r="B1521" s="267" t="s">
        <v>2030</v>
      </c>
      <c r="C1521" s="266" t="s">
        <v>1450</v>
      </c>
      <c r="D1521" s="266" t="s">
        <v>1543</v>
      </c>
      <c r="E1521" s="268"/>
      <c r="F1521" s="269" t="s">
        <v>5149</v>
      </c>
      <c r="G1521" s="268" t="s">
        <v>1463</v>
      </c>
      <c r="H1521" s="270">
        <v>0.0012962962962962963</v>
      </c>
      <c r="I1521" s="271">
        <v>44454.59027777778</v>
      </c>
      <c r="J1521" s="268"/>
      <c r="K1521" s="271">
        <v>44454.63402777778</v>
      </c>
      <c r="L1521" s="288"/>
      <c r="M1521" s="278" t="s">
        <v>5150</v>
      </c>
      <c r="N1521" s="290"/>
      <c r="O1521" s="276"/>
      <c r="P1521" s="276"/>
      <c r="Q1521" s="276"/>
      <c r="R1521" s="278"/>
      <c r="S1521" s="278"/>
      <c r="T1521" s="278"/>
      <c r="U1521" s="279"/>
      <c r="V1521" s="279" t="s">
        <v>1824</v>
      </c>
      <c r="W1521" s="280">
        <v>44456.0</v>
      </c>
      <c r="X1521" s="281">
        <v>0.003472222222222222</v>
      </c>
      <c r="Y1521" s="279" t="s">
        <v>1693</v>
      </c>
      <c r="Z1521" s="282" t="s">
        <v>53</v>
      </c>
      <c r="AA1521" s="282">
        <v>6640802.0</v>
      </c>
      <c r="AB1521" s="283">
        <v>44455.0</v>
      </c>
      <c r="AC1521" s="284"/>
      <c r="AD1521" s="284"/>
    </row>
    <row r="1522" ht="14.25" customHeight="1">
      <c r="A1522" s="265">
        <v>44446.0</v>
      </c>
      <c r="B1522" s="266" t="s">
        <v>1783</v>
      </c>
      <c r="C1522" s="266"/>
      <c r="D1522" s="266" t="s">
        <v>1450</v>
      </c>
      <c r="E1522" s="268"/>
      <c r="F1522" s="358" t="s">
        <v>5151</v>
      </c>
      <c r="G1522" s="268" t="s">
        <v>2085</v>
      </c>
      <c r="H1522" s="270">
        <v>0.09916666666666667</v>
      </c>
      <c r="I1522" s="271">
        <v>44446.48819444444</v>
      </c>
      <c r="J1522" s="268"/>
      <c r="K1522" s="268" t="s">
        <v>5152</v>
      </c>
      <c r="L1522" s="288" t="str">
        <f t="shared" ref="L1522:L1525" si="82">IFERROR(IF(OR(I1522="",K1522=""),"",K1522-I1522),"")</f>
        <v>2:07:22 AM</v>
      </c>
      <c r="M1522" s="278"/>
      <c r="N1522" s="290"/>
      <c r="O1522" s="276"/>
      <c r="P1522" s="276"/>
      <c r="Q1522" s="276"/>
      <c r="R1522" s="278"/>
      <c r="S1522" s="278"/>
      <c r="T1522" s="278"/>
      <c r="U1522" s="279"/>
      <c r="V1522" s="279" t="s">
        <v>1783</v>
      </c>
      <c r="W1522" s="280">
        <v>44447.0</v>
      </c>
      <c r="X1522" s="281">
        <v>0.2638888888888889</v>
      </c>
      <c r="Y1522" s="279" t="s">
        <v>1693</v>
      </c>
      <c r="Z1522" s="282" t="s">
        <v>53</v>
      </c>
      <c r="AA1522" s="282" t="s">
        <v>5151</v>
      </c>
      <c r="AB1522" s="283">
        <v>44448.0</v>
      </c>
      <c r="AC1522" s="284"/>
      <c r="AD1522" s="284"/>
    </row>
    <row r="1523" ht="14.25" customHeight="1">
      <c r="A1523" s="265">
        <v>44446.0</v>
      </c>
      <c r="B1523" s="266" t="s">
        <v>1824</v>
      </c>
      <c r="C1523" s="266"/>
      <c r="D1523" s="266" t="s">
        <v>1452</v>
      </c>
      <c r="E1523" s="268"/>
      <c r="F1523" s="358" t="s">
        <v>5153</v>
      </c>
      <c r="G1523" s="268" t="s">
        <v>2085</v>
      </c>
      <c r="H1523" s="270">
        <v>0.002893518518518519</v>
      </c>
      <c r="I1523" s="271">
        <v>44447.49097222222</v>
      </c>
      <c r="J1523" s="268"/>
      <c r="K1523" s="268"/>
      <c r="L1523" s="288" t="str">
        <f t="shared" si="82"/>
        <v/>
      </c>
      <c r="M1523" s="278"/>
      <c r="N1523" s="290"/>
      <c r="O1523" s="276"/>
      <c r="P1523" s="276"/>
      <c r="Q1523" s="276"/>
      <c r="R1523" s="278"/>
      <c r="S1523" s="278"/>
      <c r="T1523" s="278"/>
      <c r="U1523" s="279"/>
      <c r="V1523" s="279" t="s">
        <v>1824</v>
      </c>
      <c r="W1523" s="280">
        <v>44448.0</v>
      </c>
      <c r="X1523" s="281">
        <v>0.010416666666666666</v>
      </c>
      <c r="Y1523" s="279" t="s">
        <v>1693</v>
      </c>
      <c r="Z1523" s="282" t="s">
        <v>53</v>
      </c>
      <c r="AA1523" s="282" t="s">
        <v>5153</v>
      </c>
      <c r="AB1523" s="283">
        <v>44448.0</v>
      </c>
      <c r="AC1523" s="284"/>
      <c r="AD1523" s="284"/>
    </row>
    <row r="1524" ht="15.0" customHeight="1">
      <c r="A1524" s="265">
        <v>44446.0</v>
      </c>
      <c r="B1524" s="266" t="s">
        <v>1685</v>
      </c>
      <c r="C1524" s="266"/>
      <c r="D1524" s="266" t="s">
        <v>1686</v>
      </c>
      <c r="E1524" s="268"/>
      <c r="F1524" s="358" t="s">
        <v>5154</v>
      </c>
      <c r="G1524" s="268" t="s">
        <v>1463</v>
      </c>
      <c r="H1524" s="270">
        <v>0.03746527777777778</v>
      </c>
      <c r="I1524" s="271">
        <v>44446.60486111111</v>
      </c>
      <c r="J1524" s="268"/>
      <c r="K1524" s="271">
        <v>44447.506215277775</v>
      </c>
      <c r="L1524" s="288" t="str">
        <f t="shared" si="82"/>
        <v>9:37:57 PM</v>
      </c>
      <c r="M1524" s="278"/>
      <c r="N1524" s="290"/>
      <c r="O1524" s="276"/>
      <c r="P1524" s="276"/>
      <c r="Q1524" s="276"/>
      <c r="R1524" s="278"/>
      <c r="S1524" s="278"/>
      <c r="T1524" s="278"/>
      <c r="U1524" s="279"/>
      <c r="V1524" s="279" t="s">
        <v>1685</v>
      </c>
      <c r="W1524" s="280">
        <v>44447.0</v>
      </c>
      <c r="X1524" s="281">
        <v>0.125</v>
      </c>
      <c r="Y1524" s="279" t="s">
        <v>1693</v>
      </c>
      <c r="Z1524" s="282" t="s">
        <v>53</v>
      </c>
      <c r="AA1524" s="282" t="s">
        <v>5154</v>
      </c>
      <c r="AB1524" s="283">
        <v>44448.0</v>
      </c>
      <c r="AC1524" s="284"/>
      <c r="AD1524" s="284"/>
    </row>
    <row r="1525" ht="14.25" customHeight="1">
      <c r="A1525" s="265">
        <v>44446.0</v>
      </c>
      <c r="B1525" s="267" t="s">
        <v>1746</v>
      </c>
      <c r="C1525" s="266"/>
      <c r="D1525" s="266" t="s">
        <v>1455</v>
      </c>
      <c r="E1525" s="268"/>
      <c r="F1525" s="358" t="s">
        <v>5155</v>
      </c>
      <c r="G1525" s="268" t="s">
        <v>2085</v>
      </c>
      <c r="H1525" s="270">
        <v>0.02246527777777778</v>
      </c>
      <c r="I1525" s="271">
        <v>44446.85763888889</v>
      </c>
      <c r="J1525" s="268"/>
      <c r="K1525" s="271">
        <v>44446.88125</v>
      </c>
      <c r="L1525" s="288" t="str">
        <f t="shared" si="82"/>
        <v>12:34:00 AM</v>
      </c>
      <c r="M1525" s="278"/>
      <c r="N1525" s="290"/>
      <c r="O1525" s="276"/>
      <c r="P1525" s="276"/>
      <c r="Q1525" s="276"/>
      <c r="R1525" s="278"/>
      <c r="S1525" s="278"/>
      <c r="T1525" s="278"/>
      <c r="U1525" s="279"/>
      <c r="V1525" s="279" t="s">
        <v>1733</v>
      </c>
      <c r="W1525" s="280">
        <v>44448.0</v>
      </c>
      <c r="X1525" s="281">
        <v>0.12708333333333333</v>
      </c>
      <c r="Y1525" s="279" t="s">
        <v>1693</v>
      </c>
      <c r="Z1525" s="282" t="s">
        <v>53</v>
      </c>
      <c r="AA1525" s="282" t="s">
        <v>5155</v>
      </c>
      <c r="AB1525" s="283">
        <v>44448.0</v>
      </c>
      <c r="AC1525" s="284"/>
      <c r="AD1525" s="284"/>
    </row>
    <row r="1526" ht="14.25" customHeight="1">
      <c r="A1526" s="265">
        <v>44447.0</v>
      </c>
      <c r="B1526" s="266" t="s">
        <v>1783</v>
      </c>
      <c r="C1526" s="266" t="s">
        <v>2158</v>
      </c>
      <c r="D1526" s="266" t="s">
        <v>1450</v>
      </c>
      <c r="E1526" s="268"/>
      <c r="F1526" s="286" t="s">
        <v>5156</v>
      </c>
      <c r="G1526" s="268" t="s">
        <v>4787</v>
      </c>
      <c r="H1526" s="270"/>
      <c r="I1526" s="271"/>
      <c r="J1526" s="268"/>
      <c r="K1526" s="268"/>
      <c r="L1526" s="288"/>
      <c r="M1526" s="278" t="s">
        <v>3915</v>
      </c>
      <c r="N1526" s="290"/>
      <c r="O1526" s="276"/>
      <c r="P1526" s="276"/>
      <c r="Q1526" s="276"/>
      <c r="R1526" s="278"/>
      <c r="S1526" s="278"/>
      <c r="T1526" s="278" t="s">
        <v>3915</v>
      </c>
      <c r="U1526" s="279"/>
      <c r="V1526" s="279" t="s">
        <v>28</v>
      </c>
      <c r="W1526" s="280" t="s">
        <v>28</v>
      </c>
      <c r="X1526" s="279" t="s">
        <v>28</v>
      </c>
      <c r="Y1526" s="279" t="s">
        <v>28</v>
      </c>
      <c r="Z1526" s="282" t="s">
        <v>28</v>
      </c>
      <c r="AA1526" s="282" t="s">
        <v>28</v>
      </c>
      <c r="AB1526" s="282" t="s">
        <v>28</v>
      </c>
      <c r="AC1526" s="284"/>
      <c r="AD1526" s="284"/>
    </row>
    <row r="1527" ht="14.25" customHeight="1">
      <c r="A1527" s="265">
        <v>44447.0</v>
      </c>
      <c r="B1527" s="266" t="s">
        <v>1783</v>
      </c>
      <c r="C1527" s="266"/>
      <c r="D1527" s="266" t="s">
        <v>1450</v>
      </c>
      <c r="E1527" s="268"/>
      <c r="F1527" s="358" t="s">
        <v>5157</v>
      </c>
      <c r="G1527" s="268" t="s">
        <v>2085</v>
      </c>
      <c r="H1527" s="270">
        <v>0.09725694444444444</v>
      </c>
      <c r="I1527" s="271">
        <v>44447.45486111111</v>
      </c>
      <c r="J1527" s="268"/>
      <c r="K1527" s="268" t="s">
        <v>5158</v>
      </c>
      <c r="L1527" s="288" t="str">
        <f t="shared" ref="L1527:L1534" si="83">IFERROR(IF(OR(I1527="",K1527=""),"",K1527-I1527),"")</f>
        <v>1:51:29 AM</v>
      </c>
      <c r="M1527" s="278"/>
      <c r="N1527" s="290"/>
      <c r="O1527" s="276"/>
      <c r="P1527" s="276"/>
      <c r="Q1527" s="276"/>
      <c r="R1527" s="278"/>
      <c r="S1527" s="278"/>
      <c r="T1527" s="278"/>
      <c r="U1527" s="279"/>
      <c r="V1527" s="279" t="s">
        <v>1783</v>
      </c>
      <c r="W1527" s="280">
        <v>44448.0</v>
      </c>
      <c r="X1527" s="281">
        <v>0.2604166666666667</v>
      </c>
      <c r="Y1527" s="279" t="s">
        <v>1693</v>
      </c>
      <c r="Z1527" s="282" t="s">
        <v>53</v>
      </c>
      <c r="AA1527" s="282" t="s">
        <v>5157</v>
      </c>
      <c r="AB1527" s="283">
        <v>44448.0</v>
      </c>
      <c r="AC1527" s="284"/>
      <c r="AD1527" s="284"/>
    </row>
    <row r="1528" ht="14.25" customHeight="1">
      <c r="A1528" s="265">
        <v>44447.0</v>
      </c>
      <c r="B1528" s="266" t="s">
        <v>1824</v>
      </c>
      <c r="C1528" s="266"/>
      <c r="D1528" s="266" t="s">
        <v>1452</v>
      </c>
      <c r="E1528" s="268"/>
      <c r="F1528" s="358" t="s">
        <v>5159</v>
      </c>
      <c r="G1528" s="268" t="s">
        <v>2085</v>
      </c>
      <c r="H1528" s="270">
        <v>0.0024652777777777776</v>
      </c>
      <c r="I1528" s="271">
        <v>44447.0</v>
      </c>
      <c r="J1528" s="268"/>
      <c r="K1528" s="268"/>
      <c r="L1528" s="288" t="str">
        <f t="shared" si="83"/>
        <v/>
      </c>
      <c r="M1528" s="278"/>
      <c r="N1528" s="290"/>
      <c r="O1528" s="276"/>
      <c r="P1528" s="276"/>
      <c r="Q1528" s="276"/>
      <c r="R1528" s="278"/>
      <c r="S1528" s="278"/>
      <c r="T1528" s="278"/>
      <c r="U1528" s="279"/>
      <c r="V1528" s="279" t="s">
        <v>1824</v>
      </c>
      <c r="W1528" s="280">
        <v>44448.0</v>
      </c>
      <c r="X1528" s="281">
        <v>0.008333333333333333</v>
      </c>
      <c r="Y1528" s="279" t="s">
        <v>1693</v>
      </c>
      <c r="Z1528" s="282" t="s">
        <v>53</v>
      </c>
      <c r="AA1528" s="282" t="s">
        <v>5159</v>
      </c>
      <c r="AB1528" s="283">
        <v>44448.0</v>
      </c>
      <c r="AC1528" s="284"/>
      <c r="AD1528" s="284"/>
    </row>
    <row r="1529" ht="14.25" customHeight="1">
      <c r="A1529" s="265">
        <v>44447.0</v>
      </c>
      <c r="B1529" s="266" t="s">
        <v>1685</v>
      </c>
      <c r="C1529" s="266"/>
      <c r="D1529" s="266" t="s">
        <v>1686</v>
      </c>
      <c r="E1529" s="268"/>
      <c r="F1529" s="358" t="s">
        <v>5160</v>
      </c>
      <c r="G1529" s="268" t="s">
        <v>2085</v>
      </c>
      <c r="H1529" s="270">
        <v>0.03881944444444444</v>
      </c>
      <c r="I1529" s="271">
        <v>44447.85486111111</v>
      </c>
      <c r="J1529" s="268"/>
      <c r="K1529" s="268"/>
      <c r="L1529" s="288" t="str">
        <f t="shared" si="83"/>
        <v/>
      </c>
      <c r="M1529" s="278"/>
      <c r="N1529" s="290"/>
      <c r="O1529" s="276"/>
      <c r="P1529" s="276"/>
      <c r="Q1529" s="276"/>
      <c r="R1529" s="278"/>
      <c r="S1529" s="278"/>
      <c r="T1529" s="278"/>
      <c r="U1529" s="279"/>
      <c r="V1529" s="279" t="s">
        <v>1685</v>
      </c>
      <c r="W1529" s="280">
        <v>44448.0</v>
      </c>
      <c r="X1529" s="281">
        <v>0.14583333333333334</v>
      </c>
      <c r="Y1529" s="279" t="s">
        <v>1693</v>
      </c>
      <c r="Z1529" s="282" t="s">
        <v>53</v>
      </c>
      <c r="AA1529" s="282" t="s">
        <v>5160</v>
      </c>
      <c r="AB1529" s="283">
        <v>44448.0</v>
      </c>
      <c r="AC1529" s="284"/>
      <c r="AD1529" s="284"/>
    </row>
    <row r="1530" ht="14.25" customHeight="1">
      <c r="A1530" s="265">
        <v>44447.0</v>
      </c>
      <c r="B1530" s="267" t="s">
        <v>1746</v>
      </c>
      <c r="C1530" s="266"/>
      <c r="D1530" s="266" t="s">
        <v>1455</v>
      </c>
      <c r="E1530" s="268"/>
      <c r="F1530" s="358" t="s">
        <v>5161</v>
      </c>
      <c r="G1530" s="268" t="s">
        <v>2085</v>
      </c>
      <c r="H1530" s="270">
        <v>0.020879629629629626</v>
      </c>
      <c r="I1530" s="271">
        <v>44447.876388888886</v>
      </c>
      <c r="J1530" s="268"/>
      <c r="K1530" s="271">
        <v>44447.89513888889</v>
      </c>
      <c r="L1530" s="288" t="str">
        <f t="shared" si="83"/>
        <v>12:27:00 AM</v>
      </c>
      <c r="M1530" s="278"/>
      <c r="N1530" s="290"/>
      <c r="O1530" s="276"/>
      <c r="P1530" s="276"/>
      <c r="Q1530" s="276"/>
      <c r="R1530" s="278"/>
      <c r="S1530" s="278"/>
      <c r="T1530" s="278"/>
      <c r="U1530" s="279"/>
      <c r="V1530" s="279" t="s">
        <v>1733</v>
      </c>
      <c r="W1530" s="280">
        <v>44448.0</v>
      </c>
      <c r="X1530" s="281">
        <v>0.125</v>
      </c>
      <c r="Y1530" s="279" t="s">
        <v>1693</v>
      </c>
      <c r="Z1530" s="282" t="s">
        <v>53</v>
      </c>
      <c r="AA1530" s="282" t="s">
        <v>5161</v>
      </c>
      <c r="AB1530" s="283">
        <v>44448.0</v>
      </c>
      <c r="AC1530" s="284"/>
      <c r="AD1530" s="284"/>
    </row>
    <row r="1531" ht="14.25" customHeight="1">
      <c r="A1531" s="265">
        <v>44448.0</v>
      </c>
      <c r="B1531" s="266" t="s">
        <v>1783</v>
      </c>
      <c r="C1531" s="266"/>
      <c r="D1531" s="266" t="s">
        <v>1450</v>
      </c>
      <c r="E1531" s="268"/>
      <c r="F1531" s="358" t="s">
        <v>5162</v>
      </c>
      <c r="G1531" s="268" t="s">
        <v>2085</v>
      </c>
      <c r="H1531" s="270">
        <v>0.09770833333333333</v>
      </c>
      <c r="I1531" s="271">
        <v>44448.561111111114</v>
      </c>
      <c r="J1531" s="268"/>
      <c r="K1531" s="268" t="s">
        <v>5163</v>
      </c>
      <c r="L1531" s="288" t="str">
        <f t="shared" si="83"/>
        <v>1:50:01 AM</v>
      </c>
      <c r="M1531" s="278"/>
      <c r="N1531" s="290"/>
      <c r="O1531" s="276"/>
      <c r="P1531" s="276"/>
      <c r="Q1531" s="276"/>
      <c r="R1531" s="278"/>
      <c r="S1531" s="278"/>
      <c r="T1531" s="278"/>
      <c r="U1531" s="279"/>
      <c r="V1531" s="279" t="s">
        <v>1783</v>
      </c>
      <c r="W1531" s="280">
        <v>44449.0</v>
      </c>
      <c r="X1531" s="281">
        <v>0.2708333333333333</v>
      </c>
      <c r="Y1531" s="279" t="s">
        <v>1693</v>
      </c>
      <c r="Z1531" s="282" t="s">
        <v>53</v>
      </c>
      <c r="AA1531" s="282" t="s">
        <v>5162</v>
      </c>
      <c r="AB1531" s="283">
        <v>44449.0</v>
      </c>
      <c r="AC1531" s="284"/>
      <c r="AD1531" s="284"/>
    </row>
    <row r="1532" ht="14.25" customHeight="1">
      <c r="A1532" s="265">
        <v>44448.0</v>
      </c>
      <c r="B1532" s="266" t="s">
        <v>1824</v>
      </c>
      <c r="C1532" s="266"/>
      <c r="D1532" s="266" t="s">
        <v>1452</v>
      </c>
      <c r="E1532" s="268"/>
      <c r="F1532" s="358" t="s">
        <v>5164</v>
      </c>
      <c r="G1532" s="268" t="s">
        <v>2085</v>
      </c>
      <c r="H1532" s="270">
        <v>0.0017013888888888892</v>
      </c>
      <c r="I1532" s="271">
        <v>44448.51597222222</v>
      </c>
      <c r="J1532" s="268"/>
      <c r="K1532" s="271">
        <v>44449.887094907404</v>
      </c>
      <c r="L1532" s="288" t="str">
        <f t="shared" si="83"/>
        <v>8:54:25 AM</v>
      </c>
      <c r="M1532" s="307"/>
      <c r="N1532" s="273"/>
      <c r="O1532" s="276"/>
      <c r="P1532" s="276"/>
      <c r="Q1532" s="276"/>
      <c r="R1532" s="278"/>
      <c r="S1532" s="278"/>
      <c r="T1532" s="278"/>
      <c r="U1532" s="279"/>
      <c r="V1532" s="279" t="s">
        <v>1824</v>
      </c>
      <c r="W1532" s="280">
        <v>44449.0</v>
      </c>
      <c r="X1532" s="281">
        <v>0.006944444444444444</v>
      </c>
      <c r="Y1532" s="279" t="s">
        <v>1693</v>
      </c>
      <c r="Z1532" s="282" t="s">
        <v>53</v>
      </c>
      <c r="AA1532" s="282" t="s">
        <v>5164</v>
      </c>
      <c r="AB1532" s="283">
        <v>44450.0</v>
      </c>
      <c r="AC1532" s="284"/>
      <c r="AD1532" s="284"/>
    </row>
    <row r="1533" ht="14.25" customHeight="1">
      <c r="A1533" s="265">
        <v>44448.0</v>
      </c>
      <c r="B1533" s="266" t="s">
        <v>1685</v>
      </c>
      <c r="C1533" s="266"/>
      <c r="D1533" s="266" t="s">
        <v>1686</v>
      </c>
      <c r="E1533" s="268"/>
      <c r="F1533" s="358" t="s">
        <v>5165</v>
      </c>
      <c r="G1533" s="268" t="s">
        <v>2085</v>
      </c>
      <c r="H1533" s="270">
        <v>0.03685185185185185</v>
      </c>
      <c r="I1533" s="271">
        <v>44448.586805555555</v>
      </c>
      <c r="J1533" s="268"/>
      <c r="K1533" s="271">
        <v>44449.673125</v>
      </c>
      <c r="L1533" s="288" t="str">
        <f t="shared" si="83"/>
        <v>2:04:18 AM</v>
      </c>
      <c r="M1533" s="278"/>
      <c r="N1533" s="290"/>
      <c r="O1533" s="276"/>
      <c r="P1533" s="276"/>
      <c r="Q1533" s="276"/>
      <c r="R1533" s="278"/>
      <c r="S1533" s="278"/>
      <c r="T1533" s="278"/>
      <c r="U1533" s="279"/>
      <c r="V1533" s="279" t="s">
        <v>1685</v>
      </c>
      <c r="W1533" s="280">
        <v>44449.0</v>
      </c>
      <c r="X1533" s="281">
        <v>0.125</v>
      </c>
      <c r="Y1533" s="279" t="s">
        <v>1693</v>
      </c>
      <c r="Z1533" s="282" t="s">
        <v>53</v>
      </c>
      <c r="AA1533" s="282" t="s">
        <v>5165</v>
      </c>
      <c r="AB1533" s="283">
        <v>44449.0</v>
      </c>
      <c r="AC1533" s="284"/>
      <c r="AD1533" s="284"/>
    </row>
    <row r="1534" ht="14.25" customHeight="1">
      <c r="A1534" s="265">
        <v>44448.0</v>
      </c>
      <c r="B1534" s="267" t="s">
        <v>1746</v>
      </c>
      <c r="C1534" s="266"/>
      <c r="D1534" s="266" t="s">
        <v>1455</v>
      </c>
      <c r="E1534" s="268"/>
      <c r="F1534" s="358" t="s">
        <v>5166</v>
      </c>
      <c r="G1534" s="268" t="s">
        <v>2085</v>
      </c>
      <c r="H1534" s="270">
        <v>0.01767361111111111</v>
      </c>
      <c r="I1534" s="271">
        <v>44448.97152777778</v>
      </c>
      <c r="J1534" s="268"/>
      <c r="K1534" s="271">
        <v>44448.989583333336</v>
      </c>
      <c r="L1534" s="288" t="str">
        <f t="shared" si="83"/>
        <v>12:26:00 AM</v>
      </c>
      <c r="M1534" s="278"/>
      <c r="N1534" s="290"/>
      <c r="O1534" s="276"/>
      <c r="P1534" s="276"/>
      <c r="Q1534" s="276"/>
      <c r="R1534" s="278"/>
      <c r="S1534" s="278"/>
      <c r="T1534" s="278"/>
      <c r="U1534" s="279"/>
      <c r="V1534" s="279" t="s">
        <v>1733</v>
      </c>
      <c r="W1534" s="280">
        <v>44449.0</v>
      </c>
      <c r="X1534" s="281">
        <v>0.125</v>
      </c>
      <c r="Y1534" s="279" t="s">
        <v>1693</v>
      </c>
      <c r="Z1534" s="282" t="s">
        <v>53</v>
      </c>
      <c r="AA1534" s="282" t="s">
        <v>5166</v>
      </c>
      <c r="AB1534" s="283">
        <v>44449.0</v>
      </c>
      <c r="AC1534" s="284"/>
      <c r="AD1534" s="284"/>
    </row>
    <row r="1535" ht="14.25" customHeight="1">
      <c r="A1535" s="265">
        <v>44449.0</v>
      </c>
      <c r="B1535" s="266" t="s">
        <v>1733</v>
      </c>
      <c r="C1535" s="266" t="s">
        <v>2158</v>
      </c>
      <c r="D1535" s="266" t="s">
        <v>1450</v>
      </c>
      <c r="E1535" s="268"/>
      <c r="F1535" s="286" t="s">
        <v>5167</v>
      </c>
      <c r="G1535" s="268" t="s">
        <v>4787</v>
      </c>
      <c r="H1535" s="270"/>
      <c r="I1535" s="271"/>
      <c r="J1535" s="268"/>
      <c r="K1535" s="268"/>
      <c r="L1535" s="288"/>
      <c r="M1535" s="278" t="s">
        <v>3915</v>
      </c>
      <c r="N1535" s="290"/>
      <c r="O1535" s="276"/>
      <c r="P1535" s="276"/>
      <c r="Q1535" s="276"/>
      <c r="R1535" s="278"/>
      <c r="S1535" s="278"/>
      <c r="T1535" s="278" t="s">
        <v>3915</v>
      </c>
      <c r="U1535" s="279"/>
      <c r="V1535" s="279" t="s">
        <v>28</v>
      </c>
      <c r="W1535" s="279" t="s">
        <v>28</v>
      </c>
      <c r="X1535" s="279" t="s">
        <v>28</v>
      </c>
      <c r="Y1535" s="279" t="s">
        <v>28</v>
      </c>
      <c r="Z1535" s="282" t="s">
        <v>28</v>
      </c>
      <c r="AA1535" s="282" t="s">
        <v>28</v>
      </c>
      <c r="AB1535" s="283" t="s">
        <v>28</v>
      </c>
      <c r="AC1535" s="284"/>
      <c r="AD1535" s="284"/>
    </row>
    <row r="1536" ht="14.25" customHeight="1">
      <c r="A1536" s="265">
        <v>44449.0</v>
      </c>
      <c r="B1536" s="266" t="s">
        <v>1824</v>
      </c>
      <c r="C1536" s="266"/>
      <c r="D1536" s="266" t="s">
        <v>1452</v>
      </c>
      <c r="E1536" s="268"/>
      <c r="F1536" s="291" t="s">
        <v>4036</v>
      </c>
      <c r="G1536" s="268" t="s">
        <v>28</v>
      </c>
      <c r="H1536" s="268" t="s">
        <v>28</v>
      </c>
      <c r="I1536" s="268" t="s">
        <v>28</v>
      </c>
      <c r="J1536" s="268"/>
      <c r="K1536" s="268" t="s">
        <v>28</v>
      </c>
      <c r="L1536" s="288" t="str">
        <f t="shared" ref="L1536:L1541" si="84">IFERROR(IF(OR(I1536="",K1536=""),"",K1536-I1536),"")</f>
        <v/>
      </c>
      <c r="M1536" s="278" t="s">
        <v>3915</v>
      </c>
      <c r="N1536" s="290"/>
      <c r="O1536" s="276"/>
      <c r="P1536" s="276"/>
      <c r="Q1536" s="276"/>
      <c r="R1536" s="278"/>
      <c r="S1536" s="278"/>
      <c r="T1536" s="278" t="s">
        <v>3915</v>
      </c>
      <c r="U1536" s="279"/>
      <c r="V1536" s="279" t="s">
        <v>28</v>
      </c>
      <c r="W1536" s="279" t="s">
        <v>28</v>
      </c>
      <c r="X1536" s="279" t="s">
        <v>28</v>
      </c>
      <c r="Y1536" s="279" t="s">
        <v>28</v>
      </c>
      <c r="Z1536" s="282" t="s">
        <v>28</v>
      </c>
      <c r="AA1536" s="282" t="s">
        <v>28</v>
      </c>
      <c r="AB1536" s="282" t="s">
        <v>28</v>
      </c>
      <c r="AC1536" s="284"/>
      <c r="AD1536" s="284"/>
    </row>
    <row r="1537" ht="14.25" customHeight="1">
      <c r="A1537" s="265">
        <v>44449.0</v>
      </c>
      <c r="B1537" s="266" t="s">
        <v>1783</v>
      </c>
      <c r="C1537" s="266"/>
      <c r="D1537" s="266" t="s">
        <v>1450</v>
      </c>
      <c r="E1537" s="268"/>
      <c r="F1537" s="358" t="s">
        <v>5168</v>
      </c>
      <c r="G1537" s="268" t="s">
        <v>2085</v>
      </c>
      <c r="H1537" s="270">
        <v>0.09722222222222222</v>
      </c>
      <c r="I1537" s="271">
        <v>44449.57430555556</v>
      </c>
      <c r="J1537" s="268"/>
      <c r="K1537" s="268" t="s">
        <v>5169</v>
      </c>
      <c r="L1537" s="288" t="str">
        <f t="shared" si="84"/>
        <v>1:57:12 AM</v>
      </c>
      <c r="M1537" s="278"/>
      <c r="N1537" s="290"/>
      <c r="O1537" s="276"/>
      <c r="P1537" s="276"/>
      <c r="Q1537" s="276"/>
      <c r="R1537" s="278"/>
      <c r="S1537" s="278"/>
      <c r="T1537" s="278"/>
      <c r="U1537" s="279"/>
      <c r="V1537" s="279" t="s">
        <v>1733</v>
      </c>
      <c r="W1537" s="280">
        <v>44452.0</v>
      </c>
      <c r="X1537" s="281">
        <v>0.26875</v>
      </c>
      <c r="Y1537" s="279" t="s">
        <v>1693</v>
      </c>
      <c r="Z1537" s="282" t="s">
        <v>53</v>
      </c>
      <c r="AA1537" s="282" t="s">
        <v>5168</v>
      </c>
      <c r="AB1537" s="283">
        <v>44450.0</v>
      </c>
      <c r="AC1537" s="284"/>
      <c r="AD1537" s="284"/>
    </row>
    <row r="1538" ht="14.25" customHeight="1">
      <c r="A1538" s="265">
        <v>44449.0</v>
      </c>
      <c r="B1538" s="266" t="s">
        <v>1685</v>
      </c>
      <c r="C1538" s="266"/>
      <c r="D1538" s="266" t="s">
        <v>1686</v>
      </c>
      <c r="E1538" s="268"/>
      <c r="F1538" s="358" t="s">
        <v>5170</v>
      </c>
      <c r="G1538" s="268" t="s">
        <v>2085</v>
      </c>
      <c r="H1538" s="270">
        <v>0.03927083333333333</v>
      </c>
      <c r="I1538" s="271">
        <v>44449.625</v>
      </c>
      <c r="J1538" s="268"/>
      <c r="K1538" s="271">
        <v>44449.66857638889</v>
      </c>
      <c r="L1538" s="288" t="str">
        <f t="shared" si="84"/>
        <v>1:02:45 AM</v>
      </c>
      <c r="M1538" s="278"/>
      <c r="N1538" s="290"/>
      <c r="O1538" s="276"/>
      <c r="P1538" s="276"/>
      <c r="Q1538" s="276"/>
      <c r="R1538" s="278"/>
      <c r="S1538" s="278"/>
      <c r="T1538" s="278"/>
      <c r="U1538" s="279"/>
      <c r="V1538" s="279" t="s">
        <v>1685</v>
      </c>
      <c r="W1538" s="280">
        <v>44452.0</v>
      </c>
      <c r="X1538" s="281">
        <v>0.125</v>
      </c>
      <c r="Y1538" s="279" t="s">
        <v>1693</v>
      </c>
      <c r="Z1538" s="282" t="s">
        <v>53</v>
      </c>
      <c r="AA1538" s="282" t="s">
        <v>5170</v>
      </c>
      <c r="AB1538" s="283">
        <v>44450.0</v>
      </c>
      <c r="AC1538" s="284"/>
      <c r="AD1538" s="284"/>
    </row>
    <row r="1539" ht="14.25" customHeight="1">
      <c r="A1539" s="265">
        <v>44449.0</v>
      </c>
      <c r="B1539" s="267" t="s">
        <v>1746</v>
      </c>
      <c r="C1539" s="266"/>
      <c r="D1539" s="266" t="s">
        <v>1455</v>
      </c>
      <c r="E1539" s="268"/>
      <c r="F1539" s="358" t="s">
        <v>5171</v>
      </c>
      <c r="G1539" s="268" t="s">
        <v>2085</v>
      </c>
      <c r="H1539" s="270">
        <v>0.01962962962962963</v>
      </c>
      <c r="I1539" s="271">
        <v>44449.98611111111</v>
      </c>
      <c r="J1539" s="268"/>
      <c r="K1539" s="271">
        <v>44450.02222222222</v>
      </c>
      <c r="L1539" s="288" t="str">
        <f t="shared" si="84"/>
        <v>12:52:00 AM</v>
      </c>
      <c r="M1539" s="278"/>
      <c r="N1539" s="290"/>
      <c r="O1539" s="276"/>
      <c r="P1539" s="276"/>
      <c r="Q1539" s="276"/>
      <c r="R1539" s="278"/>
      <c r="S1539" s="278"/>
      <c r="T1539" s="278"/>
      <c r="U1539" s="279"/>
      <c r="V1539" s="279" t="s">
        <v>1824</v>
      </c>
      <c r="W1539" s="280">
        <v>44452.0</v>
      </c>
      <c r="X1539" s="281">
        <v>0.08333333333333333</v>
      </c>
      <c r="Y1539" s="279" t="s">
        <v>1693</v>
      </c>
      <c r="Z1539" s="282" t="s">
        <v>53</v>
      </c>
      <c r="AA1539" s="282" t="s">
        <v>5171</v>
      </c>
      <c r="AB1539" s="283">
        <v>44450.0</v>
      </c>
      <c r="AC1539" s="284"/>
      <c r="AD1539" s="284"/>
    </row>
    <row r="1540" ht="15.0" customHeight="1">
      <c r="A1540" s="265">
        <v>44450.0</v>
      </c>
      <c r="B1540" s="266" t="s">
        <v>1783</v>
      </c>
      <c r="C1540" s="266"/>
      <c r="D1540" s="266" t="s">
        <v>1686</v>
      </c>
      <c r="E1540" s="268"/>
      <c r="F1540" s="358" t="s">
        <v>5172</v>
      </c>
      <c r="G1540" s="268" t="s">
        <v>2085</v>
      </c>
      <c r="H1540" s="270">
        <v>0.041180555555555554</v>
      </c>
      <c r="I1540" s="271">
        <v>44450.6</v>
      </c>
      <c r="J1540" s="268"/>
      <c r="K1540" s="271">
        <v>44450.96900462963</v>
      </c>
      <c r="L1540" s="288" t="str">
        <f t="shared" si="84"/>
        <v>8:51:22 AM</v>
      </c>
      <c r="M1540" s="278"/>
      <c r="N1540" s="290"/>
      <c r="O1540" s="276"/>
      <c r="P1540" s="276"/>
      <c r="Q1540" s="276"/>
      <c r="R1540" s="278"/>
      <c r="S1540" s="278"/>
      <c r="T1540" s="278"/>
      <c r="U1540" s="279"/>
      <c r="V1540" s="279" t="s">
        <v>1685</v>
      </c>
      <c r="W1540" s="280">
        <v>44452.0</v>
      </c>
      <c r="X1540" s="281">
        <v>0.125</v>
      </c>
      <c r="Y1540" s="279" t="s">
        <v>1693</v>
      </c>
      <c r="Z1540" s="282" t="s">
        <v>53</v>
      </c>
      <c r="AA1540" s="282" t="s">
        <v>5172</v>
      </c>
      <c r="AB1540" s="283">
        <v>44452.0</v>
      </c>
      <c r="AC1540" s="284"/>
      <c r="AD1540" s="284"/>
    </row>
    <row r="1541" ht="15.0" customHeight="1">
      <c r="A1541" s="265">
        <v>44450.0</v>
      </c>
      <c r="B1541" s="267" t="s">
        <v>1746</v>
      </c>
      <c r="C1541" s="266"/>
      <c r="D1541" s="266" t="s">
        <v>1455</v>
      </c>
      <c r="E1541" s="268"/>
      <c r="F1541" s="358" t="s">
        <v>5173</v>
      </c>
      <c r="G1541" s="268" t="s">
        <v>2085</v>
      </c>
      <c r="H1541" s="270">
        <v>0.016689814814814817</v>
      </c>
      <c r="I1541" s="271">
        <v>44450.85138888889</v>
      </c>
      <c r="J1541" s="268"/>
      <c r="K1541" s="271">
        <v>44451.21797453704</v>
      </c>
      <c r="L1541" s="288" t="str">
        <f t="shared" si="84"/>
        <v>8:47:53 AM</v>
      </c>
      <c r="M1541" s="278"/>
      <c r="N1541" s="290"/>
      <c r="O1541" s="276"/>
      <c r="P1541" s="276"/>
      <c r="Q1541" s="276"/>
      <c r="R1541" s="278"/>
      <c r="S1541" s="278"/>
      <c r="T1541" s="278"/>
      <c r="U1541" s="279"/>
      <c r="V1541" s="279" t="s">
        <v>1824</v>
      </c>
      <c r="W1541" s="280">
        <v>44452.0</v>
      </c>
      <c r="X1541" s="281">
        <v>0.08333333333333333</v>
      </c>
      <c r="Y1541" s="279" t="s">
        <v>1693</v>
      </c>
      <c r="Z1541" s="282" t="s">
        <v>53</v>
      </c>
      <c r="AA1541" s="282" t="s">
        <v>5173</v>
      </c>
      <c r="AB1541" s="283">
        <v>44452.0</v>
      </c>
      <c r="AC1541" s="284"/>
      <c r="AD1541" s="284"/>
    </row>
    <row r="1542" ht="14.25" customHeight="1">
      <c r="A1542" s="265">
        <v>44451.0</v>
      </c>
      <c r="B1542" s="266" t="s">
        <v>1733</v>
      </c>
      <c r="C1542" s="266"/>
      <c r="D1542" s="266" t="s">
        <v>3509</v>
      </c>
      <c r="E1542" s="268"/>
      <c r="F1542" s="358">
        <v>6578568.0</v>
      </c>
      <c r="G1542" s="268" t="s">
        <v>3839</v>
      </c>
      <c r="H1542" s="270">
        <v>0.02280092592592593</v>
      </c>
      <c r="I1542" s="271">
        <v>44451.825</v>
      </c>
      <c r="J1542" s="268"/>
      <c r="K1542" s="271">
        <v>44451.83320601852</v>
      </c>
      <c r="L1542" s="288"/>
      <c r="M1542" s="278"/>
      <c r="N1542" s="290"/>
      <c r="O1542" s="276"/>
      <c r="P1542" s="276"/>
      <c r="Q1542" s="276"/>
      <c r="R1542" s="278"/>
      <c r="S1542" s="278"/>
      <c r="T1542" s="278"/>
      <c r="U1542" s="279"/>
      <c r="V1542" s="279"/>
      <c r="W1542" s="279"/>
      <c r="X1542" s="279"/>
      <c r="Y1542" s="279"/>
      <c r="Z1542" s="282" t="s">
        <v>101</v>
      </c>
      <c r="AA1542" s="282">
        <v>6578568.0</v>
      </c>
      <c r="AB1542" s="283">
        <v>44451.0</v>
      </c>
      <c r="AC1542" s="284"/>
      <c r="AD1542" s="284"/>
    </row>
    <row r="1543" ht="14.25" customHeight="1">
      <c r="A1543" s="265">
        <v>44451.0</v>
      </c>
      <c r="B1543" s="266" t="s">
        <v>2030</v>
      </c>
      <c r="C1543" s="266" t="s">
        <v>5118</v>
      </c>
      <c r="D1543" s="266" t="s">
        <v>1543</v>
      </c>
      <c r="E1543" s="268"/>
      <c r="F1543" s="269" t="s">
        <v>5174</v>
      </c>
      <c r="G1543" s="268" t="s">
        <v>1463</v>
      </c>
      <c r="H1543" s="270">
        <v>0.002384259259259259</v>
      </c>
      <c r="I1543" s="271">
        <v>44452.274305555555</v>
      </c>
      <c r="J1543" s="268"/>
      <c r="K1543" s="271">
        <v>44452.27638888889</v>
      </c>
      <c r="L1543" s="288"/>
      <c r="M1543" s="278" t="s">
        <v>5175</v>
      </c>
      <c r="N1543" s="290"/>
      <c r="O1543" s="276"/>
      <c r="P1543" s="276"/>
      <c r="Q1543" s="276"/>
      <c r="R1543" s="278"/>
      <c r="S1543" s="278"/>
      <c r="T1543" s="278"/>
      <c r="U1543" s="279"/>
      <c r="V1543" s="279" t="s">
        <v>1824</v>
      </c>
      <c r="W1543" s="280">
        <v>44456.0</v>
      </c>
      <c r="X1543" s="281">
        <v>0.005555555555555556</v>
      </c>
      <c r="Y1543" s="279" t="s">
        <v>1693</v>
      </c>
      <c r="Z1543" s="282" t="s">
        <v>53</v>
      </c>
      <c r="AA1543" s="282">
        <v>6629021.0</v>
      </c>
      <c r="AB1543" s="283">
        <v>44453.0</v>
      </c>
      <c r="AC1543" s="284"/>
      <c r="AD1543" s="284"/>
    </row>
    <row r="1544" ht="14.25" customHeight="1">
      <c r="A1544" s="419">
        <v>44451.0</v>
      </c>
      <c r="B1544" s="266" t="s">
        <v>2030</v>
      </c>
      <c r="C1544" s="266" t="s">
        <v>5118</v>
      </c>
      <c r="D1544" s="266" t="s">
        <v>1543</v>
      </c>
      <c r="E1544" s="268"/>
      <c r="F1544" s="269" t="s">
        <v>5176</v>
      </c>
      <c r="G1544" s="268" t="s">
        <v>1463</v>
      </c>
      <c r="H1544" s="270">
        <v>0.004155092592592593</v>
      </c>
      <c r="I1544" s="271">
        <v>44452.39722222222</v>
      </c>
      <c r="J1544" s="268"/>
      <c r="K1544" s="271">
        <v>44452.39861111111</v>
      </c>
      <c r="L1544" s="288"/>
      <c r="M1544" s="278" t="s">
        <v>5177</v>
      </c>
      <c r="N1544" s="290"/>
      <c r="O1544" s="276"/>
      <c r="P1544" s="276"/>
      <c r="Q1544" s="276"/>
      <c r="R1544" s="278"/>
      <c r="S1544" s="278"/>
      <c r="T1544" s="278"/>
      <c r="U1544" s="279"/>
      <c r="V1544" s="279" t="s">
        <v>1824</v>
      </c>
      <c r="W1544" s="280">
        <v>44456.0</v>
      </c>
      <c r="X1544" s="281">
        <v>0.008333333333333333</v>
      </c>
      <c r="Y1544" s="279" t="s">
        <v>1693</v>
      </c>
      <c r="Z1544" s="282" t="s">
        <v>53</v>
      </c>
      <c r="AA1544" s="282">
        <v>6629022.0</v>
      </c>
      <c r="AB1544" s="283">
        <v>44453.0</v>
      </c>
      <c r="AC1544" s="284"/>
      <c r="AD1544" s="284"/>
    </row>
    <row r="1545" ht="14.25" customHeight="1">
      <c r="A1545" s="419">
        <v>44451.0</v>
      </c>
      <c r="B1545" s="266" t="s">
        <v>2030</v>
      </c>
      <c r="C1545" s="266" t="s">
        <v>2641</v>
      </c>
      <c r="D1545" s="266" t="s">
        <v>1543</v>
      </c>
      <c r="E1545" s="268"/>
      <c r="F1545" s="269" t="s">
        <v>5178</v>
      </c>
      <c r="G1545" s="268" t="s">
        <v>1463</v>
      </c>
      <c r="H1545" s="270">
        <v>0.12430555555555556</v>
      </c>
      <c r="I1545" s="271">
        <v>44456.53333333333</v>
      </c>
      <c r="J1545" s="268"/>
      <c r="K1545" s="271">
        <v>44456.53611111111</v>
      </c>
      <c r="L1545" s="288"/>
      <c r="M1545" s="278" t="s">
        <v>5179</v>
      </c>
      <c r="N1545" s="290"/>
      <c r="O1545" s="276"/>
      <c r="P1545" s="276"/>
      <c r="Q1545" s="276"/>
      <c r="R1545" s="278"/>
      <c r="S1545" s="278"/>
      <c r="T1545" s="278"/>
      <c r="U1545" s="279"/>
      <c r="V1545" s="279" t="s">
        <v>1824</v>
      </c>
      <c r="W1545" s="280">
        <v>44467.0</v>
      </c>
      <c r="X1545" s="281">
        <v>0.010416666666666666</v>
      </c>
      <c r="Y1545" s="279" t="s">
        <v>1693</v>
      </c>
      <c r="Z1545" s="282" t="s">
        <v>53</v>
      </c>
      <c r="AA1545" s="282">
        <v>6662214.0</v>
      </c>
      <c r="AB1545" s="283">
        <v>44459.0</v>
      </c>
      <c r="AC1545" s="284"/>
      <c r="AD1545" s="284"/>
    </row>
    <row r="1546" ht="14.25" customHeight="1">
      <c r="A1546" s="265">
        <v>44451.0</v>
      </c>
      <c r="B1546" s="266" t="s">
        <v>1733</v>
      </c>
      <c r="C1546" s="266"/>
      <c r="D1546" s="266" t="s">
        <v>1457</v>
      </c>
      <c r="E1546" s="268"/>
      <c r="F1546" s="358" t="s">
        <v>5180</v>
      </c>
      <c r="G1546" s="268" t="s">
        <v>2085</v>
      </c>
      <c r="H1546" s="270">
        <v>0.01775462962962963</v>
      </c>
      <c r="I1546" s="271">
        <v>44454.82430555556</v>
      </c>
      <c r="J1546" s="268"/>
      <c r="K1546" s="271">
        <v>44454.836388888885</v>
      </c>
      <c r="L1546" s="288" t="str">
        <f t="shared" ref="L1546:L1547" si="85">IFERROR(IF(OR(I1546="",K1546=""),"",K1546-I1546),"")</f>
        <v>12:17:24 AM</v>
      </c>
      <c r="M1546" s="307"/>
      <c r="N1546" s="273"/>
      <c r="O1546" s="276"/>
      <c r="P1546" s="276"/>
      <c r="Q1546" s="276"/>
      <c r="R1546" s="278"/>
      <c r="S1546" s="278"/>
      <c r="T1546" s="278"/>
      <c r="U1546" s="279"/>
      <c r="V1546" s="279" t="s">
        <v>1824</v>
      </c>
      <c r="W1546" s="280">
        <v>44455.0</v>
      </c>
      <c r="X1546" s="281">
        <v>0.041666666666666664</v>
      </c>
      <c r="Y1546" s="279" t="s">
        <v>1693</v>
      </c>
      <c r="Z1546" s="282" t="s">
        <v>53</v>
      </c>
      <c r="AA1546" s="282" t="s">
        <v>5180</v>
      </c>
      <c r="AB1546" s="283">
        <v>44455.0</v>
      </c>
      <c r="AC1546" s="284"/>
      <c r="AD1546" s="284"/>
    </row>
    <row r="1547" ht="14.25" customHeight="1">
      <c r="A1547" s="265">
        <v>44451.0</v>
      </c>
      <c r="B1547" s="266" t="s">
        <v>1733</v>
      </c>
      <c r="C1547" s="266"/>
      <c r="D1547" s="266" t="s">
        <v>2829</v>
      </c>
      <c r="E1547" s="268"/>
      <c r="F1547" s="358" t="s">
        <v>5181</v>
      </c>
      <c r="G1547" s="268" t="s">
        <v>2085</v>
      </c>
      <c r="H1547" s="270">
        <v>0.01877314814814815</v>
      </c>
      <c r="I1547" s="271">
        <v>44454.74791666667</v>
      </c>
      <c r="J1547" s="268"/>
      <c r="K1547" s="271">
        <v>44458.24267361111</v>
      </c>
      <c r="L1547" s="288" t="str">
        <f t="shared" si="85"/>
        <v>11:52:27 AM</v>
      </c>
      <c r="M1547" s="307" t="s">
        <v>3482</v>
      </c>
      <c r="N1547" s="273">
        <v>44455.74513888889</v>
      </c>
      <c r="O1547" s="276" t="s">
        <v>5182</v>
      </c>
      <c r="P1547" s="276" t="s">
        <v>1463</v>
      </c>
      <c r="Q1547" s="276"/>
      <c r="R1547" s="278"/>
      <c r="S1547" s="278"/>
      <c r="T1547" s="278"/>
      <c r="U1547" s="279"/>
      <c r="V1547" s="279"/>
      <c r="W1547" s="279"/>
      <c r="X1547" s="279"/>
      <c r="Y1547" s="279"/>
      <c r="Z1547" s="282" t="s">
        <v>53</v>
      </c>
      <c r="AA1547" s="282" t="s">
        <v>5181</v>
      </c>
      <c r="AB1547" s="283">
        <v>44459.0</v>
      </c>
      <c r="AC1547" s="284"/>
      <c r="AD1547" s="284"/>
    </row>
    <row r="1548" ht="14.25" customHeight="1">
      <c r="A1548" s="265">
        <v>44452.0</v>
      </c>
      <c r="B1548" s="266" t="s">
        <v>1733</v>
      </c>
      <c r="C1548" s="266" t="s">
        <v>2158</v>
      </c>
      <c r="D1548" s="266" t="s">
        <v>1450</v>
      </c>
      <c r="E1548" s="268"/>
      <c r="F1548" s="358" t="s">
        <v>5183</v>
      </c>
      <c r="G1548" s="268" t="s">
        <v>1463</v>
      </c>
      <c r="H1548" s="270">
        <v>0.0043518518518518515</v>
      </c>
      <c r="I1548" s="271">
        <v>44452.779861111114</v>
      </c>
      <c r="J1548" s="268"/>
      <c r="K1548" s="271">
        <v>44453.32861111111</v>
      </c>
      <c r="L1548" s="288"/>
      <c r="M1548" s="278" t="s">
        <v>5184</v>
      </c>
      <c r="N1548" s="290"/>
      <c r="O1548" s="276"/>
      <c r="P1548" s="276"/>
      <c r="Q1548" s="276"/>
      <c r="R1548" s="278"/>
      <c r="S1548" s="278"/>
      <c r="T1548" s="278"/>
      <c r="U1548" s="279"/>
      <c r="V1548" s="279" t="s">
        <v>1733</v>
      </c>
      <c r="W1548" s="280">
        <v>44454.0</v>
      </c>
      <c r="X1548" s="281">
        <v>0.004166666666666667</v>
      </c>
      <c r="Y1548" s="279" t="s">
        <v>1693</v>
      </c>
      <c r="Z1548" s="282" t="s">
        <v>53</v>
      </c>
      <c r="AA1548" s="282">
        <v>6635508.0</v>
      </c>
      <c r="AB1548" s="283">
        <v>44454.0</v>
      </c>
      <c r="AC1548" s="284"/>
      <c r="AD1548" s="284"/>
    </row>
    <row r="1549" ht="14.25" customHeight="1">
      <c r="A1549" s="265">
        <v>44452.0</v>
      </c>
      <c r="B1549" s="267" t="s">
        <v>2030</v>
      </c>
      <c r="C1549" s="266" t="s">
        <v>1686</v>
      </c>
      <c r="D1549" s="266" t="s">
        <v>1543</v>
      </c>
      <c r="E1549" s="268"/>
      <c r="F1549" s="269" t="s">
        <v>5185</v>
      </c>
      <c r="G1549" s="268" t="s">
        <v>1463</v>
      </c>
      <c r="H1549" s="270">
        <v>0.024305555555555556</v>
      </c>
      <c r="I1549" s="271">
        <v>44455.393055555556</v>
      </c>
      <c r="J1549" s="268"/>
      <c r="K1549" s="271">
        <v>44455.39444444444</v>
      </c>
      <c r="L1549" s="288"/>
      <c r="M1549" s="278" t="s">
        <v>5186</v>
      </c>
      <c r="N1549" s="290"/>
      <c r="O1549" s="276"/>
      <c r="P1549" s="276"/>
      <c r="Q1549" s="276"/>
      <c r="R1549" s="278"/>
      <c r="S1549" s="278"/>
      <c r="T1549" s="278"/>
      <c r="U1549" s="279"/>
      <c r="V1549" s="279" t="s">
        <v>1824</v>
      </c>
      <c r="W1549" s="280">
        <v>44467.0</v>
      </c>
      <c r="X1549" s="281">
        <v>0.0062499999999999995</v>
      </c>
      <c r="Y1549" s="279" t="s">
        <v>1693</v>
      </c>
      <c r="Z1549" s="282" t="s">
        <v>53</v>
      </c>
      <c r="AA1549" s="282">
        <v>6646108.0</v>
      </c>
      <c r="AB1549" s="283">
        <v>44459.0</v>
      </c>
      <c r="AC1549" s="284"/>
      <c r="AD1549" s="284"/>
    </row>
    <row r="1550" ht="14.25" customHeight="1">
      <c r="A1550" s="265">
        <v>44452.0</v>
      </c>
      <c r="B1550" s="267" t="s">
        <v>2030</v>
      </c>
      <c r="C1550" s="266" t="s">
        <v>1686</v>
      </c>
      <c r="D1550" s="266" t="s">
        <v>1543</v>
      </c>
      <c r="E1550" s="268"/>
      <c r="F1550" s="269" t="s">
        <v>5187</v>
      </c>
      <c r="G1550" s="268" t="s">
        <v>1463</v>
      </c>
      <c r="H1550" s="270">
        <v>0.0022337962962962967</v>
      </c>
      <c r="I1550" s="271">
        <v>44457.66180555556</v>
      </c>
      <c r="J1550" s="268"/>
      <c r="K1550" s="271">
        <v>44457.66527777778</v>
      </c>
      <c r="L1550" s="288"/>
      <c r="M1550" s="278" t="s">
        <v>5188</v>
      </c>
      <c r="N1550" s="290"/>
      <c r="O1550" s="276"/>
      <c r="P1550" s="276"/>
      <c r="Q1550" s="276"/>
      <c r="R1550" s="278"/>
      <c r="S1550" s="278"/>
      <c r="T1550" s="278"/>
      <c r="U1550" s="279"/>
      <c r="V1550" s="279" t="s">
        <v>1824</v>
      </c>
      <c r="W1550" s="280">
        <v>44467.0</v>
      </c>
      <c r="X1550" s="281">
        <v>0.006944444444444444</v>
      </c>
      <c r="Y1550" s="279" t="s">
        <v>1693</v>
      </c>
      <c r="Z1550" s="282" t="s">
        <v>53</v>
      </c>
      <c r="AA1550" s="282">
        <v>6662215.0</v>
      </c>
      <c r="AB1550" s="283">
        <v>44459.0</v>
      </c>
      <c r="AC1550" s="284"/>
      <c r="AD1550" s="284"/>
    </row>
    <row r="1551" ht="14.25" customHeight="1">
      <c r="A1551" s="265">
        <v>44452.0</v>
      </c>
      <c r="B1551" s="267" t="s">
        <v>2030</v>
      </c>
      <c r="C1551" s="266" t="s">
        <v>1686</v>
      </c>
      <c r="D1551" s="266" t="s">
        <v>1543</v>
      </c>
      <c r="E1551" s="268"/>
      <c r="F1551" s="269" t="s">
        <v>5189</v>
      </c>
      <c r="G1551" s="268" t="s">
        <v>1463</v>
      </c>
      <c r="H1551" s="270">
        <v>0.001689814814814815</v>
      </c>
      <c r="I1551" s="271">
        <v>44457.66180555556</v>
      </c>
      <c r="J1551" s="268"/>
      <c r="K1551" s="271">
        <v>44457.663194444445</v>
      </c>
      <c r="L1551" s="288"/>
      <c r="M1551" s="278" t="s">
        <v>5190</v>
      </c>
      <c r="N1551" s="290"/>
      <c r="O1551" s="276"/>
      <c r="P1551" s="276"/>
      <c r="Q1551" s="276"/>
      <c r="R1551" s="278"/>
      <c r="S1551" s="278"/>
      <c r="T1551" s="278"/>
      <c r="U1551" s="279"/>
      <c r="V1551" s="279" t="s">
        <v>1824</v>
      </c>
      <c r="W1551" s="280">
        <v>44467.0</v>
      </c>
      <c r="X1551" s="281">
        <v>0.003472222222222222</v>
      </c>
      <c r="Y1551" s="279" t="s">
        <v>1693</v>
      </c>
      <c r="Z1551" s="282" t="s">
        <v>53</v>
      </c>
      <c r="AA1551" s="282">
        <v>6662216.0</v>
      </c>
      <c r="AB1551" s="283">
        <v>44459.0</v>
      </c>
      <c r="AC1551" s="284"/>
      <c r="AD1551" s="284"/>
    </row>
    <row r="1552" ht="14.25" customHeight="1">
      <c r="A1552" s="265">
        <v>44452.0</v>
      </c>
      <c r="B1552" s="267" t="s">
        <v>2030</v>
      </c>
      <c r="C1552" s="266" t="s">
        <v>1686</v>
      </c>
      <c r="D1552" s="266" t="s">
        <v>1543</v>
      </c>
      <c r="E1552" s="268"/>
      <c r="F1552" s="269" t="s">
        <v>5191</v>
      </c>
      <c r="G1552" s="268" t="s">
        <v>1463</v>
      </c>
      <c r="H1552" s="270">
        <v>0.0011921296296296296</v>
      </c>
      <c r="I1552" s="271">
        <v>44455.402083333334</v>
      </c>
      <c r="J1552" s="268"/>
      <c r="K1552" s="271">
        <v>44455.404861111114</v>
      </c>
      <c r="L1552" s="288"/>
      <c r="M1552" s="278" t="s">
        <v>5192</v>
      </c>
      <c r="N1552" s="290"/>
      <c r="O1552" s="276"/>
      <c r="P1552" s="276"/>
      <c r="Q1552" s="276"/>
      <c r="R1552" s="278"/>
      <c r="S1552" s="278"/>
      <c r="T1552" s="278"/>
      <c r="U1552" s="279"/>
      <c r="V1552" s="279" t="s">
        <v>1824</v>
      </c>
      <c r="W1552" s="280">
        <v>44473.0</v>
      </c>
      <c r="X1552" s="281">
        <v>0.003472222222222222</v>
      </c>
      <c r="Y1552" s="279" t="s">
        <v>1693</v>
      </c>
      <c r="Z1552" s="282" t="s">
        <v>53</v>
      </c>
      <c r="AA1552" s="282">
        <v>6736624.0</v>
      </c>
      <c r="AB1552" s="283">
        <v>44473.0</v>
      </c>
      <c r="AC1552" s="284"/>
      <c r="AD1552" s="284"/>
    </row>
    <row r="1553" ht="14.25" customHeight="1">
      <c r="A1553" s="265">
        <v>44452.0</v>
      </c>
      <c r="B1553" s="267" t="s">
        <v>2030</v>
      </c>
      <c r="C1553" s="266" t="s">
        <v>1455</v>
      </c>
      <c r="D1553" s="266" t="s">
        <v>1543</v>
      </c>
      <c r="E1553" s="268"/>
      <c r="F1553" s="269" t="s">
        <v>5193</v>
      </c>
      <c r="G1553" s="268" t="s">
        <v>1463</v>
      </c>
      <c r="H1553" s="270">
        <v>0.0030324074074074073</v>
      </c>
      <c r="I1553" s="271">
        <v>44460.45</v>
      </c>
      <c r="J1553" s="268"/>
      <c r="K1553" s="271">
        <v>44460.45763888889</v>
      </c>
      <c r="L1553" s="288"/>
      <c r="M1553" s="278" t="s">
        <v>5194</v>
      </c>
      <c r="N1553" s="290"/>
      <c r="O1553" s="276"/>
      <c r="P1553" s="276"/>
      <c r="Q1553" s="276"/>
      <c r="R1553" s="278"/>
      <c r="S1553" s="278"/>
      <c r="T1553" s="278"/>
      <c r="U1553" s="279"/>
      <c r="V1553" s="279" t="s">
        <v>1824</v>
      </c>
      <c r="W1553" s="280">
        <v>44473.0</v>
      </c>
      <c r="X1553" s="281">
        <v>0.005555555555555556</v>
      </c>
      <c r="Y1553" s="279" t="s">
        <v>1693</v>
      </c>
      <c r="Z1553" s="282" t="s">
        <v>53</v>
      </c>
      <c r="AA1553" s="282">
        <v>6736625.0</v>
      </c>
      <c r="AB1553" s="283">
        <v>44473.0</v>
      </c>
      <c r="AC1553" s="284"/>
      <c r="AD1553" s="284"/>
    </row>
    <row r="1554" ht="14.25" customHeight="1">
      <c r="A1554" s="265">
        <v>44452.0</v>
      </c>
      <c r="B1554" s="266" t="s">
        <v>1685</v>
      </c>
      <c r="C1554" s="266" t="s">
        <v>1831</v>
      </c>
      <c r="D1554" s="266" t="s">
        <v>1686</v>
      </c>
      <c r="E1554" s="268"/>
      <c r="F1554" s="286" t="s">
        <v>5195</v>
      </c>
      <c r="G1554" s="268" t="s">
        <v>4787</v>
      </c>
      <c r="H1554" s="270"/>
      <c r="I1554" s="271"/>
      <c r="J1554" s="268"/>
      <c r="K1554" s="271"/>
      <c r="L1554" s="288"/>
      <c r="M1554" s="278" t="s">
        <v>3915</v>
      </c>
      <c r="N1554" s="290"/>
      <c r="O1554" s="276"/>
      <c r="P1554" s="276"/>
      <c r="Q1554" s="276"/>
      <c r="R1554" s="278"/>
      <c r="S1554" s="278"/>
      <c r="T1554" s="278" t="s">
        <v>3915</v>
      </c>
      <c r="U1554" s="279"/>
      <c r="V1554" s="279" t="s">
        <v>28</v>
      </c>
      <c r="W1554" s="280" t="s">
        <v>28</v>
      </c>
      <c r="X1554" s="281" t="s">
        <v>28</v>
      </c>
      <c r="Y1554" s="279" t="s">
        <v>28</v>
      </c>
      <c r="Z1554" s="282" t="s">
        <v>28</v>
      </c>
      <c r="AA1554" s="282" t="s">
        <v>28</v>
      </c>
      <c r="AB1554" s="283" t="s">
        <v>28</v>
      </c>
      <c r="AC1554" s="284"/>
      <c r="AD1554" s="284"/>
    </row>
    <row r="1555" ht="14.25" customHeight="1">
      <c r="A1555" s="265">
        <v>44452.0</v>
      </c>
      <c r="B1555" s="267" t="s">
        <v>1824</v>
      </c>
      <c r="C1555" s="266" t="s">
        <v>3472</v>
      </c>
      <c r="D1555" s="266" t="s">
        <v>1455</v>
      </c>
      <c r="E1555" s="268"/>
      <c r="F1555" s="286" t="s">
        <v>5196</v>
      </c>
      <c r="G1555" s="268" t="s">
        <v>4787</v>
      </c>
      <c r="H1555" s="270"/>
      <c r="I1555" s="271"/>
      <c r="J1555" s="268"/>
      <c r="K1555" s="271"/>
      <c r="L1555" s="288"/>
      <c r="M1555" s="278" t="s">
        <v>3915</v>
      </c>
      <c r="N1555" s="290"/>
      <c r="O1555" s="276"/>
      <c r="P1555" s="276"/>
      <c r="Q1555" s="276"/>
      <c r="R1555" s="278"/>
      <c r="S1555" s="278"/>
      <c r="T1555" s="278" t="s">
        <v>3915</v>
      </c>
      <c r="U1555" s="279"/>
      <c r="V1555" s="279" t="s">
        <v>28</v>
      </c>
      <c r="W1555" s="280" t="s">
        <v>28</v>
      </c>
      <c r="X1555" s="281" t="s">
        <v>28</v>
      </c>
      <c r="Y1555" s="279" t="s">
        <v>28</v>
      </c>
      <c r="Z1555" s="282" t="s">
        <v>28</v>
      </c>
      <c r="AA1555" s="282" t="s">
        <v>28</v>
      </c>
      <c r="AB1555" s="283" t="s">
        <v>28</v>
      </c>
      <c r="AC1555" s="284"/>
      <c r="AD1555" s="284"/>
    </row>
    <row r="1556" ht="14.25" customHeight="1">
      <c r="A1556" s="265">
        <v>44452.0</v>
      </c>
      <c r="B1556" s="266" t="s">
        <v>1733</v>
      </c>
      <c r="C1556" s="266"/>
      <c r="D1556" s="266" t="s">
        <v>1450</v>
      </c>
      <c r="E1556" s="268"/>
      <c r="F1556" s="358" t="s">
        <v>5197</v>
      </c>
      <c r="G1556" s="268" t="s">
        <v>2085</v>
      </c>
      <c r="H1556" s="270">
        <v>0.10344907407407407</v>
      </c>
      <c r="I1556" s="271">
        <v>44452.506944444445</v>
      </c>
      <c r="J1556" s="268"/>
      <c r="K1556" s="271">
        <v>44452.89034722222</v>
      </c>
      <c r="L1556" s="288" t="str">
        <f t="shared" ref="L1556:L1559" si="86">IFERROR(IF(OR(I1556="",K1556=""),"",K1556-I1556),"")</f>
        <v>9:12:06 AM</v>
      </c>
      <c r="M1556" s="278"/>
      <c r="N1556" s="290"/>
      <c r="O1556" s="276"/>
      <c r="P1556" s="276"/>
      <c r="Q1556" s="276"/>
      <c r="R1556" s="278"/>
      <c r="S1556" s="278"/>
      <c r="T1556" s="278"/>
      <c r="U1556" s="279"/>
      <c r="V1556" s="279" t="s">
        <v>1733</v>
      </c>
      <c r="W1556" s="280">
        <v>44453.0</v>
      </c>
      <c r="X1556" s="281">
        <v>0.25</v>
      </c>
      <c r="Y1556" s="279" t="s">
        <v>1693</v>
      </c>
      <c r="Z1556" s="282" t="s">
        <v>53</v>
      </c>
      <c r="AA1556" s="282" t="s">
        <v>5197</v>
      </c>
      <c r="AB1556" s="283">
        <v>44453.0</v>
      </c>
      <c r="AC1556" s="284"/>
      <c r="AD1556" s="284"/>
    </row>
    <row r="1557" ht="14.25" customHeight="1">
      <c r="A1557" s="265">
        <v>44452.0</v>
      </c>
      <c r="B1557" s="266" t="s">
        <v>1824</v>
      </c>
      <c r="C1557" s="266"/>
      <c r="D1557" s="266" t="s">
        <v>1452</v>
      </c>
      <c r="E1557" s="268"/>
      <c r="F1557" s="358" t="s">
        <v>5198</v>
      </c>
      <c r="G1557" s="268" t="s">
        <v>2085</v>
      </c>
      <c r="H1557" s="270">
        <v>0.0072800925925925915</v>
      </c>
      <c r="I1557" s="271">
        <v>44452.49930555555</v>
      </c>
      <c r="J1557" s="268"/>
      <c r="K1557" s="271">
        <v>44453.2996412037</v>
      </c>
      <c r="L1557" s="288" t="str">
        <f t="shared" si="86"/>
        <v>7:12:29 PM</v>
      </c>
      <c r="M1557" s="278"/>
      <c r="N1557" s="290"/>
      <c r="O1557" s="276"/>
      <c r="P1557" s="276"/>
      <c r="Q1557" s="276"/>
      <c r="R1557" s="278"/>
      <c r="S1557" s="278"/>
      <c r="T1557" s="278"/>
      <c r="U1557" s="279"/>
      <c r="V1557" s="279" t="s">
        <v>1824</v>
      </c>
      <c r="W1557" s="280">
        <v>44453.0</v>
      </c>
      <c r="X1557" s="281">
        <v>0.010416666666666666</v>
      </c>
      <c r="Y1557" s="279" t="s">
        <v>1693</v>
      </c>
      <c r="Z1557" s="282" t="s">
        <v>53</v>
      </c>
      <c r="AA1557" s="282" t="s">
        <v>5198</v>
      </c>
      <c r="AB1557" s="283">
        <v>44454.0</v>
      </c>
      <c r="AC1557" s="284"/>
      <c r="AD1557" s="284"/>
    </row>
    <row r="1558" ht="14.25" customHeight="1">
      <c r="A1558" s="265">
        <v>44452.0</v>
      </c>
      <c r="B1558" s="266" t="s">
        <v>1685</v>
      </c>
      <c r="C1558" s="266"/>
      <c r="D1558" s="266" t="s">
        <v>1686</v>
      </c>
      <c r="E1558" s="268"/>
      <c r="F1558" s="358" t="s">
        <v>5199</v>
      </c>
      <c r="G1558" s="268" t="s">
        <v>2085</v>
      </c>
      <c r="H1558" s="270">
        <v>0.03179398148148148</v>
      </c>
      <c r="I1558" s="271">
        <v>44452.55809027778</v>
      </c>
      <c r="J1558" s="268"/>
      <c r="K1558" s="271">
        <v>44453.032164351855</v>
      </c>
      <c r="L1558" s="288" t="str">
        <f t="shared" si="86"/>
        <v>11:22:40 AM</v>
      </c>
      <c r="M1558" s="278"/>
      <c r="N1558" s="290"/>
      <c r="O1558" s="276"/>
      <c r="P1558" s="276"/>
      <c r="Q1558" s="276"/>
      <c r="R1558" s="278"/>
      <c r="S1558" s="278"/>
      <c r="T1558" s="278"/>
      <c r="U1558" s="279"/>
      <c r="V1558" s="279" t="s">
        <v>1685</v>
      </c>
      <c r="W1558" s="280">
        <v>44453.0</v>
      </c>
      <c r="X1558" s="281">
        <v>0.125</v>
      </c>
      <c r="Y1558" s="279" t="s">
        <v>1693</v>
      </c>
      <c r="Z1558" s="282" t="s">
        <v>53</v>
      </c>
      <c r="AA1558" s="282" t="s">
        <v>5199</v>
      </c>
      <c r="AB1558" s="283">
        <v>44453.0</v>
      </c>
      <c r="AC1558" s="284"/>
      <c r="AD1558" s="284"/>
    </row>
    <row r="1559" ht="14.25" customHeight="1">
      <c r="A1559" s="265">
        <v>44452.0</v>
      </c>
      <c r="B1559" s="267" t="s">
        <v>1746</v>
      </c>
      <c r="C1559" s="266"/>
      <c r="D1559" s="266" t="s">
        <v>1455</v>
      </c>
      <c r="E1559" s="268"/>
      <c r="F1559" s="358" t="s">
        <v>5200</v>
      </c>
      <c r="G1559" s="268" t="s">
        <v>2085</v>
      </c>
      <c r="H1559" s="270">
        <v>0.021122685185185185</v>
      </c>
      <c r="I1559" s="271">
        <v>44452.98263888889</v>
      </c>
      <c r="J1559" s="268"/>
      <c r="K1559" s="271">
        <v>44453.001388888886</v>
      </c>
      <c r="L1559" s="288" t="str">
        <f t="shared" si="86"/>
        <v>12:27:00 AM</v>
      </c>
      <c r="M1559" s="278"/>
      <c r="N1559" s="290"/>
      <c r="O1559" s="276"/>
      <c r="P1559" s="276"/>
      <c r="Q1559" s="276"/>
      <c r="R1559" s="278"/>
      <c r="S1559" s="278"/>
      <c r="T1559" s="278"/>
      <c r="U1559" s="279"/>
      <c r="V1559" s="279" t="s">
        <v>1824</v>
      </c>
      <c r="W1559" s="280">
        <v>44453.0</v>
      </c>
      <c r="X1559" s="281">
        <v>0.08333333333333333</v>
      </c>
      <c r="Y1559" s="279" t="s">
        <v>1693</v>
      </c>
      <c r="Z1559" s="282" t="s">
        <v>53</v>
      </c>
      <c r="AA1559" s="282" t="s">
        <v>5200</v>
      </c>
      <c r="AB1559" s="283">
        <v>44453.0</v>
      </c>
      <c r="AC1559" s="284"/>
      <c r="AD1559" s="284"/>
    </row>
    <row r="1560" ht="14.25" customHeight="1">
      <c r="A1560" s="265">
        <v>44453.0</v>
      </c>
      <c r="B1560" s="266" t="s">
        <v>1733</v>
      </c>
      <c r="C1560" s="266" t="s">
        <v>2158</v>
      </c>
      <c r="D1560" s="266" t="s">
        <v>1450</v>
      </c>
      <c r="E1560" s="268"/>
      <c r="F1560" s="358" t="s">
        <v>5201</v>
      </c>
      <c r="G1560" s="268" t="s">
        <v>1463</v>
      </c>
      <c r="H1560" s="270">
        <v>0.0028587962962962963</v>
      </c>
      <c r="I1560" s="271">
        <v>44453.85972222222</v>
      </c>
      <c r="J1560" s="268"/>
      <c r="K1560" s="271">
        <v>44453.87936342593</v>
      </c>
      <c r="L1560" s="288"/>
      <c r="M1560" s="278" t="s">
        <v>5202</v>
      </c>
      <c r="N1560" s="290"/>
      <c r="O1560" s="276"/>
      <c r="P1560" s="276"/>
      <c r="Q1560" s="276"/>
      <c r="R1560" s="278"/>
      <c r="S1560" s="278"/>
      <c r="T1560" s="278"/>
      <c r="U1560" s="279"/>
      <c r="V1560" s="279" t="s">
        <v>1733</v>
      </c>
      <c r="W1560" s="280">
        <v>44454.0</v>
      </c>
      <c r="X1560" s="281">
        <v>0.0037037037037037034</v>
      </c>
      <c r="Y1560" s="279" t="s">
        <v>1693</v>
      </c>
      <c r="Z1560" s="282" t="s">
        <v>53</v>
      </c>
      <c r="AA1560" s="282">
        <v>6635509.0</v>
      </c>
      <c r="AB1560" s="283">
        <v>44454.0</v>
      </c>
      <c r="AC1560" s="284"/>
      <c r="AD1560" s="284"/>
    </row>
    <row r="1561" ht="14.25" customHeight="1">
      <c r="A1561" s="265">
        <v>44453.0</v>
      </c>
      <c r="B1561" s="267" t="s">
        <v>2030</v>
      </c>
      <c r="C1561" s="266" t="s">
        <v>2888</v>
      </c>
      <c r="D1561" s="266" t="s">
        <v>1543</v>
      </c>
      <c r="E1561" s="268"/>
      <c r="F1561" s="269" t="s">
        <v>5203</v>
      </c>
      <c r="G1561" s="268" t="s">
        <v>1463</v>
      </c>
      <c r="H1561" s="270">
        <v>0.0015624999999999999</v>
      </c>
      <c r="I1561" s="271">
        <v>44456.333333333336</v>
      </c>
      <c r="J1561" s="268"/>
      <c r="K1561" s="424"/>
      <c r="L1561" s="288"/>
      <c r="M1561" s="278" t="s">
        <v>3915</v>
      </c>
      <c r="N1561" s="273">
        <v>44456.38958333333</v>
      </c>
      <c r="O1561" s="276" t="s">
        <v>5204</v>
      </c>
      <c r="P1561" s="276"/>
      <c r="Q1561" s="276"/>
      <c r="R1561" s="277">
        <v>44456.393055555556</v>
      </c>
      <c r="S1561" s="278"/>
      <c r="T1561" s="278" t="s">
        <v>5205</v>
      </c>
      <c r="U1561" s="279"/>
      <c r="V1561" s="279" t="s">
        <v>1824</v>
      </c>
      <c r="W1561" s="280">
        <v>44467.0</v>
      </c>
      <c r="X1561" s="281">
        <v>0.003472222222222222</v>
      </c>
      <c r="Y1561" s="279" t="s">
        <v>1693</v>
      </c>
      <c r="Z1561" s="282" t="s">
        <v>53</v>
      </c>
      <c r="AA1561" s="282">
        <v>6662217.0</v>
      </c>
      <c r="AB1561" s="283">
        <v>44459.0</v>
      </c>
      <c r="AC1561" s="284"/>
      <c r="AD1561" s="284"/>
    </row>
    <row r="1562" ht="14.25" customHeight="1">
      <c r="A1562" s="265">
        <v>44453.0</v>
      </c>
      <c r="B1562" s="267" t="s">
        <v>2030</v>
      </c>
      <c r="C1562" s="266" t="s">
        <v>1696</v>
      </c>
      <c r="D1562" s="266" t="s">
        <v>1543</v>
      </c>
      <c r="E1562" s="268"/>
      <c r="F1562" s="269" t="s">
        <v>5206</v>
      </c>
      <c r="G1562" s="268" t="s">
        <v>1463</v>
      </c>
      <c r="H1562" s="270">
        <v>0.0017824074074074072</v>
      </c>
      <c r="I1562" s="271">
        <v>44456.35486111111</v>
      </c>
      <c r="J1562" s="268"/>
      <c r="K1562" s="424" t="s">
        <v>5207</v>
      </c>
      <c r="L1562" s="288"/>
      <c r="M1562" s="278" t="s">
        <v>5208</v>
      </c>
      <c r="N1562" s="290"/>
      <c r="O1562" s="276"/>
      <c r="P1562" s="276"/>
      <c r="Q1562" s="276"/>
      <c r="R1562" s="278"/>
      <c r="S1562" s="278"/>
      <c r="T1562" s="278"/>
      <c r="U1562" s="279"/>
      <c r="V1562" s="279" t="s">
        <v>1824</v>
      </c>
      <c r="W1562" s="280">
        <v>44467.0</v>
      </c>
      <c r="X1562" s="281">
        <v>0.004166666666666667</v>
      </c>
      <c r="Y1562" s="279" t="s">
        <v>1693</v>
      </c>
      <c r="Z1562" s="282" t="s">
        <v>53</v>
      </c>
      <c r="AA1562" s="282">
        <v>6662218.0</v>
      </c>
      <c r="AB1562" s="283">
        <v>44459.0</v>
      </c>
      <c r="AC1562" s="284"/>
      <c r="AD1562" s="284"/>
    </row>
    <row r="1563" ht="14.25" customHeight="1">
      <c r="A1563" s="265">
        <v>44453.0</v>
      </c>
      <c r="B1563" s="267" t="s">
        <v>2030</v>
      </c>
      <c r="C1563" s="266" t="s">
        <v>1686</v>
      </c>
      <c r="D1563" s="266" t="s">
        <v>1543</v>
      </c>
      <c r="E1563" s="268"/>
      <c r="F1563" s="269" t="s">
        <v>5209</v>
      </c>
      <c r="G1563" s="268" t="s">
        <v>1463</v>
      </c>
      <c r="H1563" s="270">
        <v>8.101851851851852E-4</v>
      </c>
      <c r="I1563" s="271">
        <v>44456.370833333334</v>
      </c>
      <c r="J1563" s="268"/>
      <c r="K1563" s="424" t="s">
        <v>5210</v>
      </c>
      <c r="L1563" s="288"/>
      <c r="M1563" s="278" t="s">
        <v>5211</v>
      </c>
      <c r="N1563" s="290"/>
      <c r="O1563" s="276"/>
      <c r="P1563" s="276"/>
      <c r="Q1563" s="276"/>
      <c r="R1563" s="278"/>
      <c r="S1563" s="278"/>
      <c r="T1563" s="278"/>
      <c r="U1563" s="279"/>
      <c r="V1563" s="279" t="s">
        <v>1824</v>
      </c>
      <c r="W1563" s="280">
        <v>44467.0</v>
      </c>
      <c r="X1563" s="281">
        <v>0.004861111111111111</v>
      </c>
      <c r="Y1563" s="279" t="s">
        <v>1693</v>
      </c>
      <c r="Z1563" s="282" t="s">
        <v>53</v>
      </c>
      <c r="AA1563" s="282">
        <v>6662219.0</v>
      </c>
      <c r="AB1563" s="283">
        <v>44459.0</v>
      </c>
      <c r="AC1563" s="284"/>
      <c r="AD1563" s="284"/>
    </row>
    <row r="1564" ht="14.25" customHeight="1">
      <c r="A1564" s="265">
        <v>44453.0</v>
      </c>
      <c r="B1564" s="267" t="s">
        <v>2030</v>
      </c>
      <c r="C1564" s="266" t="s">
        <v>1455</v>
      </c>
      <c r="D1564" s="266" t="s">
        <v>1543</v>
      </c>
      <c r="E1564" s="268"/>
      <c r="F1564" s="269" t="s">
        <v>5212</v>
      </c>
      <c r="G1564" s="268" t="s">
        <v>1463</v>
      </c>
      <c r="H1564" s="270">
        <v>0.002939814814814815</v>
      </c>
      <c r="I1564" s="271">
        <v>44456.481944444444</v>
      </c>
      <c r="J1564" s="268"/>
      <c r="K1564" s="424" t="s">
        <v>5213</v>
      </c>
      <c r="L1564" s="288"/>
      <c r="M1564" s="278" t="s">
        <v>5214</v>
      </c>
      <c r="N1564" s="290"/>
      <c r="O1564" s="276"/>
      <c r="P1564" s="276"/>
      <c r="Q1564" s="276"/>
      <c r="R1564" s="278"/>
      <c r="S1564" s="278"/>
      <c r="T1564" s="278"/>
      <c r="U1564" s="279"/>
      <c r="V1564" s="279" t="s">
        <v>1824</v>
      </c>
      <c r="W1564" s="280">
        <v>44467.0</v>
      </c>
      <c r="X1564" s="281">
        <v>0.0062499999999999995</v>
      </c>
      <c r="Y1564" s="279" t="s">
        <v>1693</v>
      </c>
      <c r="Z1564" s="282" t="s">
        <v>53</v>
      </c>
      <c r="AA1564" s="282">
        <v>6662220.0</v>
      </c>
      <c r="AB1564" s="283">
        <v>44459.0</v>
      </c>
      <c r="AC1564" s="284"/>
      <c r="AD1564" s="284"/>
    </row>
    <row r="1565" ht="14.25" customHeight="1">
      <c r="A1565" s="265">
        <v>44453.0</v>
      </c>
      <c r="B1565" s="267" t="s">
        <v>1824</v>
      </c>
      <c r="C1565" s="266" t="s">
        <v>3472</v>
      </c>
      <c r="D1565" s="266" t="s">
        <v>1455</v>
      </c>
      <c r="E1565" s="268"/>
      <c r="F1565" s="269" t="s">
        <v>5215</v>
      </c>
      <c r="G1565" s="268" t="s">
        <v>1463</v>
      </c>
      <c r="H1565" s="270">
        <v>0.002199074074074074</v>
      </c>
      <c r="I1565" s="271">
        <v>44468.64166666667</v>
      </c>
      <c r="J1565" s="268"/>
      <c r="K1565" s="424" t="s">
        <v>5216</v>
      </c>
      <c r="L1565" s="288"/>
      <c r="M1565" s="278" t="s">
        <v>5217</v>
      </c>
      <c r="N1565" s="290"/>
      <c r="O1565" s="276"/>
      <c r="P1565" s="276"/>
      <c r="Q1565" s="276"/>
      <c r="R1565" s="278"/>
      <c r="S1565" s="278"/>
      <c r="T1565" s="278"/>
      <c r="U1565" s="279"/>
      <c r="V1565" s="279" t="s">
        <v>1824</v>
      </c>
      <c r="W1565" s="280">
        <v>44470.0</v>
      </c>
      <c r="X1565" s="281">
        <v>0.001388888888888889</v>
      </c>
      <c r="Y1565" s="279" t="s">
        <v>1693</v>
      </c>
      <c r="Z1565" s="282" t="s">
        <v>53</v>
      </c>
      <c r="AA1565" s="282">
        <v>6742512.0</v>
      </c>
      <c r="AB1565" s="283">
        <v>44474.0</v>
      </c>
      <c r="AC1565" s="284"/>
      <c r="AD1565" s="284"/>
    </row>
    <row r="1566" ht="14.25" customHeight="1">
      <c r="A1566" s="265">
        <v>44453.0</v>
      </c>
      <c r="B1566" s="266" t="s">
        <v>1685</v>
      </c>
      <c r="C1566" s="266" t="s">
        <v>1831</v>
      </c>
      <c r="D1566" s="266" t="s">
        <v>1686</v>
      </c>
      <c r="E1566" s="268"/>
      <c r="F1566" s="286" t="s">
        <v>5218</v>
      </c>
      <c r="G1566" s="268" t="s">
        <v>4787</v>
      </c>
      <c r="H1566" s="270"/>
      <c r="I1566" s="271"/>
      <c r="J1566" s="268"/>
      <c r="K1566" s="271"/>
      <c r="L1566" s="288"/>
      <c r="M1566" s="278" t="s">
        <v>3915</v>
      </c>
      <c r="N1566" s="290"/>
      <c r="O1566" s="276"/>
      <c r="P1566" s="276"/>
      <c r="Q1566" s="276"/>
      <c r="R1566" s="278"/>
      <c r="S1566" s="278"/>
      <c r="T1566" s="278" t="s">
        <v>3915</v>
      </c>
      <c r="U1566" s="279"/>
      <c r="V1566" s="279" t="s">
        <v>28</v>
      </c>
      <c r="W1566" s="280" t="s">
        <v>28</v>
      </c>
      <c r="X1566" s="281" t="s">
        <v>28</v>
      </c>
      <c r="Y1566" s="279" t="s">
        <v>28</v>
      </c>
      <c r="Z1566" s="282" t="s">
        <v>28</v>
      </c>
      <c r="AA1566" s="282" t="s">
        <v>28</v>
      </c>
      <c r="AB1566" s="283" t="s">
        <v>28</v>
      </c>
      <c r="AC1566" s="284"/>
      <c r="AD1566" s="284"/>
    </row>
    <row r="1567" ht="14.25" customHeight="1">
      <c r="A1567" s="265">
        <v>44453.0</v>
      </c>
      <c r="B1567" s="266" t="s">
        <v>1733</v>
      </c>
      <c r="C1567" s="266"/>
      <c r="D1567" s="266" t="s">
        <v>1450</v>
      </c>
      <c r="E1567" s="268"/>
      <c r="F1567" s="358" t="s">
        <v>5219</v>
      </c>
      <c r="G1567" s="268" t="s">
        <v>2085</v>
      </c>
      <c r="H1567" s="270">
        <v>0.09878472222222223</v>
      </c>
      <c r="I1567" s="271">
        <v>44453.447916666664</v>
      </c>
      <c r="J1567" s="268"/>
      <c r="K1567" s="271">
        <v>44453.49376157407</v>
      </c>
      <c r="L1567" s="288" t="str">
        <f t="shared" ref="L1567:L1570" si="87">IFERROR(IF(OR(I1567="",K1567=""),"",K1567-I1567),"")</f>
        <v>1:06:01 AM</v>
      </c>
      <c r="M1567" s="278"/>
      <c r="N1567" s="290"/>
      <c r="O1567" s="276"/>
      <c r="P1567" s="276"/>
      <c r="Q1567" s="276"/>
      <c r="R1567" s="278"/>
      <c r="S1567" s="278"/>
      <c r="T1567" s="278"/>
      <c r="U1567" s="279"/>
      <c r="V1567" s="279" t="s">
        <v>1733</v>
      </c>
      <c r="W1567" s="280">
        <v>44453.0</v>
      </c>
      <c r="X1567" s="281">
        <v>0.004513888888888889</v>
      </c>
      <c r="Y1567" s="279" t="s">
        <v>1693</v>
      </c>
      <c r="Z1567" s="282" t="s">
        <v>53</v>
      </c>
      <c r="AA1567" s="282" t="s">
        <v>5219</v>
      </c>
      <c r="AB1567" s="283">
        <v>44454.0</v>
      </c>
      <c r="AC1567" s="284"/>
      <c r="AD1567" s="284"/>
    </row>
    <row r="1568" ht="14.25" customHeight="1">
      <c r="A1568" s="265">
        <v>44453.0</v>
      </c>
      <c r="B1568" s="266" t="s">
        <v>1824</v>
      </c>
      <c r="C1568" s="266"/>
      <c r="D1568" s="266" t="s">
        <v>1452</v>
      </c>
      <c r="E1568" s="268"/>
      <c r="F1568" s="358" t="s">
        <v>5220</v>
      </c>
      <c r="G1568" s="268" t="s">
        <v>2085</v>
      </c>
      <c r="H1568" s="270">
        <v>0.003344907407407407</v>
      </c>
      <c r="I1568" s="271">
        <v>44453.46319444444</v>
      </c>
      <c r="J1568" s="268"/>
      <c r="K1568" s="268"/>
      <c r="L1568" s="288" t="str">
        <f t="shared" si="87"/>
        <v/>
      </c>
      <c r="M1568" s="278"/>
      <c r="N1568" s="290"/>
      <c r="O1568" s="276"/>
      <c r="P1568" s="276"/>
      <c r="Q1568" s="276"/>
      <c r="R1568" s="278"/>
      <c r="S1568" s="278"/>
      <c r="T1568" s="278"/>
      <c r="U1568" s="279"/>
      <c r="V1568" s="279" t="s">
        <v>1824</v>
      </c>
      <c r="W1568" s="280">
        <v>44453.0</v>
      </c>
      <c r="X1568" s="281">
        <v>0.010416666666666666</v>
      </c>
      <c r="Y1568" s="279" t="s">
        <v>1693</v>
      </c>
      <c r="Z1568" s="282" t="s">
        <v>53</v>
      </c>
      <c r="AA1568" s="282" t="s">
        <v>5220</v>
      </c>
      <c r="AB1568" s="283">
        <v>44454.0</v>
      </c>
      <c r="AC1568" s="284"/>
      <c r="AD1568" s="284"/>
    </row>
    <row r="1569" ht="14.25" customHeight="1">
      <c r="A1569" s="265">
        <v>44453.0</v>
      </c>
      <c r="B1569" s="266" t="s">
        <v>1685</v>
      </c>
      <c r="C1569" s="266"/>
      <c r="D1569" s="266" t="s">
        <v>1686</v>
      </c>
      <c r="E1569" s="268"/>
      <c r="F1569" s="358" t="s">
        <v>5221</v>
      </c>
      <c r="G1569" s="268" t="s">
        <v>2085</v>
      </c>
      <c r="H1569" s="270">
        <v>0.037453703703703704</v>
      </c>
      <c r="I1569" s="271">
        <v>44453.645833333336</v>
      </c>
      <c r="J1569" s="268"/>
      <c r="K1569" s="271">
        <v>44454.60534722222</v>
      </c>
      <c r="L1569" s="288" t="str">
        <f t="shared" si="87"/>
        <v>11:01:42 PM</v>
      </c>
      <c r="M1569" s="278"/>
      <c r="N1569" s="290"/>
      <c r="O1569" s="276"/>
      <c r="P1569" s="276"/>
      <c r="Q1569" s="276"/>
      <c r="R1569" s="278"/>
      <c r="S1569" s="278"/>
      <c r="T1569" s="278"/>
      <c r="U1569" s="279"/>
      <c r="V1569" s="279" t="s">
        <v>1685</v>
      </c>
      <c r="W1569" s="280">
        <v>44454.0</v>
      </c>
      <c r="X1569" s="281">
        <v>0.125</v>
      </c>
      <c r="Y1569" s="279" t="s">
        <v>1693</v>
      </c>
      <c r="Z1569" s="282" t="s">
        <v>53</v>
      </c>
      <c r="AA1569" s="282" t="s">
        <v>5221</v>
      </c>
      <c r="AB1569" s="283">
        <v>44454.0</v>
      </c>
      <c r="AC1569" s="284"/>
      <c r="AD1569" s="284"/>
    </row>
    <row r="1570" ht="14.25" customHeight="1">
      <c r="A1570" s="265">
        <v>44453.0</v>
      </c>
      <c r="B1570" s="267" t="s">
        <v>1746</v>
      </c>
      <c r="C1570" s="266"/>
      <c r="D1570" s="266" t="s">
        <v>1455</v>
      </c>
      <c r="E1570" s="268"/>
      <c r="F1570" s="358" t="s">
        <v>5222</v>
      </c>
      <c r="G1570" s="268" t="s">
        <v>2085</v>
      </c>
      <c r="H1570" s="270">
        <v>0.021840277777777778</v>
      </c>
      <c r="I1570" s="271">
        <v>44454.024305555555</v>
      </c>
      <c r="J1570" s="268"/>
      <c r="K1570" s="424" t="s">
        <v>5223</v>
      </c>
      <c r="L1570" s="288" t="str">
        <f t="shared" si="87"/>
        <v/>
      </c>
      <c r="M1570" s="278"/>
      <c r="N1570" s="290"/>
      <c r="O1570" s="276"/>
      <c r="P1570" s="276"/>
      <c r="Q1570" s="276"/>
      <c r="R1570" s="278"/>
      <c r="S1570" s="278"/>
      <c r="T1570" s="278"/>
      <c r="U1570" s="279"/>
      <c r="V1570" s="279" t="s">
        <v>1824</v>
      </c>
      <c r="W1570" s="280">
        <v>44454.0</v>
      </c>
      <c r="X1570" s="281">
        <v>0.0798611111111111</v>
      </c>
      <c r="Y1570" s="279" t="s">
        <v>1693</v>
      </c>
      <c r="Z1570" s="282" t="s">
        <v>53</v>
      </c>
      <c r="AA1570" s="282" t="s">
        <v>5222</v>
      </c>
      <c r="AB1570" s="283">
        <v>44454.0</v>
      </c>
      <c r="AC1570" s="284"/>
      <c r="AD1570" s="284"/>
    </row>
    <row r="1571" ht="14.25" customHeight="1">
      <c r="A1571" s="265">
        <v>44454.0</v>
      </c>
      <c r="B1571" s="266" t="s">
        <v>2030</v>
      </c>
      <c r="C1571" s="266" t="s">
        <v>2083</v>
      </c>
      <c r="D1571" s="266" t="s">
        <v>1543</v>
      </c>
      <c r="E1571" s="268"/>
      <c r="F1571" s="291" t="s">
        <v>5224</v>
      </c>
      <c r="G1571" s="268" t="s">
        <v>1463</v>
      </c>
      <c r="H1571" s="270">
        <v>0.0014814814814814814</v>
      </c>
      <c r="I1571" s="271">
        <v>44454.555555555555</v>
      </c>
      <c r="J1571" s="268"/>
      <c r="K1571" s="271">
        <v>44454.558333333334</v>
      </c>
      <c r="L1571" s="288"/>
      <c r="M1571" s="278" t="s">
        <v>5225</v>
      </c>
      <c r="N1571" s="290"/>
      <c r="O1571" s="276"/>
      <c r="P1571" s="276"/>
      <c r="Q1571" s="276"/>
      <c r="R1571" s="278"/>
      <c r="S1571" s="278"/>
      <c r="T1571" s="278"/>
      <c r="U1571" s="279"/>
      <c r="V1571" s="279" t="s">
        <v>1824</v>
      </c>
      <c r="W1571" s="280">
        <v>44456.0</v>
      </c>
      <c r="X1571" s="281">
        <v>0.003472222222222222</v>
      </c>
      <c r="Y1571" s="279" t="s">
        <v>1693</v>
      </c>
      <c r="Z1571" s="282" t="s">
        <v>53</v>
      </c>
      <c r="AA1571" s="282">
        <v>6640803.0</v>
      </c>
      <c r="AB1571" s="283">
        <v>44455.0</v>
      </c>
      <c r="AC1571" s="284"/>
      <c r="AD1571" s="284"/>
    </row>
    <row r="1572" ht="14.25" customHeight="1">
      <c r="A1572" s="265">
        <v>44454.0</v>
      </c>
      <c r="B1572" s="266" t="s">
        <v>2030</v>
      </c>
      <c r="C1572" s="266" t="s">
        <v>1686</v>
      </c>
      <c r="D1572" s="266" t="s">
        <v>2561</v>
      </c>
      <c r="E1572" s="268"/>
      <c r="F1572" s="291" t="s">
        <v>5226</v>
      </c>
      <c r="G1572" s="268" t="s">
        <v>1463</v>
      </c>
      <c r="H1572" s="270">
        <v>0.0019444444444444442</v>
      </c>
      <c r="I1572" s="271">
        <v>44462.36388888889</v>
      </c>
      <c r="J1572" s="268"/>
      <c r="K1572" s="271">
        <v>44462.365277777775</v>
      </c>
      <c r="L1572" s="288"/>
      <c r="M1572" s="278" t="s">
        <v>5227</v>
      </c>
      <c r="N1572" s="290"/>
      <c r="O1572" s="276"/>
      <c r="P1572" s="276"/>
      <c r="Q1572" s="276"/>
      <c r="R1572" s="278"/>
      <c r="S1572" s="278"/>
      <c r="T1572" s="278"/>
      <c r="U1572" s="279"/>
      <c r="V1572" s="279" t="s">
        <v>1824</v>
      </c>
      <c r="W1572" s="280">
        <v>44467.0</v>
      </c>
      <c r="X1572" s="281">
        <v>0.006944444444444444</v>
      </c>
      <c r="Y1572" s="279" t="s">
        <v>1693</v>
      </c>
      <c r="Z1572" s="282" t="s">
        <v>53</v>
      </c>
      <c r="AA1572" s="282">
        <v>6684615.0</v>
      </c>
      <c r="AB1572" s="283">
        <v>44464.0</v>
      </c>
      <c r="AC1572" s="284"/>
      <c r="AD1572" s="284"/>
    </row>
    <row r="1573" ht="14.25" customHeight="1">
      <c r="A1573" s="265">
        <v>44454.0</v>
      </c>
      <c r="B1573" s="266" t="s">
        <v>2030</v>
      </c>
      <c r="C1573" s="266" t="s">
        <v>1686</v>
      </c>
      <c r="D1573" s="266" t="s">
        <v>2561</v>
      </c>
      <c r="E1573" s="268"/>
      <c r="F1573" s="291" t="s">
        <v>5228</v>
      </c>
      <c r="G1573" s="268" t="s">
        <v>1463</v>
      </c>
      <c r="H1573" s="270">
        <v>8.449074074074075E-4</v>
      </c>
      <c r="I1573" s="271">
        <v>44462.375</v>
      </c>
      <c r="J1573" s="268"/>
      <c r="K1573" s="271">
        <v>44462.4</v>
      </c>
      <c r="L1573" s="288"/>
      <c r="M1573" s="278" t="s">
        <v>5229</v>
      </c>
      <c r="N1573" s="290"/>
      <c r="O1573" s="276"/>
      <c r="P1573" s="276"/>
      <c r="Q1573" s="276"/>
      <c r="R1573" s="278"/>
      <c r="S1573" s="278"/>
      <c r="T1573" s="278"/>
      <c r="U1573" s="279"/>
      <c r="V1573" s="279" t="s">
        <v>1824</v>
      </c>
      <c r="W1573" s="280">
        <v>44467.0</v>
      </c>
      <c r="X1573" s="281">
        <v>0.006944444444444444</v>
      </c>
      <c r="Y1573" s="279" t="s">
        <v>1693</v>
      </c>
      <c r="Z1573" s="282" t="s">
        <v>53</v>
      </c>
      <c r="AA1573" s="282">
        <v>6684616.0</v>
      </c>
      <c r="AB1573" s="283">
        <v>44464.0</v>
      </c>
      <c r="AC1573" s="284"/>
      <c r="AD1573" s="284"/>
    </row>
    <row r="1574" ht="14.25" customHeight="1">
      <c r="A1574" s="265">
        <v>44454.0</v>
      </c>
      <c r="B1574" s="266" t="s">
        <v>1733</v>
      </c>
      <c r="C1574" s="266"/>
      <c r="D1574" s="266" t="s">
        <v>1450</v>
      </c>
      <c r="E1574" s="268"/>
      <c r="F1574" s="358" t="s">
        <v>5230</v>
      </c>
      <c r="G1574" s="268" t="s">
        <v>2085</v>
      </c>
      <c r="H1574" s="270">
        <v>0.09710648148148149</v>
      </c>
      <c r="I1574" s="271">
        <v>44454.47777777778</v>
      </c>
      <c r="J1574" s="268"/>
      <c r="K1574" s="271">
        <v>44454.55054398148</v>
      </c>
      <c r="L1574" s="288" t="str">
        <f t="shared" ref="L1574:L1577" si="88">IFERROR(IF(OR(I1574="",K1574=""),"",K1574-I1574),"")</f>
        <v>1:44:47 AM</v>
      </c>
      <c r="M1574" s="278"/>
      <c r="N1574" s="290"/>
      <c r="O1574" s="276"/>
      <c r="P1574" s="276"/>
      <c r="Q1574" s="276"/>
      <c r="R1574" s="278"/>
      <c r="S1574" s="278"/>
      <c r="T1574" s="278"/>
      <c r="U1574" s="279"/>
      <c r="V1574" s="279" t="s">
        <v>1733</v>
      </c>
      <c r="W1574" s="280">
        <v>44455.0</v>
      </c>
      <c r="X1574" s="281">
        <v>0.2916666666666667</v>
      </c>
      <c r="Y1574" s="279" t="s">
        <v>1693</v>
      </c>
      <c r="Z1574" s="282" t="s">
        <v>53</v>
      </c>
      <c r="AA1574" s="282" t="s">
        <v>5230</v>
      </c>
      <c r="AB1574" s="283">
        <v>44455.0</v>
      </c>
      <c r="AC1574" s="284"/>
      <c r="AD1574" s="284"/>
    </row>
    <row r="1575" ht="14.25" customHeight="1">
      <c r="A1575" s="265">
        <v>44454.0</v>
      </c>
      <c r="B1575" s="266" t="s">
        <v>1824</v>
      </c>
      <c r="C1575" s="266"/>
      <c r="D1575" s="266" t="s">
        <v>1452</v>
      </c>
      <c r="E1575" s="268"/>
      <c r="F1575" s="358" t="s">
        <v>5231</v>
      </c>
      <c r="G1575" s="268" t="s">
        <v>2085</v>
      </c>
      <c r="H1575" s="270">
        <v>0.0035185185185185185</v>
      </c>
      <c r="I1575" s="271">
        <v>44454.49444444444</v>
      </c>
      <c r="J1575" s="268"/>
      <c r="K1575" s="268"/>
      <c r="L1575" s="288" t="str">
        <f t="shared" si="88"/>
        <v/>
      </c>
      <c r="M1575" s="278"/>
      <c r="N1575" s="290"/>
      <c r="O1575" s="276"/>
      <c r="P1575" s="276"/>
      <c r="Q1575" s="276"/>
      <c r="R1575" s="278"/>
      <c r="S1575" s="278"/>
      <c r="T1575" s="278"/>
      <c r="U1575" s="279"/>
      <c r="V1575" s="279" t="s">
        <v>1824</v>
      </c>
      <c r="W1575" s="280">
        <v>44454.0</v>
      </c>
      <c r="X1575" s="281">
        <v>0.006944444444444444</v>
      </c>
      <c r="Y1575" s="279" t="s">
        <v>1693</v>
      </c>
      <c r="Z1575" s="282" t="s">
        <v>53</v>
      </c>
      <c r="AA1575" s="282" t="s">
        <v>5231</v>
      </c>
      <c r="AB1575" s="283">
        <v>44455.0</v>
      </c>
      <c r="AC1575" s="284"/>
      <c r="AD1575" s="284"/>
    </row>
    <row r="1576" ht="14.25" customHeight="1">
      <c r="A1576" s="265">
        <v>44454.0</v>
      </c>
      <c r="B1576" s="266" t="s">
        <v>1685</v>
      </c>
      <c r="C1576" s="266"/>
      <c r="D1576" s="266" t="s">
        <v>1686</v>
      </c>
      <c r="E1576" s="268"/>
      <c r="F1576" s="358" t="s">
        <v>5232</v>
      </c>
      <c r="G1576" s="268" t="s">
        <v>2085</v>
      </c>
      <c r="H1576" s="270">
        <v>0.038125</v>
      </c>
      <c r="I1576" s="271">
        <v>44454.61111111111</v>
      </c>
      <c r="J1576" s="268"/>
      <c r="K1576" s="268"/>
      <c r="L1576" s="288" t="str">
        <f t="shared" si="88"/>
        <v/>
      </c>
      <c r="M1576" s="278"/>
      <c r="N1576" s="290"/>
      <c r="O1576" s="276"/>
      <c r="P1576" s="276"/>
      <c r="Q1576" s="276"/>
      <c r="R1576" s="278"/>
      <c r="S1576" s="278"/>
      <c r="T1576" s="278"/>
      <c r="U1576" s="279"/>
      <c r="V1576" s="279" t="s">
        <v>1685</v>
      </c>
      <c r="W1576" s="280">
        <v>44455.0</v>
      </c>
      <c r="X1576" s="281">
        <v>0.125</v>
      </c>
      <c r="Y1576" s="279" t="s">
        <v>1693</v>
      </c>
      <c r="Z1576" s="282" t="s">
        <v>53</v>
      </c>
      <c r="AA1576" s="282" t="s">
        <v>5232</v>
      </c>
      <c r="AB1576" s="283">
        <v>44455.0</v>
      </c>
      <c r="AC1576" s="284"/>
      <c r="AD1576" s="284"/>
    </row>
    <row r="1577" ht="14.25" customHeight="1">
      <c r="A1577" s="265">
        <v>44454.0</v>
      </c>
      <c r="B1577" s="267" t="s">
        <v>1746</v>
      </c>
      <c r="C1577" s="266"/>
      <c r="D1577" s="266" t="s">
        <v>1455</v>
      </c>
      <c r="E1577" s="268"/>
      <c r="F1577" s="358" t="s">
        <v>5233</v>
      </c>
      <c r="G1577" s="268" t="s">
        <v>2085</v>
      </c>
      <c r="H1577" s="270">
        <v>0.021493055555555557</v>
      </c>
      <c r="I1577" s="271">
        <v>44454.9375</v>
      </c>
      <c r="J1577" s="268"/>
      <c r="K1577" s="271">
        <v>44454.98611111111</v>
      </c>
      <c r="L1577" s="288" t="str">
        <f t="shared" si="88"/>
        <v>1:10:00 AM</v>
      </c>
      <c r="M1577" s="278"/>
      <c r="N1577" s="290"/>
      <c r="O1577" s="276"/>
      <c r="P1577" s="276"/>
      <c r="Q1577" s="276"/>
      <c r="R1577" s="278"/>
      <c r="S1577" s="278"/>
      <c r="T1577" s="278"/>
      <c r="U1577" s="279"/>
      <c r="V1577" s="279" t="s">
        <v>1824</v>
      </c>
      <c r="W1577" s="280">
        <v>44455.0</v>
      </c>
      <c r="X1577" s="281">
        <v>0.08333333333333333</v>
      </c>
      <c r="Y1577" s="279" t="s">
        <v>1693</v>
      </c>
      <c r="Z1577" s="282" t="s">
        <v>53</v>
      </c>
      <c r="AA1577" s="282" t="s">
        <v>5233</v>
      </c>
      <c r="AB1577" s="283">
        <v>44455.0</v>
      </c>
      <c r="AC1577" s="284"/>
      <c r="AD1577" s="284"/>
    </row>
    <row r="1578" ht="14.25" customHeight="1">
      <c r="A1578" s="265">
        <v>44455.0</v>
      </c>
      <c r="B1578" s="267" t="s">
        <v>2030</v>
      </c>
      <c r="C1578" s="266" t="s">
        <v>1686</v>
      </c>
      <c r="D1578" s="266" t="s">
        <v>2561</v>
      </c>
      <c r="E1578" s="268"/>
      <c r="F1578" s="269" t="s">
        <v>5234</v>
      </c>
      <c r="G1578" s="268" t="s">
        <v>1463</v>
      </c>
      <c r="H1578" s="270">
        <v>2.777777777777778E-4</v>
      </c>
      <c r="I1578" s="271">
        <v>44462.40555555555</v>
      </c>
      <c r="J1578" s="268"/>
      <c r="K1578" s="271">
        <v>44462.407638888886</v>
      </c>
      <c r="L1578" s="288"/>
      <c r="M1578" s="278" t="s">
        <v>5235</v>
      </c>
      <c r="N1578" s="290"/>
      <c r="O1578" s="276"/>
      <c r="P1578" s="276"/>
      <c r="Q1578" s="276"/>
      <c r="R1578" s="278"/>
      <c r="S1578" s="278"/>
      <c r="T1578" s="278"/>
      <c r="U1578" s="279"/>
      <c r="V1578" s="279" t="s">
        <v>1824</v>
      </c>
      <c r="W1578" s="280">
        <v>44467.0</v>
      </c>
      <c r="X1578" s="281">
        <v>0.0020833333333333333</v>
      </c>
      <c r="Y1578" s="279" t="s">
        <v>1693</v>
      </c>
      <c r="Z1578" s="282" t="s">
        <v>53</v>
      </c>
      <c r="AA1578" s="282">
        <v>6684617.0</v>
      </c>
      <c r="AB1578" s="283">
        <v>44464.0</v>
      </c>
      <c r="AC1578" s="284"/>
      <c r="AD1578" s="284"/>
    </row>
    <row r="1579" ht="14.25" customHeight="1">
      <c r="A1579" s="265">
        <v>44455.0</v>
      </c>
      <c r="B1579" s="267" t="s">
        <v>2030</v>
      </c>
      <c r="C1579" s="266" t="s">
        <v>1455</v>
      </c>
      <c r="D1579" s="266" t="s">
        <v>2561</v>
      </c>
      <c r="E1579" s="268"/>
      <c r="F1579" s="269" t="s">
        <v>5236</v>
      </c>
      <c r="G1579" s="268" t="s">
        <v>1463</v>
      </c>
      <c r="H1579" s="270">
        <v>8.796296296296296E-4</v>
      </c>
      <c r="I1579" s="271">
        <v>44462.42569444444</v>
      </c>
      <c r="J1579" s="268"/>
      <c r="K1579" s="271"/>
      <c r="L1579" s="288"/>
      <c r="M1579" s="278" t="s">
        <v>3915</v>
      </c>
      <c r="N1579" s="273">
        <v>44462.45972222222</v>
      </c>
      <c r="O1579" s="276" t="s">
        <v>5237</v>
      </c>
      <c r="P1579" s="276" t="s">
        <v>1463</v>
      </c>
      <c r="Q1579" s="276" t="s">
        <v>1693</v>
      </c>
      <c r="R1579" s="277">
        <v>44462.46319444444</v>
      </c>
      <c r="S1579" s="278"/>
      <c r="T1579" s="278" t="s">
        <v>5238</v>
      </c>
      <c r="U1579" s="279"/>
      <c r="V1579" s="279" t="s">
        <v>1824</v>
      </c>
      <c r="W1579" s="280">
        <v>44467.0</v>
      </c>
      <c r="X1579" s="281">
        <v>0.004861111111111111</v>
      </c>
      <c r="Y1579" s="279" t="s">
        <v>1693</v>
      </c>
      <c r="Z1579" s="282" t="s">
        <v>53</v>
      </c>
      <c r="AA1579" s="282">
        <v>6684618.0</v>
      </c>
      <c r="AB1579" s="283">
        <v>44464.0</v>
      </c>
      <c r="AC1579" s="284"/>
      <c r="AD1579" s="284"/>
    </row>
    <row r="1580" ht="14.25" customHeight="1">
      <c r="A1580" s="265">
        <v>44455.0</v>
      </c>
      <c r="B1580" s="267" t="s">
        <v>2030</v>
      </c>
      <c r="C1580" s="266" t="s">
        <v>1455</v>
      </c>
      <c r="D1580" s="266" t="s">
        <v>2561</v>
      </c>
      <c r="E1580" s="268"/>
      <c r="F1580" s="269" t="s">
        <v>5239</v>
      </c>
      <c r="G1580" s="268" t="s">
        <v>1463</v>
      </c>
      <c r="H1580" s="270">
        <v>0.0012962962962962963</v>
      </c>
      <c r="I1580" s="271">
        <v>44462.45416666667</v>
      </c>
      <c r="J1580" s="268"/>
      <c r="K1580" s="271">
        <v>44462.45694444444</v>
      </c>
      <c r="L1580" s="288"/>
      <c r="M1580" s="278" t="s">
        <v>5240</v>
      </c>
      <c r="N1580" s="290"/>
      <c r="O1580" s="276"/>
      <c r="P1580" s="276"/>
      <c r="Q1580" s="276"/>
      <c r="R1580" s="278"/>
      <c r="S1580" s="278"/>
      <c r="T1580" s="278"/>
      <c r="U1580" s="279"/>
      <c r="V1580" s="279" t="s">
        <v>1824</v>
      </c>
      <c r="W1580" s="280">
        <v>44467.0</v>
      </c>
      <c r="X1580" s="281">
        <v>0.004861111111111111</v>
      </c>
      <c r="Y1580" s="279" t="s">
        <v>1693</v>
      </c>
      <c r="Z1580" s="282" t="s">
        <v>53</v>
      </c>
      <c r="AA1580" s="282">
        <v>6684619.0</v>
      </c>
      <c r="AB1580" s="283">
        <v>44464.0</v>
      </c>
      <c r="AC1580" s="284"/>
      <c r="AD1580" s="284"/>
    </row>
    <row r="1581" ht="14.25" customHeight="1">
      <c r="A1581" s="265">
        <v>44455.0</v>
      </c>
      <c r="B1581" s="266" t="s">
        <v>1733</v>
      </c>
      <c r="C1581" s="266" t="s">
        <v>2158</v>
      </c>
      <c r="D1581" s="266" t="s">
        <v>1450</v>
      </c>
      <c r="E1581" s="268"/>
      <c r="F1581" s="269" t="s">
        <v>5241</v>
      </c>
      <c r="G1581" s="268" t="s">
        <v>1463</v>
      </c>
      <c r="H1581" s="270">
        <v>0.002488425925925926</v>
      </c>
      <c r="I1581" s="271">
        <v>44456.63055555556</v>
      </c>
      <c r="J1581" s="268"/>
      <c r="K1581" s="271">
        <v>44456.64388888889</v>
      </c>
      <c r="L1581" s="288"/>
      <c r="M1581" s="278" t="s">
        <v>5242</v>
      </c>
      <c r="N1581" s="290"/>
      <c r="O1581" s="276"/>
      <c r="P1581" s="276"/>
      <c r="Q1581" s="276"/>
      <c r="R1581" s="278"/>
      <c r="S1581" s="278"/>
      <c r="T1581" s="278"/>
      <c r="U1581" s="279"/>
      <c r="V1581" s="279" t="s">
        <v>1733</v>
      </c>
      <c r="W1581" s="280">
        <v>44462.0</v>
      </c>
      <c r="X1581" s="281">
        <v>0.008333333333333333</v>
      </c>
      <c r="Y1581" s="279" t="s">
        <v>1693</v>
      </c>
      <c r="Z1581" s="282" t="s">
        <v>53</v>
      </c>
      <c r="AA1581" s="282">
        <v>6684692.0</v>
      </c>
      <c r="AB1581" s="283">
        <v>44464.0</v>
      </c>
      <c r="AC1581" s="284"/>
      <c r="AD1581" s="284"/>
    </row>
    <row r="1582" ht="14.25" customHeight="1">
      <c r="A1582" s="265">
        <v>44455.0</v>
      </c>
      <c r="B1582" s="267" t="s">
        <v>2030</v>
      </c>
      <c r="C1582" s="266" t="s">
        <v>1696</v>
      </c>
      <c r="D1582" s="266" t="s">
        <v>2561</v>
      </c>
      <c r="E1582" s="268"/>
      <c r="F1582" s="269" t="s">
        <v>5243</v>
      </c>
      <c r="G1582" s="268" t="s">
        <v>1463</v>
      </c>
      <c r="H1582" s="270">
        <v>0.0012152777777777778</v>
      </c>
      <c r="I1582" s="271">
        <v>44463.34722222222</v>
      </c>
      <c r="J1582" s="268"/>
      <c r="K1582" s="271">
        <v>44463.35138888889</v>
      </c>
      <c r="L1582" s="288"/>
      <c r="M1582" s="278" t="s">
        <v>5244</v>
      </c>
      <c r="N1582" s="290"/>
      <c r="O1582" s="276"/>
      <c r="P1582" s="276"/>
      <c r="Q1582" s="276"/>
      <c r="R1582" s="278"/>
      <c r="S1582" s="278"/>
      <c r="T1582" s="278"/>
      <c r="U1582" s="279"/>
      <c r="V1582" s="279" t="s">
        <v>1824</v>
      </c>
      <c r="W1582" s="280">
        <v>44467.0</v>
      </c>
      <c r="X1582" s="281">
        <v>0.004861111111111111</v>
      </c>
      <c r="Y1582" s="279" t="s">
        <v>1693</v>
      </c>
      <c r="Z1582" s="282" t="s">
        <v>53</v>
      </c>
      <c r="AA1582" s="282">
        <v>6684728.0</v>
      </c>
      <c r="AB1582" s="283">
        <v>44464.0</v>
      </c>
      <c r="AC1582" s="284"/>
      <c r="AD1582" s="284"/>
    </row>
    <row r="1583" ht="14.25" customHeight="1">
      <c r="A1583" s="265">
        <v>44455.0</v>
      </c>
      <c r="B1583" s="267" t="s">
        <v>1824</v>
      </c>
      <c r="C1583" s="266" t="s">
        <v>3472</v>
      </c>
      <c r="D1583" s="266" t="s">
        <v>1455</v>
      </c>
      <c r="E1583" s="268"/>
      <c r="F1583" s="269" t="s">
        <v>5245</v>
      </c>
      <c r="G1583" s="268" t="s">
        <v>1463</v>
      </c>
      <c r="H1583" s="270">
        <v>0.0020949074074074073</v>
      </c>
      <c r="I1583" s="271">
        <v>44468.63888888889</v>
      </c>
      <c r="J1583" s="268"/>
      <c r="K1583" s="271">
        <v>44470.83125</v>
      </c>
      <c r="L1583" s="288"/>
      <c r="M1583" s="278" t="s">
        <v>5246</v>
      </c>
      <c r="N1583" s="290"/>
      <c r="O1583" s="276"/>
      <c r="P1583" s="276"/>
      <c r="Q1583" s="276"/>
      <c r="R1583" s="278"/>
      <c r="S1583" s="278"/>
      <c r="T1583" s="278"/>
      <c r="U1583" s="279"/>
      <c r="V1583" s="279" t="s">
        <v>1824</v>
      </c>
      <c r="W1583" s="280">
        <v>44470.0</v>
      </c>
      <c r="X1583" s="281">
        <v>0.003472222222222222</v>
      </c>
      <c r="Y1583" s="279" t="s">
        <v>1693</v>
      </c>
      <c r="Z1583" s="282" t="s">
        <v>53</v>
      </c>
      <c r="AA1583" s="282">
        <v>6736626.0</v>
      </c>
      <c r="AB1583" s="283">
        <v>44473.0</v>
      </c>
      <c r="AC1583" s="284"/>
      <c r="AD1583" s="284"/>
    </row>
    <row r="1584" ht="14.25" customHeight="1">
      <c r="A1584" s="265">
        <v>44455.0</v>
      </c>
      <c r="B1584" s="267" t="s">
        <v>2753</v>
      </c>
      <c r="C1584" s="266" t="s">
        <v>1450</v>
      </c>
      <c r="D1584" s="266" t="s">
        <v>2561</v>
      </c>
      <c r="E1584" s="268"/>
      <c r="F1584" s="427" t="s">
        <v>5247</v>
      </c>
      <c r="G1584" s="268" t="s">
        <v>1463</v>
      </c>
      <c r="H1584" s="270">
        <v>0.002199074074074074</v>
      </c>
      <c r="I1584" s="271">
        <v>44471.82847222222</v>
      </c>
      <c r="J1584" s="268"/>
      <c r="K1584" s="271">
        <v>44471.835173611114</v>
      </c>
      <c r="L1584" s="288"/>
      <c r="M1584" s="278" t="s">
        <v>5248</v>
      </c>
      <c r="N1584" s="290"/>
      <c r="O1584" s="276"/>
      <c r="P1584" s="276"/>
      <c r="Q1584" s="276"/>
      <c r="R1584" s="278"/>
      <c r="S1584" s="278"/>
      <c r="T1584" s="278"/>
      <c r="U1584" s="279"/>
      <c r="V1584" s="279" t="s">
        <v>1824</v>
      </c>
      <c r="W1584" s="280">
        <v>44474.0</v>
      </c>
      <c r="X1584" s="281">
        <v>0.004166666666666667</v>
      </c>
      <c r="Y1584" s="279" t="s">
        <v>1693</v>
      </c>
      <c r="Z1584" s="282" t="s">
        <v>53</v>
      </c>
      <c r="AA1584" s="282">
        <v>6736627.0</v>
      </c>
      <c r="AB1584" s="283">
        <v>44473.0</v>
      </c>
      <c r="AC1584" s="284"/>
      <c r="AD1584" s="284"/>
    </row>
    <row r="1585" ht="14.25" customHeight="1">
      <c r="A1585" s="265">
        <v>44455.0</v>
      </c>
      <c r="B1585" s="267" t="s">
        <v>2030</v>
      </c>
      <c r="C1585" s="266" t="s">
        <v>1455</v>
      </c>
      <c r="D1585" s="266" t="s">
        <v>2561</v>
      </c>
      <c r="E1585" s="268"/>
      <c r="F1585" s="269" t="s">
        <v>5249</v>
      </c>
      <c r="G1585" s="268" t="s">
        <v>1463</v>
      </c>
      <c r="H1585" s="270">
        <v>0.0010069444444444444</v>
      </c>
      <c r="I1585" s="271">
        <v>44462.50277777778</v>
      </c>
      <c r="J1585" s="268"/>
      <c r="K1585" s="271">
        <v>44462.842939814815</v>
      </c>
      <c r="L1585" s="288"/>
      <c r="M1585" s="278" t="s">
        <v>5250</v>
      </c>
      <c r="N1585" s="290"/>
      <c r="O1585" s="276"/>
      <c r="P1585" s="276"/>
      <c r="Q1585" s="276"/>
      <c r="R1585" s="278"/>
      <c r="S1585" s="278"/>
      <c r="T1585" s="278"/>
      <c r="U1585" s="279"/>
      <c r="V1585" s="279" t="s">
        <v>1824</v>
      </c>
      <c r="W1585" s="280">
        <v>44475.0</v>
      </c>
      <c r="X1585" s="281">
        <v>0.008333333333333333</v>
      </c>
      <c r="Y1585" s="279" t="s">
        <v>1693</v>
      </c>
      <c r="Z1585" s="293" t="s">
        <v>53</v>
      </c>
      <c r="AA1585" s="293">
        <v>6736965.0</v>
      </c>
      <c r="AB1585" s="283">
        <v>44474.0</v>
      </c>
      <c r="AC1585" s="284"/>
      <c r="AD1585" s="284"/>
    </row>
    <row r="1586" ht="14.25" customHeight="1">
      <c r="A1586" s="265">
        <v>44455.0</v>
      </c>
      <c r="B1586" s="266" t="s">
        <v>1733</v>
      </c>
      <c r="C1586" s="266"/>
      <c r="D1586" s="266" t="s">
        <v>1450</v>
      </c>
      <c r="E1586" s="268"/>
      <c r="F1586" s="358" t="s">
        <v>5251</v>
      </c>
      <c r="G1586" s="268" t="s">
        <v>2085</v>
      </c>
      <c r="H1586" s="270">
        <v>0.09877314814814815</v>
      </c>
      <c r="I1586" s="271">
        <v>44455.45208333333</v>
      </c>
      <c r="J1586" s="268"/>
      <c r="K1586" s="271">
        <v>44455.5828125</v>
      </c>
      <c r="L1586" s="288" t="str">
        <f t="shared" ref="L1586:L1589" si="89">IFERROR(IF(OR(I1586="",K1586=""),"",K1586-I1586),"")</f>
        <v>3:08:15 AM</v>
      </c>
      <c r="M1586" s="278"/>
      <c r="N1586" s="290"/>
      <c r="O1586" s="276"/>
      <c r="P1586" s="276"/>
      <c r="Q1586" s="276"/>
      <c r="R1586" s="278"/>
      <c r="S1586" s="278"/>
      <c r="T1586" s="278"/>
      <c r="U1586" s="279"/>
      <c r="V1586" s="279" t="s">
        <v>1733</v>
      </c>
      <c r="W1586" s="280">
        <v>44456.0</v>
      </c>
      <c r="X1586" s="281">
        <v>0.28125</v>
      </c>
      <c r="Y1586" s="279" t="s">
        <v>1693</v>
      </c>
      <c r="Z1586" s="282" t="s">
        <v>53</v>
      </c>
      <c r="AA1586" s="282" t="s">
        <v>5251</v>
      </c>
      <c r="AB1586" s="283">
        <v>44456.0</v>
      </c>
      <c r="AC1586" s="284"/>
      <c r="AD1586" s="284"/>
    </row>
    <row r="1587" ht="14.25" customHeight="1">
      <c r="A1587" s="265">
        <v>44455.0</v>
      </c>
      <c r="B1587" s="266" t="s">
        <v>1824</v>
      </c>
      <c r="C1587" s="266"/>
      <c r="D1587" s="266" t="s">
        <v>1452</v>
      </c>
      <c r="E1587" s="268"/>
      <c r="F1587" s="358" t="s">
        <v>5252</v>
      </c>
      <c r="G1587" s="268" t="s">
        <v>2085</v>
      </c>
      <c r="H1587" s="270">
        <v>0.0017708333333333332</v>
      </c>
      <c r="I1587" s="271">
        <v>44455.45625</v>
      </c>
      <c r="J1587" s="268"/>
      <c r="K1587" s="268"/>
      <c r="L1587" s="288" t="str">
        <f t="shared" si="89"/>
        <v/>
      </c>
      <c r="M1587" s="278"/>
      <c r="N1587" s="290"/>
      <c r="O1587" s="276"/>
      <c r="P1587" s="276"/>
      <c r="Q1587" s="276"/>
      <c r="R1587" s="278"/>
      <c r="S1587" s="278"/>
      <c r="T1587" s="278"/>
      <c r="U1587" s="279"/>
      <c r="V1587" s="279" t="s">
        <v>1824</v>
      </c>
      <c r="W1587" s="280">
        <v>44455.0</v>
      </c>
      <c r="X1587" s="281">
        <v>0.005555555555555556</v>
      </c>
      <c r="Y1587" s="279" t="s">
        <v>1693</v>
      </c>
      <c r="Z1587" s="282" t="s">
        <v>53</v>
      </c>
      <c r="AA1587" s="282" t="s">
        <v>5252</v>
      </c>
      <c r="AB1587" s="283">
        <v>44456.0</v>
      </c>
      <c r="AC1587" s="284"/>
      <c r="AD1587" s="284"/>
    </row>
    <row r="1588" ht="14.25" customHeight="1">
      <c r="A1588" s="265">
        <v>44455.0</v>
      </c>
      <c r="B1588" s="266" t="s">
        <v>1685</v>
      </c>
      <c r="C1588" s="266"/>
      <c r="D1588" s="266" t="s">
        <v>1686</v>
      </c>
      <c r="E1588" s="268"/>
      <c r="F1588" s="358" t="s">
        <v>5253</v>
      </c>
      <c r="G1588" s="268" t="s">
        <v>2085</v>
      </c>
      <c r="H1588" s="270">
        <v>0.03078703703703704</v>
      </c>
      <c r="I1588" s="271">
        <v>44455.569444444445</v>
      </c>
      <c r="J1588" s="268"/>
      <c r="K1588" s="271">
        <v>44455.7049537037</v>
      </c>
      <c r="L1588" s="288" t="str">
        <f t="shared" si="89"/>
        <v>3:15:08 AM</v>
      </c>
      <c r="M1588" s="278"/>
      <c r="N1588" s="290"/>
      <c r="O1588" s="276"/>
      <c r="P1588" s="276"/>
      <c r="Q1588" s="276"/>
      <c r="R1588" s="278"/>
      <c r="S1588" s="278"/>
      <c r="T1588" s="278"/>
      <c r="U1588" s="279"/>
      <c r="V1588" s="279" t="s">
        <v>1685</v>
      </c>
      <c r="W1588" s="280">
        <v>44455.0</v>
      </c>
      <c r="X1588" s="281">
        <v>0.125</v>
      </c>
      <c r="Y1588" s="279" t="s">
        <v>1693</v>
      </c>
      <c r="Z1588" s="282" t="s">
        <v>53</v>
      </c>
      <c r="AA1588" s="282" t="s">
        <v>5253</v>
      </c>
      <c r="AB1588" s="283">
        <v>44456.0</v>
      </c>
      <c r="AC1588" s="284"/>
      <c r="AD1588" s="284"/>
    </row>
    <row r="1589" ht="14.25" customHeight="1">
      <c r="A1589" s="265">
        <v>44455.0</v>
      </c>
      <c r="B1589" s="267" t="s">
        <v>1746</v>
      </c>
      <c r="C1589" s="266"/>
      <c r="D1589" s="266" t="s">
        <v>1455</v>
      </c>
      <c r="E1589" s="268"/>
      <c r="F1589" s="358" t="s">
        <v>5254</v>
      </c>
      <c r="G1589" s="268" t="s">
        <v>2085</v>
      </c>
      <c r="H1589" s="270">
        <v>0.02101851851851852</v>
      </c>
      <c r="I1589" s="271">
        <v>44455.979166666664</v>
      </c>
      <c r="J1589" s="268"/>
      <c r="K1589" s="271">
        <v>44456.00347222222</v>
      </c>
      <c r="L1589" s="288" t="str">
        <f t="shared" si="89"/>
        <v>12:35:00 AM</v>
      </c>
      <c r="M1589" s="278"/>
      <c r="N1589" s="290"/>
      <c r="O1589" s="276"/>
      <c r="P1589" s="276"/>
      <c r="Q1589" s="276"/>
      <c r="R1589" s="278"/>
      <c r="S1589" s="278"/>
      <c r="T1589" s="278"/>
      <c r="U1589" s="279"/>
      <c r="V1589" s="279" t="s">
        <v>1824</v>
      </c>
      <c r="W1589" s="280">
        <v>44456.0</v>
      </c>
      <c r="X1589" s="281">
        <v>0.06944444444444443</v>
      </c>
      <c r="Y1589" s="279" t="s">
        <v>1693</v>
      </c>
      <c r="Z1589" s="282" t="s">
        <v>53</v>
      </c>
      <c r="AA1589" s="282" t="s">
        <v>5254</v>
      </c>
      <c r="AB1589" s="283">
        <v>44456.0</v>
      </c>
      <c r="AC1589" s="284"/>
      <c r="AD1589" s="284"/>
    </row>
    <row r="1590" ht="14.25" customHeight="1">
      <c r="A1590" s="265">
        <v>44456.0</v>
      </c>
      <c r="B1590" s="267" t="s">
        <v>5255</v>
      </c>
      <c r="C1590" s="266" t="s">
        <v>2083</v>
      </c>
      <c r="D1590" s="266" t="s">
        <v>1543</v>
      </c>
      <c r="E1590" s="268"/>
      <c r="F1590" s="269" t="s">
        <v>5256</v>
      </c>
      <c r="G1590" s="268" t="s">
        <v>1463</v>
      </c>
      <c r="H1590" s="270">
        <v>0.0025694444444444445</v>
      </c>
      <c r="I1590" s="271">
        <v>44459.32777777778</v>
      </c>
      <c r="J1590" s="268"/>
      <c r="K1590" s="271">
        <v>44459.33125</v>
      </c>
      <c r="L1590" s="288"/>
      <c r="M1590" s="278" t="s">
        <v>5257</v>
      </c>
      <c r="N1590" s="290"/>
      <c r="O1590" s="276"/>
      <c r="P1590" s="276"/>
      <c r="Q1590" s="276"/>
      <c r="R1590" s="278"/>
      <c r="S1590" s="278"/>
      <c r="T1590" s="278"/>
      <c r="U1590" s="279"/>
      <c r="V1590" s="279" t="s">
        <v>1824</v>
      </c>
      <c r="W1590" s="280">
        <v>44468.0</v>
      </c>
      <c r="X1590" s="281">
        <v>0.006944444444444444</v>
      </c>
      <c r="Y1590" s="279" t="s">
        <v>1693</v>
      </c>
      <c r="Z1590" s="282" t="s">
        <v>53</v>
      </c>
      <c r="AA1590" s="282">
        <v>6662221.0</v>
      </c>
      <c r="AB1590" s="283">
        <v>44459.0</v>
      </c>
      <c r="AC1590" s="284"/>
      <c r="AD1590" s="284"/>
    </row>
    <row r="1591" ht="14.25" customHeight="1">
      <c r="A1591" s="265">
        <v>44456.0</v>
      </c>
      <c r="B1591" s="267" t="s">
        <v>2030</v>
      </c>
      <c r="C1591" s="266" t="s">
        <v>2812</v>
      </c>
      <c r="D1591" s="266" t="s">
        <v>1543</v>
      </c>
      <c r="E1591" s="268"/>
      <c r="F1591" s="269" t="s">
        <v>5258</v>
      </c>
      <c r="G1591" s="268" t="s">
        <v>1463</v>
      </c>
      <c r="H1591" s="270">
        <v>0.0015624999999999999</v>
      </c>
      <c r="I1591" s="271">
        <v>44459.53472222222</v>
      </c>
      <c r="J1591" s="268"/>
      <c r="K1591" s="271">
        <v>44459.53611111111</v>
      </c>
      <c r="L1591" s="288"/>
      <c r="M1591" s="278" t="s">
        <v>5259</v>
      </c>
      <c r="N1591" s="290"/>
      <c r="O1591" s="276"/>
      <c r="P1591" s="276"/>
      <c r="Q1591" s="276"/>
      <c r="R1591" s="278"/>
      <c r="S1591" s="278"/>
      <c r="T1591" s="278"/>
      <c r="U1591" s="279"/>
      <c r="V1591" s="279" t="s">
        <v>1824</v>
      </c>
      <c r="W1591" s="280">
        <v>44468.0</v>
      </c>
      <c r="X1591" s="281">
        <v>0.006944444444444444</v>
      </c>
      <c r="Y1591" s="279" t="s">
        <v>1693</v>
      </c>
      <c r="Z1591" s="282" t="s">
        <v>53</v>
      </c>
      <c r="AA1591" s="282">
        <v>6679264.0</v>
      </c>
      <c r="AB1591" s="283">
        <v>44462.0</v>
      </c>
      <c r="AC1591" s="284"/>
      <c r="AD1591" s="284"/>
    </row>
    <row r="1592" ht="14.25" customHeight="1">
      <c r="A1592" s="265">
        <v>44456.0</v>
      </c>
      <c r="B1592" s="267" t="s">
        <v>2030</v>
      </c>
      <c r="C1592" s="266" t="s">
        <v>2812</v>
      </c>
      <c r="D1592" s="266" t="s">
        <v>2561</v>
      </c>
      <c r="E1592" s="268"/>
      <c r="F1592" s="269" t="s">
        <v>5260</v>
      </c>
      <c r="G1592" s="268" t="s">
        <v>1463</v>
      </c>
      <c r="H1592" s="270">
        <v>0.008136574074074074</v>
      </c>
      <c r="I1592" s="271">
        <v>44461.42569444444</v>
      </c>
      <c r="J1592" s="268"/>
      <c r="K1592" s="271">
        <v>44461.43263888889</v>
      </c>
      <c r="L1592" s="288"/>
      <c r="M1592" s="278" t="s">
        <v>5261</v>
      </c>
      <c r="N1592" s="290"/>
      <c r="O1592" s="276"/>
      <c r="P1592" s="276"/>
      <c r="Q1592" s="276"/>
      <c r="R1592" s="278"/>
      <c r="S1592" s="278"/>
      <c r="T1592" s="278"/>
      <c r="U1592" s="279"/>
      <c r="V1592" s="279" t="s">
        <v>1824</v>
      </c>
      <c r="W1592" s="280">
        <v>44468.0</v>
      </c>
      <c r="X1592" s="281">
        <v>0.006944444444444444</v>
      </c>
      <c r="Y1592" s="279" t="s">
        <v>1693</v>
      </c>
      <c r="Z1592" s="282" t="s">
        <v>53</v>
      </c>
      <c r="AA1592" s="282">
        <v>6679265.0</v>
      </c>
      <c r="AB1592" s="283">
        <v>44462.0</v>
      </c>
      <c r="AC1592" s="284"/>
      <c r="AD1592" s="284"/>
    </row>
    <row r="1593" ht="14.25" customHeight="1">
      <c r="A1593" s="265">
        <v>44456.0</v>
      </c>
      <c r="B1593" s="267" t="s">
        <v>2030</v>
      </c>
      <c r="C1593" s="266" t="s">
        <v>2812</v>
      </c>
      <c r="D1593" s="266" t="s">
        <v>2561</v>
      </c>
      <c r="E1593" s="268"/>
      <c r="F1593" s="269" t="s">
        <v>5262</v>
      </c>
      <c r="G1593" s="268" t="s">
        <v>1463</v>
      </c>
      <c r="H1593" s="270">
        <v>0.002847222222222222</v>
      </c>
      <c r="I1593" s="271">
        <v>44461.44861111111</v>
      </c>
      <c r="J1593" s="268"/>
      <c r="K1593" s="271">
        <v>44461.45277777778</v>
      </c>
      <c r="L1593" s="288"/>
      <c r="M1593" s="278" t="s">
        <v>5263</v>
      </c>
      <c r="N1593" s="290"/>
      <c r="O1593" s="276"/>
      <c r="P1593" s="276"/>
      <c r="Q1593" s="276"/>
      <c r="R1593" s="278"/>
      <c r="S1593" s="278"/>
      <c r="T1593" s="278"/>
      <c r="U1593" s="279"/>
      <c r="V1593" s="279" t="s">
        <v>1824</v>
      </c>
      <c r="W1593" s="280">
        <v>44469.0</v>
      </c>
      <c r="X1593" s="281">
        <v>0.004166666666666667</v>
      </c>
      <c r="Y1593" s="279" t="s">
        <v>1693</v>
      </c>
      <c r="Z1593" s="282" t="s">
        <v>53</v>
      </c>
      <c r="AA1593" s="282">
        <v>6679266.0</v>
      </c>
      <c r="AB1593" s="283">
        <v>44462.0</v>
      </c>
      <c r="AC1593" s="284"/>
      <c r="AD1593" s="284"/>
    </row>
    <row r="1594" ht="14.25" customHeight="1">
      <c r="A1594" s="265">
        <v>44456.0</v>
      </c>
      <c r="B1594" s="267" t="s">
        <v>2030</v>
      </c>
      <c r="C1594" s="266" t="s">
        <v>2812</v>
      </c>
      <c r="D1594" s="266" t="s">
        <v>2561</v>
      </c>
      <c r="E1594" s="268"/>
      <c r="F1594" s="269" t="s">
        <v>5264</v>
      </c>
      <c r="G1594" s="268" t="s">
        <v>1463</v>
      </c>
      <c r="H1594" s="270">
        <v>0.005277777777777777</v>
      </c>
      <c r="I1594" s="271" t="s">
        <v>5265</v>
      </c>
      <c r="J1594" s="268"/>
      <c r="K1594" s="271">
        <v>44461.45347222222</v>
      </c>
      <c r="L1594" s="288"/>
      <c r="M1594" s="278" t="s">
        <v>5266</v>
      </c>
      <c r="N1594" s="290"/>
      <c r="O1594" s="276"/>
      <c r="P1594" s="276"/>
      <c r="Q1594" s="276"/>
      <c r="R1594" s="278"/>
      <c r="S1594" s="278"/>
      <c r="T1594" s="278"/>
      <c r="U1594" s="279"/>
      <c r="V1594" s="279" t="s">
        <v>1824</v>
      </c>
      <c r="W1594" s="280">
        <v>44469.0</v>
      </c>
      <c r="X1594" s="281">
        <v>0.004861111111111111</v>
      </c>
      <c r="Y1594" s="279" t="s">
        <v>1693</v>
      </c>
      <c r="Z1594" s="282" t="s">
        <v>53</v>
      </c>
      <c r="AA1594" s="282">
        <v>6679267.0</v>
      </c>
      <c r="AB1594" s="283">
        <v>44462.0</v>
      </c>
      <c r="AC1594" s="284"/>
      <c r="AD1594" s="284"/>
    </row>
    <row r="1595" ht="14.25" customHeight="1">
      <c r="A1595" s="265">
        <v>44456.0</v>
      </c>
      <c r="B1595" s="267" t="s">
        <v>1570</v>
      </c>
      <c r="C1595" s="266" t="s">
        <v>5267</v>
      </c>
      <c r="D1595" s="266" t="s">
        <v>2888</v>
      </c>
      <c r="E1595" s="268"/>
      <c r="F1595" s="269" t="s">
        <v>5268</v>
      </c>
      <c r="G1595" s="268" t="s">
        <v>1463</v>
      </c>
      <c r="H1595" s="270">
        <v>0.002361111111111111</v>
      </c>
      <c r="I1595" s="271" t="s">
        <v>5269</v>
      </c>
      <c r="J1595" s="268"/>
      <c r="K1595" s="271">
        <v>44463.63333333333</v>
      </c>
      <c r="L1595" s="288"/>
      <c r="M1595" s="278" t="s">
        <v>5270</v>
      </c>
      <c r="N1595" s="290"/>
      <c r="O1595" s="276"/>
      <c r="P1595" s="276"/>
      <c r="Q1595" s="276"/>
      <c r="R1595" s="278"/>
      <c r="S1595" s="278"/>
      <c r="T1595" s="278"/>
      <c r="U1595" s="279"/>
      <c r="V1595" s="279" t="s">
        <v>28</v>
      </c>
      <c r="W1595" s="279" t="s">
        <v>28</v>
      </c>
      <c r="X1595" s="279" t="s">
        <v>28</v>
      </c>
      <c r="Y1595" s="279" t="s">
        <v>28</v>
      </c>
      <c r="Z1595" s="282" t="s">
        <v>53</v>
      </c>
      <c r="AA1595" s="282">
        <v>6694146.0</v>
      </c>
      <c r="AB1595" s="283">
        <v>44465.0</v>
      </c>
      <c r="AC1595" s="284"/>
      <c r="AD1595" s="284"/>
    </row>
    <row r="1596" ht="14.25" customHeight="1">
      <c r="A1596" s="265">
        <v>44456.0</v>
      </c>
      <c r="B1596" s="266" t="s">
        <v>1733</v>
      </c>
      <c r="C1596" s="266" t="s">
        <v>2158</v>
      </c>
      <c r="D1596" s="266" t="s">
        <v>1450</v>
      </c>
      <c r="E1596" s="268"/>
      <c r="F1596" s="286" t="s">
        <v>5271</v>
      </c>
      <c r="G1596" s="268" t="s">
        <v>4787</v>
      </c>
      <c r="H1596" s="270"/>
      <c r="I1596" s="271"/>
      <c r="J1596" s="268"/>
      <c r="K1596" s="271"/>
      <c r="L1596" s="288"/>
      <c r="M1596" s="278" t="s">
        <v>3915</v>
      </c>
      <c r="N1596" s="290"/>
      <c r="O1596" s="276"/>
      <c r="P1596" s="276"/>
      <c r="Q1596" s="276"/>
      <c r="R1596" s="278"/>
      <c r="S1596" s="278"/>
      <c r="T1596" s="278" t="s">
        <v>3915</v>
      </c>
      <c r="U1596" s="279" t="s">
        <v>28</v>
      </c>
      <c r="V1596" s="279" t="s">
        <v>28</v>
      </c>
      <c r="W1596" s="280" t="s">
        <v>28</v>
      </c>
      <c r="X1596" s="279" t="s">
        <v>28</v>
      </c>
      <c r="Y1596" s="279" t="s">
        <v>28</v>
      </c>
      <c r="Z1596" s="282" t="s">
        <v>28</v>
      </c>
      <c r="AA1596" s="282" t="s">
        <v>28</v>
      </c>
      <c r="AB1596" s="283" t="s">
        <v>28</v>
      </c>
      <c r="AC1596" s="284"/>
      <c r="AD1596" s="284"/>
    </row>
    <row r="1597" ht="14.25" customHeight="1">
      <c r="A1597" s="265">
        <v>44456.0</v>
      </c>
      <c r="B1597" s="266" t="s">
        <v>5272</v>
      </c>
      <c r="C1597" s="266" t="s">
        <v>2158</v>
      </c>
      <c r="D1597" s="266" t="s">
        <v>1450</v>
      </c>
      <c r="E1597" s="268"/>
      <c r="F1597" s="286" t="s">
        <v>5273</v>
      </c>
      <c r="G1597" s="268" t="s">
        <v>4787</v>
      </c>
      <c r="H1597" s="270"/>
      <c r="I1597" s="271"/>
      <c r="J1597" s="268"/>
      <c r="K1597" s="271"/>
      <c r="L1597" s="288"/>
      <c r="M1597" s="278" t="s">
        <v>3915</v>
      </c>
      <c r="N1597" s="290"/>
      <c r="O1597" s="276"/>
      <c r="P1597" s="276"/>
      <c r="Q1597" s="276"/>
      <c r="R1597" s="278"/>
      <c r="S1597" s="278"/>
      <c r="T1597" s="278" t="s">
        <v>3915</v>
      </c>
      <c r="U1597" s="279" t="s">
        <v>28</v>
      </c>
      <c r="V1597" s="279" t="s">
        <v>28</v>
      </c>
      <c r="W1597" s="280" t="s">
        <v>28</v>
      </c>
      <c r="X1597" s="279" t="s">
        <v>28</v>
      </c>
      <c r="Y1597" s="279" t="s">
        <v>28</v>
      </c>
      <c r="Z1597" s="282" t="s">
        <v>28</v>
      </c>
      <c r="AA1597" s="282" t="s">
        <v>28</v>
      </c>
      <c r="AB1597" s="283" t="s">
        <v>28</v>
      </c>
      <c r="AC1597" s="284"/>
      <c r="AD1597" s="284"/>
    </row>
    <row r="1598" ht="14.25" customHeight="1">
      <c r="A1598" s="265">
        <v>44456.0</v>
      </c>
      <c r="B1598" s="266" t="s">
        <v>1733</v>
      </c>
      <c r="C1598" s="266"/>
      <c r="D1598" s="266" t="s">
        <v>1450</v>
      </c>
      <c r="E1598" s="268"/>
      <c r="F1598" s="358" t="s">
        <v>5274</v>
      </c>
      <c r="G1598" s="268" t="s">
        <v>2085</v>
      </c>
      <c r="H1598" s="270">
        <v>0.10452546296296296</v>
      </c>
      <c r="I1598" s="271">
        <v>44456.47152777778</v>
      </c>
      <c r="J1598" s="268"/>
      <c r="K1598" s="271">
        <v>44456.550787037035</v>
      </c>
      <c r="L1598" s="288" t="str">
        <f t="shared" ref="L1598:L1603" si="90">IFERROR(IF(OR(I1598="",K1598=""),"",K1598-I1598),"")</f>
        <v>1:54:08 AM</v>
      </c>
      <c r="M1598" s="278"/>
      <c r="N1598" s="290"/>
      <c r="O1598" s="276"/>
      <c r="P1598" s="276"/>
      <c r="Q1598" s="276"/>
      <c r="R1598" s="278"/>
      <c r="S1598" s="278"/>
      <c r="T1598" s="278"/>
      <c r="U1598" s="279"/>
      <c r="V1598" s="279" t="s">
        <v>1733</v>
      </c>
      <c r="W1598" s="280">
        <v>44459.0</v>
      </c>
      <c r="X1598" s="281">
        <v>0.2916666666666667</v>
      </c>
      <c r="Y1598" s="279" t="s">
        <v>1693</v>
      </c>
      <c r="Z1598" s="282" t="s">
        <v>53</v>
      </c>
      <c r="AA1598" s="282" t="s">
        <v>5274</v>
      </c>
      <c r="AB1598" s="283">
        <v>44459.0</v>
      </c>
      <c r="AC1598" s="284"/>
      <c r="AD1598" s="284"/>
    </row>
    <row r="1599" ht="14.25" customHeight="1">
      <c r="A1599" s="265">
        <v>44456.0</v>
      </c>
      <c r="B1599" s="266" t="s">
        <v>1824</v>
      </c>
      <c r="C1599" s="266"/>
      <c r="D1599" s="266" t="s">
        <v>1452</v>
      </c>
      <c r="E1599" s="268"/>
      <c r="F1599" s="358" t="s">
        <v>5275</v>
      </c>
      <c r="G1599" s="268" t="s">
        <v>2085</v>
      </c>
      <c r="H1599" s="270">
        <v>0.0014467592592592594</v>
      </c>
      <c r="I1599" s="271">
        <v>44456.47638888889</v>
      </c>
      <c r="J1599" s="268"/>
      <c r="K1599" s="268"/>
      <c r="L1599" s="288" t="str">
        <f t="shared" si="90"/>
        <v/>
      </c>
      <c r="M1599" s="278"/>
      <c r="N1599" s="290"/>
      <c r="O1599" s="276"/>
      <c r="P1599" s="276"/>
      <c r="Q1599" s="276"/>
      <c r="R1599" s="278"/>
      <c r="S1599" s="278"/>
      <c r="T1599" s="278"/>
      <c r="U1599" s="279"/>
      <c r="V1599" s="279" t="s">
        <v>1824</v>
      </c>
      <c r="W1599" s="280">
        <v>44456.0</v>
      </c>
      <c r="X1599" s="281">
        <v>0.006944444444444444</v>
      </c>
      <c r="Y1599" s="279" t="s">
        <v>1693</v>
      </c>
      <c r="Z1599" s="282" t="s">
        <v>53</v>
      </c>
      <c r="AA1599" s="282" t="s">
        <v>5275</v>
      </c>
      <c r="AB1599" s="283">
        <v>44459.0</v>
      </c>
      <c r="AC1599" s="284"/>
      <c r="AD1599" s="284"/>
    </row>
    <row r="1600" ht="14.25" customHeight="1">
      <c r="A1600" s="265">
        <v>44456.0</v>
      </c>
      <c r="B1600" s="266" t="s">
        <v>1685</v>
      </c>
      <c r="C1600" s="266"/>
      <c r="D1600" s="266" t="s">
        <v>1686</v>
      </c>
      <c r="E1600" s="268"/>
      <c r="F1600" s="358" t="s">
        <v>5276</v>
      </c>
      <c r="G1600" s="268" t="s">
        <v>2085</v>
      </c>
      <c r="H1600" s="270">
        <v>0.035740740740740747</v>
      </c>
      <c r="I1600" s="271">
        <v>44459.447222222225</v>
      </c>
      <c r="J1600" s="268"/>
      <c r="K1600" s="271">
        <v>44459.47896990741</v>
      </c>
      <c r="L1600" s="288" t="str">
        <f t="shared" si="90"/>
        <v>12:45:43 AM</v>
      </c>
      <c r="M1600" s="278"/>
      <c r="N1600" s="290"/>
      <c r="O1600" s="276"/>
      <c r="P1600" s="276"/>
      <c r="Q1600" s="276"/>
      <c r="R1600" s="278"/>
      <c r="S1600" s="278"/>
      <c r="T1600" s="278"/>
      <c r="U1600" s="279"/>
      <c r="V1600" s="279" t="s">
        <v>1685</v>
      </c>
      <c r="W1600" s="280">
        <v>44459.0</v>
      </c>
      <c r="X1600" s="281">
        <v>0.125</v>
      </c>
      <c r="Y1600" s="279" t="s">
        <v>1693</v>
      </c>
      <c r="Z1600" s="282" t="s">
        <v>53</v>
      </c>
      <c r="AA1600" s="282" t="s">
        <v>5276</v>
      </c>
      <c r="AB1600" s="283">
        <v>44459.0</v>
      </c>
      <c r="AC1600" s="284"/>
      <c r="AD1600" s="284"/>
    </row>
    <row r="1601" ht="14.25" customHeight="1">
      <c r="A1601" s="265">
        <v>44456.0</v>
      </c>
      <c r="B1601" s="267" t="s">
        <v>1746</v>
      </c>
      <c r="C1601" s="266"/>
      <c r="D1601" s="266" t="s">
        <v>1455</v>
      </c>
      <c r="E1601" s="268"/>
      <c r="F1601" s="358" t="s">
        <v>5277</v>
      </c>
      <c r="G1601" s="268" t="s">
        <v>2085</v>
      </c>
      <c r="H1601" s="270">
        <v>0.02091435185185185</v>
      </c>
      <c r="I1601" s="271">
        <v>44456.993055555555</v>
      </c>
      <c r="J1601" s="268"/>
      <c r="K1601" s="271">
        <v>44457.018055555556</v>
      </c>
      <c r="L1601" s="288" t="str">
        <f t="shared" si="90"/>
        <v>12:36:00 AM</v>
      </c>
      <c r="M1601" s="278"/>
      <c r="N1601" s="290"/>
      <c r="O1601" s="276"/>
      <c r="P1601" s="276"/>
      <c r="Q1601" s="276"/>
      <c r="R1601" s="278"/>
      <c r="S1601" s="278"/>
      <c r="T1601" s="278"/>
      <c r="U1601" s="279"/>
      <c r="V1601" s="279" t="s">
        <v>1824</v>
      </c>
      <c r="W1601" s="280">
        <v>44459.0</v>
      </c>
      <c r="X1601" s="281">
        <v>0.08333333333333333</v>
      </c>
      <c r="Y1601" s="279" t="s">
        <v>1693</v>
      </c>
      <c r="Z1601" s="282" t="s">
        <v>53</v>
      </c>
      <c r="AA1601" s="282" t="s">
        <v>5277</v>
      </c>
      <c r="AB1601" s="283">
        <v>44459.0</v>
      </c>
      <c r="AC1601" s="284"/>
      <c r="AD1601" s="284"/>
    </row>
    <row r="1602" ht="14.25" customHeight="1">
      <c r="A1602" s="265">
        <v>44457.0</v>
      </c>
      <c r="B1602" s="266" t="s">
        <v>2030</v>
      </c>
      <c r="C1602" s="266" t="s">
        <v>1686</v>
      </c>
      <c r="D1602" s="266" t="s">
        <v>1686</v>
      </c>
      <c r="E1602" s="268"/>
      <c r="F1602" s="358" t="s">
        <v>5278</v>
      </c>
      <c r="G1602" s="268" t="s">
        <v>2085</v>
      </c>
      <c r="H1602" s="270">
        <v>0.03878472222222223</v>
      </c>
      <c r="I1602" s="271">
        <v>44457.60625</v>
      </c>
      <c r="J1602" s="268"/>
      <c r="K1602" s="271">
        <v>44457.626388888886</v>
      </c>
      <c r="L1602" s="288" t="str">
        <f t="shared" si="90"/>
        <v>12:29:00 AM</v>
      </c>
      <c r="M1602" s="278"/>
      <c r="N1602" s="290"/>
      <c r="O1602" s="276"/>
      <c r="P1602" s="276"/>
      <c r="Q1602" s="276"/>
      <c r="R1602" s="278"/>
      <c r="S1602" s="278"/>
      <c r="T1602" s="278"/>
      <c r="U1602" s="279"/>
      <c r="V1602" s="279" t="s">
        <v>1685</v>
      </c>
      <c r="W1602" s="280">
        <v>44459.0</v>
      </c>
      <c r="X1602" s="281">
        <v>0.125</v>
      </c>
      <c r="Y1602" s="279" t="s">
        <v>1693</v>
      </c>
      <c r="Z1602" s="282" t="s">
        <v>53</v>
      </c>
      <c r="AA1602" s="282" t="s">
        <v>5278</v>
      </c>
      <c r="AB1602" s="283">
        <v>44459.0</v>
      </c>
      <c r="AC1602" s="284"/>
      <c r="AD1602" s="284"/>
    </row>
    <row r="1603" ht="14.25" customHeight="1">
      <c r="A1603" s="265">
        <v>44457.0</v>
      </c>
      <c r="B1603" s="266" t="s">
        <v>1824</v>
      </c>
      <c r="C1603" s="266"/>
      <c r="D1603" s="266" t="s">
        <v>1455</v>
      </c>
      <c r="E1603" s="268"/>
      <c r="F1603" s="358" t="s">
        <v>5279</v>
      </c>
      <c r="G1603" s="268" t="s">
        <v>2085</v>
      </c>
      <c r="H1603" s="270">
        <v>0.014166666666666666</v>
      </c>
      <c r="I1603" s="271">
        <v>44459.68194444444</v>
      </c>
      <c r="J1603" s="268"/>
      <c r="K1603" s="268"/>
      <c r="L1603" s="288" t="str">
        <f t="shared" si="90"/>
        <v/>
      </c>
      <c r="M1603" s="278"/>
      <c r="N1603" s="290"/>
      <c r="O1603" s="276"/>
      <c r="P1603" s="276"/>
      <c r="Q1603" s="276"/>
      <c r="R1603" s="278"/>
      <c r="S1603" s="278"/>
      <c r="T1603" s="278"/>
      <c r="U1603" s="279"/>
      <c r="V1603" s="279" t="s">
        <v>1824</v>
      </c>
      <c r="W1603" s="280">
        <v>44460.0</v>
      </c>
      <c r="X1603" s="281">
        <v>0.04861111111111111</v>
      </c>
      <c r="Y1603" s="279" t="s">
        <v>1693</v>
      </c>
      <c r="Z1603" s="282" t="s">
        <v>53</v>
      </c>
      <c r="AA1603" s="282" t="s">
        <v>5279</v>
      </c>
      <c r="AB1603" s="283">
        <v>44460.0</v>
      </c>
      <c r="AC1603" s="284"/>
      <c r="AD1603" s="284"/>
    </row>
    <row r="1604" ht="14.25" customHeight="1">
      <c r="A1604" s="265">
        <v>44458.0</v>
      </c>
      <c r="B1604" s="266" t="s">
        <v>1733</v>
      </c>
      <c r="C1604" s="266"/>
      <c r="D1604" s="266" t="s">
        <v>3509</v>
      </c>
      <c r="E1604" s="268"/>
      <c r="F1604" s="408">
        <v>6618556.0</v>
      </c>
      <c r="G1604" s="268" t="s">
        <v>3839</v>
      </c>
      <c r="H1604" s="270">
        <v>0.018125</v>
      </c>
      <c r="I1604" s="271">
        <v>44459.32638888889</v>
      </c>
      <c r="J1604" s="268"/>
      <c r="K1604" s="271">
        <v>44459.3346875</v>
      </c>
      <c r="L1604" s="288"/>
      <c r="M1604" s="278" t="s">
        <v>5280</v>
      </c>
      <c r="N1604" s="290"/>
      <c r="O1604" s="276"/>
      <c r="P1604" s="276"/>
      <c r="Q1604" s="276"/>
      <c r="R1604" s="278"/>
      <c r="S1604" s="278"/>
      <c r="T1604" s="278"/>
      <c r="U1604" s="279" t="s">
        <v>28</v>
      </c>
      <c r="V1604" s="279" t="s">
        <v>28</v>
      </c>
      <c r="W1604" s="279" t="s">
        <v>28</v>
      </c>
      <c r="X1604" s="279" t="s">
        <v>28</v>
      </c>
      <c r="Y1604" s="279" t="s">
        <v>28</v>
      </c>
      <c r="Z1604" s="282" t="s">
        <v>101</v>
      </c>
      <c r="AA1604" s="282">
        <v>6618556.0</v>
      </c>
      <c r="AB1604" s="282"/>
      <c r="AC1604" s="284"/>
      <c r="AD1604" s="284"/>
    </row>
    <row r="1605" ht="14.25" customHeight="1">
      <c r="A1605" s="265">
        <v>44458.0</v>
      </c>
      <c r="B1605" s="266" t="s">
        <v>1733</v>
      </c>
      <c r="C1605" s="266"/>
      <c r="D1605" s="266" t="s">
        <v>1457</v>
      </c>
      <c r="E1605" s="268"/>
      <c r="F1605" s="358" t="s">
        <v>5281</v>
      </c>
      <c r="G1605" s="268" t="s">
        <v>1463</v>
      </c>
      <c r="H1605" s="270">
        <v>0.017847222222222223</v>
      </c>
      <c r="I1605" s="271">
        <v>44459.424305555556</v>
      </c>
      <c r="J1605" s="268"/>
      <c r="K1605" s="271">
        <v>44459.42885416667</v>
      </c>
      <c r="L1605" s="288" t="str">
        <f t="shared" ref="L1605:L1606" si="91">IFERROR(IF(OR(I1605="",K1605=""),"",K1605-I1605),"")</f>
        <v>12:06:33 AM</v>
      </c>
      <c r="M1605" s="278" t="s">
        <v>5282</v>
      </c>
      <c r="N1605" s="290"/>
      <c r="O1605" s="276"/>
      <c r="P1605" s="276"/>
      <c r="Q1605" s="276"/>
      <c r="R1605" s="278"/>
      <c r="S1605" s="278"/>
      <c r="T1605" s="278"/>
      <c r="U1605" s="279"/>
      <c r="V1605" s="279" t="s">
        <v>1824</v>
      </c>
      <c r="W1605" s="280">
        <v>44460.0</v>
      </c>
      <c r="X1605" s="281">
        <v>0.034722222222222224</v>
      </c>
      <c r="Y1605" s="279" t="s">
        <v>1693</v>
      </c>
      <c r="Z1605" s="282" t="s">
        <v>53</v>
      </c>
      <c r="AA1605" s="282" t="s">
        <v>5281</v>
      </c>
      <c r="AB1605" s="283">
        <v>44460.0</v>
      </c>
      <c r="AC1605" s="284"/>
      <c r="AD1605" s="284"/>
    </row>
    <row r="1606" ht="14.25" customHeight="1">
      <c r="A1606" s="265">
        <v>44458.0</v>
      </c>
      <c r="B1606" s="266" t="s">
        <v>1733</v>
      </c>
      <c r="C1606" s="266"/>
      <c r="D1606" s="266" t="s">
        <v>2829</v>
      </c>
      <c r="E1606" s="268"/>
      <c r="F1606" s="408" t="s">
        <v>5283</v>
      </c>
      <c r="G1606" s="268" t="s">
        <v>2085</v>
      </c>
      <c r="H1606" s="270">
        <v>0.018796296296296297</v>
      </c>
      <c r="I1606" s="271">
        <v>44458.375</v>
      </c>
      <c r="J1606" s="268"/>
      <c r="K1606" s="271">
        <v>44458.388125</v>
      </c>
      <c r="L1606" s="288" t="str">
        <f t="shared" si="91"/>
        <v>12:18:54 AM</v>
      </c>
      <c r="M1606" s="278"/>
      <c r="N1606" s="290"/>
      <c r="O1606" s="276"/>
      <c r="P1606" s="276"/>
      <c r="Q1606" s="276"/>
      <c r="R1606" s="278"/>
      <c r="S1606" s="278"/>
      <c r="T1606" s="278"/>
      <c r="U1606" s="279"/>
      <c r="V1606" s="279"/>
      <c r="W1606" s="279"/>
      <c r="X1606" s="279"/>
      <c r="Y1606" s="279"/>
      <c r="Z1606" s="282" t="s">
        <v>53</v>
      </c>
      <c r="AA1606" s="282" t="s">
        <v>5283</v>
      </c>
      <c r="AB1606" s="283">
        <v>44459.0</v>
      </c>
      <c r="AC1606" s="284"/>
      <c r="AD1606" s="284"/>
    </row>
    <row r="1607" ht="14.25" customHeight="1">
      <c r="A1607" s="265">
        <v>44459.0</v>
      </c>
      <c r="B1607" s="267" t="s">
        <v>2030</v>
      </c>
      <c r="C1607" s="266" t="s">
        <v>1450</v>
      </c>
      <c r="D1607" s="266" t="s">
        <v>2561</v>
      </c>
      <c r="E1607" s="268"/>
      <c r="F1607" s="269" t="s">
        <v>5284</v>
      </c>
      <c r="G1607" s="268" t="s">
        <v>1463</v>
      </c>
      <c r="H1607" s="270">
        <v>0.0030324074074074073</v>
      </c>
      <c r="I1607" s="271">
        <v>44460.47222222222</v>
      </c>
      <c r="J1607" s="268"/>
      <c r="K1607" s="271">
        <v>44460.475694444445</v>
      </c>
      <c r="L1607" s="288"/>
      <c r="M1607" s="278" t="s">
        <v>5285</v>
      </c>
      <c r="N1607" s="290"/>
      <c r="O1607" s="276"/>
      <c r="P1607" s="276"/>
      <c r="Q1607" s="276"/>
      <c r="R1607" s="278"/>
      <c r="S1607" s="278"/>
      <c r="T1607" s="278"/>
      <c r="U1607" s="279"/>
      <c r="V1607" s="279" t="s">
        <v>1824</v>
      </c>
      <c r="W1607" s="280">
        <v>44469.0</v>
      </c>
      <c r="X1607" s="281">
        <v>0.0062499999999999995</v>
      </c>
      <c r="Y1607" s="279" t="s">
        <v>1693</v>
      </c>
      <c r="Z1607" s="282" t="s">
        <v>53</v>
      </c>
      <c r="AA1607" s="282">
        <v>6684729.0</v>
      </c>
      <c r="AB1607" s="283">
        <v>44464.0</v>
      </c>
      <c r="AC1607" s="284"/>
      <c r="AD1607" s="284"/>
    </row>
    <row r="1608" ht="14.25" customHeight="1">
      <c r="A1608" s="265">
        <v>44459.0</v>
      </c>
      <c r="B1608" s="267" t="s">
        <v>5286</v>
      </c>
      <c r="C1608" s="266" t="s">
        <v>1696</v>
      </c>
      <c r="D1608" s="266" t="s">
        <v>1543</v>
      </c>
      <c r="E1608" s="268"/>
      <c r="F1608" s="269" t="s">
        <v>5287</v>
      </c>
      <c r="G1608" s="268" t="s">
        <v>1463</v>
      </c>
      <c r="H1608" s="270">
        <v>6.134259259259259E-4</v>
      </c>
      <c r="I1608" s="271">
        <v>44463.38611111111</v>
      </c>
      <c r="J1608" s="268"/>
      <c r="K1608" s="271">
        <v>44463.388194444444</v>
      </c>
      <c r="L1608" s="288"/>
      <c r="M1608" s="278" t="s">
        <v>5288</v>
      </c>
      <c r="N1608" s="290"/>
      <c r="O1608" s="276"/>
      <c r="P1608" s="276"/>
      <c r="Q1608" s="276"/>
      <c r="R1608" s="278"/>
      <c r="S1608" s="278"/>
      <c r="T1608" s="278"/>
      <c r="U1608" s="279"/>
      <c r="V1608" s="279" t="s">
        <v>1824</v>
      </c>
      <c r="W1608" s="280">
        <v>44469.0</v>
      </c>
      <c r="X1608" s="281">
        <v>0.003472222222222222</v>
      </c>
      <c r="Y1608" s="279" t="s">
        <v>1693</v>
      </c>
      <c r="Z1608" s="282" t="s">
        <v>53</v>
      </c>
      <c r="AA1608" s="282">
        <v>6684730.0</v>
      </c>
      <c r="AB1608" s="283">
        <v>44464.0</v>
      </c>
      <c r="AC1608" s="284"/>
      <c r="AD1608" s="284"/>
    </row>
    <row r="1609" ht="14.25" customHeight="1">
      <c r="A1609" s="265">
        <v>44459.0</v>
      </c>
      <c r="B1609" s="267" t="s">
        <v>2030</v>
      </c>
      <c r="C1609" s="266" t="s">
        <v>1696</v>
      </c>
      <c r="D1609" s="266" t="s">
        <v>1543</v>
      </c>
      <c r="E1609" s="268"/>
      <c r="F1609" s="269" t="s">
        <v>5289</v>
      </c>
      <c r="G1609" s="268" t="s">
        <v>1463</v>
      </c>
      <c r="H1609" s="270">
        <v>0.001423611111111111</v>
      </c>
      <c r="I1609" s="271">
        <v>44463.41458333333</v>
      </c>
      <c r="J1609" s="268"/>
      <c r="K1609" s="271"/>
      <c r="L1609" s="288"/>
      <c r="M1609" s="278" t="s">
        <v>3915</v>
      </c>
      <c r="N1609" s="273">
        <v>44463.50277777778</v>
      </c>
      <c r="O1609" s="276" t="s">
        <v>5290</v>
      </c>
      <c r="P1609" s="276" t="s">
        <v>1463</v>
      </c>
      <c r="Q1609" s="276" t="s">
        <v>1693</v>
      </c>
      <c r="R1609" s="428">
        <v>44463.0</v>
      </c>
      <c r="S1609" s="278"/>
      <c r="T1609" s="278" t="s">
        <v>5291</v>
      </c>
      <c r="U1609" s="279"/>
      <c r="V1609" s="279" t="s">
        <v>1824</v>
      </c>
      <c r="W1609" s="280">
        <v>44469.0</v>
      </c>
      <c r="X1609" s="281">
        <v>0.004166666666666667</v>
      </c>
      <c r="Y1609" s="279" t="s">
        <v>1693</v>
      </c>
      <c r="Z1609" s="282" t="s">
        <v>53</v>
      </c>
      <c r="AA1609" s="282">
        <v>6694147.0</v>
      </c>
      <c r="AB1609" s="283">
        <v>44465.0</v>
      </c>
      <c r="AC1609" s="284"/>
      <c r="AD1609" s="284"/>
    </row>
    <row r="1610" ht="14.25" customHeight="1">
      <c r="A1610" s="265">
        <v>44459.0</v>
      </c>
      <c r="B1610" s="267" t="s">
        <v>2030</v>
      </c>
      <c r="C1610" s="266" t="s">
        <v>2083</v>
      </c>
      <c r="D1610" s="266" t="s">
        <v>1543</v>
      </c>
      <c r="E1610" s="268"/>
      <c r="F1610" s="269" t="s">
        <v>5292</v>
      </c>
      <c r="G1610" s="268" t="s">
        <v>1463</v>
      </c>
      <c r="H1610" s="270">
        <v>8.912037037037036E-4</v>
      </c>
      <c r="I1610" s="271">
        <v>44463.447916666664</v>
      </c>
      <c r="J1610" s="268"/>
      <c r="K1610" s="271">
        <v>44463.450694444444</v>
      </c>
      <c r="L1610" s="288"/>
      <c r="M1610" s="278" t="s">
        <v>5293</v>
      </c>
      <c r="N1610" s="290"/>
      <c r="O1610" s="276"/>
      <c r="P1610" s="276"/>
      <c r="Q1610" s="276"/>
      <c r="R1610" s="278"/>
      <c r="S1610" s="278"/>
      <c r="T1610" s="278"/>
      <c r="U1610" s="279"/>
      <c r="V1610" s="279" t="s">
        <v>1824</v>
      </c>
      <c r="W1610" s="280">
        <v>44469.0</v>
      </c>
      <c r="X1610" s="281">
        <v>0.0020833333333333333</v>
      </c>
      <c r="Y1610" s="279" t="s">
        <v>1693</v>
      </c>
      <c r="Z1610" s="282" t="s">
        <v>53</v>
      </c>
      <c r="AA1610" s="282">
        <v>6694148.0</v>
      </c>
      <c r="AB1610" s="283">
        <v>44465.0</v>
      </c>
      <c r="AC1610" s="284"/>
      <c r="AD1610" s="284"/>
    </row>
    <row r="1611" ht="14.25" customHeight="1">
      <c r="A1611" s="265">
        <v>44459.0</v>
      </c>
      <c r="B1611" s="267" t="s">
        <v>2030</v>
      </c>
      <c r="C1611" s="266" t="s">
        <v>2083</v>
      </c>
      <c r="D1611" s="266" t="s">
        <v>1543</v>
      </c>
      <c r="E1611" s="268"/>
      <c r="F1611" s="269" t="s">
        <v>5294</v>
      </c>
      <c r="G1611" s="268" t="s">
        <v>1463</v>
      </c>
      <c r="H1611" s="270">
        <v>6.481481481481481E-4</v>
      </c>
      <c r="I1611" s="271">
        <v>44401.50763888889</v>
      </c>
      <c r="J1611" s="268"/>
      <c r="K1611" s="271">
        <v>44463.509722222225</v>
      </c>
      <c r="L1611" s="288"/>
      <c r="M1611" s="278" t="s">
        <v>5295</v>
      </c>
      <c r="N1611" s="290"/>
      <c r="O1611" s="276"/>
      <c r="P1611" s="276"/>
      <c r="Q1611" s="276"/>
      <c r="R1611" s="278"/>
      <c r="S1611" s="278"/>
      <c r="T1611" s="278"/>
      <c r="U1611" s="279"/>
      <c r="V1611" s="279" t="s">
        <v>1824</v>
      </c>
      <c r="W1611" s="280">
        <v>44469.0</v>
      </c>
      <c r="X1611" s="281">
        <v>0.003472222222222222</v>
      </c>
      <c r="Y1611" s="279" t="s">
        <v>1693</v>
      </c>
      <c r="Z1611" s="282" t="s">
        <v>53</v>
      </c>
      <c r="AA1611" s="282">
        <v>6694149.0</v>
      </c>
      <c r="AB1611" s="283">
        <v>44465.0</v>
      </c>
      <c r="AC1611" s="284"/>
      <c r="AD1611" s="284"/>
    </row>
    <row r="1612" ht="14.25" customHeight="1">
      <c r="A1612" s="265">
        <v>44459.0</v>
      </c>
      <c r="B1612" s="267" t="s">
        <v>2030</v>
      </c>
      <c r="C1612" s="266" t="s">
        <v>2888</v>
      </c>
      <c r="D1612" s="266" t="s">
        <v>1543</v>
      </c>
      <c r="E1612" s="268"/>
      <c r="F1612" s="269" t="s">
        <v>5296</v>
      </c>
      <c r="G1612" s="268" t="s">
        <v>1463</v>
      </c>
      <c r="H1612" s="270">
        <v>0.00125</v>
      </c>
      <c r="I1612" s="271">
        <v>44466.38402777778</v>
      </c>
      <c r="J1612" s="268"/>
      <c r="K1612" s="271">
        <v>44466.38888888889</v>
      </c>
      <c r="L1612" s="288"/>
      <c r="M1612" s="278" t="s">
        <v>5297</v>
      </c>
      <c r="N1612" s="290"/>
      <c r="O1612" s="276"/>
      <c r="P1612" s="276"/>
      <c r="Q1612" s="276"/>
      <c r="R1612" s="278"/>
      <c r="S1612" s="278"/>
      <c r="T1612" s="278"/>
      <c r="U1612" s="279"/>
      <c r="V1612" s="279" t="s">
        <v>1824</v>
      </c>
      <c r="W1612" s="280">
        <v>44469.0</v>
      </c>
      <c r="X1612" s="281">
        <v>0.004166666666666667</v>
      </c>
      <c r="Y1612" s="279" t="s">
        <v>1693</v>
      </c>
      <c r="Z1612" s="282" t="s">
        <v>53</v>
      </c>
      <c r="AA1612" s="282">
        <v>6710789.0</v>
      </c>
      <c r="AB1612" s="283">
        <v>44469.0</v>
      </c>
      <c r="AC1612" s="284"/>
      <c r="AD1612" s="284"/>
    </row>
    <row r="1613" ht="14.25" customHeight="1">
      <c r="A1613" s="265">
        <v>44459.0</v>
      </c>
      <c r="B1613" s="267" t="s">
        <v>1824</v>
      </c>
      <c r="C1613" s="266" t="s">
        <v>3472</v>
      </c>
      <c r="D1613" s="266" t="s">
        <v>1455</v>
      </c>
      <c r="E1613" s="268"/>
      <c r="F1613" s="269" t="s">
        <v>5298</v>
      </c>
      <c r="G1613" s="268" t="s">
        <v>1463</v>
      </c>
      <c r="H1613" s="270">
        <v>0.002025462962962963</v>
      </c>
      <c r="I1613" s="271">
        <v>44440.81180555555</v>
      </c>
      <c r="J1613" s="268"/>
      <c r="K1613" s="271">
        <v>44440.81319444445</v>
      </c>
      <c r="L1613" s="288"/>
      <c r="M1613" s="278" t="s">
        <v>5299</v>
      </c>
      <c r="N1613" s="290"/>
      <c r="O1613" s="276"/>
      <c r="P1613" s="276"/>
      <c r="Q1613" s="276"/>
      <c r="R1613" s="278"/>
      <c r="S1613" s="278"/>
      <c r="T1613" s="278"/>
      <c r="U1613" s="279"/>
      <c r="V1613" s="279" t="s">
        <v>1824</v>
      </c>
      <c r="W1613" s="280">
        <v>44470.0</v>
      </c>
      <c r="X1613" s="281">
        <v>0.0020833333333333333</v>
      </c>
      <c r="Y1613" s="279" t="s">
        <v>1693</v>
      </c>
      <c r="Z1613" s="282" t="s">
        <v>53</v>
      </c>
      <c r="AA1613" s="282">
        <v>6736628.0</v>
      </c>
      <c r="AB1613" s="283">
        <v>44473.0</v>
      </c>
      <c r="AC1613" s="284"/>
      <c r="AD1613" s="284"/>
    </row>
    <row r="1614" ht="14.25" customHeight="1">
      <c r="A1614" s="265">
        <v>44459.0</v>
      </c>
      <c r="B1614" s="266" t="s">
        <v>1733</v>
      </c>
      <c r="C1614" s="266" t="s">
        <v>2158</v>
      </c>
      <c r="D1614" s="266" t="s">
        <v>1450</v>
      </c>
      <c r="E1614" s="268"/>
      <c r="F1614" s="286" t="s">
        <v>5300</v>
      </c>
      <c r="G1614" s="268" t="s">
        <v>4787</v>
      </c>
      <c r="H1614" s="270"/>
      <c r="I1614" s="271"/>
      <c r="J1614" s="268"/>
      <c r="K1614" s="271"/>
      <c r="L1614" s="288"/>
      <c r="M1614" s="278" t="s">
        <v>3915</v>
      </c>
      <c r="N1614" s="290"/>
      <c r="O1614" s="276"/>
      <c r="P1614" s="276"/>
      <c r="Q1614" s="276"/>
      <c r="R1614" s="278"/>
      <c r="S1614" s="278"/>
      <c r="T1614" s="278" t="s">
        <v>3915</v>
      </c>
      <c r="U1614" s="279" t="s">
        <v>28</v>
      </c>
      <c r="V1614" s="279" t="s">
        <v>28</v>
      </c>
      <c r="W1614" s="279" t="s">
        <v>28</v>
      </c>
      <c r="X1614" s="279" t="s">
        <v>28</v>
      </c>
      <c r="Y1614" s="279" t="s">
        <v>28</v>
      </c>
      <c r="Z1614" s="282" t="s">
        <v>28</v>
      </c>
      <c r="AA1614" s="282" t="s">
        <v>28</v>
      </c>
      <c r="AB1614" s="283" t="s">
        <v>28</v>
      </c>
      <c r="AC1614" s="284"/>
      <c r="AD1614" s="284"/>
    </row>
    <row r="1615" ht="14.25" customHeight="1">
      <c r="A1615" s="265">
        <v>44459.0</v>
      </c>
      <c r="B1615" s="266" t="s">
        <v>1733</v>
      </c>
      <c r="C1615" s="266"/>
      <c r="D1615" s="266" t="s">
        <v>1450</v>
      </c>
      <c r="E1615" s="268"/>
      <c r="F1615" s="358" t="s">
        <v>5301</v>
      </c>
      <c r="G1615" s="268" t="s">
        <v>2085</v>
      </c>
      <c r="H1615" s="270">
        <v>0.09753472222222222</v>
      </c>
      <c r="I1615" s="271">
        <v>44459.558333333334</v>
      </c>
      <c r="J1615" s="268"/>
      <c r="K1615" s="271">
        <v>44459.602476851855</v>
      </c>
      <c r="L1615" s="288" t="str">
        <f t="shared" ref="L1615:L1618" si="92">IFERROR(IF(OR(I1615="",K1615=""),"",K1615-I1615),"")</f>
        <v>1:03:34 AM</v>
      </c>
      <c r="M1615" s="278"/>
      <c r="N1615" s="290"/>
      <c r="O1615" s="276"/>
      <c r="P1615" s="276"/>
      <c r="Q1615" s="276"/>
      <c r="R1615" s="278"/>
      <c r="S1615" s="278"/>
      <c r="T1615" s="278"/>
      <c r="U1615" s="279"/>
      <c r="V1615" s="279" t="s">
        <v>1733</v>
      </c>
      <c r="W1615" s="280">
        <v>44460.0</v>
      </c>
      <c r="X1615" s="281">
        <v>0.2916666666666667</v>
      </c>
      <c r="Y1615" s="279" t="s">
        <v>1693</v>
      </c>
      <c r="Z1615" s="282" t="s">
        <v>53</v>
      </c>
      <c r="AA1615" s="282" t="s">
        <v>5301</v>
      </c>
      <c r="AB1615" s="283">
        <v>44460.0</v>
      </c>
      <c r="AC1615" s="284"/>
      <c r="AD1615" s="284"/>
    </row>
    <row r="1616" ht="14.25" customHeight="1">
      <c r="A1616" s="265">
        <v>44459.0</v>
      </c>
      <c r="B1616" s="266" t="s">
        <v>1824</v>
      </c>
      <c r="C1616" s="266"/>
      <c r="D1616" s="266" t="s">
        <v>1452</v>
      </c>
      <c r="E1616" s="268"/>
      <c r="F1616" s="358" t="s">
        <v>5302</v>
      </c>
      <c r="G1616" s="268" t="s">
        <v>2085</v>
      </c>
      <c r="H1616" s="270">
        <v>0.002847222222222222</v>
      </c>
      <c r="I1616" s="271">
        <v>44459.5</v>
      </c>
      <c r="J1616" s="268"/>
      <c r="K1616" s="268"/>
      <c r="L1616" s="288" t="str">
        <f t="shared" si="92"/>
        <v/>
      </c>
      <c r="M1616" s="278"/>
      <c r="N1616" s="290"/>
      <c r="O1616" s="276"/>
      <c r="P1616" s="276"/>
      <c r="Q1616" s="276"/>
      <c r="R1616" s="278"/>
      <c r="S1616" s="278"/>
      <c r="T1616" s="278"/>
      <c r="U1616" s="279"/>
      <c r="V1616" s="279" t="s">
        <v>1824</v>
      </c>
      <c r="W1616" s="280">
        <v>44459.0</v>
      </c>
      <c r="X1616" s="281">
        <v>0.006944444444444444</v>
      </c>
      <c r="Y1616" s="279" t="s">
        <v>1693</v>
      </c>
      <c r="Z1616" s="282" t="s">
        <v>53</v>
      </c>
      <c r="AA1616" s="282" t="s">
        <v>5302</v>
      </c>
      <c r="AB1616" s="283">
        <v>44460.0</v>
      </c>
      <c r="AC1616" s="284"/>
      <c r="AD1616" s="284"/>
    </row>
    <row r="1617" ht="14.25" customHeight="1">
      <c r="A1617" s="265">
        <v>44459.0</v>
      </c>
      <c r="B1617" s="266" t="s">
        <v>1685</v>
      </c>
      <c r="C1617" s="266"/>
      <c r="D1617" s="266" t="s">
        <v>1686</v>
      </c>
      <c r="E1617" s="268"/>
      <c r="F1617" s="358" t="s">
        <v>5303</v>
      </c>
      <c r="G1617" s="268" t="s">
        <v>2085</v>
      </c>
      <c r="H1617" s="270">
        <v>0.03729166666666667</v>
      </c>
      <c r="I1617" s="271">
        <v>44459.73888888889</v>
      </c>
      <c r="J1617" s="268"/>
      <c r="K1617" s="271">
        <v>44460.69737268519</v>
      </c>
      <c r="L1617" s="288" t="str">
        <f t="shared" si="92"/>
        <v>11:00:13 PM</v>
      </c>
      <c r="M1617" s="278"/>
      <c r="N1617" s="290"/>
      <c r="O1617" s="276"/>
      <c r="P1617" s="276"/>
      <c r="Q1617" s="276"/>
      <c r="R1617" s="278"/>
      <c r="S1617" s="278"/>
      <c r="T1617" s="278"/>
      <c r="U1617" s="279"/>
      <c r="V1617" s="279" t="s">
        <v>1685</v>
      </c>
      <c r="W1617" s="280">
        <v>44460.0</v>
      </c>
      <c r="X1617" s="281">
        <v>0.125</v>
      </c>
      <c r="Y1617" s="279" t="s">
        <v>1693</v>
      </c>
      <c r="Z1617" s="282" t="s">
        <v>53</v>
      </c>
      <c r="AA1617" s="282" t="s">
        <v>5303</v>
      </c>
      <c r="AB1617" s="283">
        <v>44460.0</v>
      </c>
      <c r="AC1617" s="284"/>
      <c r="AD1617" s="284"/>
    </row>
    <row r="1618" ht="14.25" customHeight="1">
      <c r="A1618" s="265">
        <v>44459.0</v>
      </c>
      <c r="B1618" s="267" t="s">
        <v>1746</v>
      </c>
      <c r="C1618" s="266"/>
      <c r="D1618" s="266" t="s">
        <v>1455</v>
      </c>
      <c r="E1618" s="268"/>
      <c r="F1618" s="358" t="s">
        <v>5304</v>
      </c>
      <c r="G1618" s="268" t="s">
        <v>2085</v>
      </c>
      <c r="H1618" s="270">
        <v>0.01990740740740741</v>
      </c>
      <c r="I1618" s="271">
        <v>44460.024305555555</v>
      </c>
      <c r="J1618" s="268"/>
      <c r="K1618" s="271">
        <v>44460.03958333333</v>
      </c>
      <c r="L1618" s="288" t="str">
        <f t="shared" si="92"/>
        <v>12:22:00 AM</v>
      </c>
      <c r="M1618" s="278"/>
      <c r="N1618" s="290"/>
      <c r="O1618" s="276"/>
      <c r="P1618" s="276"/>
      <c r="Q1618" s="276"/>
      <c r="R1618" s="278"/>
      <c r="S1618" s="278"/>
      <c r="T1618" s="278"/>
      <c r="U1618" s="279"/>
      <c r="V1618" s="279" t="s">
        <v>1824</v>
      </c>
      <c r="W1618" s="280">
        <v>44460.0</v>
      </c>
      <c r="X1618" s="281">
        <v>0.08333333333333333</v>
      </c>
      <c r="Y1618" s="279" t="s">
        <v>1693</v>
      </c>
      <c r="Z1618" s="282" t="s">
        <v>53</v>
      </c>
      <c r="AA1618" s="282" t="s">
        <v>5304</v>
      </c>
      <c r="AB1618" s="283">
        <v>44460.0</v>
      </c>
      <c r="AC1618" s="284"/>
      <c r="AD1618" s="284"/>
    </row>
    <row r="1619" ht="14.25" customHeight="1">
      <c r="A1619" s="265">
        <v>44460.0</v>
      </c>
      <c r="B1619" s="267" t="s">
        <v>2030</v>
      </c>
      <c r="C1619" s="266" t="s">
        <v>2083</v>
      </c>
      <c r="D1619" s="266" t="s">
        <v>1543</v>
      </c>
      <c r="E1619" s="268"/>
      <c r="F1619" s="269" t="s">
        <v>5305</v>
      </c>
      <c r="G1619" s="268" t="s">
        <v>1463</v>
      </c>
      <c r="H1619" s="270">
        <v>4.976851851851852E-4</v>
      </c>
      <c r="I1619" s="271">
        <v>44467.43958333333</v>
      </c>
      <c r="J1619" s="268"/>
      <c r="K1619" s="271">
        <v>44467.441666666666</v>
      </c>
      <c r="L1619" s="288"/>
      <c r="M1619" s="278" t="s">
        <v>5306</v>
      </c>
      <c r="N1619" s="290"/>
      <c r="O1619" s="276"/>
      <c r="P1619" s="276"/>
      <c r="Q1619" s="276"/>
      <c r="R1619" s="278"/>
      <c r="S1619" s="278"/>
      <c r="T1619" s="278"/>
      <c r="U1619" s="279"/>
      <c r="V1619" s="279" t="s">
        <v>1824</v>
      </c>
      <c r="W1619" s="280">
        <v>44469.0</v>
      </c>
      <c r="X1619" s="281">
        <v>0.0062499999999999995</v>
      </c>
      <c r="Y1619" s="279" t="s">
        <v>1693</v>
      </c>
      <c r="Z1619" s="282" t="s">
        <v>53</v>
      </c>
      <c r="AA1619" s="282">
        <v>6711055.0</v>
      </c>
      <c r="AB1619" s="283">
        <v>44469.0</v>
      </c>
      <c r="AC1619" s="284"/>
      <c r="AD1619" s="284"/>
    </row>
    <row r="1620" ht="14.25" customHeight="1">
      <c r="A1620" s="265">
        <v>44460.0</v>
      </c>
      <c r="B1620" s="267" t="s">
        <v>1500</v>
      </c>
      <c r="C1620" s="266" t="s">
        <v>1450</v>
      </c>
      <c r="D1620" s="266" t="s">
        <v>1543</v>
      </c>
      <c r="E1620" s="268"/>
      <c r="F1620" s="269" t="s">
        <v>5307</v>
      </c>
      <c r="G1620" s="268" t="s">
        <v>1463</v>
      </c>
      <c r="H1620" s="270">
        <v>0.0020370370370370373</v>
      </c>
      <c r="I1620" s="271">
        <v>44470.72152777778</v>
      </c>
      <c r="J1620" s="268"/>
      <c r="K1620" s="271">
        <v>44471.06025462963</v>
      </c>
      <c r="L1620" s="288"/>
      <c r="M1620" s="278" t="s">
        <v>5308</v>
      </c>
      <c r="N1620" s="290"/>
      <c r="O1620" s="276"/>
      <c r="P1620" s="276"/>
      <c r="Q1620" s="276"/>
      <c r="R1620" s="278"/>
      <c r="S1620" s="278"/>
      <c r="T1620" s="278"/>
      <c r="U1620" s="279"/>
      <c r="V1620" s="279" t="s">
        <v>1824</v>
      </c>
      <c r="W1620" s="280">
        <v>44474.0</v>
      </c>
      <c r="X1620" s="281">
        <v>0.004166666666666667</v>
      </c>
      <c r="Y1620" s="279" t="s">
        <v>1693</v>
      </c>
      <c r="Z1620" s="282" t="s">
        <v>53</v>
      </c>
      <c r="AA1620" s="282">
        <v>6736630.0</v>
      </c>
      <c r="AB1620" s="283">
        <v>44473.0</v>
      </c>
      <c r="AC1620" s="284"/>
      <c r="AD1620" s="284"/>
    </row>
    <row r="1621" ht="14.25" customHeight="1">
      <c r="A1621" s="265">
        <v>44460.0</v>
      </c>
      <c r="B1621" s="266" t="s">
        <v>1824</v>
      </c>
      <c r="C1621" s="266"/>
      <c r="D1621" s="266" t="s">
        <v>1452</v>
      </c>
      <c r="E1621" s="268"/>
      <c r="F1621" s="291" t="s">
        <v>4036</v>
      </c>
      <c r="G1621" s="268" t="s">
        <v>28</v>
      </c>
      <c r="H1621" s="268" t="s">
        <v>28</v>
      </c>
      <c r="I1621" s="268" t="s">
        <v>28</v>
      </c>
      <c r="J1621" s="268"/>
      <c r="K1621" s="268" t="s">
        <v>28</v>
      </c>
      <c r="L1621" s="288" t="str">
        <f>IFERROR(IF(OR(I1621="",K1621=""),"",K1621-I1621),"")</f>
        <v/>
      </c>
      <c r="M1621" s="278" t="s">
        <v>3915</v>
      </c>
      <c r="N1621" s="290"/>
      <c r="O1621" s="276"/>
      <c r="P1621" s="276"/>
      <c r="Q1621" s="276"/>
      <c r="R1621" s="278"/>
      <c r="S1621" s="278"/>
      <c r="T1621" s="278" t="s">
        <v>3915</v>
      </c>
      <c r="U1621" s="279"/>
      <c r="V1621" s="279" t="s">
        <v>28</v>
      </c>
      <c r="W1621" s="279" t="s">
        <v>28</v>
      </c>
      <c r="X1621" s="279" t="s">
        <v>28</v>
      </c>
      <c r="Y1621" s="279" t="s">
        <v>28</v>
      </c>
      <c r="Z1621" s="282" t="s">
        <v>28</v>
      </c>
      <c r="AA1621" s="282" t="s">
        <v>28</v>
      </c>
      <c r="AB1621" s="282" t="s">
        <v>28</v>
      </c>
      <c r="AC1621" s="284"/>
      <c r="AD1621" s="284"/>
    </row>
    <row r="1622" ht="14.25" customHeight="1">
      <c r="A1622" s="265">
        <v>44460.0</v>
      </c>
      <c r="B1622" s="267" t="s">
        <v>1824</v>
      </c>
      <c r="C1622" s="266" t="s">
        <v>3472</v>
      </c>
      <c r="D1622" s="266" t="s">
        <v>1455</v>
      </c>
      <c r="E1622" s="268"/>
      <c r="F1622" s="286" t="s">
        <v>5309</v>
      </c>
      <c r="G1622" s="268" t="s">
        <v>4787</v>
      </c>
      <c r="H1622" s="270"/>
      <c r="I1622" s="271"/>
      <c r="J1622" s="268"/>
      <c r="K1622" s="271"/>
      <c r="L1622" s="288"/>
      <c r="M1622" s="278" t="s">
        <v>3915</v>
      </c>
      <c r="N1622" s="290"/>
      <c r="O1622" s="276"/>
      <c r="P1622" s="276"/>
      <c r="Q1622" s="276"/>
      <c r="R1622" s="278"/>
      <c r="S1622" s="278"/>
      <c r="T1622" s="278" t="s">
        <v>3915</v>
      </c>
      <c r="U1622" s="279"/>
      <c r="V1622" s="279" t="s">
        <v>28</v>
      </c>
      <c r="W1622" s="280" t="s">
        <v>28</v>
      </c>
      <c r="X1622" s="281" t="s">
        <v>28</v>
      </c>
      <c r="Y1622" s="279" t="s">
        <v>28</v>
      </c>
      <c r="Z1622" s="282" t="s">
        <v>28</v>
      </c>
      <c r="AA1622" s="282" t="s">
        <v>28</v>
      </c>
      <c r="AB1622" s="283" t="s">
        <v>28</v>
      </c>
      <c r="AC1622" s="284"/>
      <c r="AD1622" s="284"/>
    </row>
    <row r="1623" ht="14.25" customHeight="1">
      <c r="A1623" s="265">
        <v>44460.0</v>
      </c>
      <c r="B1623" s="266" t="s">
        <v>1733</v>
      </c>
      <c r="C1623" s="266"/>
      <c r="D1623" s="266" t="s">
        <v>1450</v>
      </c>
      <c r="E1623" s="268"/>
      <c r="F1623" s="358" t="s">
        <v>5310</v>
      </c>
      <c r="G1623" s="268" t="s">
        <v>2085</v>
      </c>
      <c r="H1623" s="270">
        <v>0.09737268518518517</v>
      </c>
      <c r="I1623" s="271">
        <v>44460.46875</v>
      </c>
      <c r="J1623" s="268"/>
      <c r="K1623" s="271">
        <v>44460.54173611111</v>
      </c>
      <c r="L1623" s="288" t="str">
        <f t="shared" ref="L1623:L1625" si="93">IFERROR(IF(OR(I1623="",K1623=""),"",K1623-I1623),"")</f>
        <v>1:45:06 AM</v>
      </c>
      <c r="M1623" s="278"/>
      <c r="N1623" s="290"/>
      <c r="O1623" s="276"/>
      <c r="P1623" s="276"/>
      <c r="Q1623" s="276"/>
      <c r="R1623" s="278"/>
      <c r="S1623" s="278"/>
      <c r="T1623" s="278"/>
      <c r="U1623" s="279"/>
      <c r="V1623" s="279" t="s">
        <v>1733</v>
      </c>
      <c r="W1623" s="280">
        <v>44461.0</v>
      </c>
      <c r="X1623" s="281">
        <v>0.2916666666666667</v>
      </c>
      <c r="Y1623" s="279" t="s">
        <v>1693</v>
      </c>
      <c r="Z1623" s="282" t="s">
        <v>53</v>
      </c>
      <c r="AA1623" s="282" t="s">
        <v>5310</v>
      </c>
      <c r="AB1623" s="283">
        <v>44462.0</v>
      </c>
      <c r="AC1623" s="284"/>
      <c r="AD1623" s="284"/>
    </row>
    <row r="1624" ht="14.25" customHeight="1">
      <c r="A1624" s="265">
        <v>44460.0</v>
      </c>
      <c r="B1624" s="266" t="s">
        <v>1685</v>
      </c>
      <c r="C1624" s="266"/>
      <c r="D1624" s="266" t="s">
        <v>1686</v>
      </c>
      <c r="E1624" s="268"/>
      <c r="F1624" s="358" t="s">
        <v>5311</v>
      </c>
      <c r="G1624" s="268" t="s">
        <v>2085</v>
      </c>
      <c r="H1624" s="270">
        <v>0.037071759259259256</v>
      </c>
      <c r="I1624" s="271">
        <v>44460.58888888889</v>
      </c>
      <c r="J1624" s="268"/>
      <c r="K1624" s="271">
        <v>44461.584189814814</v>
      </c>
      <c r="L1624" s="288" t="str">
        <f t="shared" si="93"/>
        <v>11:53:14 PM</v>
      </c>
      <c r="M1624" s="278"/>
      <c r="N1624" s="290"/>
      <c r="O1624" s="276"/>
      <c r="P1624" s="276"/>
      <c r="Q1624" s="276"/>
      <c r="R1624" s="278"/>
      <c r="S1624" s="278"/>
      <c r="T1624" s="278"/>
      <c r="U1624" s="279"/>
      <c r="V1624" s="279" t="s">
        <v>1685</v>
      </c>
      <c r="W1624" s="280">
        <v>44461.0</v>
      </c>
      <c r="X1624" s="281">
        <v>0.125</v>
      </c>
      <c r="Y1624" s="279" t="s">
        <v>1693</v>
      </c>
      <c r="Z1624" s="282" t="s">
        <v>53</v>
      </c>
      <c r="AA1624" s="282" t="s">
        <v>5311</v>
      </c>
      <c r="AB1624" s="283">
        <v>44462.0</v>
      </c>
      <c r="AC1624" s="284"/>
      <c r="AD1624" s="284"/>
    </row>
    <row r="1625" ht="14.25" customHeight="1">
      <c r="A1625" s="265">
        <v>44460.0</v>
      </c>
      <c r="B1625" s="267" t="s">
        <v>1746</v>
      </c>
      <c r="C1625" s="266"/>
      <c r="D1625" s="266" t="s">
        <v>1455</v>
      </c>
      <c r="E1625" s="268"/>
      <c r="F1625" s="358" t="s">
        <v>5312</v>
      </c>
      <c r="G1625" s="268" t="s">
        <v>2085</v>
      </c>
      <c r="H1625" s="270">
        <v>0.02034722222222222</v>
      </c>
      <c r="I1625" s="271">
        <v>44461.041666666664</v>
      </c>
      <c r="J1625" s="268"/>
      <c r="K1625" s="271">
        <v>44461.06736111111</v>
      </c>
      <c r="L1625" s="288" t="str">
        <f t="shared" si="93"/>
        <v>12:37:00 AM</v>
      </c>
      <c r="M1625" s="278"/>
      <c r="N1625" s="290"/>
      <c r="O1625" s="276"/>
      <c r="P1625" s="276"/>
      <c r="Q1625" s="276"/>
      <c r="R1625" s="278"/>
      <c r="S1625" s="278"/>
      <c r="T1625" s="278"/>
      <c r="U1625" s="279"/>
      <c r="V1625" s="279" t="s">
        <v>1824</v>
      </c>
      <c r="W1625" s="280">
        <v>44461.0</v>
      </c>
      <c r="X1625" s="281">
        <v>0.08333333333333333</v>
      </c>
      <c r="Y1625" s="279" t="s">
        <v>1693</v>
      </c>
      <c r="Z1625" s="282" t="s">
        <v>53</v>
      </c>
      <c r="AA1625" s="282" t="s">
        <v>5312</v>
      </c>
      <c r="AB1625" s="283">
        <v>44462.0</v>
      </c>
      <c r="AC1625" s="284"/>
      <c r="AD1625" s="284"/>
    </row>
    <row r="1626" ht="14.25" customHeight="1">
      <c r="A1626" s="265">
        <v>44461.0</v>
      </c>
      <c r="B1626" s="267" t="s">
        <v>1500</v>
      </c>
      <c r="C1626" s="266" t="s">
        <v>1455</v>
      </c>
      <c r="D1626" s="266" t="s">
        <v>1543</v>
      </c>
      <c r="E1626" s="268"/>
      <c r="F1626" s="269" t="s">
        <v>5313</v>
      </c>
      <c r="G1626" s="268" t="s">
        <v>1463</v>
      </c>
      <c r="H1626" s="270">
        <v>0.002372685185185185</v>
      </c>
      <c r="I1626" s="271">
        <v>44467.64444444444</v>
      </c>
      <c r="J1626" s="268"/>
      <c r="K1626" s="271">
        <v>44468.01590277778</v>
      </c>
      <c r="L1626" s="288"/>
      <c r="M1626" s="278" t="s">
        <v>5314</v>
      </c>
      <c r="N1626" s="290"/>
      <c r="O1626" s="276"/>
      <c r="P1626" s="276"/>
      <c r="Q1626" s="276"/>
      <c r="R1626" s="278"/>
      <c r="S1626" s="278"/>
      <c r="T1626" s="278"/>
      <c r="U1626" s="279"/>
      <c r="V1626" s="279" t="s">
        <v>1824</v>
      </c>
      <c r="W1626" s="280">
        <v>44473.0</v>
      </c>
      <c r="X1626" s="281">
        <v>0.004166666666666667</v>
      </c>
      <c r="Y1626" s="279" t="s">
        <v>1693</v>
      </c>
      <c r="Z1626" s="282" t="s">
        <v>53</v>
      </c>
      <c r="AA1626" s="282">
        <v>6715718.0</v>
      </c>
      <c r="AB1626" s="283">
        <v>44469.0</v>
      </c>
      <c r="AC1626" s="284"/>
      <c r="AD1626" s="284"/>
    </row>
    <row r="1627" ht="14.25" customHeight="1">
      <c r="A1627" s="265">
        <v>44461.0</v>
      </c>
      <c r="B1627" s="266" t="s">
        <v>1500</v>
      </c>
      <c r="C1627" s="266" t="s">
        <v>2756</v>
      </c>
      <c r="D1627" s="266" t="s">
        <v>1543</v>
      </c>
      <c r="E1627" s="378"/>
      <c r="F1627" s="429" t="s">
        <v>5315</v>
      </c>
      <c r="G1627" s="268" t="s">
        <v>1463</v>
      </c>
      <c r="H1627" s="268"/>
      <c r="I1627" s="271">
        <v>44537.40939814815</v>
      </c>
      <c r="J1627" s="268"/>
      <c r="K1627" s="271">
        <v>44537.46805555555</v>
      </c>
      <c r="L1627" s="288"/>
      <c r="M1627" s="278" t="s">
        <v>2758</v>
      </c>
      <c r="N1627" s="290"/>
      <c r="O1627" s="276"/>
      <c r="P1627" s="276"/>
      <c r="Q1627" s="276"/>
      <c r="R1627" s="278"/>
      <c r="S1627" s="278"/>
      <c r="T1627" s="278"/>
      <c r="U1627" s="279"/>
      <c r="V1627" s="279" t="s">
        <v>1824</v>
      </c>
      <c r="W1627" s="280">
        <v>44568.0</v>
      </c>
      <c r="X1627" s="281">
        <v>0.013888888888888888</v>
      </c>
      <c r="Y1627" s="279" t="s">
        <v>1693</v>
      </c>
      <c r="Z1627" s="282"/>
      <c r="AA1627" s="379">
        <v>7149627.0</v>
      </c>
      <c r="AB1627" s="380">
        <v>44537.468506944446</v>
      </c>
      <c r="AC1627" s="284"/>
      <c r="AD1627" s="284"/>
    </row>
    <row r="1628" ht="14.25" customHeight="1">
      <c r="A1628" s="265">
        <v>44461.0</v>
      </c>
      <c r="B1628" s="266" t="s">
        <v>1500</v>
      </c>
      <c r="C1628" s="266" t="s">
        <v>2756</v>
      </c>
      <c r="D1628" s="266" t="s">
        <v>1543</v>
      </c>
      <c r="E1628" s="378"/>
      <c r="F1628" s="429" t="s">
        <v>5316</v>
      </c>
      <c r="G1628" s="268" t="s">
        <v>1463</v>
      </c>
      <c r="H1628" s="270">
        <v>0.004664351851851852</v>
      </c>
      <c r="I1628" s="271">
        <v>44537.40939814815</v>
      </c>
      <c r="J1628" s="268"/>
      <c r="K1628" s="271">
        <v>44537.46805555555</v>
      </c>
      <c r="L1628" s="288"/>
      <c r="M1628" s="278" t="s">
        <v>2758</v>
      </c>
      <c r="N1628" s="290"/>
      <c r="O1628" s="276"/>
      <c r="P1628" s="276"/>
      <c r="Q1628" s="276"/>
      <c r="R1628" s="278"/>
      <c r="S1628" s="278"/>
      <c r="T1628" s="278"/>
      <c r="U1628" s="279"/>
      <c r="V1628" s="279" t="s">
        <v>1783</v>
      </c>
      <c r="W1628" s="280">
        <v>44558.0</v>
      </c>
      <c r="X1628" s="281">
        <v>0.010416666666666666</v>
      </c>
      <c r="Y1628" s="279" t="s">
        <v>1693</v>
      </c>
      <c r="Z1628" s="282"/>
      <c r="AA1628" s="379">
        <v>7149629.0</v>
      </c>
      <c r="AB1628" s="380">
        <v>44537.468506944446</v>
      </c>
      <c r="AC1628" s="284"/>
      <c r="AD1628" s="284"/>
    </row>
    <row r="1629" ht="14.25" customHeight="1">
      <c r="A1629" s="265">
        <v>44461.0</v>
      </c>
      <c r="B1629" s="266" t="s">
        <v>1733</v>
      </c>
      <c r="C1629" s="266"/>
      <c r="D1629" s="266" t="s">
        <v>1450</v>
      </c>
      <c r="E1629" s="268"/>
      <c r="F1629" s="358" t="s">
        <v>5317</v>
      </c>
      <c r="G1629" s="268" t="s">
        <v>2085</v>
      </c>
      <c r="H1629" s="270">
        <v>0.09767361111111111</v>
      </c>
      <c r="I1629" s="271">
        <v>44461.48611111111</v>
      </c>
      <c r="J1629" s="268"/>
      <c r="K1629" s="271">
        <v>44461.558391203704</v>
      </c>
      <c r="L1629" s="288" t="str">
        <f t="shared" ref="L1629:L1632" si="94">IFERROR(IF(OR(I1629="",K1629=""),"",K1629-I1629),"")</f>
        <v>1:44:05 AM</v>
      </c>
      <c r="M1629" s="278"/>
      <c r="N1629" s="290"/>
      <c r="O1629" s="276"/>
      <c r="P1629" s="276"/>
      <c r="Q1629" s="276"/>
      <c r="R1629" s="278"/>
      <c r="S1629" s="278"/>
      <c r="T1629" s="278"/>
      <c r="U1629" s="279"/>
      <c r="V1629" s="279" t="s">
        <v>1733</v>
      </c>
      <c r="W1629" s="280">
        <v>44462.0</v>
      </c>
      <c r="X1629" s="281">
        <v>0.2743055555555555</v>
      </c>
      <c r="Y1629" s="279" t="s">
        <v>1693</v>
      </c>
      <c r="Z1629" s="282" t="s">
        <v>53</v>
      </c>
      <c r="AA1629" s="282" t="s">
        <v>5317</v>
      </c>
      <c r="AB1629" s="283">
        <v>44462.0</v>
      </c>
      <c r="AC1629" s="284"/>
      <c r="AD1629" s="284"/>
    </row>
    <row r="1630" ht="14.25" customHeight="1">
      <c r="A1630" s="265">
        <v>44461.0</v>
      </c>
      <c r="B1630" s="266" t="s">
        <v>1824</v>
      </c>
      <c r="C1630" s="266"/>
      <c r="D1630" s="266" t="s">
        <v>1452</v>
      </c>
      <c r="E1630" s="268"/>
      <c r="F1630" s="358" t="s">
        <v>5318</v>
      </c>
      <c r="G1630" s="268" t="s">
        <v>2085</v>
      </c>
      <c r="H1630" s="270">
        <v>0.002800925925925926</v>
      </c>
      <c r="I1630" s="271">
        <v>44461.49722222222</v>
      </c>
      <c r="J1630" s="268"/>
      <c r="K1630" s="268"/>
      <c r="L1630" s="288" t="str">
        <f t="shared" si="94"/>
        <v/>
      </c>
      <c r="M1630" s="278"/>
      <c r="N1630" s="290"/>
      <c r="O1630" s="276"/>
      <c r="P1630" s="276"/>
      <c r="Q1630" s="276"/>
      <c r="R1630" s="278"/>
      <c r="S1630" s="278"/>
      <c r="T1630" s="278"/>
      <c r="U1630" s="279"/>
      <c r="V1630" s="279" t="s">
        <v>1824</v>
      </c>
      <c r="W1630" s="280">
        <v>44461.0</v>
      </c>
      <c r="X1630" s="281">
        <v>0.005555555555555556</v>
      </c>
      <c r="Y1630" s="279" t="s">
        <v>1693</v>
      </c>
      <c r="Z1630" s="282" t="s">
        <v>53</v>
      </c>
      <c r="AA1630" s="282" t="s">
        <v>5318</v>
      </c>
      <c r="AB1630" s="283">
        <v>44462.0</v>
      </c>
      <c r="AC1630" s="284"/>
      <c r="AD1630" s="284"/>
    </row>
    <row r="1631" ht="14.25" customHeight="1">
      <c r="A1631" s="265">
        <v>44461.0</v>
      </c>
      <c r="B1631" s="266" t="s">
        <v>1685</v>
      </c>
      <c r="C1631" s="266"/>
      <c r="D1631" s="266" t="s">
        <v>1686</v>
      </c>
      <c r="E1631" s="268"/>
      <c r="F1631" s="358" t="s">
        <v>5319</v>
      </c>
      <c r="G1631" s="268" t="s">
        <v>2085</v>
      </c>
      <c r="H1631" s="270">
        <v>0.037974537037037036</v>
      </c>
      <c r="I1631" s="271">
        <v>44461.595138888886</v>
      </c>
      <c r="J1631" s="268"/>
      <c r="K1631" s="271">
        <v>44462.66605324074</v>
      </c>
      <c r="L1631" s="288" t="str">
        <f t="shared" si="94"/>
        <v>1:42:07 AM</v>
      </c>
      <c r="M1631" s="278"/>
      <c r="N1631" s="290"/>
      <c r="O1631" s="276"/>
      <c r="P1631" s="276"/>
      <c r="Q1631" s="276"/>
      <c r="R1631" s="278"/>
      <c r="S1631" s="278"/>
      <c r="T1631" s="278"/>
      <c r="U1631" s="279"/>
      <c r="V1631" s="279" t="s">
        <v>1685</v>
      </c>
      <c r="W1631" s="280">
        <v>44462.0</v>
      </c>
      <c r="X1631" s="281">
        <v>0.125</v>
      </c>
      <c r="Y1631" s="279" t="s">
        <v>1693</v>
      </c>
      <c r="Z1631" s="282" t="s">
        <v>53</v>
      </c>
      <c r="AA1631" s="282" t="s">
        <v>5319</v>
      </c>
      <c r="AB1631" s="283">
        <v>44462.0</v>
      </c>
      <c r="AC1631" s="284"/>
      <c r="AD1631" s="284"/>
    </row>
    <row r="1632" ht="14.25" customHeight="1">
      <c r="A1632" s="265">
        <v>44461.0</v>
      </c>
      <c r="B1632" s="267" t="s">
        <v>1746</v>
      </c>
      <c r="C1632" s="266"/>
      <c r="D1632" s="266" t="s">
        <v>1455</v>
      </c>
      <c r="E1632" s="268"/>
      <c r="F1632" s="358" t="s">
        <v>5320</v>
      </c>
      <c r="G1632" s="268" t="s">
        <v>2085</v>
      </c>
      <c r="H1632" s="270">
        <v>0.022129629629629628</v>
      </c>
      <c r="I1632" s="271">
        <v>44461.86319444444</v>
      </c>
      <c r="J1632" s="268"/>
      <c r="K1632" s="271">
        <v>44461.89027777778</v>
      </c>
      <c r="L1632" s="288" t="str">
        <f t="shared" si="94"/>
        <v>12:39:00 AM</v>
      </c>
      <c r="M1632" s="278"/>
      <c r="N1632" s="290"/>
      <c r="O1632" s="276"/>
      <c r="P1632" s="276"/>
      <c r="Q1632" s="276"/>
      <c r="R1632" s="278"/>
      <c r="S1632" s="278"/>
      <c r="T1632" s="278"/>
      <c r="U1632" s="279"/>
      <c r="V1632" s="279" t="s">
        <v>1824</v>
      </c>
      <c r="W1632" s="280">
        <v>44462.0</v>
      </c>
      <c r="X1632" s="281">
        <v>0.08333333333333333</v>
      </c>
      <c r="Y1632" s="279" t="s">
        <v>1693</v>
      </c>
      <c r="Z1632" s="282" t="s">
        <v>53</v>
      </c>
      <c r="AA1632" s="282" t="s">
        <v>5320</v>
      </c>
      <c r="AB1632" s="283">
        <v>44462.0</v>
      </c>
      <c r="AC1632" s="284"/>
      <c r="AD1632" s="284"/>
    </row>
    <row r="1633" ht="14.25" customHeight="1">
      <c r="A1633" s="265">
        <v>44462.0</v>
      </c>
      <c r="B1633" s="267" t="s">
        <v>1500</v>
      </c>
      <c r="C1633" s="266" t="s">
        <v>1455</v>
      </c>
      <c r="D1633" s="266" t="s">
        <v>1543</v>
      </c>
      <c r="E1633" s="268"/>
      <c r="F1633" s="269" t="s">
        <v>5321</v>
      </c>
      <c r="G1633" s="268" t="s">
        <v>1463</v>
      </c>
      <c r="H1633" s="430">
        <v>0.0018171296296296297</v>
      </c>
      <c r="I1633" s="271">
        <v>44467.64444444444</v>
      </c>
      <c r="J1633" s="323"/>
      <c r="K1633" s="320">
        <v>44468.01574074074</v>
      </c>
      <c r="L1633" s="431"/>
      <c r="M1633" s="272" t="s">
        <v>5322</v>
      </c>
      <c r="N1633" s="273"/>
      <c r="O1633" s="276"/>
      <c r="P1633" s="276"/>
      <c r="Q1633" s="276"/>
      <c r="R1633" s="277"/>
      <c r="S1633" s="278"/>
      <c r="T1633" s="278"/>
      <c r="U1633" s="279"/>
      <c r="V1633" s="279" t="s">
        <v>1824</v>
      </c>
      <c r="W1633" s="280">
        <v>44474.0</v>
      </c>
      <c r="X1633" s="281">
        <v>0.003472222222222222</v>
      </c>
      <c r="Y1633" s="279" t="s">
        <v>1693</v>
      </c>
      <c r="Z1633" s="282" t="s">
        <v>53</v>
      </c>
      <c r="AA1633" s="282">
        <v>6715719.0</v>
      </c>
      <c r="AB1633" s="283">
        <v>44469.0</v>
      </c>
      <c r="AC1633" s="284"/>
      <c r="AD1633" s="284"/>
    </row>
    <row r="1634" ht="14.25" customHeight="1">
      <c r="A1634" s="265">
        <v>44462.0</v>
      </c>
      <c r="B1634" s="267" t="s">
        <v>1500</v>
      </c>
      <c r="C1634" s="266" t="s">
        <v>2471</v>
      </c>
      <c r="D1634" s="266" t="s">
        <v>1543</v>
      </c>
      <c r="E1634" s="268"/>
      <c r="F1634" s="269" t="s">
        <v>5323</v>
      </c>
      <c r="G1634" s="268" t="s">
        <v>1463</v>
      </c>
      <c r="H1634" s="430">
        <v>0.002534722222222222</v>
      </c>
      <c r="I1634" s="271">
        <v>44470.44305555556</v>
      </c>
      <c r="J1634" s="323"/>
      <c r="K1634" s="320">
        <v>44470.45893518518</v>
      </c>
      <c r="L1634" s="431"/>
      <c r="M1634" s="272" t="s">
        <v>5324</v>
      </c>
      <c r="N1634" s="273"/>
      <c r="O1634" s="276"/>
      <c r="P1634" s="276"/>
      <c r="Q1634" s="276"/>
      <c r="R1634" s="277"/>
      <c r="S1634" s="278"/>
      <c r="T1634" s="278"/>
      <c r="U1634" s="279"/>
      <c r="V1634" s="279" t="s">
        <v>1824</v>
      </c>
      <c r="W1634" s="280">
        <v>44474.0</v>
      </c>
      <c r="X1634" s="281">
        <v>0.0062499999999999995</v>
      </c>
      <c r="Y1634" s="279" t="s">
        <v>1693</v>
      </c>
      <c r="Z1634" s="282" t="s">
        <v>53</v>
      </c>
      <c r="AA1634" s="282">
        <v>6727868.0</v>
      </c>
      <c r="AB1634" s="283">
        <v>44473.0</v>
      </c>
      <c r="AC1634" s="284"/>
      <c r="AD1634" s="284"/>
    </row>
    <row r="1635" ht="14.25" customHeight="1">
      <c r="A1635" s="265">
        <v>44462.0</v>
      </c>
      <c r="B1635" s="267" t="s">
        <v>1500</v>
      </c>
      <c r="C1635" s="266" t="s">
        <v>1455</v>
      </c>
      <c r="D1635" s="266" t="s">
        <v>1543</v>
      </c>
      <c r="E1635" s="268"/>
      <c r="F1635" s="269" t="s">
        <v>5325</v>
      </c>
      <c r="G1635" s="268" t="s">
        <v>1463</v>
      </c>
      <c r="H1635" s="430">
        <v>0.001990740740740741</v>
      </c>
      <c r="I1635" s="271">
        <v>44467.64444444444</v>
      </c>
      <c r="J1635" s="323"/>
      <c r="K1635" s="320">
        <v>44471.79644675926</v>
      </c>
      <c r="L1635" s="431"/>
      <c r="M1635" s="272" t="s">
        <v>5326</v>
      </c>
      <c r="N1635" s="273"/>
      <c r="O1635" s="276"/>
      <c r="P1635" s="276"/>
      <c r="Q1635" s="276"/>
      <c r="R1635" s="277"/>
      <c r="S1635" s="278"/>
      <c r="T1635" s="278"/>
      <c r="U1635" s="279"/>
      <c r="V1635" s="279" t="s">
        <v>1824</v>
      </c>
      <c r="W1635" s="280">
        <v>44473.0</v>
      </c>
      <c r="X1635" s="281">
        <v>0.004166666666666667</v>
      </c>
      <c r="Y1635" s="279" t="s">
        <v>1693</v>
      </c>
      <c r="Z1635" s="282" t="s">
        <v>53</v>
      </c>
      <c r="AA1635" s="282">
        <v>6736632.0</v>
      </c>
      <c r="AB1635" s="283">
        <v>44473.0</v>
      </c>
      <c r="AC1635" s="284"/>
      <c r="AD1635" s="284"/>
    </row>
    <row r="1636" ht="14.25" customHeight="1">
      <c r="A1636" s="265">
        <v>44462.0</v>
      </c>
      <c r="B1636" s="267" t="s">
        <v>1500</v>
      </c>
      <c r="C1636" s="266" t="s">
        <v>1450</v>
      </c>
      <c r="D1636" s="266" t="s">
        <v>1543</v>
      </c>
      <c r="E1636" s="268"/>
      <c r="F1636" s="269" t="s">
        <v>5327</v>
      </c>
      <c r="G1636" s="268" t="s">
        <v>1463</v>
      </c>
      <c r="H1636" s="430">
        <v>0.0026041666666666665</v>
      </c>
      <c r="I1636" s="271">
        <v>44470.813888888886</v>
      </c>
      <c r="J1636" s="323"/>
      <c r="K1636" s="320">
        <v>44471.784525462965</v>
      </c>
      <c r="L1636" s="431"/>
      <c r="M1636" s="272" t="s">
        <v>5328</v>
      </c>
      <c r="N1636" s="273"/>
      <c r="O1636" s="276"/>
      <c r="P1636" s="276"/>
      <c r="Q1636" s="276"/>
      <c r="R1636" s="277"/>
      <c r="S1636" s="278"/>
      <c r="T1636" s="278"/>
      <c r="U1636" s="279"/>
      <c r="V1636" s="279" t="s">
        <v>1824</v>
      </c>
      <c r="W1636" s="280">
        <v>44475.0</v>
      </c>
      <c r="X1636" s="281">
        <v>0.005555555555555556</v>
      </c>
      <c r="Y1636" s="279" t="s">
        <v>1693</v>
      </c>
      <c r="Z1636" s="282" t="s">
        <v>53</v>
      </c>
      <c r="AA1636" s="282">
        <v>6736633.0</v>
      </c>
      <c r="AB1636" s="283">
        <v>44473.0</v>
      </c>
      <c r="AC1636" s="284"/>
      <c r="AD1636" s="284"/>
    </row>
    <row r="1637" ht="14.25" customHeight="1">
      <c r="A1637" s="265">
        <v>44462.0</v>
      </c>
      <c r="B1637" s="267" t="s">
        <v>1500</v>
      </c>
      <c r="C1637" s="266" t="s">
        <v>1450</v>
      </c>
      <c r="D1637" s="266" t="s">
        <v>1543</v>
      </c>
      <c r="E1637" s="268"/>
      <c r="F1637" s="269" t="s">
        <v>5329</v>
      </c>
      <c r="G1637" s="268" t="s">
        <v>1463</v>
      </c>
      <c r="H1637" s="430">
        <v>0.0035648148148148154</v>
      </c>
      <c r="I1637" s="271">
        <v>44470.813888888886</v>
      </c>
      <c r="J1637" s="323"/>
      <c r="K1637" s="320">
        <v>44471.154502314814</v>
      </c>
      <c r="L1637" s="431"/>
      <c r="M1637" s="272" t="s">
        <v>5330</v>
      </c>
      <c r="N1637" s="273"/>
      <c r="O1637" s="276"/>
      <c r="P1637" s="276"/>
      <c r="Q1637" s="276"/>
      <c r="R1637" s="277"/>
      <c r="S1637" s="278"/>
      <c r="T1637" s="278"/>
      <c r="U1637" s="279"/>
      <c r="V1637" s="279" t="s">
        <v>1824</v>
      </c>
      <c r="W1637" s="280">
        <v>44475.0</v>
      </c>
      <c r="X1637" s="281">
        <v>0.006944444444444444</v>
      </c>
      <c r="Y1637" s="279" t="s">
        <v>1693</v>
      </c>
      <c r="Z1637" s="282" t="s">
        <v>53</v>
      </c>
      <c r="AA1637" s="282">
        <v>6736634.0</v>
      </c>
      <c r="AB1637" s="283">
        <v>44473.0</v>
      </c>
      <c r="AC1637" s="284"/>
      <c r="AD1637" s="284"/>
    </row>
    <row r="1638" ht="14.25" customHeight="1">
      <c r="A1638" s="265">
        <v>44462.0</v>
      </c>
      <c r="B1638" s="267" t="s">
        <v>1824</v>
      </c>
      <c r="C1638" s="266" t="s">
        <v>3472</v>
      </c>
      <c r="D1638" s="266" t="s">
        <v>1455</v>
      </c>
      <c r="E1638" s="268"/>
      <c r="F1638" s="269" t="s">
        <v>5331</v>
      </c>
      <c r="G1638" s="316" t="s">
        <v>1463</v>
      </c>
      <c r="H1638" s="430">
        <v>0.0021759259259259258</v>
      </c>
      <c r="I1638" s="320">
        <v>44468.62569444445</v>
      </c>
      <c r="J1638" s="323"/>
      <c r="K1638" s="320">
        <v>44470.83194444444</v>
      </c>
      <c r="L1638" s="431"/>
      <c r="M1638" s="272" t="s">
        <v>5332</v>
      </c>
      <c r="N1638" s="273"/>
      <c r="O1638" s="276"/>
      <c r="P1638" s="276"/>
      <c r="Q1638" s="276"/>
      <c r="R1638" s="277"/>
      <c r="S1638" s="278"/>
      <c r="T1638" s="278"/>
      <c r="U1638" s="279"/>
      <c r="V1638" s="279" t="s">
        <v>1824</v>
      </c>
      <c r="W1638" s="280">
        <v>44470.0</v>
      </c>
      <c r="X1638" s="281">
        <v>0.001388888888888889</v>
      </c>
      <c r="Y1638" s="279" t="s">
        <v>1693</v>
      </c>
      <c r="Z1638" s="282" t="s">
        <v>53</v>
      </c>
      <c r="AA1638" s="282">
        <v>6742513.0</v>
      </c>
      <c r="AB1638" s="283">
        <v>44474.0</v>
      </c>
      <c r="AC1638" s="284"/>
      <c r="AD1638" s="284"/>
    </row>
    <row r="1639" ht="14.25" customHeight="1">
      <c r="A1639" s="265">
        <v>44462.0</v>
      </c>
      <c r="B1639" s="266" t="s">
        <v>1500</v>
      </c>
      <c r="C1639" s="266" t="s">
        <v>2756</v>
      </c>
      <c r="D1639" s="266" t="s">
        <v>1543</v>
      </c>
      <c r="E1639" s="378"/>
      <c r="F1639" s="269" t="s">
        <v>5333</v>
      </c>
      <c r="G1639" s="268" t="s">
        <v>1463</v>
      </c>
      <c r="H1639" s="268"/>
      <c r="I1639" s="271">
        <v>44537.40939814815</v>
      </c>
      <c r="J1639" s="268"/>
      <c r="K1639" s="271">
        <v>44537.46805555555</v>
      </c>
      <c r="L1639" s="288"/>
      <c r="M1639" s="278" t="s">
        <v>2758</v>
      </c>
      <c r="N1639" s="290"/>
      <c r="O1639" s="276"/>
      <c r="P1639" s="276"/>
      <c r="Q1639" s="276"/>
      <c r="R1639" s="278"/>
      <c r="S1639" s="278"/>
      <c r="T1639" s="278"/>
      <c r="U1639" s="279"/>
      <c r="V1639" s="279" t="s">
        <v>1824</v>
      </c>
      <c r="W1639" s="280">
        <v>44568.0</v>
      </c>
      <c r="X1639" s="281">
        <v>0.003472222222222222</v>
      </c>
      <c r="Y1639" s="279" t="s">
        <v>1693</v>
      </c>
      <c r="Z1639" s="282"/>
      <c r="AA1639" s="379">
        <v>7149632.0</v>
      </c>
      <c r="AB1639" s="380">
        <v>44537.468506944446</v>
      </c>
      <c r="AC1639" s="284"/>
      <c r="AD1639" s="284"/>
    </row>
    <row r="1640" ht="14.25" customHeight="1">
      <c r="A1640" s="265">
        <v>44462.0</v>
      </c>
      <c r="B1640" s="266" t="s">
        <v>1733</v>
      </c>
      <c r="C1640" s="266"/>
      <c r="D1640" s="266" t="s">
        <v>1450</v>
      </c>
      <c r="E1640" s="268"/>
      <c r="F1640" s="358" t="s">
        <v>5334</v>
      </c>
      <c r="G1640" s="268" t="s">
        <v>2085</v>
      </c>
      <c r="H1640" s="270">
        <v>0.09737268518518517</v>
      </c>
      <c r="I1640" s="271">
        <v>44462.48402777778</v>
      </c>
      <c r="J1640" s="268"/>
      <c r="K1640" s="271">
        <v>44462.5546412037</v>
      </c>
      <c r="L1640" s="288" t="str">
        <f t="shared" ref="L1640:L1643" si="95">IFERROR(IF(OR(I1640="",K1640=""),"",K1640-I1640),"")</f>
        <v>1:41:41 AM</v>
      </c>
      <c r="M1640" s="278"/>
      <c r="N1640" s="290"/>
      <c r="O1640" s="276"/>
      <c r="P1640" s="276"/>
      <c r="Q1640" s="276"/>
      <c r="R1640" s="278"/>
      <c r="S1640" s="278"/>
      <c r="T1640" s="278"/>
      <c r="U1640" s="279"/>
      <c r="V1640" s="279" t="s">
        <v>1733</v>
      </c>
      <c r="W1640" s="280">
        <v>44463.0</v>
      </c>
      <c r="X1640" s="281">
        <v>0.2916666666666667</v>
      </c>
      <c r="Y1640" s="279" t="s">
        <v>1693</v>
      </c>
      <c r="Z1640" s="282" t="s">
        <v>53</v>
      </c>
      <c r="AA1640" s="282" t="s">
        <v>5334</v>
      </c>
      <c r="AB1640" s="283">
        <v>44463.0</v>
      </c>
      <c r="AC1640" s="284"/>
      <c r="AD1640" s="284"/>
    </row>
    <row r="1641" ht="14.25" customHeight="1">
      <c r="A1641" s="265">
        <v>44462.0</v>
      </c>
      <c r="B1641" s="266" t="s">
        <v>1824</v>
      </c>
      <c r="C1641" s="266"/>
      <c r="D1641" s="266" t="s">
        <v>1452</v>
      </c>
      <c r="E1641" s="268"/>
      <c r="F1641" s="358" t="s">
        <v>5335</v>
      </c>
      <c r="G1641" s="268" t="s">
        <v>2085</v>
      </c>
      <c r="H1641" s="288">
        <v>0.0013541666666666667</v>
      </c>
      <c r="I1641" s="271">
        <v>44462.64166666667</v>
      </c>
      <c r="J1641" s="268"/>
      <c r="K1641" s="268"/>
      <c r="L1641" s="288" t="str">
        <f t="shared" si="95"/>
        <v/>
      </c>
      <c r="M1641" s="307" t="s">
        <v>2808</v>
      </c>
      <c r="N1641" s="273">
        <v>44463.70138888889</v>
      </c>
      <c r="O1641" s="276" t="s">
        <v>5336</v>
      </c>
      <c r="P1641" s="276" t="s">
        <v>1463</v>
      </c>
      <c r="Q1641" s="276" t="s">
        <v>1819</v>
      </c>
      <c r="R1641" s="278"/>
      <c r="S1641" s="278"/>
      <c r="T1641" s="278" t="s">
        <v>5337</v>
      </c>
      <c r="U1641" s="279"/>
      <c r="V1641" s="279" t="s">
        <v>1824</v>
      </c>
      <c r="W1641" s="280">
        <v>44466.0</v>
      </c>
      <c r="X1641" s="281">
        <v>0.006944444444444444</v>
      </c>
      <c r="Y1641" s="279" t="s">
        <v>1693</v>
      </c>
      <c r="Z1641" s="282" t="s">
        <v>53</v>
      </c>
      <c r="AA1641" s="282" t="s">
        <v>5335</v>
      </c>
      <c r="AB1641" s="283">
        <v>44465.0</v>
      </c>
      <c r="AC1641" s="284"/>
      <c r="AD1641" s="284"/>
    </row>
    <row r="1642" ht="14.25" customHeight="1">
      <c r="A1642" s="265">
        <v>44462.0</v>
      </c>
      <c r="B1642" s="266" t="s">
        <v>1685</v>
      </c>
      <c r="C1642" s="266"/>
      <c r="D1642" s="266" t="s">
        <v>1686</v>
      </c>
      <c r="E1642" s="268"/>
      <c r="F1642" s="358" t="s">
        <v>5338</v>
      </c>
      <c r="G1642" s="268" t="s">
        <v>2085</v>
      </c>
      <c r="H1642" s="288">
        <v>0.03136574074074074</v>
      </c>
      <c r="I1642" s="271">
        <v>44462.625</v>
      </c>
      <c r="J1642" s="268"/>
      <c r="K1642" s="271">
        <v>44462.65761574074</v>
      </c>
      <c r="L1642" s="288" t="str">
        <f t="shared" si="95"/>
        <v>12:46:58 AM</v>
      </c>
      <c r="M1642" s="278"/>
      <c r="N1642" s="290"/>
      <c r="O1642" s="276"/>
      <c r="P1642" s="276"/>
      <c r="Q1642" s="276"/>
      <c r="R1642" s="278"/>
      <c r="S1642" s="278"/>
      <c r="T1642" s="278"/>
      <c r="U1642" s="279"/>
      <c r="V1642" s="279" t="s">
        <v>1685</v>
      </c>
      <c r="W1642" s="280">
        <v>44463.0</v>
      </c>
      <c r="X1642" s="281">
        <v>0.125</v>
      </c>
      <c r="Y1642" s="279" t="s">
        <v>1693</v>
      </c>
      <c r="Z1642" s="282" t="s">
        <v>53</v>
      </c>
      <c r="AA1642" s="282" t="s">
        <v>5338</v>
      </c>
      <c r="AB1642" s="283">
        <v>44463.0</v>
      </c>
      <c r="AC1642" s="284"/>
      <c r="AD1642" s="284"/>
    </row>
    <row r="1643" ht="14.25" customHeight="1">
      <c r="A1643" s="265">
        <v>44462.0</v>
      </c>
      <c r="B1643" s="267" t="s">
        <v>1746</v>
      </c>
      <c r="C1643" s="266"/>
      <c r="D1643" s="266" t="s">
        <v>1455</v>
      </c>
      <c r="E1643" s="268"/>
      <c r="F1643" s="358" t="s">
        <v>5339</v>
      </c>
      <c r="G1643" s="316" t="s">
        <v>2085</v>
      </c>
      <c r="H1643" s="430">
        <v>0.019490740740740743</v>
      </c>
      <c r="I1643" s="320">
        <v>44462.98402777778</v>
      </c>
      <c r="J1643" s="323"/>
      <c r="K1643" s="323"/>
      <c r="L1643" s="431" t="str">
        <f t="shared" si="95"/>
        <v/>
      </c>
      <c r="M1643" s="307" t="s">
        <v>2808</v>
      </c>
      <c r="N1643" s="273">
        <v>44463.33472222222</v>
      </c>
      <c r="O1643" s="276" t="s">
        <v>5340</v>
      </c>
      <c r="P1643" s="276" t="s">
        <v>1463</v>
      </c>
      <c r="Q1643" s="276" t="s">
        <v>1819</v>
      </c>
      <c r="R1643" s="277">
        <v>44463.40325231481</v>
      </c>
      <c r="S1643" s="278"/>
      <c r="T1643" s="278" t="s">
        <v>5341</v>
      </c>
      <c r="U1643" s="279"/>
      <c r="V1643" s="279" t="s">
        <v>1824</v>
      </c>
      <c r="W1643" s="280">
        <v>44463.0</v>
      </c>
      <c r="X1643" s="281">
        <v>0.0763888888888889</v>
      </c>
      <c r="Y1643" s="279" t="s">
        <v>1693</v>
      </c>
      <c r="Z1643" s="282" t="s">
        <v>53</v>
      </c>
      <c r="AA1643" s="282" t="s">
        <v>5339</v>
      </c>
      <c r="AB1643" s="283">
        <v>44464.0</v>
      </c>
      <c r="AC1643" s="284"/>
      <c r="AD1643" s="284"/>
    </row>
    <row r="1644" ht="14.25" customHeight="1">
      <c r="A1644" s="265">
        <v>44463.0</v>
      </c>
      <c r="B1644" s="266" t="s">
        <v>2030</v>
      </c>
      <c r="C1644" s="266" t="s">
        <v>1450</v>
      </c>
      <c r="D1644" s="266" t="s">
        <v>1543</v>
      </c>
      <c r="E1644" s="409"/>
      <c r="F1644" s="269" t="s">
        <v>5342</v>
      </c>
      <c r="G1644" s="268" t="s">
        <v>1463</v>
      </c>
      <c r="H1644" s="288">
        <v>0.0035648148148148154</v>
      </c>
      <c r="I1644" s="271">
        <v>44466.35555555556</v>
      </c>
      <c r="J1644" s="268"/>
      <c r="K1644" s="271"/>
      <c r="L1644" s="288"/>
      <c r="M1644" s="278" t="s">
        <v>3915</v>
      </c>
      <c r="N1644" s="273">
        <v>44466.506944444445</v>
      </c>
      <c r="O1644" s="276" t="s">
        <v>5343</v>
      </c>
      <c r="P1644" s="276" t="s">
        <v>1463</v>
      </c>
      <c r="Q1644" s="276"/>
      <c r="R1644" s="413" t="s">
        <v>5344</v>
      </c>
      <c r="S1644" s="278"/>
      <c r="T1644" s="278" t="s">
        <v>5345</v>
      </c>
      <c r="U1644" s="279"/>
      <c r="V1644" s="279" t="s">
        <v>1824</v>
      </c>
      <c r="W1644" s="280">
        <v>44476.0</v>
      </c>
      <c r="X1644" s="281">
        <v>0.005555555555555556</v>
      </c>
      <c r="Y1644" s="279" t="s">
        <v>1693</v>
      </c>
      <c r="Z1644" s="282" t="s">
        <v>53</v>
      </c>
      <c r="AA1644" s="282">
        <v>6711056.0</v>
      </c>
      <c r="AB1644" s="283">
        <v>44469.0</v>
      </c>
      <c r="AC1644" s="284"/>
      <c r="AD1644" s="284"/>
    </row>
    <row r="1645" ht="14.25" customHeight="1">
      <c r="A1645" s="265">
        <v>44463.0</v>
      </c>
      <c r="B1645" s="266" t="s">
        <v>1500</v>
      </c>
      <c r="C1645" s="266" t="s">
        <v>1696</v>
      </c>
      <c r="D1645" s="266" t="s">
        <v>1543</v>
      </c>
      <c r="E1645" s="409"/>
      <c r="F1645" s="269" t="s">
        <v>5346</v>
      </c>
      <c r="G1645" s="268" t="s">
        <v>1463</v>
      </c>
      <c r="H1645" s="288">
        <v>7.638888888888889E-4</v>
      </c>
      <c r="I1645" s="271">
        <v>44467.58611111111</v>
      </c>
      <c r="J1645" s="268"/>
      <c r="K1645" s="271">
        <v>44467.592824074076</v>
      </c>
      <c r="L1645" s="288"/>
      <c r="M1645" s="278" t="s">
        <v>5347</v>
      </c>
      <c r="N1645" s="273"/>
      <c r="O1645" s="276"/>
      <c r="P1645" s="276"/>
      <c r="Q1645" s="276"/>
      <c r="R1645" s="413"/>
      <c r="S1645" s="278"/>
      <c r="T1645" s="278"/>
      <c r="U1645" s="279"/>
      <c r="V1645" s="279" t="s">
        <v>1824</v>
      </c>
      <c r="W1645" s="280">
        <v>44483.0</v>
      </c>
      <c r="X1645" s="281">
        <v>0.005555555555555556</v>
      </c>
      <c r="Y1645" s="279" t="s">
        <v>1693</v>
      </c>
      <c r="Z1645" s="282" t="s">
        <v>53</v>
      </c>
      <c r="AA1645" s="282">
        <v>6711057.0</v>
      </c>
      <c r="AB1645" s="283">
        <v>44469.0</v>
      </c>
      <c r="AC1645" s="284"/>
      <c r="AD1645" s="284"/>
    </row>
    <row r="1646" ht="14.25" customHeight="1">
      <c r="A1646" s="265">
        <v>44463.0</v>
      </c>
      <c r="B1646" s="266" t="s">
        <v>1500</v>
      </c>
      <c r="C1646" s="266" t="s">
        <v>2083</v>
      </c>
      <c r="D1646" s="266" t="s">
        <v>1543</v>
      </c>
      <c r="E1646" s="409"/>
      <c r="F1646" s="269" t="s">
        <v>5348</v>
      </c>
      <c r="G1646" s="268" t="s">
        <v>1463</v>
      </c>
      <c r="H1646" s="288">
        <v>0.002349537037037037</v>
      </c>
      <c r="I1646" s="271">
        <v>44467.58611111111</v>
      </c>
      <c r="J1646" s="268"/>
      <c r="K1646" s="271">
        <v>44467.595868055556</v>
      </c>
      <c r="L1646" s="288"/>
      <c r="M1646" s="278" t="s">
        <v>5349</v>
      </c>
      <c r="N1646" s="273"/>
      <c r="O1646" s="276"/>
      <c r="P1646" s="276"/>
      <c r="Q1646" s="276"/>
      <c r="R1646" s="413"/>
      <c r="S1646" s="278"/>
      <c r="T1646" s="278"/>
      <c r="U1646" s="279"/>
      <c r="V1646" s="279" t="s">
        <v>1824</v>
      </c>
      <c r="W1646" s="280">
        <v>44476.0</v>
      </c>
      <c r="X1646" s="281">
        <v>0.013888888888888888</v>
      </c>
      <c r="Y1646" s="279" t="s">
        <v>1693</v>
      </c>
      <c r="Z1646" s="282" t="s">
        <v>53</v>
      </c>
      <c r="AA1646" s="282">
        <v>6711058.0</v>
      </c>
      <c r="AB1646" s="283">
        <v>44469.0</v>
      </c>
      <c r="AC1646" s="284"/>
      <c r="AD1646" s="284"/>
    </row>
    <row r="1647" ht="14.25" customHeight="1">
      <c r="A1647" s="265">
        <v>44463.0</v>
      </c>
      <c r="B1647" s="266" t="s">
        <v>1500</v>
      </c>
      <c r="C1647" s="266" t="s">
        <v>2083</v>
      </c>
      <c r="D1647" s="266" t="s">
        <v>1543</v>
      </c>
      <c r="E1647" s="409"/>
      <c r="F1647" s="269" t="s">
        <v>5350</v>
      </c>
      <c r="G1647" s="268" t="s">
        <v>1463</v>
      </c>
      <c r="H1647" s="288">
        <v>0.002372685185185185</v>
      </c>
      <c r="I1647" s="271">
        <v>44467.58611111111</v>
      </c>
      <c r="J1647" s="268"/>
      <c r="K1647" s="271">
        <v>44467.59653935185</v>
      </c>
      <c r="L1647" s="288"/>
      <c r="M1647" s="278" t="s">
        <v>5351</v>
      </c>
      <c r="N1647" s="273"/>
      <c r="O1647" s="276"/>
      <c r="P1647" s="276"/>
      <c r="Q1647" s="276"/>
      <c r="R1647" s="413"/>
      <c r="S1647" s="278"/>
      <c r="T1647" s="278"/>
      <c r="U1647" s="279"/>
      <c r="V1647" s="279" t="s">
        <v>1824</v>
      </c>
      <c r="W1647" s="280">
        <v>44483.0</v>
      </c>
      <c r="X1647" s="281">
        <v>0.004861111111111111</v>
      </c>
      <c r="Y1647" s="279" t="s">
        <v>1693</v>
      </c>
      <c r="Z1647" s="282" t="s">
        <v>53</v>
      </c>
      <c r="AA1647" s="282">
        <v>6711059.0</v>
      </c>
      <c r="AB1647" s="283">
        <v>44469.0</v>
      </c>
      <c r="AC1647" s="284"/>
      <c r="AD1647" s="284"/>
    </row>
    <row r="1648" ht="14.25" customHeight="1">
      <c r="A1648" s="265">
        <v>44463.0</v>
      </c>
      <c r="B1648" s="266" t="s">
        <v>1500</v>
      </c>
      <c r="C1648" s="266" t="s">
        <v>1686</v>
      </c>
      <c r="D1648" s="266" t="s">
        <v>1543</v>
      </c>
      <c r="E1648" s="409"/>
      <c r="F1648" s="269" t="s">
        <v>5352</v>
      </c>
      <c r="G1648" s="268" t="s">
        <v>1463</v>
      </c>
      <c r="H1648" s="288">
        <v>0.003194444444444444</v>
      </c>
      <c r="I1648" s="271">
        <v>44467.58611111111</v>
      </c>
      <c r="J1648" s="268"/>
      <c r="K1648" s="271">
        <v>44467.596597222226</v>
      </c>
      <c r="L1648" s="288"/>
      <c r="M1648" s="278" t="s">
        <v>5353</v>
      </c>
      <c r="N1648" s="273"/>
      <c r="O1648" s="276"/>
      <c r="P1648" s="276"/>
      <c r="Q1648" s="276"/>
      <c r="R1648" s="413"/>
      <c r="S1648" s="278"/>
      <c r="T1648" s="278"/>
      <c r="U1648" s="279"/>
      <c r="V1648" s="279" t="s">
        <v>1824</v>
      </c>
      <c r="W1648" s="280">
        <v>41196.0</v>
      </c>
      <c r="X1648" s="281">
        <v>0.010416666666666666</v>
      </c>
      <c r="Y1648" s="279" t="s">
        <v>1693</v>
      </c>
      <c r="Z1648" s="282" t="s">
        <v>53</v>
      </c>
      <c r="AA1648" s="282">
        <v>6711060.0</v>
      </c>
      <c r="AB1648" s="283">
        <v>44469.0</v>
      </c>
      <c r="AC1648" s="284"/>
      <c r="AD1648" s="284"/>
    </row>
    <row r="1649" ht="14.25" customHeight="1">
      <c r="A1649" s="265">
        <v>44463.0</v>
      </c>
      <c r="B1649" s="266" t="s">
        <v>1738</v>
      </c>
      <c r="C1649" s="266" t="s">
        <v>2158</v>
      </c>
      <c r="D1649" s="266" t="s">
        <v>1450</v>
      </c>
      <c r="E1649" s="409"/>
      <c r="F1649" s="269" t="s">
        <v>5354</v>
      </c>
      <c r="G1649" s="268" t="s">
        <v>1463</v>
      </c>
      <c r="H1649" s="288">
        <v>0.006076388888888889</v>
      </c>
      <c r="I1649" s="271">
        <v>44468.44375</v>
      </c>
      <c r="J1649" s="268"/>
      <c r="K1649" s="320">
        <v>44468.44907407407</v>
      </c>
      <c r="L1649" s="288"/>
      <c r="M1649" s="272" t="s">
        <v>5355</v>
      </c>
      <c r="N1649" s="273"/>
      <c r="O1649" s="276"/>
      <c r="P1649" s="276"/>
      <c r="Q1649" s="276"/>
      <c r="R1649" s="277"/>
      <c r="S1649" s="278"/>
      <c r="T1649" s="278"/>
      <c r="U1649" s="279"/>
      <c r="V1649" s="279" t="s">
        <v>1738</v>
      </c>
      <c r="W1649" s="280">
        <v>44468.0</v>
      </c>
      <c r="X1649" s="281">
        <v>1.1574074074074073E-4</v>
      </c>
      <c r="Y1649" s="279" t="s">
        <v>1693</v>
      </c>
      <c r="Z1649" s="282" t="s">
        <v>53</v>
      </c>
      <c r="AA1649" s="282">
        <v>6715720.0</v>
      </c>
      <c r="AB1649" s="283">
        <v>44469.0</v>
      </c>
      <c r="AC1649" s="284"/>
      <c r="AD1649" s="284"/>
    </row>
    <row r="1650" ht="14.25" customHeight="1">
      <c r="A1650" s="265">
        <v>44463.0</v>
      </c>
      <c r="B1650" s="266" t="s">
        <v>1500</v>
      </c>
      <c r="C1650" s="266" t="s">
        <v>1696</v>
      </c>
      <c r="D1650" s="266" t="s">
        <v>1543</v>
      </c>
      <c r="E1650" s="409"/>
      <c r="F1650" s="269" t="s">
        <v>5356</v>
      </c>
      <c r="G1650" s="268" t="s">
        <v>1463</v>
      </c>
      <c r="H1650" s="288">
        <v>0.0018750000000000001</v>
      </c>
      <c r="I1650" s="271">
        <v>44467.58611111111</v>
      </c>
      <c r="J1650" s="268"/>
      <c r="K1650" s="271">
        <v>44468.015810185185</v>
      </c>
      <c r="L1650" s="288"/>
      <c r="M1650" s="278" t="s">
        <v>5357</v>
      </c>
      <c r="N1650" s="273"/>
      <c r="O1650" s="276"/>
      <c r="P1650" s="276"/>
      <c r="Q1650" s="276"/>
      <c r="R1650" s="413"/>
      <c r="S1650" s="278"/>
      <c r="T1650" s="278"/>
      <c r="U1650" s="279"/>
      <c r="V1650" s="279" t="s">
        <v>1824</v>
      </c>
      <c r="W1650" s="280">
        <v>44476.0</v>
      </c>
      <c r="X1650" s="281">
        <v>0.004861111111111111</v>
      </c>
      <c r="Y1650" s="279" t="s">
        <v>1693</v>
      </c>
      <c r="Z1650" s="282" t="s">
        <v>53</v>
      </c>
      <c r="AA1650" s="282">
        <v>6715721.0</v>
      </c>
      <c r="AB1650" s="283">
        <v>44469.0</v>
      </c>
      <c r="AC1650" s="284"/>
      <c r="AD1650" s="284"/>
    </row>
    <row r="1651" ht="14.25" customHeight="1">
      <c r="A1651" s="265">
        <v>44463.0</v>
      </c>
      <c r="B1651" s="266" t="s">
        <v>1500</v>
      </c>
      <c r="C1651" s="266" t="s">
        <v>1450</v>
      </c>
      <c r="D1651" s="266" t="s">
        <v>1543</v>
      </c>
      <c r="E1651" s="409"/>
      <c r="F1651" s="269" t="s">
        <v>5358</v>
      </c>
      <c r="G1651" s="268" t="s">
        <v>1463</v>
      </c>
      <c r="H1651" s="288">
        <v>0.003935185185185186</v>
      </c>
      <c r="I1651" s="271">
        <v>44468.59861111111</v>
      </c>
      <c r="J1651" s="268"/>
      <c r="K1651" s="271">
        <v>44468.61140046296</v>
      </c>
      <c r="L1651" s="288"/>
      <c r="M1651" s="278" t="s">
        <v>5359</v>
      </c>
      <c r="N1651" s="273"/>
      <c r="O1651" s="276"/>
      <c r="P1651" s="276"/>
      <c r="Q1651" s="276"/>
      <c r="R1651" s="413"/>
      <c r="S1651" s="278"/>
      <c r="T1651" s="278"/>
      <c r="U1651" s="279"/>
      <c r="V1651" s="279" t="s">
        <v>1824</v>
      </c>
      <c r="W1651" s="280">
        <v>44491.0</v>
      </c>
      <c r="X1651" s="281">
        <v>0.003472222222222222</v>
      </c>
      <c r="Y1651" s="279" t="s">
        <v>1693</v>
      </c>
      <c r="Z1651" s="282" t="s">
        <v>53</v>
      </c>
      <c r="AA1651" s="282">
        <v>6715722.0</v>
      </c>
      <c r="AB1651" s="283">
        <v>44469.0</v>
      </c>
      <c r="AC1651" s="284"/>
      <c r="AD1651" s="284"/>
    </row>
    <row r="1652" ht="14.25" customHeight="1">
      <c r="A1652" s="265">
        <v>44463.0</v>
      </c>
      <c r="B1652" s="266" t="s">
        <v>1500</v>
      </c>
      <c r="C1652" s="266" t="s">
        <v>1450</v>
      </c>
      <c r="D1652" s="266" t="s">
        <v>1543</v>
      </c>
      <c r="E1652" s="409"/>
      <c r="F1652" s="269" t="s">
        <v>5360</v>
      </c>
      <c r="G1652" s="268" t="s">
        <v>1463</v>
      </c>
      <c r="H1652" s="288">
        <v>0.0011689814814814816</v>
      </c>
      <c r="I1652" s="271">
        <v>44468.6096412037</v>
      </c>
      <c r="J1652" s="268"/>
      <c r="K1652" s="271">
        <v>44468.61447916667</v>
      </c>
      <c r="L1652" s="288"/>
      <c r="M1652" s="278" t="s">
        <v>5361</v>
      </c>
      <c r="N1652" s="273"/>
      <c r="O1652" s="276"/>
      <c r="P1652" s="276"/>
      <c r="Q1652" s="276"/>
      <c r="R1652" s="413"/>
      <c r="S1652" s="278"/>
      <c r="T1652" s="278"/>
      <c r="U1652" s="279"/>
      <c r="V1652" s="279" t="s">
        <v>1824</v>
      </c>
      <c r="W1652" s="280">
        <v>44491.0</v>
      </c>
      <c r="X1652" s="281">
        <v>0.002777777777777778</v>
      </c>
      <c r="Y1652" s="279" t="s">
        <v>1693</v>
      </c>
      <c r="Z1652" s="282" t="s">
        <v>53</v>
      </c>
      <c r="AA1652" s="282">
        <v>6715723.0</v>
      </c>
      <c r="AB1652" s="283">
        <v>44469.0</v>
      </c>
      <c r="AC1652" s="284"/>
      <c r="AD1652" s="284"/>
    </row>
    <row r="1653" ht="14.25" customHeight="1">
      <c r="A1653" s="265">
        <v>44463.0</v>
      </c>
      <c r="B1653" s="266" t="s">
        <v>1733</v>
      </c>
      <c r="C1653" s="266"/>
      <c r="D1653" s="266" t="s">
        <v>1450</v>
      </c>
      <c r="E1653" s="409"/>
      <c r="F1653" s="358" t="s">
        <v>5362</v>
      </c>
      <c r="G1653" s="316" t="s">
        <v>2085</v>
      </c>
      <c r="H1653" s="288">
        <v>0.09722222222222222</v>
      </c>
      <c r="I1653" s="271">
        <v>44463.67986111111</v>
      </c>
      <c r="J1653" s="268"/>
      <c r="K1653" s="268"/>
      <c r="L1653" s="288" t="str">
        <f t="shared" ref="L1653:L1658" si="96">IFERROR(IF(OR(I1653="",K1653=""),"",K1653-I1653),"")</f>
        <v/>
      </c>
      <c r="M1653" s="307" t="s">
        <v>2808</v>
      </c>
      <c r="N1653" s="273">
        <v>44464.74236111111</v>
      </c>
      <c r="O1653" s="276" t="s">
        <v>5363</v>
      </c>
      <c r="P1653" s="276" t="s">
        <v>1463</v>
      </c>
      <c r="Q1653" s="276" t="s">
        <v>1819</v>
      </c>
      <c r="R1653" s="277">
        <v>44463.75329861111</v>
      </c>
      <c r="S1653" s="278"/>
      <c r="T1653" s="278" t="s">
        <v>5364</v>
      </c>
      <c r="U1653" s="279"/>
      <c r="V1653" s="279" t="s">
        <v>1738</v>
      </c>
      <c r="W1653" s="280">
        <v>44467.0</v>
      </c>
      <c r="X1653" s="281">
        <v>0.25</v>
      </c>
      <c r="Y1653" s="279" t="s">
        <v>1693</v>
      </c>
      <c r="Z1653" s="282" t="s">
        <v>53</v>
      </c>
      <c r="AA1653" s="282" t="s">
        <v>5362</v>
      </c>
      <c r="AB1653" s="283">
        <v>44465.0</v>
      </c>
      <c r="AC1653" s="284"/>
      <c r="AD1653" s="284"/>
    </row>
    <row r="1654" ht="14.25" customHeight="1">
      <c r="A1654" s="265">
        <v>44463.0</v>
      </c>
      <c r="B1654" s="266" t="s">
        <v>1824</v>
      </c>
      <c r="C1654" s="266"/>
      <c r="D1654" s="266" t="s">
        <v>1452</v>
      </c>
      <c r="E1654" s="409"/>
      <c r="F1654" s="358" t="s">
        <v>5365</v>
      </c>
      <c r="G1654" s="316" t="s">
        <v>2085</v>
      </c>
      <c r="H1654" s="288">
        <v>0.006412037037037036</v>
      </c>
      <c r="I1654" s="271">
        <v>44463.580555555556</v>
      </c>
      <c r="J1654" s="268"/>
      <c r="K1654" s="268"/>
      <c r="L1654" s="288" t="str">
        <f t="shared" si="96"/>
        <v/>
      </c>
      <c r="M1654" s="307" t="s">
        <v>2808</v>
      </c>
      <c r="N1654" s="273">
        <v>44463.71527777778</v>
      </c>
      <c r="O1654" s="276" t="s">
        <v>5366</v>
      </c>
      <c r="P1654" s="276" t="s">
        <v>1463</v>
      </c>
      <c r="Q1654" s="276" t="s">
        <v>1819</v>
      </c>
      <c r="R1654" s="278"/>
      <c r="S1654" s="278"/>
      <c r="T1654" s="278" t="s">
        <v>5367</v>
      </c>
      <c r="U1654" s="279"/>
      <c r="V1654" s="279" t="s">
        <v>1824</v>
      </c>
      <c r="W1654" s="280">
        <v>44466.0</v>
      </c>
      <c r="X1654" s="281">
        <v>0.010416666666666666</v>
      </c>
      <c r="Y1654" s="279" t="s">
        <v>1693</v>
      </c>
      <c r="Z1654" s="282" t="s">
        <v>53</v>
      </c>
      <c r="AA1654" s="282" t="s">
        <v>5365</v>
      </c>
      <c r="AB1654" s="283">
        <v>44465.0</v>
      </c>
      <c r="AC1654" s="284"/>
      <c r="AD1654" s="284"/>
    </row>
    <row r="1655" ht="14.25" customHeight="1">
      <c r="A1655" s="265">
        <v>44463.0</v>
      </c>
      <c r="B1655" s="266" t="s">
        <v>1685</v>
      </c>
      <c r="C1655" s="266"/>
      <c r="D1655" s="266" t="s">
        <v>1686</v>
      </c>
      <c r="E1655" s="409"/>
      <c r="F1655" s="358" t="s">
        <v>5368</v>
      </c>
      <c r="G1655" s="316" t="s">
        <v>2085</v>
      </c>
      <c r="H1655" s="288">
        <v>0.03662037037037037</v>
      </c>
      <c r="I1655" s="271">
        <v>44463.645833333336</v>
      </c>
      <c r="J1655" s="268"/>
      <c r="K1655" s="271">
        <v>44463.679131944446</v>
      </c>
      <c r="L1655" s="288" t="str">
        <f t="shared" si="96"/>
        <v>12:47:57 AM</v>
      </c>
      <c r="M1655" s="278"/>
      <c r="N1655" s="290"/>
      <c r="O1655" s="276"/>
      <c r="P1655" s="276"/>
      <c r="Q1655" s="276"/>
      <c r="R1655" s="278"/>
      <c r="S1655" s="278"/>
      <c r="T1655" s="278"/>
      <c r="U1655" s="279"/>
      <c r="V1655" s="279" t="s">
        <v>1685</v>
      </c>
      <c r="W1655" s="280">
        <v>44466.0</v>
      </c>
      <c r="X1655" s="281">
        <v>0.125</v>
      </c>
      <c r="Y1655" s="279" t="s">
        <v>1693</v>
      </c>
      <c r="Z1655" s="282" t="s">
        <v>53</v>
      </c>
      <c r="AA1655" s="282" t="s">
        <v>5368</v>
      </c>
      <c r="AB1655" s="283">
        <v>44464.0</v>
      </c>
      <c r="AC1655" s="284"/>
      <c r="AD1655" s="284"/>
    </row>
    <row r="1656" ht="14.25" customHeight="1">
      <c r="A1656" s="265">
        <v>44463.0</v>
      </c>
      <c r="B1656" s="266" t="s">
        <v>3677</v>
      </c>
      <c r="C1656" s="266"/>
      <c r="D1656" s="266" t="s">
        <v>1455</v>
      </c>
      <c r="E1656" s="409"/>
      <c r="F1656" s="358" t="s">
        <v>5369</v>
      </c>
      <c r="G1656" s="316" t="s">
        <v>2085</v>
      </c>
      <c r="H1656" s="288">
        <v>0.019398148148148147</v>
      </c>
      <c r="I1656" s="271">
        <v>44463.927777777775</v>
      </c>
      <c r="J1656" s="268"/>
      <c r="K1656" s="271">
        <v>44463.94495370371</v>
      </c>
      <c r="L1656" s="288" t="str">
        <f t="shared" si="96"/>
        <v>12:24:44 AM</v>
      </c>
      <c r="M1656" s="278"/>
      <c r="N1656" s="290"/>
      <c r="O1656" s="276"/>
      <c r="P1656" s="276"/>
      <c r="Q1656" s="276"/>
      <c r="R1656" s="278"/>
      <c r="S1656" s="278"/>
      <c r="T1656" s="278"/>
      <c r="U1656" s="279"/>
      <c r="V1656" s="279" t="s">
        <v>1824</v>
      </c>
      <c r="W1656" s="280">
        <v>44466.0</v>
      </c>
      <c r="X1656" s="281">
        <v>0.08333333333333333</v>
      </c>
      <c r="Y1656" s="279" t="s">
        <v>1693</v>
      </c>
      <c r="Z1656" s="282" t="s">
        <v>53</v>
      </c>
      <c r="AA1656" s="282" t="s">
        <v>5369</v>
      </c>
      <c r="AB1656" s="283">
        <v>44464.0</v>
      </c>
      <c r="AC1656" s="284"/>
      <c r="AD1656" s="284"/>
    </row>
    <row r="1657" ht="14.25" customHeight="1">
      <c r="A1657" s="265">
        <v>44464.0</v>
      </c>
      <c r="B1657" s="266" t="s">
        <v>1733</v>
      </c>
      <c r="C1657" s="266"/>
      <c r="D1657" s="266" t="s">
        <v>1686</v>
      </c>
      <c r="E1657" s="409"/>
      <c r="F1657" s="358" t="s">
        <v>5370</v>
      </c>
      <c r="G1657" s="316" t="s">
        <v>2085</v>
      </c>
      <c r="H1657" s="288">
        <v>0.03751157407407407</v>
      </c>
      <c r="I1657" s="271">
        <v>44464.584027777775</v>
      </c>
      <c r="J1657" s="271">
        <v>44465.58402771991</v>
      </c>
      <c r="K1657" s="271">
        <v>44466.58402771991</v>
      </c>
      <c r="L1657" s="288" t="str">
        <f t="shared" si="96"/>
        <v>12:00:00 AM</v>
      </c>
      <c r="M1657" s="278"/>
      <c r="N1657" s="290"/>
      <c r="O1657" s="276"/>
      <c r="P1657" s="276"/>
      <c r="Q1657" s="276"/>
      <c r="R1657" s="278"/>
      <c r="S1657" s="278"/>
      <c r="T1657" s="278"/>
      <c r="U1657" s="279"/>
      <c r="V1657" s="279" t="s">
        <v>1685</v>
      </c>
      <c r="W1657" s="280">
        <v>44466.0</v>
      </c>
      <c r="X1657" s="281">
        <v>0.125</v>
      </c>
      <c r="Y1657" s="279" t="s">
        <v>1693</v>
      </c>
      <c r="Z1657" s="282" t="s">
        <v>53</v>
      </c>
      <c r="AA1657" s="282" t="s">
        <v>5370</v>
      </c>
      <c r="AB1657" s="283">
        <v>44465.0</v>
      </c>
      <c r="AC1657" s="284"/>
      <c r="AD1657" s="284"/>
    </row>
    <row r="1658" ht="14.25" customHeight="1">
      <c r="A1658" s="265">
        <v>44464.0</v>
      </c>
      <c r="B1658" s="266" t="s">
        <v>3677</v>
      </c>
      <c r="C1658" s="266"/>
      <c r="D1658" s="266" t="s">
        <v>1455</v>
      </c>
      <c r="E1658" s="409"/>
      <c r="F1658" s="291" t="s">
        <v>5371</v>
      </c>
      <c r="G1658" s="316" t="s">
        <v>2085</v>
      </c>
      <c r="H1658" s="288">
        <v>0.016273148148148148</v>
      </c>
      <c r="I1658" s="271">
        <v>44466.80486111111</v>
      </c>
      <c r="J1658" s="268"/>
      <c r="K1658" s="271">
        <v>44466.82045138889</v>
      </c>
      <c r="L1658" s="288" t="str">
        <f t="shared" si="96"/>
        <v>12:22:27 AM</v>
      </c>
      <c r="M1658" s="278"/>
      <c r="N1658" s="290"/>
      <c r="O1658" s="276"/>
      <c r="P1658" s="276"/>
      <c r="Q1658" s="276"/>
      <c r="R1658" s="278"/>
      <c r="S1658" s="278"/>
      <c r="T1658" s="278"/>
      <c r="U1658" s="279"/>
      <c r="V1658" s="279" t="s">
        <v>1824</v>
      </c>
      <c r="W1658" s="280">
        <v>44468.0</v>
      </c>
      <c r="X1658" s="281">
        <v>0.08333333333333333</v>
      </c>
      <c r="Y1658" s="279" t="s">
        <v>1693</v>
      </c>
      <c r="Z1658" s="282" t="s">
        <v>53</v>
      </c>
      <c r="AA1658" s="282" t="s">
        <v>5371</v>
      </c>
      <c r="AB1658" s="283">
        <v>44468.0</v>
      </c>
      <c r="AC1658" s="284"/>
      <c r="AD1658" s="284"/>
    </row>
    <row r="1659" ht="14.25" customHeight="1">
      <c r="A1659" s="265">
        <v>44465.0</v>
      </c>
      <c r="B1659" s="266" t="s">
        <v>1733</v>
      </c>
      <c r="C1659" s="266"/>
      <c r="D1659" s="266" t="s">
        <v>3509</v>
      </c>
      <c r="E1659" s="409"/>
      <c r="F1659" s="358">
        <v>6648368.0</v>
      </c>
      <c r="G1659" s="268" t="s">
        <v>3839</v>
      </c>
      <c r="H1659" s="288">
        <v>0.024398148148148145</v>
      </c>
      <c r="I1659" s="271">
        <v>44469.56041666667</v>
      </c>
      <c r="J1659" s="268"/>
      <c r="K1659" s="271">
        <v>44469.572222222225</v>
      </c>
      <c r="L1659" s="288"/>
      <c r="M1659" s="278"/>
      <c r="N1659" s="290"/>
      <c r="O1659" s="276"/>
      <c r="P1659" s="276"/>
      <c r="Q1659" s="276"/>
      <c r="R1659" s="278"/>
      <c r="S1659" s="278"/>
      <c r="T1659" s="278"/>
      <c r="U1659" s="279"/>
      <c r="V1659" s="279"/>
      <c r="W1659" s="279"/>
      <c r="X1659" s="279"/>
      <c r="Y1659" s="279"/>
      <c r="Z1659" s="282" t="s">
        <v>101</v>
      </c>
      <c r="AA1659" s="282">
        <v>6648368.0</v>
      </c>
      <c r="AB1659" s="283">
        <v>44470.0</v>
      </c>
      <c r="AC1659" s="284"/>
      <c r="AD1659" s="284"/>
    </row>
    <row r="1660" ht="14.25" customHeight="1">
      <c r="A1660" s="265">
        <v>44465.0</v>
      </c>
      <c r="B1660" s="266" t="s">
        <v>1500</v>
      </c>
      <c r="C1660" s="266" t="s">
        <v>2471</v>
      </c>
      <c r="D1660" s="266" t="s">
        <v>1543</v>
      </c>
      <c r="E1660" s="409"/>
      <c r="F1660" s="291" t="s">
        <v>5372</v>
      </c>
      <c r="G1660" s="268" t="s">
        <v>1463</v>
      </c>
      <c r="H1660" s="288">
        <v>0.0011689814814814816</v>
      </c>
      <c r="I1660" s="271">
        <v>44470.44305555556</v>
      </c>
      <c r="J1660" s="268"/>
      <c r="K1660" s="271">
        <v>44470.45197916667</v>
      </c>
      <c r="L1660" s="288"/>
      <c r="M1660" s="278" t="s">
        <v>5373</v>
      </c>
      <c r="N1660" s="290"/>
      <c r="O1660" s="276"/>
      <c r="P1660" s="276"/>
      <c r="Q1660" s="276"/>
      <c r="R1660" s="278"/>
      <c r="S1660" s="278"/>
      <c r="T1660" s="278"/>
      <c r="U1660" s="279"/>
      <c r="V1660" s="279" t="s">
        <v>1824</v>
      </c>
      <c r="W1660" s="280">
        <v>44474.0</v>
      </c>
      <c r="X1660" s="281">
        <v>0.003472222222222222</v>
      </c>
      <c r="Y1660" s="279" t="s">
        <v>1693</v>
      </c>
      <c r="Z1660" s="282" t="s">
        <v>53</v>
      </c>
      <c r="AA1660" s="282">
        <v>6727869.0</v>
      </c>
      <c r="AB1660" s="283">
        <v>44473.0</v>
      </c>
      <c r="AC1660" s="284"/>
      <c r="AD1660" s="284"/>
    </row>
    <row r="1661" ht="14.25" customHeight="1">
      <c r="A1661" s="265">
        <v>44465.0</v>
      </c>
      <c r="B1661" s="266" t="s">
        <v>1733</v>
      </c>
      <c r="C1661" s="266"/>
      <c r="D1661" s="266" t="s">
        <v>1457</v>
      </c>
      <c r="E1661" s="409"/>
      <c r="F1661" s="358" t="s">
        <v>5374</v>
      </c>
      <c r="G1661" s="268" t="s">
        <v>2155</v>
      </c>
      <c r="H1661" s="288">
        <v>0.017800925925925925</v>
      </c>
      <c r="I1661" s="271">
        <v>44466.42628472222</v>
      </c>
      <c r="J1661" s="268"/>
      <c r="K1661" s="271">
        <v>44466.923726851855</v>
      </c>
      <c r="L1661" s="288" t="str">
        <f t="shared" ref="L1661:L1662" si="97">IFERROR(IF(OR(I1661="",K1661=""),"",K1661-I1661),"")</f>
        <v>11:56:19 AM</v>
      </c>
      <c r="M1661" s="278"/>
      <c r="N1661" s="290"/>
      <c r="O1661" s="276"/>
      <c r="P1661" s="276"/>
      <c r="Q1661" s="276"/>
      <c r="R1661" s="278"/>
      <c r="S1661" s="278"/>
      <c r="T1661" s="278"/>
      <c r="U1661" s="279"/>
      <c r="V1661" s="279" t="s">
        <v>1824</v>
      </c>
      <c r="W1661" s="280">
        <v>44468.0</v>
      </c>
      <c r="X1661" s="281">
        <v>0.03125</v>
      </c>
      <c r="Y1661" s="279" t="s">
        <v>1693</v>
      </c>
      <c r="Z1661" s="282" t="s">
        <v>53</v>
      </c>
      <c r="AA1661" s="282" t="s">
        <v>5375</v>
      </c>
      <c r="AB1661" s="283">
        <v>44468.0</v>
      </c>
      <c r="AC1661" s="284"/>
      <c r="AD1661" s="284"/>
    </row>
    <row r="1662" ht="14.25" customHeight="1">
      <c r="A1662" s="265">
        <v>44465.0</v>
      </c>
      <c r="B1662" s="266" t="s">
        <v>1733</v>
      </c>
      <c r="C1662" s="266"/>
      <c r="D1662" s="266" t="s">
        <v>2829</v>
      </c>
      <c r="E1662" s="409"/>
      <c r="F1662" s="358" t="s">
        <v>5376</v>
      </c>
      <c r="G1662" s="268" t="s">
        <v>2085</v>
      </c>
      <c r="H1662" s="288">
        <v>0.018726851851851852</v>
      </c>
      <c r="I1662" s="271">
        <v>44466.75</v>
      </c>
      <c r="J1662" s="268"/>
      <c r="K1662" s="268"/>
      <c r="L1662" s="288" t="str">
        <f t="shared" si="97"/>
        <v/>
      </c>
      <c r="M1662" s="307" t="s">
        <v>3482</v>
      </c>
      <c r="N1662" s="273">
        <v>44466.75555555556</v>
      </c>
      <c r="O1662" s="276" t="s">
        <v>5377</v>
      </c>
      <c r="P1662" s="276" t="s">
        <v>1463</v>
      </c>
      <c r="Q1662" s="276" t="s">
        <v>1819</v>
      </c>
      <c r="R1662" s="277">
        <v>44466.7665162037</v>
      </c>
      <c r="S1662" s="278"/>
      <c r="T1662" s="278" t="s">
        <v>5378</v>
      </c>
      <c r="U1662" s="279"/>
      <c r="V1662" s="279"/>
      <c r="W1662" s="279"/>
      <c r="X1662" s="279"/>
      <c r="Y1662" s="279"/>
      <c r="Z1662" s="282" t="s">
        <v>53</v>
      </c>
      <c r="AA1662" s="282" t="s">
        <v>5376</v>
      </c>
      <c r="AB1662" s="283">
        <v>44469.0</v>
      </c>
      <c r="AC1662" s="284"/>
      <c r="AD1662" s="284"/>
    </row>
    <row r="1663" ht="14.25" customHeight="1">
      <c r="A1663" s="265">
        <v>44466.0</v>
      </c>
      <c r="B1663" s="266" t="s">
        <v>1738</v>
      </c>
      <c r="C1663" s="266" t="s">
        <v>2158</v>
      </c>
      <c r="D1663" s="266" t="s">
        <v>1450</v>
      </c>
      <c r="E1663" s="409"/>
      <c r="F1663" s="269" t="s">
        <v>5379</v>
      </c>
      <c r="G1663" s="268" t="s">
        <v>1463</v>
      </c>
      <c r="H1663" s="288">
        <v>0.0022106481481481478</v>
      </c>
      <c r="I1663" s="271">
        <v>44468.58611111111</v>
      </c>
      <c r="J1663" s="268"/>
      <c r="K1663" s="271">
        <v>44468.58819444444</v>
      </c>
      <c r="L1663" s="288"/>
      <c r="M1663" s="278" t="s">
        <v>5380</v>
      </c>
      <c r="N1663" s="290"/>
      <c r="O1663" s="276"/>
      <c r="P1663" s="276"/>
      <c r="Q1663" s="276"/>
      <c r="R1663" s="278"/>
      <c r="S1663" s="278"/>
      <c r="T1663" s="278"/>
      <c r="U1663" s="279"/>
      <c r="V1663" s="279" t="s">
        <v>1738</v>
      </c>
      <c r="W1663" s="280">
        <v>44468.0</v>
      </c>
      <c r="X1663" s="281">
        <v>0.003472222222222222</v>
      </c>
      <c r="Y1663" s="279" t="s">
        <v>1693</v>
      </c>
      <c r="Z1663" s="282" t="s">
        <v>53</v>
      </c>
      <c r="AA1663" s="282">
        <v>6715724.0</v>
      </c>
      <c r="AB1663" s="283">
        <v>44469.0</v>
      </c>
      <c r="AC1663" s="284"/>
      <c r="AD1663" s="284"/>
    </row>
    <row r="1664" ht="14.25" customHeight="1">
      <c r="A1664" s="265">
        <v>44466.0</v>
      </c>
      <c r="B1664" s="267" t="s">
        <v>1500</v>
      </c>
      <c r="C1664" s="266" t="s">
        <v>1686</v>
      </c>
      <c r="D1664" s="266" t="s">
        <v>1543</v>
      </c>
      <c r="E1664" s="409"/>
      <c r="F1664" s="269" t="s">
        <v>5381</v>
      </c>
      <c r="G1664" s="268" t="s">
        <v>1463</v>
      </c>
      <c r="H1664" s="288">
        <v>0.0012731481481481483</v>
      </c>
      <c r="I1664" s="271">
        <v>44467.64444444444</v>
      </c>
      <c r="J1664" s="268"/>
      <c r="K1664" s="271">
        <v>44468.01559027778</v>
      </c>
      <c r="L1664" s="288"/>
      <c r="M1664" s="315" t="s">
        <v>5382</v>
      </c>
      <c r="N1664" s="290"/>
      <c r="O1664" s="276"/>
      <c r="P1664" s="276"/>
      <c r="Q1664" s="276"/>
      <c r="R1664" s="278"/>
      <c r="S1664" s="278"/>
      <c r="T1664" s="278"/>
      <c r="U1664" s="279"/>
      <c r="V1664" s="279" t="s">
        <v>1824</v>
      </c>
      <c r="W1664" s="280">
        <v>44474.0</v>
      </c>
      <c r="X1664" s="281">
        <v>0.003472222222222222</v>
      </c>
      <c r="Y1664" s="279" t="s">
        <v>1693</v>
      </c>
      <c r="Z1664" s="282" t="s">
        <v>53</v>
      </c>
      <c r="AA1664" s="282">
        <v>6715725.0</v>
      </c>
      <c r="AB1664" s="283">
        <v>44469.0</v>
      </c>
      <c r="AC1664" s="284"/>
      <c r="AD1664" s="284"/>
    </row>
    <row r="1665" ht="14.25" customHeight="1">
      <c r="A1665" s="265">
        <v>44466.0</v>
      </c>
      <c r="B1665" s="267" t="s">
        <v>1500</v>
      </c>
      <c r="C1665" s="266" t="s">
        <v>1450</v>
      </c>
      <c r="D1665" s="266" t="s">
        <v>1543</v>
      </c>
      <c r="E1665" s="409"/>
      <c r="F1665" s="269" t="s">
        <v>5383</v>
      </c>
      <c r="G1665" s="268" t="s">
        <v>1463</v>
      </c>
      <c r="H1665" s="288">
        <v>0.0024074074074074076</v>
      </c>
      <c r="I1665" s="271">
        <v>44468.69652777778</v>
      </c>
      <c r="J1665" s="268"/>
      <c r="K1665" s="271">
        <v>44469.036516203705</v>
      </c>
      <c r="L1665" s="288"/>
      <c r="M1665" s="315" t="s">
        <v>5384</v>
      </c>
      <c r="N1665" s="290"/>
      <c r="O1665" s="276"/>
      <c r="P1665" s="276"/>
      <c r="Q1665" s="276"/>
      <c r="R1665" s="278"/>
      <c r="S1665" s="278"/>
      <c r="T1665" s="278"/>
      <c r="U1665" s="279"/>
      <c r="V1665" s="279" t="s">
        <v>1824</v>
      </c>
      <c r="W1665" s="280">
        <v>44474.0</v>
      </c>
      <c r="X1665" s="281">
        <v>0.009027777777777779</v>
      </c>
      <c r="Y1665" s="279" t="s">
        <v>1693</v>
      </c>
      <c r="Z1665" s="282" t="s">
        <v>53</v>
      </c>
      <c r="AA1665" s="282">
        <v>6736635.0</v>
      </c>
      <c r="AB1665" s="283">
        <v>44473.0</v>
      </c>
      <c r="AC1665" s="284"/>
      <c r="AD1665" s="284"/>
    </row>
    <row r="1666" ht="14.25" customHeight="1">
      <c r="A1666" s="265">
        <v>44466.0</v>
      </c>
      <c r="B1666" s="267" t="s">
        <v>1500</v>
      </c>
      <c r="C1666" s="266" t="s">
        <v>1696</v>
      </c>
      <c r="D1666" s="266" t="s">
        <v>1543</v>
      </c>
      <c r="E1666" s="409"/>
      <c r="F1666" s="269" t="s">
        <v>5385</v>
      </c>
      <c r="G1666" s="268" t="s">
        <v>1463</v>
      </c>
      <c r="H1666" s="288">
        <v>0.001597222222222222</v>
      </c>
      <c r="I1666" s="271">
        <v>44473.57152777778</v>
      </c>
      <c r="J1666" s="268"/>
      <c r="K1666" s="271">
        <v>44473.67564814815</v>
      </c>
      <c r="L1666" s="288"/>
      <c r="M1666" s="315" t="s">
        <v>5386</v>
      </c>
      <c r="N1666" s="290"/>
      <c r="O1666" s="276"/>
      <c r="P1666" s="276"/>
      <c r="Q1666" s="276"/>
      <c r="R1666" s="278"/>
      <c r="S1666" s="278"/>
      <c r="T1666" s="278"/>
      <c r="U1666" s="279"/>
      <c r="V1666" s="279" t="s">
        <v>1824</v>
      </c>
      <c r="W1666" s="280">
        <v>44491.0</v>
      </c>
      <c r="X1666" s="281">
        <v>0.003472222222222222</v>
      </c>
      <c r="Y1666" s="279" t="s">
        <v>1693</v>
      </c>
      <c r="Z1666" s="282" t="s">
        <v>53</v>
      </c>
      <c r="AA1666" s="282">
        <v>6742514.0</v>
      </c>
      <c r="AB1666" s="283">
        <v>44474.0</v>
      </c>
      <c r="AC1666" s="284"/>
      <c r="AD1666" s="284"/>
    </row>
    <row r="1667" ht="14.25" customHeight="1">
      <c r="A1667" s="265">
        <v>44466.0</v>
      </c>
      <c r="B1667" s="267" t="s">
        <v>1500</v>
      </c>
      <c r="C1667" s="266" t="s">
        <v>4567</v>
      </c>
      <c r="D1667" s="266" t="s">
        <v>1543</v>
      </c>
      <c r="E1667" s="409"/>
      <c r="F1667" s="269" t="s">
        <v>5387</v>
      </c>
      <c r="G1667" s="268" t="s">
        <v>1463</v>
      </c>
      <c r="H1667" s="288">
        <v>0.011180555555555556</v>
      </c>
      <c r="I1667" s="271">
        <v>44489.65069444444</v>
      </c>
      <c r="J1667" s="268"/>
      <c r="K1667" s="271">
        <v>44489.673055555555</v>
      </c>
      <c r="L1667" s="288"/>
      <c r="M1667" s="315" t="s">
        <v>5388</v>
      </c>
      <c r="N1667" s="290"/>
      <c r="O1667" s="276"/>
      <c r="P1667" s="276"/>
      <c r="Q1667" s="276"/>
      <c r="R1667" s="278"/>
      <c r="S1667" s="278"/>
      <c r="T1667" s="278"/>
      <c r="U1667" s="279"/>
      <c r="V1667" s="279" t="s">
        <v>1824</v>
      </c>
      <c r="W1667" s="280">
        <v>44491.0</v>
      </c>
      <c r="X1667" s="281">
        <v>0.011111111111111112</v>
      </c>
      <c r="Y1667" s="279" t="s">
        <v>1693</v>
      </c>
      <c r="Z1667" s="282" t="s">
        <v>53</v>
      </c>
      <c r="AA1667" s="282">
        <v>6829748.0</v>
      </c>
      <c r="AB1667" s="283">
        <v>44490.0</v>
      </c>
      <c r="AC1667" s="284"/>
      <c r="AD1667" s="284"/>
    </row>
    <row r="1668" ht="14.25" customHeight="1">
      <c r="A1668" s="265">
        <v>44466.0</v>
      </c>
      <c r="B1668" s="266" t="s">
        <v>1733</v>
      </c>
      <c r="C1668" s="266"/>
      <c r="D1668" s="266" t="s">
        <v>1450</v>
      </c>
      <c r="E1668" s="409"/>
      <c r="F1668" s="358" t="s">
        <v>5389</v>
      </c>
      <c r="G1668" s="268" t="s">
        <v>2085</v>
      </c>
      <c r="H1668" s="288">
        <v>0.09943287037037037</v>
      </c>
      <c r="I1668" s="271">
        <v>44466.782638888886</v>
      </c>
      <c r="J1668" s="268"/>
      <c r="K1668" s="271">
        <v>44466.851631944446</v>
      </c>
      <c r="L1668" s="288" t="str">
        <f t="shared" ref="L1668:L1671" si="98">IFERROR(IF(OR(I1668="",K1668=""),"",K1668-I1668),"")</f>
        <v>1:39:21 AM</v>
      </c>
      <c r="M1668" s="278"/>
      <c r="N1668" s="290"/>
      <c r="O1668" s="276"/>
      <c r="P1668" s="276"/>
      <c r="Q1668" s="276"/>
      <c r="R1668" s="278"/>
      <c r="S1668" s="278"/>
      <c r="T1668" s="278"/>
      <c r="U1668" s="279"/>
      <c r="V1668" s="279" t="s">
        <v>1738</v>
      </c>
      <c r="W1668" s="280">
        <v>44468.0</v>
      </c>
      <c r="X1668" s="281">
        <v>0.25</v>
      </c>
      <c r="Y1668" s="279" t="s">
        <v>1693</v>
      </c>
      <c r="Z1668" s="282" t="s">
        <v>53</v>
      </c>
      <c r="AA1668" s="282" t="s">
        <v>5389</v>
      </c>
      <c r="AB1668" s="283">
        <v>44468.0</v>
      </c>
      <c r="AC1668" s="284"/>
      <c r="AD1668" s="284"/>
    </row>
    <row r="1669" ht="14.25" customHeight="1">
      <c r="A1669" s="265">
        <v>44466.0</v>
      </c>
      <c r="B1669" s="266" t="s">
        <v>1824</v>
      </c>
      <c r="C1669" s="266"/>
      <c r="D1669" s="266" t="s">
        <v>1452</v>
      </c>
      <c r="E1669" s="409"/>
      <c r="F1669" s="358" t="s">
        <v>5390</v>
      </c>
      <c r="G1669" s="268" t="s">
        <v>2085</v>
      </c>
      <c r="H1669" s="288">
        <v>0.0044212962962962956</v>
      </c>
      <c r="I1669" s="271">
        <v>44466.53888888889</v>
      </c>
      <c r="J1669" s="268"/>
      <c r="K1669" s="271">
        <v>44466.87736111111</v>
      </c>
      <c r="L1669" s="288" t="str">
        <f t="shared" si="98"/>
        <v>8:07:24 AM</v>
      </c>
      <c r="M1669" s="278"/>
      <c r="N1669" s="290"/>
      <c r="O1669" s="276"/>
      <c r="P1669" s="276"/>
      <c r="Q1669" s="276"/>
      <c r="R1669" s="278"/>
      <c r="S1669" s="278"/>
      <c r="T1669" s="278"/>
      <c r="U1669" s="279"/>
      <c r="V1669" s="279" t="s">
        <v>1824</v>
      </c>
      <c r="W1669" s="280">
        <v>44466.0</v>
      </c>
      <c r="X1669" s="281">
        <v>0.011111111111111112</v>
      </c>
      <c r="Y1669" s="279" t="s">
        <v>1693</v>
      </c>
      <c r="Z1669" s="282" t="s">
        <v>53</v>
      </c>
      <c r="AA1669" s="282" t="s">
        <v>5390</v>
      </c>
      <c r="AB1669" s="283">
        <v>44468.0</v>
      </c>
      <c r="AC1669" s="284"/>
      <c r="AD1669" s="284"/>
    </row>
    <row r="1670" ht="14.25" customHeight="1">
      <c r="A1670" s="265">
        <v>44466.0</v>
      </c>
      <c r="B1670" s="266" t="s">
        <v>1733</v>
      </c>
      <c r="C1670" s="266"/>
      <c r="D1670" s="266" t="s">
        <v>1686</v>
      </c>
      <c r="E1670" s="409"/>
      <c r="F1670" s="358" t="s">
        <v>5391</v>
      </c>
      <c r="G1670" s="268" t="s">
        <v>2085</v>
      </c>
      <c r="H1670" s="288">
        <v>0.03741898148148148</v>
      </c>
      <c r="I1670" s="271">
        <v>44466.59166666667</v>
      </c>
      <c r="J1670" s="268"/>
      <c r="K1670" s="271"/>
      <c r="L1670" s="288" t="str">
        <f t="shared" si="98"/>
        <v/>
      </c>
      <c r="M1670" s="307" t="s">
        <v>3482</v>
      </c>
      <c r="N1670" s="273">
        <v>44467.05003472222</v>
      </c>
      <c r="O1670" s="278" t="s">
        <v>5392</v>
      </c>
      <c r="P1670" s="276" t="s">
        <v>1463</v>
      </c>
      <c r="Q1670" s="276" t="s">
        <v>1819</v>
      </c>
      <c r="R1670" s="277">
        <v>44467.06380787037</v>
      </c>
      <c r="S1670" s="278"/>
      <c r="T1670" s="278" t="s">
        <v>5393</v>
      </c>
      <c r="U1670" s="279"/>
      <c r="V1670" s="279" t="s">
        <v>1685</v>
      </c>
      <c r="W1670" s="280">
        <v>44467.0</v>
      </c>
      <c r="X1670" s="281">
        <v>0.1388888888888889</v>
      </c>
      <c r="Y1670" s="279" t="s">
        <v>1693</v>
      </c>
      <c r="Z1670" s="282" t="s">
        <v>53</v>
      </c>
      <c r="AA1670" s="282" t="s">
        <v>5391</v>
      </c>
      <c r="AB1670" s="283">
        <v>44469.0</v>
      </c>
      <c r="AC1670" s="284"/>
      <c r="AD1670" s="284"/>
    </row>
    <row r="1671" ht="14.25" customHeight="1">
      <c r="A1671" s="265">
        <v>44466.0</v>
      </c>
      <c r="B1671" s="266" t="s">
        <v>3677</v>
      </c>
      <c r="C1671" s="266"/>
      <c r="D1671" s="266" t="s">
        <v>1455</v>
      </c>
      <c r="E1671" s="409"/>
      <c r="F1671" s="358" t="s">
        <v>5394</v>
      </c>
      <c r="G1671" s="268" t="s">
        <v>2085</v>
      </c>
      <c r="H1671" s="288">
        <v>0.020694444444444446</v>
      </c>
      <c r="I1671" s="271">
        <v>44466.96989583333</v>
      </c>
      <c r="J1671" s="268"/>
      <c r="K1671" s="271">
        <v>44466.97822916666</v>
      </c>
      <c r="L1671" s="288" t="str">
        <f t="shared" si="98"/>
        <v>12:12:00 AM</v>
      </c>
      <c r="M1671" s="278"/>
      <c r="N1671" s="290"/>
      <c r="O1671" s="276"/>
      <c r="P1671" s="276"/>
      <c r="Q1671" s="276"/>
      <c r="R1671" s="278"/>
      <c r="S1671" s="278"/>
      <c r="T1671" s="278"/>
      <c r="U1671" s="279"/>
      <c r="V1671" s="279" t="s">
        <v>1824</v>
      </c>
      <c r="W1671" s="280">
        <v>44469.0</v>
      </c>
      <c r="X1671" s="281">
        <v>0.08333333333333333</v>
      </c>
      <c r="Y1671" s="279" t="s">
        <v>1693</v>
      </c>
      <c r="Z1671" s="282" t="s">
        <v>53</v>
      </c>
      <c r="AA1671" s="282" t="s">
        <v>5394</v>
      </c>
      <c r="AB1671" s="283">
        <v>44468.0</v>
      </c>
      <c r="AC1671" s="284"/>
      <c r="AD1671" s="284"/>
    </row>
    <row r="1672" ht="14.25" customHeight="1">
      <c r="A1672" s="265">
        <v>44467.0</v>
      </c>
      <c r="B1672" s="266" t="s">
        <v>1500</v>
      </c>
      <c r="C1672" s="266" t="s">
        <v>2471</v>
      </c>
      <c r="D1672" s="266" t="s">
        <v>1543</v>
      </c>
      <c r="E1672" s="409"/>
      <c r="F1672" s="269" t="s">
        <v>5395</v>
      </c>
      <c r="G1672" s="268" t="s">
        <v>1463</v>
      </c>
      <c r="H1672" s="288">
        <v>8.101851851851852E-4</v>
      </c>
      <c r="I1672" s="271">
        <v>44470.44305555556</v>
      </c>
      <c r="J1672" s="268"/>
      <c r="K1672" s="271">
        <v>44470.45181712963</v>
      </c>
      <c r="L1672" s="288"/>
      <c r="M1672" s="278" t="s">
        <v>5396</v>
      </c>
      <c r="N1672" s="290"/>
      <c r="O1672" s="276"/>
      <c r="P1672" s="276"/>
      <c r="Q1672" s="276"/>
      <c r="R1672" s="278"/>
      <c r="S1672" s="278"/>
      <c r="T1672" s="278"/>
      <c r="U1672" s="279"/>
      <c r="V1672" s="279" t="s">
        <v>1824</v>
      </c>
      <c r="W1672" s="280">
        <v>44474.0</v>
      </c>
      <c r="X1672" s="281">
        <v>0.003472222222222222</v>
      </c>
      <c r="Y1672" s="279" t="s">
        <v>1693</v>
      </c>
      <c r="Z1672" s="282" t="s">
        <v>53</v>
      </c>
      <c r="AA1672" s="282">
        <v>6727870.0</v>
      </c>
      <c r="AB1672" s="283">
        <v>44473.0</v>
      </c>
      <c r="AC1672" s="284"/>
      <c r="AD1672" s="284"/>
    </row>
    <row r="1673" ht="14.25" customHeight="1">
      <c r="A1673" s="265">
        <v>44467.0</v>
      </c>
      <c r="B1673" s="266" t="s">
        <v>1500</v>
      </c>
      <c r="C1673" s="266" t="s">
        <v>1450</v>
      </c>
      <c r="D1673" s="266" t="s">
        <v>1543</v>
      </c>
      <c r="E1673" s="409"/>
      <c r="F1673" s="269" t="s">
        <v>5397</v>
      </c>
      <c r="G1673" s="268" t="s">
        <v>1463</v>
      </c>
      <c r="H1673" s="288">
        <v>0.0015393518518518519</v>
      </c>
      <c r="I1673" s="271">
        <v>44470.81597222222</v>
      </c>
      <c r="J1673" s="268"/>
      <c r="K1673" s="271">
        <v>44471.15388888889</v>
      </c>
      <c r="L1673" s="288"/>
      <c r="M1673" s="278" t="s">
        <v>5398</v>
      </c>
      <c r="N1673" s="290"/>
      <c r="O1673" s="276"/>
      <c r="P1673" s="276"/>
      <c r="Q1673" s="276"/>
      <c r="R1673" s="278"/>
      <c r="S1673" s="278"/>
      <c r="T1673" s="278"/>
      <c r="U1673" s="279"/>
      <c r="V1673" s="279" t="s">
        <v>1824</v>
      </c>
      <c r="W1673" s="280">
        <v>44474.0</v>
      </c>
      <c r="X1673" s="281">
        <v>0.004166666666666667</v>
      </c>
      <c r="Y1673" s="279" t="s">
        <v>1693</v>
      </c>
      <c r="Z1673" s="282" t="s">
        <v>53</v>
      </c>
      <c r="AA1673" s="282">
        <v>6736636.0</v>
      </c>
      <c r="AB1673" s="283">
        <v>44473.0</v>
      </c>
      <c r="AC1673" s="284"/>
      <c r="AD1673" s="284"/>
    </row>
    <row r="1674" ht="14.25" customHeight="1">
      <c r="A1674" s="265">
        <v>44467.0</v>
      </c>
      <c r="B1674" s="266" t="s">
        <v>1824</v>
      </c>
      <c r="C1674" s="266" t="s">
        <v>3472</v>
      </c>
      <c r="D1674" s="266" t="s">
        <v>1455</v>
      </c>
      <c r="E1674" s="409"/>
      <c r="F1674" s="269" t="s">
        <v>5399</v>
      </c>
      <c r="G1674" s="268" t="s">
        <v>1463</v>
      </c>
      <c r="H1674" s="288">
        <v>0.0021296296296296298</v>
      </c>
      <c r="I1674" s="271">
        <v>44470.79305555556</v>
      </c>
      <c r="J1674" s="268"/>
      <c r="K1674" s="271">
        <v>44470.83125</v>
      </c>
      <c r="L1674" s="288"/>
      <c r="M1674" s="278" t="s">
        <v>5400</v>
      </c>
      <c r="N1674" s="290"/>
      <c r="O1674" s="276"/>
      <c r="P1674" s="276"/>
      <c r="Q1674" s="276"/>
      <c r="R1674" s="278"/>
      <c r="S1674" s="278"/>
      <c r="T1674" s="278"/>
      <c r="U1674" s="279"/>
      <c r="V1674" s="279" t="s">
        <v>1824</v>
      </c>
      <c r="W1674" s="280">
        <v>44470.0</v>
      </c>
      <c r="X1674" s="281">
        <v>0.004166666666666667</v>
      </c>
      <c r="Y1674" s="279" t="s">
        <v>1693</v>
      </c>
      <c r="Z1674" s="282" t="s">
        <v>53</v>
      </c>
      <c r="AA1674" s="282">
        <v>6742515.0</v>
      </c>
      <c r="AB1674" s="283">
        <v>44474.0</v>
      </c>
      <c r="AC1674" s="284"/>
      <c r="AD1674" s="284"/>
    </row>
    <row r="1675" ht="14.25" customHeight="1">
      <c r="A1675" s="265">
        <v>44467.0</v>
      </c>
      <c r="B1675" s="266" t="s">
        <v>1500</v>
      </c>
      <c r="C1675" s="266" t="s">
        <v>1696</v>
      </c>
      <c r="D1675" s="266" t="s">
        <v>1543</v>
      </c>
      <c r="E1675" s="409"/>
      <c r="F1675" s="269" t="s">
        <v>5401</v>
      </c>
      <c r="G1675" s="268" t="s">
        <v>1463</v>
      </c>
      <c r="H1675" s="288">
        <v>0.0026041666666666665</v>
      </c>
      <c r="I1675" s="271">
        <v>44473.56527777778</v>
      </c>
      <c r="J1675" s="268"/>
      <c r="K1675" s="271">
        <v>44473.67621527778</v>
      </c>
      <c r="L1675" s="288"/>
      <c r="M1675" s="278" t="s">
        <v>5402</v>
      </c>
      <c r="N1675" s="290"/>
      <c r="O1675" s="276"/>
      <c r="P1675" s="276"/>
      <c r="Q1675" s="276"/>
      <c r="R1675" s="278"/>
      <c r="S1675" s="278"/>
      <c r="T1675" s="278"/>
      <c r="U1675" s="279"/>
      <c r="V1675" s="279" t="s">
        <v>1824</v>
      </c>
      <c r="W1675" s="280">
        <v>44491.0</v>
      </c>
      <c r="X1675" s="281">
        <v>0.005555555555555556</v>
      </c>
      <c r="Y1675" s="279" t="s">
        <v>1693</v>
      </c>
      <c r="Z1675" s="293" t="s">
        <v>53</v>
      </c>
      <c r="AA1675" s="293">
        <v>6742516.0</v>
      </c>
      <c r="AB1675" s="326">
        <v>44477.0</v>
      </c>
      <c r="AC1675" s="284"/>
      <c r="AD1675" s="284"/>
    </row>
    <row r="1676" ht="14.25" customHeight="1">
      <c r="A1676" s="265">
        <v>44467.0</v>
      </c>
      <c r="B1676" s="266" t="s">
        <v>1738</v>
      </c>
      <c r="C1676" s="266" t="s">
        <v>2158</v>
      </c>
      <c r="D1676" s="266" t="s">
        <v>1450</v>
      </c>
      <c r="E1676" s="409"/>
      <c r="F1676" s="269" t="s">
        <v>5403</v>
      </c>
      <c r="G1676" s="268" t="s">
        <v>4787</v>
      </c>
      <c r="H1676" s="288"/>
      <c r="I1676" s="271"/>
      <c r="J1676" s="268"/>
      <c r="K1676" s="271"/>
      <c r="L1676" s="288"/>
      <c r="M1676" s="315"/>
      <c r="N1676" s="290"/>
      <c r="O1676" s="276"/>
      <c r="P1676" s="276"/>
      <c r="Q1676" s="276"/>
      <c r="R1676" s="278"/>
      <c r="S1676" s="278"/>
      <c r="T1676" s="278"/>
      <c r="U1676" s="279"/>
      <c r="V1676" s="279" t="s">
        <v>28</v>
      </c>
      <c r="W1676" s="279"/>
      <c r="X1676" s="279"/>
      <c r="Y1676" s="279"/>
      <c r="Z1676" s="282" t="s">
        <v>28</v>
      </c>
      <c r="AA1676" s="282" t="s">
        <v>28</v>
      </c>
      <c r="AB1676" s="283" t="s">
        <v>28</v>
      </c>
      <c r="AC1676" s="284"/>
      <c r="AD1676" s="284"/>
    </row>
    <row r="1677" ht="14.25" customHeight="1">
      <c r="A1677" s="265">
        <v>44467.0</v>
      </c>
      <c r="B1677" s="266" t="s">
        <v>1738</v>
      </c>
      <c r="C1677" s="266"/>
      <c r="D1677" s="266" t="s">
        <v>1450</v>
      </c>
      <c r="E1677" s="409"/>
      <c r="F1677" s="358" t="s">
        <v>5404</v>
      </c>
      <c r="G1677" s="268" t="s">
        <v>2085</v>
      </c>
      <c r="H1677" s="288">
        <v>0.09796296296296296</v>
      </c>
      <c r="I1677" s="271">
        <v>44467.458333333336</v>
      </c>
      <c r="J1677" s="268"/>
      <c r="K1677" s="271">
        <v>44467.53309027778</v>
      </c>
      <c r="L1677" s="288" t="str">
        <f t="shared" ref="L1677:L1680" si="99">IFERROR(IF(OR(I1677="",K1677=""),"",K1677-I1677),"")</f>
        <v>1:47:39 AM</v>
      </c>
      <c r="M1677" s="315"/>
      <c r="N1677" s="290"/>
      <c r="O1677" s="276"/>
      <c r="P1677" s="276"/>
      <c r="Q1677" s="276"/>
      <c r="R1677" s="278"/>
      <c r="S1677" s="278"/>
      <c r="T1677" s="278"/>
      <c r="U1677" s="279"/>
      <c r="V1677" s="279" t="s">
        <v>1738</v>
      </c>
      <c r="W1677" s="280">
        <v>44469.0</v>
      </c>
      <c r="X1677" s="281">
        <v>0.25</v>
      </c>
      <c r="Y1677" s="279" t="s">
        <v>1693</v>
      </c>
      <c r="Z1677" s="282" t="s">
        <v>53</v>
      </c>
      <c r="AA1677" s="282" t="s">
        <v>5404</v>
      </c>
      <c r="AB1677" s="283">
        <v>44468.0</v>
      </c>
      <c r="AC1677" s="284"/>
      <c r="AD1677" s="284"/>
    </row>
    <row r="1678" ht="14.25" customHeight="1">
      <c r="A1678" s="265">
        <v>44467.0</v>
      </c>
      <c r="B1678" s="266" t="s">
        <v>1824</v>
      </c>
      <c r="C1678" s="266"/>
      <c r="D1678" s="266" t="s">
        <v>1452</v>
      </c>
      <c r="E1678" s="409"/>
      <c r="F1678" s="358" t="s">
        <v>5405</v>
      </c>
      <c r="G1678" s="268" t="s">
        <v>2085</v>
      </c>
      <c r="H1678" s="288">
        <v>0.005324074074074075</v>
      </c>
      <c r="I1678" s="271">
        <v>44467.69375</v>
      </c>
      <c r="J1678" s="268"/>
      <c r="K1678" s="271">
        <v>44468.370092592595</v>
      </c>
      <c r="L1678" s="288" t="str">
        <f t="shared" si="99"/>
        <v>4:13:56 PM</v>
      </c>
      <c r="M1678" s="278"/>
      <c r="N1678" s="290"/>
      <c r="O1678" s="276"/>
      <c r="P1678" s="276"/>
      <c r="Q1678" s="276"/>
      <c r="R1678" s="278"/>
      <c r="S1678" s="278"/>
      <c r="T1678" s="278"/>
      <c r="U1678" s="279"/>
      <c r="V1678" s="279" t="s">
        <v>1824</v>
      </c>
      <c r="W1678" s="280">
        <v>44468.0</v>
      </c>
      <c r="X1678" s="281">
        <v>0.012499999999999999</v>
      </c>
      <c r="Y1678" s="279" t="s">
        <v>1693</v>
      </c>
      <c r="Z1678" s="282" t="s">
        <v>53</v>
      </c>
      <c r="AA1678" s="282" t="s">
        <v>5405</v>
      </c>
      <c r="AB1678" s="283">
        <v>44468.0</v>
      </c>
      <c r="AC1678" s="284"/>
      <c r="AD1678" s="284"/>
    </row>
    <row r="1679" ht="14.25" customHeight="1">
      <c r="A1679" s="265">
        <v>44467.0</v>
      </c>
      <c r="B1679" s="266" t="s">
        <v>1685</v>
      </c>
      <c r="C1679" s="266"/>
      <c r="D1679" s="266" t="s">
        <v>1686</v>
      </c>
      <c r="E1679" s="409"/>
      <c r="F1679" s="358" t="s">
        <v>5406</v>
      </c>
      <c r="G1679" s="268" t="s">
        <v>2085</v>
      </c>
      <c r="H1679" s="288">
        <v>0.037083333333333336</v>
      </c>
      <c r="I1679" s="271">
        <v>44467.64027777778</v>
      </c>
      <c r="J1679" s="268"/>
      <c r="K1679" s="271">
        <v>44468.93375</v>
      </c>
      <c r="L1679" s="288" t="str">
        <f t="shared" si="99"/>
        <v>7:02:36 AM</v>
      </c>
      <c r="M1679" s="278"/>
      <c r="N1679" s="290"/>
      <c r="O1679" s="276"/>
      <c r="P1679" s="276"/>
      <c r="Q1679" s="276"/>
      <c r="R1679" s="278"/>
      <c r="S1679" s="278"/>
      <c r="T1679" s="278"/>
      <c r="U1679" s="279"/>
      <c r="V1679" s="279" t="s">
        <v>1685</v>
      </c>
      <c r="W1679" s="280">
        <v>44468.0</v>
      </c>
      <c r="X1679" s="281">
        <v>0.1388888888888889</v>
      </c>
      <c r="Y1679" s="279" t="s">
        <v>1693</v>
      </c>
      <c r="Z1679" s="282" t="s">
        <v>53</v>
      </c>
      <c r="AA1679" s="282" t="s">
        <v>5406</v>
      </c>
      <c r="AB1679" s="283">
        <v>44468.0</v>
      </c>
      <c r="AC1679" s="284"/>
      <c r="AD1679" s="284"/>
    </row>
    <row r="1680" ht="14.25" customHeight="1">
      <c r="A1680" s="265">
        <v>44467.0</v>
      </c>
      <c r="B1680" s="266" t="s">
        <v>3677</v>
      </c>
      <c r="C1680" s="266"/>
      <c r="D1680" s="266" t="s">
        <v>1455</v>
      </c>
      <c r="E1680" s="409"/>
      <c r="F1680" s="358" t="s">
        <v>5407</v>
      </c>
      <c r="G1680" s="268" t="s">
        <v>2085</v>
      </c>
      <c r="H1680" s="288">
        <v>0.021319444444444443</v>
      </c>
      <c r="I1680" s="271">
        <v>44467.91736111111</v>
      </c>
      <c r="J1680" s="268"/>
      <c r="K1680" s="271">
        <v>44467.93435185185</v>
      </c>
      <c r="L1680" s="288" t="str">
        <f t="shared" si="99"/>
        <v>12:24:28 AM</v>
      </c>
      <c r="M1680" s="278"/>
      <c r="N1680" s="290"/>
      <c r="O1680" s="276"/>
      <c r="P1680" s="276"/>
      <c r="Q1680" s="276"/>
      <c r="R1680" s="278"/>
      <c r="S1680" s="278"/>
      <c r="T1680" s="278"/>
      <c r="U1680" s="279"/>
      <c r="V1680" s="279" t="s">
        <v>1824</v>
      </c>
      <c r="W1680" s="280">
        <v>44469.0</v>
      </c>
      <c r="X1680" s="281">
        <v>0.08333333333333333</v>
      </c>
      <c r="Y1680" s="279" t="s">
        <v>1693</v>
      </c>
      <c r="Z1680" s="282" t="s">
        <v>53</v>
      </c>
      <c r="AA1680" s="282" t="s">
        <v>5407</v>
      </c>
      <c r="AB1680" s="283">
        <v>44468.0</v>
      </c>
      <c r="AC1680" s="284"/>
      <c r="AD1680" s="284"/>
    </row>
    <row r="1681" ht="14.25" customHeight="1">
      <c r="A1681" s="265">
        <v>44468.0</v>
      </c>
      <c r="B1681" s="266" t="s">
        <v>1500</v>
      </c>
      <c r="C1681" s="266" t="s">
        <v>2471</v>
      </c>
      <c r="D1681" s="266" t="s">
        <v>1543</v>
      </c>
      <c r="E1681" s="409"/>
      <c r="F1681" s="269" t="s">
        <v>5408</v>
      </c>
      <c r="G1681" s="268" t="s">
        <v>1463</v>
      </c>
      <c r="H1681" s="270">
        <v>4.8611111111111104E-4</v>
      </c>
      <c r="I1681" s="271">
        <v>44470.44305555556</v>
      </c>
      <c r="J1681" s="268"/>
      <c r="K1681" s="271">
        <v>44470.45181712963</v>
      </c>
      <c r="L1681" s="288"/>
      <c r="M1681" s="278" t="s">
        <v>5409</v>
      </c>
      <c r="N1681" s="290"/>
      <c r="O1681" s="276"/>
      <c r="P1681" s="276"/>
      <c r="Q1681" s="276"/>
      <c r="R1681" s="278"/>
      <c r="S1681" s="278"/>
      <c r="T1681" s="278"/>
      <c r="U1681" s="279"/>
      <c r="V1681" s="279" t="s">
        <v>1824</v>
      </c>
      <c r="W1681" s="280">
        <v>44474.0</v>
      </c>
      <c r="X1681" s="281">
        <v>0.0020833333333333333</v>
      </c>
      <c r="Y1681" s="279" t="s">
        <v>1693</v>
      </c>
      <c r="Z1681" s="282" t="s">
        <v>53</v>
      </c>
      <c r="AA1681" s="282">
        <v>6727871.0</v>
      </c>
      <c r="AB1681" s="283">
        <v>44473.0</v>
      </c>
      <c r="AC1681" s="284"/>
      <c r="AD1681" s="284"/>
    </row>
    <row r="1682" ht="14.25" customHeight="1">
      <c r="A1682" s="265">
        <v>44468.0</v>
      </c>
      <c r="B1682" s="266" t="s">
        <v>1500</v>
      </c>
      <c r="C1682" s="266" t="s">
        <v>1450</v>
      </c>
      <c r="D1682" s="266" t="s">
        <v>1543</v>
      </c>
      <c r="E1682" s="409"/>
      <c r="F1682" s="269" t="s">
        <v>5410</v>
      </c>
      <c r="G1682" s="268" t="s">
        <v>1463</v>
      </c>
      <c r="H1682" s="270">
        <v>0.0014930555555555556</v>
      </c>
      <c r="I1682" s="271">
        <v>44470.48055555556</v>
      </c>
      <c r="J1682" s="268"/>
      <c r="K1682" s="271">
        <v>44471.01107638889</v>
      </c>
      <c r="L1682" s="288"/>
      <c r="M1682" s="278" t="s">
        <v>5411</v>
      </c>
      <c r="N1682" s="290"/>
      <c r="O1682" s="276"/>
      <c r="P1682" s="276"/>
      <c r="Q1682" s="276"/>
      <c r="R1682" s="278"/>
      <c r="S1682" s="278"/>
      <c r="T1682" s="278"/>
      <c r="U1682" s="279"/>
      <c r="V1682" s="279" t="s">
        <v>1824</v>
      </c>
      <c r="W1682" s="280">
        <v>44474.0</v>
      </c>
      <c r="X1682" s="281">
        <v>0.004861111111111111</v>
      </c>
      <c r="Y1682" s="279" t="s">
        <v>1693</v>
      </c>
      <c r="Z1682" s="282" t="s">
        <v>53</v>
      </c>
      <c r="AA1682" s="282">
        <v>6736629.0</v>
      </c>
      <c r="AB1682" s="283">
        <v>44473.0</v>
      </c>
      <c r="AC1682" s="284"/>
      <c r="AD1682" s="284"/>
    </row>
    <row r="1683" ht="14.25" customHeight="1">
      <c r="A1683" s="265">
        <v>44468.0</v>
      </c>
      <c r="B1683" s="266" t="s">
        <v>1500</v>
      </c>
      <c r="C1683" s="266" t="s">
        <v>2471</v>
      </c>
      <c r="D1683" s="266" t="s">
        <v>1543</v>
      </c>
      <c r="E1683" s="409"/>
      <c r="F1683" s="269" t="s">
        <v>5412</v>
      </c>
      <c r="G1683" s="268" t="s">
        <v>1463</v>
      </c>
      <c r="H1683" s="270">
        <v>0.002372685185185185</v>
      </c>
      <c r="I1683" s="271">
        <v>44470.44305555556</v>
      </c>
      <c r="J1683" s="268"/>
      <c r="K1683" s="271">
        <v>44471.01291666667</v>
      </c>
      <c r="L1683" s="288"/>
      <c r="M1683" s="278" t="s">
        <v>5413</v>
      </c>
      <c r="N1683" s="290"/>
      <c r="O1683" s="276"/>
      <c r="P1683" s="276"/>
      <c r="Q1683" s="276"/>
      <c r="R1683" s="278"/>
      <c r="S1683" s="278"/>
      <c r="T1683" s="278"/>
      <c r="U1683" s="279"/>
      <c r="V1683" s="279" t="s">
        <v>1824</v>
      </c>
      <c r="W1683" s="280">
        <v>44474.0</v>
      </c>
      <c r="X1683" s="281">
        <v>0.004166666666666667</v>
      </c>
      <c r="Y1683" s="279" t="s">
        <v>1693</v>
      </c>
      <c r="Z1683" s="282" t="s">
        <v>53</v>
      </c>
      <c r="AA1683" s="282">
        <v>6736637.0</v>
      </c>
      <c r="AB1683" s="283">
        <v>44473.0</v>
      </c>
      <c r="AC1683" s="284"/>
      <c r="AD1683" s="284"/>
    </row>
    <row r="1684" ht="14.25" customHeight="1">
      <c r="A1684" s="265">
        <v>44468.0</v>
      </c>
      <c r="B1684" s="266" t="s">
        <v>2030</v>
      </c>
      <c r="C1684" s="266" t="s">
        <v>2641</v>
      </c>
      <c r="D1684" s="266" t="s">
        <v>1543</v>
      </c>
      <c r="E1684" s="409"/>
      <c r="F1684" s="269" t="s">
        <v>5414</v>
      </c>
      <c r="G1684" s="268" t="s">
        <v>1463</v>
      </c>
      <c r="H1684" s="270">
        <v>0.0020486111111111113</v>
      </c>
      <c r="I1684" s="271">
        <v>44470.48055555556</v>
      </c>
      <c r="J1684" s="268"/>
      <c r="K1684" s="271">
        <v>44470.48263888889</v>
      </c>
      <c r="L1684" s="288"/>
      <c r="M1684" s="278" t="s">
        <v>5415</v>
      </c>
      <c r="N1684" s="290"/>
      <c r="O1684" s="276"/>
      <c r="P1684" s="276"/>
      <c r="Q1684" s="276"/>
      <c r="R1684" s="278"/>
      <c r="S1684" s="278"/>
      <c r="T1684" s="278"/>
      <c r="U1684" s="279"/>
      <c r="V1684" s="279" t="s">
        <v>1824</v>
      </c>
      <c r="W1684" s="280">
        <v>44474.0</v>
      </c>
      <c r="X1684" s="281">
        <v>0.003472222222222222</v>
      </c>
      <c r="Y1684" s="279" t="s">
        <v>1693</v>
      </c>
      <c r="Z1684" s="282" t="s">
        <v>53</v>
      </c>
      <c r="AA1684" s="282">
        <v>6736638.0</v>
      </c>
      <c r="AB1684" s="283">
        <v>44473.0</v>
      </c>
      <c r="AC1684" s="284"/>
      <c r="AD1684" s="284"/>
    </row>
    <row r="1685" ht="14.25" customHeight="1">
      <c r="A1685" s="265">
        <v>44468.0</v>
      </c>
      <c r="B1685" s="266" t="s">
        <v>1500</v>
      </c>
      <c r="C1685" s="266" t="s">
        <v>1450</v>
      </c>
      <c r="D1685" s="266" t="s">
        <v>1543</v>
      </c>
      <c r="E1685" s="409"/>
      <c r="F1685" s="269" t="s">
        <v>5416</v>
      </c>
      <c r="G1685" s="268" t="s">
        <v>1463</v>
      </c>
      <c r="H1685" s="270">
        <v>0.003946759259259259</v>
      </c>
      <c r="I1685" s="271">
        <v>44470.698171296295</v>
      </c>
      <c r="J1685" s="268"/>
      <c r="K1685" s="271">
        <v>44471.0340162037</v>
      </c>
      <c r="L1685" s="288"/>
      <c r="M1685" s="278" t="s">
        <v>5417</v>
      </c>
      <c r="N1685" s="290"/>
      <c r="O1685" s="276"/>
      <c r="P1685" s="276"/>
      <c r="Q1685" s="276"/>
      <c r="R1685" s="278"/>
      <c r="S1685" s="278"/>
      <c r="T1685" s="278"/>
      <c r="U1685" s="279"/>
      <c r="V1685" s="279" t="s">
        <v>1824</v>
      </c>
      <c r="W1685" s="280">
        <v>44474.0</v>
      </c>
      <c r="X1685" s="281">
        <v>0.003472222222222222</v>
      </c>
      <c r="Y1685" s="279" t="s">
        <v>1693</v>
      </c>
      <c r="Z1685" s="282" t="s">
        <v>53</v>
      </c>
      <c r="AA1685" s="282">
        <v>6736639.0</v>
      </c>
      <c r="AB1685" s="283">
        <v>44473.0</v>
      </c>
      <c r="AC1685" s="284"/>
      <c r="AD1685" s="284"/>
    </row>
    <row r="1686" ht="14.25" customHeight="1">
      <c r="A1686" s="265">
        <v>44468.0</v>
      </c>
      <c r="B1686" s="266" t="s">
        <v>1738</v>
      </c>
      <c r="C1686" s="266"/>
      <c r="D1686" s="266" t="s">
        <v>1450</v>
      </c>
      <c r="E1686" s="409"/>
      <c r="F1686" s="358" t="s">
        <v>5418</v>
      </c>
      <c r="G1686" s="268" t="s">
        <v>2085</v>
      </c>
      <c r="H1686" s="288">
        <v>0.09810185185185184</v>
      </c>
      <c r="I1686" s="271">
        <v>44468.455555555556</v>
      </c>
      <c r="J1686" s="268"/>
      <c r="K1686" s="271">
        <v>44468.861805555556</v>
      </c>
      <c r="L1686" s="288" t="str">
        <f t="shared" ref="L1686:L1689" si="100">IFERROR(IF(OR(I1686="",K1686=""),"",K1686-I1686),"")</f>
        <v>9:45:00 AM</v>
      </c>
      <c r="M1686" s="278"/>
      <c r="N1686" s="290"/>
      <c r="O1686" s="276"/>
      <c r="P1686" s="276"/>
      <c r="Q1686" s="276"/>
      <c r="R1686" s="278"/>
      <c r="S1686" s="278"/>
      <c r="T1686" s="278"/>
      <c r="U1686" s="279"/>
      <c r="V1686" s="279" t="s">
        <v>1738</v>
      </c>
      <c r="W1686" s="280">
        <v>44469.0</v>
      </c>
      <c r="X1686" s="281">
        <v>0.25</v>
      </c>
      <c r="Y1686" s="279" t="s">
        <v>1693</v>
      </c>
      <c r="Z1686" s="282" t="s">
        <v>53</v>
      </c>
      <c r="AA1686" s="282" t="s">
        <v>5419</v>
      </c>
      <c r="AB1686" s="283">
        <v>44469.0</v>
      </c>
      <c r="AC1686" s="284"/>
      <c r="AD1686" s="284"/>
    </row>
    <row r="1687" ht="14.25" customHeight="1">
      <c r="A1687" s="265">
        <v>44468.0</v>
      </c>
      <c r="B1687" s="266" t="s">
        <v>1824</v>
      </c>
      <c r="C1687" s="266"/>
      <c r="D1687" s="266" t="s">
        <v>1452</v>
      </c>
      <c r="E1687" s="409"/>
      <c r="F1687" s="358" t="s">
        <v>5419</v>
      </c>
      <c r="G1687" s="268" t="s">
        <v>2085</v>
      </c>
      <c r="H1687" s="288">
        <v>7.291666666666667E-4</v>
      </c>
      <c r="I1687" s="271">
        <v>44468.52222222222</v>
      </c>
      <c r="J1687" s="268"/>
      <c r="K1687" s="271">
        <v>44468.524305555555</v>
      </c>
      <c r="L1687" s="288" t="str">
        <f t="shared" si="100"/>
        <v>12:03:00 AM</v>
      </c>
      <c r="M1687" s="278"/>
      <c r="N1687" s="290"/>
      <c r="O1687" s="276"/>
      <c r="P1687" s="276"/>
      <c r="Q1687" s="276"/>
      <c r="R1687" s="278"/>
      <c r="S1687" s="278"/>
      <c r="T1687" s="278"/>
      <c r="U1687" s="279"/>
      <c r="V1687" s="279" t="s">
        <v>1824</v>
      </c>
      <c r="W1687" s="280">
        <v>44468.0</v>
      </c>
      <c r="X1687" s="281">
        <v>0.003472222222222222</v>
      </c>
      <c r="Y1687" s="279" t="s">
        <v>1693</v>
      </c>
      <c r="Z1687" s="282" t="s">
        <v>53</v>
      </c>
      <c r="AA1687" s="282" t="s">
        <v>5419</v>
      </c>
      <c r="AB1687" s="283">
        <v>44469.0</v>
      </c>
      <c r="AC1687" s="284"/>
      <c r="AD1687" s="284"/>
    </row>
    <row r="1688" ht="14.25" customHeight="1">
      <c r="A1688" s="265">
        <v>44468.0</v>
      </c>
      <c r="B1688" s="266" t="s">
        <v>1685</v>
      </c>
      <c r="C1688" s="266"/>
      <c r="D1688" s="266" t="s">
        <v>1686</v>
      </c>
      <c r="E1688" s="409"/>
      <c r="F1688" s="358" t="s">
        <v>5420</v>
      </c>
      <c r="G1688" s="268" t="s">
        <v>2085</v>
      </c>
      <c r="H1688" s="288">
        <v>0.03214120370370371</v>
      </c>
      <c r="I1688" s="271">
        <v>44468.61111111111</v>
      </c>
      <c r="J1688" s="268"/>
      <c r="K1688" s="271">
        <v>44469.73572916666</v>
      </c>
      <c r="L1688" s="288" t="str">
        <f t="shared" si="100"/>
        <v>2:59:27 AM</v>
      </c>
      <c r="M1688" s="278"/>
      <c r="N1688" s="290"/>
      <c r="O1688" s="276"/>
      <c r="P1688" s="276"/>
      <c r="Q1688" s="276"/>
      <c r="R1688" s="278"/>
      <c r="S1688" s="278"/>
      <c r="T1688" s="278"/>
      <c r="U1688" s="279"/>
      <c r="V1688" s="279" t="s">
        <v>1685</v>
      </c>
      <c r="W1688" s="280">
        <v>44468.0</v>
      </c>
      <c r="X1688" s="281">
        <v>0.125</v>
      </c>
      <c r="Y1688" s="279" t="s">
        <v>1693</v>
      </c>
      <c r="Z1688" s="282" t="s">
        <v>53</v>
      </c>
      <c r="AA1688" s="282" t="s">
        <v>5420</v>
      </c>
      <c r="AB1688" s="283">
        <v>44469.0</v>
      </c>
      <c r="AC1688" s="284"/>
      <c r="AD1688" s="284"/>
    </row>
    <row r="1689" ht="14.25" customHeight="1">
      <c r="A1689" s="265">
        <v>44468.0</v>
      </c>
      <c r="B1689" s="266" t="s">
        <v>3677</v>
      </c>
      <c r="C1689" s="266"/>
      <c r="D1689" s="266" t="s">
        <v>1455</v>
      </c>
      <c r="E1689" s="409"/>
      <c r="F1689" s="358" t="s">
        <v>5421</v>
      </c>
      <c r="G1689" s="268" t="s">
        <v>2085</v>
      </c>
      <c r="H1689" s="270">
        <v>0.01925925925925926</v>
      </c>
      <c r="I1689" s="271">
        <v>44468.896527777775</v>
      </c>
      <c r="J1689" s="268"/>
      <c r="K1689" s="271">
        <v>44468.905023148145</v>
      </c>
      <c r="L1689" s="288" t="str">
        <f t="shared" si="100"/>
        <v>12:12:14 AM</v>
      </c>
      <c r="M1689" s="278"/>
      <c r="N1689" s="290"/>
      <c r="O1689" s="276"/>
      <c r="P1689" s="276"/>
      <c r="Q1689" s="276"/>
      <c r="R1689" s="278"/>
      <c r="S1689" s="278"/>
      <c r="T1689" s="278"/>
      <c r="U1689" s="279"/>
      <c r="V1689" s="279" t="s">
        <v>1824</v>
      </c>
      <c r="W1689" s="280">
        <v>44470.0</v>
      </c>
      <c r="X1689" s="281">
        <v>0.08333333333333333</v>
      </c>
      <c r="Y1689" s="279" t="s">
        <v>1693</v>
      </c>
      <c r="Z1689" s="282" t="s">
        <v>53</v>
      </c>
      <c r="AA1689" s="282" t="s">
        <v>5421</v>
      </c>
      <c r="AB1689" s="283">
        <v>44469.0</v>
      </c>
      <c r="AC1689" s="284"/>
      <c r="AD1689" s="284"/>
    </row>
    <row r="1690" ht="14.25" customHeight="1">
      <c r="A1690" s="265">
        <v>44469.0</v>
      </c>
      <c r="B1690" s="266" t="s">
        <v>1824</v>
      </c>
      <c r="C1690" s="266" t="s">
        <v>3472</v>
      </c>
      <c r="D1690" s="266" t="s">
        <v>1455</v>
      </c>
      <c r="E1690" s="409"/>
      <c r="F1690" s="269" t="s">
        <v>5422</v>
      </c>
      <c r="G1690" s="268" t="s">
        <v>1463</v>
      </c>
      <c r="H1690" s="270">
        <v>0.0021064814814814813</v>
      </c>
      <c r="I1690" s="271">
        <v>44476.705555555556</v>
      </c>
      <c r="J1690" s="268"/>
      <c r="K1690" s="271">
        <v>44476.70821759259</v>
      </c>
      <c r="L1690" s="288"/>
      <c r="M1690" s="278" t="s">
        <v>5423</v>
      </c>
      <c r="N1690" s="290"/>
      <c r="O1690" s="276"/>
      <c r="P1690" s="276"/>
      <c r="Q1690" s="276"/>
      <c r="R1690" s="278"/>
      <c r="S1690" s="278"/>
      <c r="T1690" s="278"/>
      <c r="U1690" s="279"/>
      <c r="V1690" s="279" t="s">
        <v>1824</v>
      </c>
      <c r="W1690" s="280">
        <v>44476.0</v>
      </c>
      <c r="X1690" s="281">
        <v>0.0020833333333333333</v>
      </c>
      <c r="Y1690" s="279" t="s">
        <v>1693</v>
      </c>
      <c r="Z1690" s="282" t="s">
        <v>53</v>
      </c>
      <c r="AA1690" s="282">
        <v>6758954.0</v>
      </c>
      <c r="AB1690" s="283">
        <v>44477.0</v>
      </c>
      <c r="AC1690" s="284"/>
      <c r="AD1690" s="284"/>
    </row>
    <row r="1691" ht="14.25" customHeight="1">
      <c r="A1691" s="265">
        <v>44469.0</v>
      </c>
      <c r="B1691" s="266" t="s">
        <v>1738</v>
      </c>
      <c r="C1691" s="266" t="s">
        <v>2158</v>
      </c>
      <c r="D1691" s="266" t="s">
        <v>1450</v>
      </c>
      <c r="E1691" s="409"/>
      <c r="F1691" s="269" t="s">
        <v>5424</v>
      </c>
      <c r="G1691" s="268" t="s">
        <v>4787</v>
      </c>
      <c r="H1691" s="270"/>
      <c r="I1691" s="271"/>
      <c r="J1691" s="268"/>
      <c r="K1691" s="271"/>
      <c r="L1691" s="288"/>
      <c r="M1691" s="278"/>
      <c r="N1691" s="290"/>
      <c r="O1691" s="276"/>
      <c r="P1691" s="276"/>
      <c r="Q1691" s="276"/>
      <c r="R1691" s="278"/>
      <c r="S1691" s="278"/>
      <c r="T1691" s="278"/>
      <c r="U1691" s="279"/>
      <c r="V1691" s="279" t="s">
        <v>28</v>
      </c>
      <c r="W1691" s="279"/>
      <c r="X1691" s="279"/>
      <c r="Y1691" s="279"/>
      <c r="Z1691" s="282" t="s">
        <v>28</v>
      </c>
      <c r="AA1691" s="282" t="s">
        <v>28</v>
      </c>
      <c r="AB1691" s="283" t="s">
        <v>28</v>
      </c>
      <c r="AC1691" s="284"/>
      <c r="AD1691" s="284"/>
    </row>
    <row r="1692" ht="14.25" customHeight="1">
      <c r="A1692" s="265">
        <v>44469.0</v>
      </c>
      <c r="B1692" s="266" t="s">
        <v>1738</v>
      </c>
      <c r="C1692" s="266"/>
      <c r="D1692" s="266" t="s">
        <v>1450</v>
      </c>
      <c r="E1692" s="409"/>
      <c r="F1692" s="358" t="s">
        <v>5425</v>
      </c>
      <c r="G1692" s="268" t="s">
        <v>2085</v>
      </c>
      <c r="H1692" s="270">
        <v>0.09766203703703703</v>
      </c>
      <c r="I1692" s="271">
        <v>44469.45416666667</v>
      </c>
      <c r="J1692" s="268"/>
      <c r="K1692" s="271">
        <v>44469.52863425926</v>
      </c>
      <c r="L1692" s="288" t="str">
        <f t="shared" ref="L1692:L1695" si="101">IFERROR(IF(OR(I1692="",K1692=""),"",K1692-I1692),"")</f>
        <v>1:47:14 AM</v>
      </c>
      <c r="M1692" s="278"/>
      <c r="N1692" s="290"/>
      <c r="O1692" s="276"/>
      <c r="P1692" s="276"/>
      <c r="Q1692" s="276"/>
      <c r="R1692" s="278"/>
      <c r="S1692" s="278"/>
      <c r="T1692" s="278"/>
      <c r="U1692" s="279"/>
      <c r="V1692" s="279" t="s">
        <v>1738</v>
      </c>
      <c r="W1692" s="280">
        <v>44470.0</v>
      </c>
      <c r="X1692" s="281">
        <v>0.25</v>
      </c>
      <c r="Y1692" s="279" t="s">
        <v>1693</v>
      </c>
      <c r="Z1692" s="282" t="s">
        <v>53</v>
      </c>
      <c r="AA1692" s="282" t="s">
        <v>5425</v>
      </c>
      <c r="AB1692" s="283">
        <v>44470.0</v>
      </c>
      <c r="AC1692" s="284"/>
      <c r="AD1692" s="284"/>
    </row>
    <row r="1693" ht="14.25" customHeight="1">
      <c r="A1693" s="265">
        <v>44469.0</v>
      </c>
      <c r="B1693" s="266" t="s">
        <v>3677</v>
      </c>
      <c r="C1693" s="266"/>
      <c r="D1693" s="266" t="s">
        <v>1455</v>
      </c>
      <c r="E1693" s="409"/>
      <c r="F1693" s="358" t="s">
        <v>5426</v>
      </c>
      <c r="G1693" s="268" t="s">
        <v>2085</v>
      </c>
      <c r="H1693" s="270">
        <v>0.02107638888888889</v>
      </c>
      <c r="I1693" s="271">
        <v>44469.93472222222</v>
      </c>
      <c r="J1693" s="268"/>
      <c r="K1693" s="271">
        <v>44469.95109953704</v>
      </c>
      <c r="L1693" s="288" t="str">
        <f t="shared" si="101"/>
        <v>12:23:35 AM</v>
      </c>
      <c r="M1693" s="278"/>
      <c r="N1693" s="290"/>
      <c r="O1693" s="276"/>
      <c r="P1693" s="276"/>
      <c r="Q1693" s="276"/>
      <c r="R1693" s="278"/>
      <c r="S1693" s="278"/>
      <c r="T1693" s="278"/>
      <c r="U1693" s="279"/>
      <c r="V1693" s="279" t="s">
        <v>1824</v>
      </c>
      <c r="W1693" s="280">
        <v>44470.0</v>
      </c>
      <c r="X1693" s="281">
        <v>0.08333333333333333</v>
      </c>
      <c r="Y1693" s="279" t="s">
        <v>1693</v>
      </c>
      <c r="Z1693" s="282" t="s">
        <v>53</v>
      </c>
      <c r="AA1693" s="282" t="s">
        <v>5427</v>
      </c>
      <c r="AB1693" s="283">
        <v>44470.0</v>
      </c>
      <c r="AC1693" s="284"/>
      <c r="AD1693" s="284"/>
    </row>
    <row r="1694" ht="14.25" customHeight="1">
      <c r="A1694" s="265">
        <v>44469.0</v>
      </c>
      <c r="B1694" s="266" t="s">
        <v>1824</v>
      </c>
      <c r="C1694" s="266"/>
      <c r="D1694" s="266" t="s">
        <v>1452</v>
      </c>
      <c r="E1694" s="268"/>
      <c r="F1694" s="358" t="s">
        <v>5428</v>
      </c>
      <c r="G1694" s="268" t="s">
        <v>2085</v>
      </c>
      <c r="H1694" s="270">
        <v>0.006284722222222223</v>
      </c>
      <c r="I1694" s="271">
        <v>44469.76597222222</v>
      </c>
      <c r="J1694" s="268"/>
      <c r="K1694" s="271">
        <v>44469.9034837963</v>
      </c>
      <c r="L1694" s="288" t="str">
        <f t="shared" si="101"/>
        <v>3:18:01 AM</v>
      </c>
      <c r="M1694" s="278"/>
      <c r="N1694" s="290"/>
      <c r="O1694" s="276"/>
      <c r="P1694" s="276"/>
      <c r="Q1694" s="276"/>
      <c r="R1694" s="278"/>
      <c r="S1694" s="278"/>
      <c r="T1694" s="278"/>
      <c r="U1694" s="279"/>
      <c r="V1694" s="279" t="s">
        <v>1824</v>
      </c>
      <c r="W1694" s="280">
        <v>44469.0</v>
      </c>
      <c r="X1694" s="281">
        <v>0.017361111111111112</v>
      </c>
      <c r="Y1694" s="279" t="s">
        <v>1693</v>
      </c>
      <c r="Z1694" s="282" t="s">
        <v>53</v>
      </c>
      <c r="AA1694" s="282" t="s">
        <v>5428</v>
      </c>
      <c r="AB1694" s="283">
        <v>44470.0</v>
      </c>
      <c r="AC1694" s="284"/>
      <c r="AD1694" s="284"/>
    </row>
    <row r="1695" ht="14.25" customHeight="1">
      <c r="A1695" s="265">
        <v>44469.0</v>
      </c>
      <c r="B1695" s="266" t="s">
        <v>1685</v>
      </c>
      <c r="C1695" s="266"/>
      <c r="D1695" s="266" t="s">
        <v>1686</v>
      </c>
      <c r="E1695" s="268"/>
      <c r="F1695" s="358" t="s">
        <v>5429</v>
      </c>
      <c r="G1695" s="268" t="s">
        <v>2085</v>
      </c>
      <c r="H1695" s="270">
        <v>0.03729166666666667</v>
      </c>
      <c r="I1695" s="271">
        <v>44469.71805555555</v>
      </c>
      <c r="J1695" s="268"/>
      <c r="K1695" s="271">
        <v>44469.73704861111</v>
      </c>
      <c r="L1695" s="288" t="str">
        <f t="shared" si="101"/>
        <v>12:27:21 AM</v>
      </c>
      <c r="M1695" s="278"/>
      <c r="N1695" s="290"/>
      <c r="O1695" s="276"/>
      <c r="P1695" s="276"/>
      <c r="Q1695" s="276"/>
      <c r="R1695" s="278"/>
      <c r="S1695" s="278"/>
      <c r="T1695" s="278"/>
      <c r="U1695" s="279"/>
      <c r="V1695" s="279" t="s">
        <v>1685</v>
      </c>
      <c r="W1695" s="280">
        <v>44470.0</v>
      </c>
      <c r="X1695" s="281">
        <v>0.125</v>
      </c>
      <c r="Y1695" s="279" t="s">
        <v>1693</v>
      </c>
      <c r="Z1695" s="282" t="s">
        <v>53</v>
      </c>
      <c r="AA1695" s="282" t="s">
        <v>5429</v>
      </c>
      <c r="AB1695" s="283">
        <v>44470.0</v>
      </c>
      <c r="AC1695" s="284"/>
      <c r="AD1695" s="284"/>
    </row>
    <row r="1696" ht="14.25" customHeight="1">
      <c r="A1696" s="265">
        <v>44470.0</v>
      </c>
      <c r="B1696" s="266" t="s">
        <v>2030</v>
      </c>
      <c r="C1696" s="266" t="s">
        <v>2641</v>
      </c>
      <c r="D1696" s="266" t="s">
        <v>1543</v>
      </c>
      <c r="E1696" s="268"/>
      <c r="F1696" s="291" t="s">
        <v>5430</v>
      </c>
      <c r="G1696" s="268" t="s">
        <v>1463</v>
      </c>
      <c r="H1696" s="270">
        <v>0.005358796296296296</v>
      </c>
      <c r="I1696" s="271">
        <v>44470.49652777778</v>
      </c>
      <c r="J1696" s="268"/>
      <c r="K1696" s="271">
        <v>44470.5</v>
      </c>
      <c r="L1696" s="288"/>
      <c r="M1696" s="278" t="s">
        <v>5431</v>
      </c>
      <c r="N1696" s="290"/>
      <c r="O1696" s="276"/>
      <c r="P1696" s="276"/>
      <c r="Q1696" s="276"/>
      <c r="R1696" s="278"/>
      <c r="S1696" s="278"/>
      <c r="T1696" s="278"/>
      <c r="U1696" s="279"/>
      <c r="V1696" s="279" t="s">
        <v>1824</v>
      </c>
      <c r="W1696" s="280">
        <v>44474.0</v>
      </c>
      <c r="X1696" s="281">
        <v>0.006944444444444444</v>
      </c>
      <c r="Y1696" s="279" t="s">
        <v>1693</v>
      </c>
      <c r="Z1696" s="282" t="s">
        <v>53</v>
      </c>
      <c r="AA1696" s="282">
        <v>6736641.0</v>
      </c>
      <c r="AB1696" s="283">
        <v>44473.0</v>
      </c>
      <c r="AC1696" s="284"/>
      <c r="AD1696" s="284"/>
    </row>
    <row r="1697" ht="14.25" customHeight="1">
      <c r="A1697" s="265">
        <v>44470.0</v>
      </c>
      <c r="B1697" s="266" t="s">
        <v>1500</v>
      </c>
      <c r="C1697" s="266" t="s">
        <v>2641</v>
      </c>
      <c r="D1697" s="266" t="s">
        <v>1543</v>
      </c>
      <c r="E1697" s="268"/>
      <c r="F1697" s="291" t="s">
        <v>5432</v>
      </c>
      <c r="G1697" s="268" t="s">
        <v>1463</v>
      </c>
      <c r="H1697" s="270">
        <v>0.007141203703703704</v>
      </c>
      <c r="I1697" s="271">
        <v>44473.51597222222</v>
      </c>
      <c r="J1697" s="268"/>
      <c r="K1697" s="271">
        <v>44473.531539351854</v>
      </c>
      <c r="L1697" s="288"/>
      <c r="M1697" s="278" t="s">
        <v>5433</v>
      </c>
      <c r="N1697" s="290"/>
      <c r="O1697" s="276"/>
      <c r="P1697" s="276"/>
      <c r="Q1697" s="276"/>
      <c r="R1697" s="278"/>
      <c r="S1697" s="278"/>
      <c r="T1697" s="278"/>
      <c r="U1697" s="279"/>
      <c r="V1697" s="279" t="s">
        <v>1824</v>
      </c>
      <c r="W1697" s="280">
        <v>44494.0</v>
      </c>
      <c r="X1697" s="281">
        <v>0.010416666666666666</v>
      </c>
      <c r="Y1697" s="279" t="s">
        <v>1693</v>
      </c>
      <c r="Z1697" s="282" t="s">
        <v>53</v>
      </c>
      <c r="AA1697" s="282">
        <v>6742517.0</v>
      </c>
      <c r="AB1697" s="283">
        <v>44474.0</v>
      </c>
      <c r="AC1697" s="284"/>
      <c r="AD1697" s="284"/>
    </row>
    <row r="1698" ht="14.25" customHeight="1">
      <c r="A1698" s="265">
        <v>44470.0</v>
      </c>
      <c r="B1698" s="266" t="s">
        <v>1500</v>
      </c>
      <c r="C1698" s="266" t="s">
        <v>1696</v>
      </c>
      <c r="D1698" s="266" t="s">
        <v>1543</v>
      </c>
      <c r="E1698" s="268"/>
      <c r="F1698" s="291" t="s">
        <v>5434</v>
      </c>
      <c r="G1698" s="268" t="s">
        <v>1463</v>
      </c>
      <c r="H1698" s="270">
        <v>0.001736111111111111</v>
      </c>
      <c r="I1698" s="271">
        <v>44473.55347222222</v>
      </c>
      <c r="J1698" s="268"/>
      <c r="K1698" s="271">
        <v>44473.56291666667</v>
      </c>
      <c r="L1698" s="288"/>
      <c r="M1698" s="278" t="s">
        <v>5435</v>
      </c>
      <c r="N1698" s="290"/>
      <c r="O1698" s="276"/>
      <c r="P1698" s="276"/>
      <c r="Q1698" s="276"/>
      <c r="R1698" s="278"/>
      <c r="S1698" s="278"/>
      <c r="T1698" s="278"/>
      <c r="U1698" s="279"/>
      <c r="V1698" s="279" t="s">
        <v>1824</v>
      </c>
      <c r="W1698" s="280">
        <v>44491.0</v>
      </c>
      <c r="X1698" s="281">
        <v>0.004861111111111111</v>
      </c>
      <c r="Y1698" s="279" t="s">
        <v>1693</v>
      </c>
      <c r="Z1698" s="282" t="s">
        <v>53</v>
      </c>
      <c r="AA1698" s="282">
        <v>6742518.0</v>
      </c>
      <c r="AB1698" s="283">
        <v>44474.0</v>
      </c>
      <c r="AC1698" s="284"/>
      <c r="AD1698" s="284"/>
    </row>
    <row r="1699" ht="14.25" customHeight="1">
      <c r="A1699" s="265">
        <v>44470.0</v>
      </c>
      <c r="B1699" s="266" t="s">
        <v>1500</v>
      </c>
      <c r="C1699" s="266" t="s">
        <v>2083</v>
      </c>
      <c r="D1699" s="266" t="s">
        <v>1543</v>
      </c>
      <c r="E1699" s="268"/>
      <c r="F1699" s="291" t="s">
        <v>5436</v>
      </c>
      <c r="G1699" s="268" t="s">
        <v>1463</v>
      </c>
      <c r="H1699" s="270">
        <v>0.005833333333333334</v>
      </c>
      <c r="I1699" s="271">
        <v>44473.62777777778</v>
      </c>
      <c r="J1699" s="268"/>
      <c r="K1699" s="271">
        <v>44473.650289351855</v>
      </c>
      <c r="L1699" s="288"/>
      <c r="M1699" s="278" t="s">
        <v>5437</v>
      </c>
      <c r="N1699" s="290"/>
      <c r="O1699" s="276"/>
      <c r="P1699" s="276"/>
      <c r="Q1699" s="276"/>
      <c r="R1699" s="278"/>
      <c r="S1699" s="278"/>
      <c r="T1699" s="278"/>
      <c r="U1699" s="279"/>
      <c r="V1699" s="279" t="s">
        <v>1824</v>
      </c>
      <c r="W1699" s="280">
        <v>44475.0</v>
      </c>
      <c r="X1699" s="281">
        <v>0.013888888888888888</v>
      </c>
      <c r="Y1699" s="279" t="s">
        <v>1693</v>
      </c>
      <c r="Z1699" s="282" t="s">
        <v>53</v>
      </c>
      <c r="AA1699" s="282">
        <v>6742519.0</v>
      </c>
      <c r="AB1699" s="283">
        <v>44474.0</v>
      </c>
      <c r="AC1699" s="284"/>
      <c r="AD1699" s="284"/>
    </row>
    <row r="1700" ht="14.25" customHeight="1">
      <c r="A1700" s="265">
        <v>44470.0</v>
      </c>
      <c r="B1700" s="266" t="s">
        <v>1733</v>
      </c>
      <c r="C1700" s="266" t="s">
        <v>1831</v>
      </c>
      <c r="D1700" s="266" t="s">
        <v>1686</v>
      </c>
      <c r="E1700" s="268"/>
      <c r="F1700" s="286" t="s">
        <v>5438</v>
      </c>
      <c r="G1700" s="268" t="s">
        <v>4787</v>
      </c>
      <c r="H1700" s="270"/>
      <c r="I1700" s="271"/>
      <c r="J1700" s="268"/>
      <c r="K1700" s="271"/>
      <c r="L1700" s="288"/>
      <c r="M1700" s="278" t="s">
        <v>3915</v>
      </c>
      <c r="N1700" s="290"/>
      <c r="O1700" s="276"/>
      <c r="P1700" s="276"/>
      <c r="Q1700" s="276"/>
      <c r="R1700" s="278"/>
      <c r="S1700" s="278"/>
      <c r="T1700" s="278" t="s">
        <v>3915</v>
      </c>
      <c r="U1700" s="279" t="s">
        <v>28</v>
      </c>
      <c r="V1700" s="279" t="s">
        <v>28</v>
      </c>
      <c r="W1700" s="279" t="s">
        <v>28</v>
      </c>
      <c r="X1700" s="279" t="s">
        <v>28</v>
      </c>
      <c r="Y1700" s="279" t="s">
        <v>28</v>
      </c>
      <c r="Z1700" s="282" t="s">
        <v>28</v>
      </c>
      <c r="AA1700" s="282" t="s">
        <v>28</v>
      </c>
      <c r="AB1700" s="283" t="s">
        <v>28</v>
      </c>
      <c r="AC1700" s="284"/>
      <c r="AD1700" s="284"/>
    </row>
    <row r="1701" ht="14.25" customHeight="1">
      <c r="A1701" s="265">
        <v>44470.0</v>
      </c>
      <c r="B1701" s="266" t="s">
        <v>1824</v>
      </c>
      <c r="C1701" s="266" t="s">
        <v>5439</v>
      </c>
      <c r="D1701" s="266" t="s">
        <v>1455</v>
      </c>
      <c r="E1701" s="268"/>
      <c r="F1701" s="286" t="s">
        <v>5440</v>
      </c>
      <c r="G1701" s="268" t="s">
        <v>4787</v>
      </c>
      <c r="H1701" s="270"/>
      <c r="I1701" s="271"/>
      <c r="J1701" s="268"/>
      <c r="K1701" s="271"/>
      <c r="L1701" s="288"/>
      <c r="M1701" s="278" t="s">
        <v>3915</v>
      </c>
      <c r="N1701" s="290"/>
      <c r="O1701" s="276"/>
      <c r="P1701" s="276"/>
      <c r="Q1701" s="276"/>
      <c r="R1701" s="278"/>
      <c r="S1701" s="278"/>
      <c r="T1701" s="278" t="s">
        <v>3915</v>
      </c>
      <c r="U1701" s="279"/>
      <c r="V1701" s="279" t="s">
        <v>28</v>
      </c>
      <c r="W1701" s="280" t="s">
        <v>28</v>
      </c>
      <c r="X1701" s="281" t="s">
        <v>28</v>
      </c>
      <c r="Y1701" s="279" t="s">
        <v>28</v>
      </c>
      <c r="Z1701" s="282" t="s">
        <v>28</v>
      </c>
      <c r="AA1701" s="282" t="s">
        <v>28</v>
      </c>
      <c r="AB1701" s="283" t="s">
        <v>28</v>
      </c>
      <c r="AC1701" s="284"/>
      <c r="AD1701" s="284"/>
    </row>
    <row r="1702" ht="15.0" customHeight="1">
      <c r="A1702" s="265">
        <v>44470.0</v>
      </c>
      <c r="B1702" s="266" t="s">
        <v>1738</v>
      </c>
      <c r="C1702" s="266"/>
      <c r="D1702" s="266" t="s">
        <v>1450</v>
      </c>
      <c r="E1702" s="268"/>
      <c r="F1702" s="358" t="s">
        <v>5427</v>
      </c>
      <c r="G1702" s="268" t="s">
        <v>2085</v>
      </c>
      <c r="H1702" s="270">
        <v>0.09900462962962964</v>
      </c>
      <c r="I1702" s="271">
        <v>44470.4875</v>
      </c>
      <c r="J1702" s="268"/>
      <c r="K1702" s="271">
        <v>44470.59375</v>
      </c>
      <c r="L1702" s="288" t="str">
        <f t="shared" ref="L1702:L1705" si="102">IFERROR(IF(OR(I1702="",K1702=""),"",K1702-I1702),"")</f>
        <v>2:33:00 AM</v>
      </c>
      <c r="M1702" s="278"/>
      <c r="N1702" s="290"/>
      <c r="O1702" s="276"/>
      <c r="P1702" s="276"/>
      <c r="Q1702" s="276"/>
      <c r="R1702" s="278"/>
      <c r="S1702" s="278"/>
      <c r="T1702" s="278"/>
      <c r="U1702" s="279"/>
      <c r="V1702" s="279" t="s">
        <v>2030</v>
      </c>
      <c r="W1702" s="280">
        <v>44473.0</v>
      </c>
      <c r="X1702" s="281">
        <v>0.2708333333333333</v>
      </c>
      <c r="Y1702" s="279" t="s">
        <v>1693</v>
      </c>
      <c r="Z1702" s="282" t="s">
        <v>53</v>
      </c>
      <c r="AA1702" s="282" t="s">
        <v>5427</v>
      </c>
      <c r="AB1702" s="283">
        <v>44473.0</v>
      </c>
      <c r="AC1702" s="284"/>
      <c r="AD1702" s="284"/>
    </row>
    <row r="1703" ht="14.25" customHeight="1">
      <c r="A1703" s="265">
        <v>44470.0</v>
      </c>
      <c r="B1703" s="266" t="s">
        <v>1824</v>
      </c>
      <c r="C1703" s="266"/>
      <c r="D1703" s="266" t="s">
        <v>1452</v>
      </c>
      <c r="E1703" s="268"/>
      <c r="F1703" s="358" t="s">
        <v>5441</v>
      </c>
      <c r="G1703" s="268" t="s">
        <v>2085</v>
      </c>
      <c r="H1703" s="270">
        <v>0.0052430555555555555</v>
      </c>
      <c r="I1703" s="271">
        <v>44470.527083333334</v>
      </c>
      <c r="J1703" s="268"/>
      <c r="K1703" s="271">
        <v>44470.86819444445</v>
      </c>
      <c r="L1703" s="288" t="str">
        <f t="shared" si="102"/>
        <v>8:11:12 AM</v>
      </c>
      <c r="M1703" s="278"/>
      <c r="N1703" s="290"/>
      <c r="O1703" s="276"/>
      <c r="P1703" s="276"/>
      <c r="Q1703" s="276"/>
      <c r="R1703" s="278"/>
      <c r="S1703" s="278"/>
      <c r="T1703" s="278"/>
      <c r="U1703" s="279"/>
      <c r="V1703" s="279" t="s">
        <v>1824</v>
      </c>
      <c r="W1703" s="280">
        <v>44470.0</v>
      </c>
      <c r="X1703" s="281">
        <v>0.010416666666666666</v>
      </c>
      <c r="Y1703" s="279" t="s">
        <v>1693</v>
      </c>
      <c r="Z1703" s="282" t="s">
        <v>53</v>
      </c>
      <c r="AA1703" s="282" t="s">
        <v>5441</v>
      </c>
      <c r="AB1703" s="283">
        <v>44473.0</v>
      </c>
      <c r="AC1703" s="284"/>
      <c r="AD1703" s="284"/>
    </row>
    <row r="1704" ht="14.25" customHeight="1">
      <c r="A1704" s="265">
        <v>44470.0</v>
      </c>
      <c r="B1704" s="266" t="s">
        <v>1685</v>
      </c>
      <c r="C1704" s="266"/>
      <c r="D1704" s="266" t="s">
        <v>1686</v>
      </c>
      <c r="E1704" s="268"/>
      <c r="F1704" s="358" t="s">
        <v>5442</v>
      </c>
      <c r="G1704" s="268" t="s">
        <v>2085</v>
      </c>
      <c r="H1704" s="270">
        <v>0.03767361111111111</v>
      </c>
      <c r="I1704" s="271">
        <v>44470.56875</v>
      </c>
      <c r="J1704" s="268"/>
      <c r="K1704" s="271">
        <v>44470.95511574074</v>
      </c>
      <c r="L1704" s="288" t="str">
        <f t="shared" si="102"/>
        <v>9:16:22 AM</v>
      </c>
      <c r="M1704" s="278"/>
      <c r="N1704" s="290"/>
      <c r="O1704" s="276"/>
      <c r="P1704" s="276"/>
      <c r="Q1704" s="276"/>
      <c r="R1704" s="278"/>
      <c r="S1704" s="278"/>
      <c r="T1704" s="278"/>
      <c r="U1704" s="279"/>
      <c r="V1704" s="279" t="s">
        <v>1733</v>
      </c>
      <c r="W1704" s="280">
        <v>44473.0</v>
      </c>
      <c r="X1704" s="281">
        <v>0.14583333333333334</v>
      </c>
      <c r="Y1704" s="279" t="s">
        <v>1693</v>
      </c>
      <c r="Z1704" s="282" t="s">
        <v>53</v>
      </c>
      <c r="AA1704" s="282" t="s">
        <v>5442</v>
      </c>
      <c r="AB1704" s="283">
        <v>44473.0</v>
      </c>
      <c r="AC1704" s="284"/>
      <c r="AD1704" s="284"/>
    </row>
    <row r="1705" ht="14.25" customHeight="1">
      <c r="A1705" s="265">
        <v>44470.0</v>
      </c>
      <c r="B1705" s="266" t="s">
        <v>3677</v>
      </c>
      <c r="C1705" s="266"/>
      <c r="D1705" s="266" t="s">
        <v>1455</v>
      </c>
      <c r="E1705" s="268"/>
      <c r="F1705" s="358" t="s">
        <v>5443</v>
      </c>
      <c r="G1705" s="268" t="s">
        <v>2085</v>
      </c>
      <c r="H1705" s="270">
        <v>0.019571759259259257</v>
      </c>
      <c r="I1705" s="271">
        <v>44470.91458333333</v>
      </c>
      <c r="J1705" s="268"/>
      <c r="K1705" s="271">
        <v>44470.939050925925</v>
      </c>
      <c r="L1705" s="288" t="str">
        <f t="shared" si="102"/>
        <v>12:35:14 AM</v>
      </c>
      <c r="M1705" s="278"/>
      <c r="N1705" s="290"/>
      <c r="O1705" s="276"/>
      <c r="P1705" s="276"/>
      <c r="Q1705" s="276"/>
      <c r="R1705" s="278"/>
      <c r="S1705" s="278"/>
      <c r="T1705" s="278"/>
      <c r="U1705" s="279"/>
      <c r="V1705" s="279" t="s">
        <v>1824</v>
      </c>
      <c r="W1705" s="280">
        <v>44473.0</v>
      </c>
      <c r="X1705" s="281">
        <v>0.001388888888888889</v>
      </c>
      <c r="Y1705" s="279" t="s">
        <v>1693</v>
      </c>
      <c r="Z1705" s="282" t="s">
        <v>53</v>
      </c>
      <c r="AA1705" s="282" t="s">
        <v>5443</v>
      </c>
      <c r="AB1705" s="283">
        <v>44473.0</v>
      </c>
      <c r="AC1705" s="284"/>
      <c r="AD1705" s="284"/>
    </row>
    <row r="1706" ht="14.25" customHeight="1">
      <c r="A1706" s="265">
        <v>44471.0</v>
      </c>
      <c r="B1706" s="266" t="s">
        <v>1500</v>
      </c>
      <c r="C1706" s="266" t="s">
        <v>2158</v>
      </c>
      <c r="D1706" s="266" t="s">
        <v>1450</v>
      </c>
      <c r="E1706" s="268"/>
      <c r="F1706" s="269" t="s">
        <v>5444</v>
      </c>
      <c r="G1706" s="268" t="s">
        <v>1463</v>
      </c>
      <c r="H1706" s="270">
        <v>0.0037384259259259263</v>
      </c>
      <c r="I1706" s="271">
        <v>44471.67152777778</v>
      </c>
      <c r="J1706" s="268"/>
      <c r="K1706" s="271">
        <v>44471.677615740744</v>
      </c>
      <c r="L1706" s="288"/>
      <c r="M1706" s="278" t="s">
        <v>5445</v>
      </c>
      <c r="N1706" s="290"/>
      <c r="O1706" s="276"/>
      <c r="P1706" s="276"/>
      <c r="Q1706" s="276"/>
      <c r="R1706" s="278"/>
      <c r="S1706" s="278"/>
      <c r="T1706" s="278"/>
      <c r="U1706" s="279"/>
      <c r="V1706" s="279" t="s">
        <v>2030</v>
      </c>
      <c r="W1706" s="280">
        <v>44473.0</v>
      </c>
      <c r="X1706" s="281">
        <v>0.006944444444444444</v>
      </c>
      <c r="Y1706" s="279" t="s">
        <v>1693</v>
      </c>
      <c r="Z1706" s="282" t="s">
        <v>53</v>
      </c>
      <c r="AA1706" s="282">
        <v>6736640.0</v>
      </c>
      <c r="AB1706" s="283">
        <v>44473.0</v>
      </c>
      <c r="AC1706" s="284"/>
      <c r="AD1706" s="284"/>
    </row>
    <row r="1707" ht="14.25" customHeight="1">
      <c r="A1707" s="265">
        <v>44471.0</v>
      </c>
      <c r="B1707" s="266" t="s">
        <v>1500</v>
      </c>
      <c r="C1707" s="266" t="s">
        <v>2641</v>
      </c>
      <c r="D1707" s="266" t="s">
        <v>1543</v>
      </c>
      <c r="E1707" s="268"/>
      <c r="F1707" s="269" t="s">
        <v>5446</v>
      </c>
      <c r="G1707" s="268" t="s">
        <v>1463</v>
      </c>
      <c r="H1707" s="270">
        <v>0.0027199074074074074</v>
      </c>
      <c r="I1707" s="271">
        <v>44473.53958333333</v>
      </c>
      <c r="J1707" s="268"/>
      <c r="K1707" s="271">
        <v>44473.548483796294</v>
      </c>
      <c r="L1707" s="288"/>
      <c r="M1707" s="278" t="s">
        <v>5447</v>
      </c>
      <c r="N1707" s="290"/>
      <c r="O1707" s="276"/>
      <c r="P1707" s="276"/>
      <c r="Q1707" s="276"/>
      <c r="R1707" s="278"/>
      <c r="S1707" s="278"/>
      <c r="T1707" s="278"/>
      <c r="U1707" s="279"/>
      <c r="V1707" s="279" t="s">
        <v>2030</v>
      </c>
      <c r="W1707" s="280">
        <v>44474.0</v>
      </c>
      <c r="X1707" s="281">
        <v>0.003472222222222222</v>
      </c>
      <c r="Y1707" s="279" t="s">
        <v>1693</v>
      </c>
      <c r="Z1707" s="282" t="s">
        <v>53</v>
      </c>
      <c r="AA1707" s="282">
        <v>6742520.0</v>
      </c>
      <c r="AB1707" s="283">
        <v>44474.0</v>
      </c>
      <c r="AC1707" s="284"/>
      <c r="AD1707" s="284"/>
    </row>
    <row r="1708" ht="14.25" customHeight="1">
      <c r="A1708" s="265">
        <v>44471.0</v>
      </c>
      <c r="B1708" s="266" t="s">
        <v>1783</v>
      </c>
      <c r="C1708" s="266"/>
      <c r="D1708" s="266" t="s">
        <v>1686</v>
      </c>
      <c r="E1708" s="268"/>
      <c r="F1708" s="358" t="s">
        <v>5448</v>
      </c>
      <c r="G1708" s="268" t="s">
        <v>2085</v>
      </c>
      <c r="H1708" s="270">
        <v>0.040729166666666664</v>
      </c>
      <c r="I1708" s="271">
        <v>44471.64027777778</v>
      </c>
      <c r="J1708" s="268"/>
      <c r="K1708" s="271">
        <v>44472.016076388885</v>
      </c>
      <c r="L1708" s="288" t="str">
        <f t="shared" ref="L1708:L1709" si="103">IFERROR(IF(OR(I1708="",K1708=""),"",K1708-I1708),"")</f>
        <v>9:01:09 AM</v>
      </c>
      <c r="M1708" s="278"/>
      <c r="N1708" s="290"/>
      <c r="O1708" s="276"/>
      <c r="P1708" s="276"/>
      <c r="Q1708" s="276"/>
      <c r="R1708" s="278"/>
      <c r="S1708" s="278"/>
      <c r="T1708" s="278"/>
      <c r="U1708" s="279"/>
      <c r="V1708" s="279" t="s">
        <v>1733</v>
      </c>
      <c r="W1708" s="280">
        <v>44473.0</v>
      </c>
      <c r="X1708" s="281">
        <v>0.125</v>
      </c>
      <c r="Y1708" s="279" t="s">
        <v>1693</v>
      </c>
      <c r="Z1708" s="282" t="s">
        <v>53</v>
      </c>
      <c r="AA1708" s="282" t="s">
        <v>5448</v>
      </c>
      <c r="AB1708" s="283">
        <v>44473.0</v>
      </c>
      <c r="AC1708" s="284"/>
      <c r="AD1708" s="284"/>
    </row>
    <row r="1709" ht="14.25" customHeight="1">
      <c r="A1709" s="265">
        <v>44471.0</v>
      </c>
      <c r="B1709" s="266" t="s">
        <v>1738</v>
      </c>
      <c r="C1709" s="266"/>
      <c r="D1709" s="266" t="s">
        <v>1455</v>
      </c>
      <c r="E1709" s="268"/>
      <c r="F1709" s="358" t="s">
        <v>5449</v>
      </c>
      <c r="G1709" s="268" t="s">
        <v>2085</v>
      </c>
      <c r="H1709" s="270">
        <v>0.017256944444444446</v>
      </c>
      <c r="I1709" s="271">
        <v>44472.95</v>
      </c>
      <c r="J1709" s="268"/>
      <c r="K1709" s="271">
        <v>44472.96875</v>
      </c>
      <c r="L1709" s="288" t="str">
        <f t="shared" si="103"/>
        <v>12:27:00 AM</v>
      </c>
      <c r="M1709" s="278"/>
      <c r="N1709" s="290"/>
      <c r="O1709" s="276"/>
      <c r="P1709" s="276"/>
      <c r="Q1709" s="276"/>
      <c r="R1709" s="278"/>
      <c r="S1709" s="278"/>
      <c r="T1709" s="278"/>
      <c r="U1709" s="279"/>
      <c r="V1709" s="279" t="s">
        <v>1824</v>
      </c>
      <c r="W1709" s="280">
        <v>44473.0</v>
      </c>
      <c r="X1709" s="281">
        <v>0.0625</v>
      </c>
      <c r="Y1709" s="279" t="s">
        <v>1693</v>
      </c>
      <c r="Z1709" s="282" t="s">
        <v>53</v>
      </c>
      <c r="AA1709" s="282" t="s">
        <v>5449</v>
      </c>
      <c r="AB1709" s="283">
        <v>44473.0</v>
      </c>
      <c r="AC1709" s="284"/>
      <c r="AD1709" s="284"/>
    </row>
    <row r="1710" ht="14.25" customHeight="1">
      <c r="A1710" s="265">
        <v>44472.0</v>
      </c>
      <c r="B1710" s="266" t="s">
        <v>1733</v>
      </c>
      <c r="C1710" s="266"/>
      <c r="D1710" s="266" t="s">
        <v>3509</v>
      </c>
      <c r="E1710" s="268"/>
      <c r="F1710" s="358">
        <v>6684886.0</v>
      </c>
      <c r="G1710" s="268" t="s">
        <v>3839</v>
      </c>
      <c r="H1710" s="270">
        <v>0.03826388888888889</v>
      </c>
      <c r="I1710" s="271">
        <v>44472.86344907407</v>
      </c>
      <c r="J1710" s="268"/>
      <c r="K1710" s="271" t="s">
        <v>5450</v>
      </c>
      <c r="L1710" s="288"/>
      <c r="M1710" s="278"/>
      <c r="N1710" s="290"/>
      <c r="O1710" s="276"/>
      <c r="P1710" s="276"/>
      <c r="Q1710" s="276"/>
      <c r="R1710" s="278"/>
      <c r="S1710" s="278"/>
      <c r="T1710" s="278"/>
      <c r="U1710" s="279"/>
      <c r="V1710" s="279"/>
      <c r="W1710" s="279"/>
      <c r="X1710" s="279"/>
      <c r="Y1710" s="279"/>
      <c r="Z1710" s="282"/>
      <c r="AA1710" s="282">
        <v>6684886.0</v>
      </c>
      <c r="AB1710" s="282"/>
      <c r="AC1710" s="284"/>
      <c r="AD1710" s="284"/>
    </row>
    <row r="1711" ht="14.25" customHeight="1">
      <c r="A1711" s="265">
        <v>44472.0</v>
      </c>
      <c r="B1711" s="266" t="s">
        <v>1733</v>
      </c>
      <c r="C1711" s="266"/>
      <c r="D1711" s="266" t="s">
        <v>1457</v>
      </c>
      <c r="E1711" s="268"/>
      <c r="F1711" s="358" t="s">
        <v>5451</v>
      </c>
      <c r="G1711" s="268" t="s">
        <v>2085</v>
      </c>
      <c r="H1711" s="270">
        <v>0.0178125</v>
      </c>
      <c r="I1711" s="271">
        <v>44473.65130787037</v>
      </c>
      <c r="J1711" s="268"/>
      <c r="K1711" s="268"/>
      <c r="L1711" s="288" t="str">
        <f t="shared" ref="L1711:L1712" si="104">IFERROR(IF(OR(I1711="",K1711=""),"",K1711-I1711),"")</f>
        <v/>
      </c>
      <c r="M1711" s="307" t="s">
        <v>2808</v>
      </c>
      <c r="N1711" s="388">
        <v>44473.65555555555</v>
      </c>
      <c r="O1711" s="276" t="s">
        <v>5452</v>
      </c>
      <c r="P1711" s="276" t="s">
        <v>1463</v>
      </c>
      <c r="Q1711" s="276" t="s">
        <v>1819</v>
      </c>
      <c r="R1711" s="277">
        <v>44473.66899305556</v>
      </c>
      <c r="S1711" s="278"/>
      <c r="T1711" s="278" t="s">
        <v>5453</v>
      </c>
      <c r="U1711" s="279"/>
      <c r="V1711" s="279" t="s">
        <v>1685</v>
      </c>
      <c r="W1711" s="280">
        <v>44473.0</v>
      </c>
      <c r="X1711" s="281">
        <v>0.041666666666666664</v>
      </c>
      <c r="Y1711" s="279"/>
      <c r="Z1711" s="282" t="s">
        <v>53</v>
      </c>
      <c r="AA1711" s="282" t="s">
        <v>5451</v>
      </c>
      <c r="AB1711" s="283">
        <v>44475.0</v>
      </c>
      <c r="AC1711" s="284"/>
      <c r="AD1711" s="284"/>
    </row>
    <row r="1712" ht="14.25" customHeight="1">
      <c r="A1712" s="265">
        <v>44472.0</v>
      </c>
      <c r="B1712" s="266" t="s">
        <v>1733</v>
      </c>
      <c r="C1712" s="266"/>
      <c r="D1712" s="266" t="s">
        <v>2829</v>
      </c>
      <c r="E1712" s="268"/>
      <c r="F1712" s="358" t="s">
        <v>5454</v>
      </c>
      <c r="G1712" s="268" t="s">
        <v>2085</v>
      </c>
      <c r="H1712" s="270">
        <v>0.01871527777777778</v>
      </c>
      <c r="I1712" s="271">
        <v>44472.95</v>
      </c>
      <c r="J1712" s="268"/>
      <c r="K1712" s="268"/>
      <c r="L1712" s="288" t="str">
        <f t="shared" si="104"/>
        <v/>
      </c>
      <c r="M1712" s="307" t="s">
        <v>2808</v>
      </c>
      <c r="N1712" s="273">
        <v>44472.95416666667</v>
      </c>
      <c r="O1712" s="276" t="s">
        <v>5455</v>
      </c>
      <c r="P1712" s="276" t="s">
        <v>1463</v>
      </c>
      <c r="Q1712" s="276" t="s">
        <v>1819</v>
      </c>
      <c r="R1712" s="277">
        <v>44472.96844907408</v>
      </c>
      <c r="S1712" s="278"/>
      <c r="T1712" s="278" t="s">
        <v>5456</v>
      </c>
      <c r="U1712" s="279"/>
      <c r="V1712" s="279"/>
      <c r="W1712" s="279"/>
      <c r="X1712" s="279"/>
      <c r="Y1712" s="279"/>
      <c r="Z1712" s="282" t="s">
        <v>53</v>
      </c>
      <c r="AA1712" s="282" t="s">
        <v>5454</v>
      </c>
      <c r="AB1712" s="283">
        <v>44474.0</v>
      </c>
      <c r="AC1712" s="284"/>
      <c r="AD1712" s="284"/>
    </row>
    <row r="1713" ht="14.25" customHeight="1">
      <c r="A1713" s="265">
        <v>44473.0</v>
      </c>
      <c r="B1713" s="266" t="s">
        <v>1500</v>
      </c>
      <c r="C1713" s="266" t="s">
        <v>2083</v>
      </c>
      <c r="D1713" s="266" t="s">
        <v>1543</v>
      </c>
      <c r="E1713" s="378"/>
      <c r="F1713" s="291" t="s">
        <v>5457</v>
      </c>
      <c r="G1713" s="268" t="s">
        <v>1463</v>
      </c>
      <c r="H1713" s="270">
        <v>0.0011574074074074073</v>
      </c>
      <c r="I1713" s="271">
        <v>44473.65277777778</v>
      </c>
      <c r="J1713" s="268"/>
      <c r="K1713" s="271">
        <v>44473.65787037037</v>
      </c>
      <c r="L1713" s="288"/>
      <c r="M1713" s="278" t="s">
        <v>5458</v>
      </c>
      <c r="N1713" s="290"/>
      <c r="O1713" s="276"/>
      <c r="P1713" s="276"/>
      <c r="Q1713" s="276"/>
      <c r="R1713" s="278"/>
      <c r="S1713" s="278"/>
      <c r="T1713" s="278"/>
      <c r="U1713" s="279"/>
      <c r="V1713" s="279" t="s">
        <v>1824</v>
      </c>
      <c r="W1713" s="280">
        <v>44475.0</v>
      </c>
      <c r="X1713" s="281">
        <v>0.003472222222222222</v>
      </c>
      <c r="Y1713" s="279" t="s">
        <v>1693</v>
      </c>
      <c r="Z1713" s="282" t="s">
        <v>53</v>
      </c>
      <c r="AA1713" s="282">
        <v>6742521.0</v>
      </c>
      <c r="AB1713" s="283">
        <v>44474.0</v>
      </c>
      <c r="AC1713" s="284"/>
      <c r="AD1713" s="284"/>
    </row>
    <row r="1714" ht="14.25" customHeight="1">
      <c r="A1714" s="265">
        <v>44473.0</v>
      </c>
      <c r="B1714" s="266" t="s">
        <v>1824</v>
      </c>
      <c r="C1714" s="266" t="s">
        <v>3472</v>
      </c>
      <c r="D1714" s="266" t="s">
        <v>1455</v>
      </c>
      <c r="E1714" s="378"/>
      <c r="F1714" s="291" t="s">
        <v>5459</v>
      </c>
      <c r="G1714" s="268" t="s">
        <v>1463</v>
      </c>
      <c r="H1714" s="270">
        <v>0.0022106481481481478</v>
      </c>
      <c r="I1714" s="271">
        <v>44476.70208333333</v>
      </c>
      <c r="J1714" s="268"/>
      <c r="K1714" s="271">
        <v>44476.711331018516</v>
      </c>
      <c r="L1714" s="288"/>
      <c r="M1714" s="278" t="s">
        <v>5460</v>
      </c>
      <c r="N1714" s="290"/>
      <c r="O1714" s="276"/>
      <c r="P1714" s="276"/>
      <c r="Q1714" s="276"/>
      <c r="R1714" s="278"/>
      <c r="S1714" s="278"/>
      <c r="T1714" s="278"/>
      <c r="U1714" s="279"/>
      <c r="V1714" s="279" t="s">
        <v>1824</v>
      </c>
      <c r="W1714" s="280">
        <v>44476.0</v>
      </c>
      <c r="X1714" s="281">
        <v>0.003472222222222222</v>
      </c>
      <c r="Y1714" s="279" t="s">
        <v>1693</v>
      </c>
      <c r="Z1714" s="282" t="s">
        <v>53</v>
      </c>
      <c r="AA1714" s="282">
        <v>6758955.0</v>
      </c>
      <c r="AB1714" s="283">
        <v>44477.0</v>
      </c>
      <c r="AC1714" s="284"/>
      <c r="AD1714" s="284"/>
    </row>
    <row r="1715" ht="14.25" customHeight="1">
      <c r="A1715" s="265">
        <v>44473.0</v>
      </c>
      <c r="B1715" s="266" t="s">
        <v>1500</v>
      </c>
      <c r="C1715" s="266" t="s">
        <v>1686</v>
      </c>
      <c r="D1715" s="266" t="s">
        <v>1543</v>
      </c>
      <c r="E1715" s="378"/>
      <c r="F1715" s="291" t="s">
        <v>5461</v>
      </c>
      <c r="G1715" s="268" t="s">
        <v>1463</v>
      </c>
      <c r="H1715" s="270">
        <v>3.935185185185185E-4</v>
      </c>
      <c r="I1715" s="271">
        <v>44476.756944444445</v>
      </c>
      <c r="J1715" s="268"/>
      <c r="K1715" s="271">
        <v>44476.76269675926</v>
      </c>
      <c r="L1715" s="288"/>
      <c r="M1715" s="278" t="s">
        <v>5462</v>
      </c>
      <c r="N1715" s="290"/>
      <c r="O1715" s="276"/>
      <c r="P1715" s="276"/>
      <c r="Q1715" s="276"/>
      <c r="R1715" s="278"/>
      <c r="S1715" s="278"/>
      <c r="T1715" s="278"/>
      <c r="U1715" s="279"/>
      <c r="V1715" s="279" t="s">
        <v>1824</v>
      </c>
      <c r="W1715" s="280">
        <v>44494.0</v>
      </c>
      <c r="X1715" s="281">
        <v>0.004166666666666667</v>
      </c>
      <c r="Y1715" s="279" t="s">
        <v>1693</v>
      </c>
      <c r="Z1715" s="282" t="s">
        <v>53</v>
      </c>
      <c r="AA1715" s="282">
        <v>6758956.0</v>
      </c>
      <c r="AB1715" s="283">
        <v>44477.0</v>
      </c>
      <c r="AC1715" s="284"/>
      <c r="AD1715" s="284"/>
    </row>
    <row r="1716" ht="14.25" customHeight="1">
      <c r="A1716" s="265">
        <v>44473.0</v>
      </c>
      <c r="B1716" s="266" t="s">
        <v>1500</v>
      </c>
      <c r="C1716" s="266" t="s">
        <v>1453</v>
      </c>
      <c r="D1716" s="266" t="s">
        <v>1543</v>
      </c>
      <c r="E1716" s="378"/>
      <c r="F1716" s="291" t="s">
        <v>5463</v>
      </c>
      <c r="G1716" s="268" t="s">
        <v>1463</v>
      </c>
      <c r="H1716" s="270">
        <v>0.0027662037037037034</v>
      </c>
      <c r="I1716" s="271">
        <v>44473.65277777778</v>
      </c>
      <c r="J1716" s="268"/>
      <c r="K1716" s="271">
        <v>44477.96532407407</v>
      </c>
      <c r="L1716" s="288"/>
      <c r="M1716" s="278" t="s">
        <v>5464</v>
      </c>
      <c r="N1716" s="290"/>
      <c r="O1716" s="276"/>
      <c r="P1716" s="276"/>
      <c r="Q1716" s="276"/>
      <c r="R1716" s="278"/>
      <c r="S1716" s="278"/>
      <c r="T1716" s="278"/>
      <c r="U1716" s="279"/>
      <c r="V1716" s="279" t="s">
        <v>1824</v>
      </c>
      <c r="W1716" s="280">
        <v>44491.0</v>
      </c>
      <c r="X1716" s="281">
        <v>0.005555555555555556</v>
      </c>
      <c r="Y1716" s="279" t="s">
        <v>1693</v>
      </c>
      <c r="Z1716" s="282" t="s">
        <v>53</v>
      </c>
      <c r="AA1716" s="282">
        <v>6817795.0</v>
      </c>
      <c r="AB1716" s="283">
        <v>44489.0</v>
      </c>
      <c r="AC1716" s="284"/>
      <c r="AD1716" s="284"/>
    </row>
    <row r="1717" ht="14.25" customHeight="1">
      <c r="A1717" s="265">
        <v>44473.0</v>
      </c>
      <c r="B1717" s="266" t="s">
        <v>2030</v>
      </c>
      <c r="C1717" s="266" t="s">
        <v>2641</v>
      </c>
      <c r="D1717" s="266" t="s">
        <v>2561</v>
      </c>
      <c r="E1717" s="378"/>
      <c r="F1717" s="291" t="s">
        <v>5465</v>
      </c>
      <c r="G1717" s="268" t="s">
        <v>1463</v>
      </c>
      <c r="H1717" s="270">
        <v>0.0026388888888888885</v>
      </c>
      <c r="I1717" s="271">
        <v>44491.34861111111</v>
      </c>
      <c r="J1717" s="268"/>
      <c r="K1717" s="271">
        <v>44491.35138888889</v>
      </c>
      <c r="L1717" s="288"/>
      <c r="M1717" s="278" t="s">
        <v>5466</v>
      </c>
      <c r="N1717" s="290"/>
      <c r="O1717" s="276"/>
      <c r="P1717" s="276"/>
      <c r="Q1717" s="276"/>
      <c r="R1717" s="278"/>
      <c r="S1717" s="278"/>
      <c r="T1717" s="278"/>
      <c r="U1717" s="279"/>
      <c r="V1717" s="279" t="s">
        <v>1824</v>
      </c>
      <c r="W1717" s="280">
        <v>44495.0</v>
      </c>
      <c r="X1717" s="281">
        <v>0.004861111111111111</v>
      </c>
      <c r="Y1717" s="279" t="s">
        <v>1693</v>
      </c>
      <c r="Z1717" s="282" t="s">
        <v>53</v>
      </c>
      <c r="AA1717" s="282">
        <v>6860172.0</v>
      </c>
      <c r="AB1717" s="283">
        <v>44494.0</v>
      </c>
      <c r="AC1717" s="284"/>
      <c r="AD1717" s="284"/>
    </row>
    <row r="1718" ht="14.25" customHeight="1">
      <c r="A1718" s="265">
        <v>44473.0</v>
      </c>
      <c r="B1718" s="266" t="s">
        <v>2030</v>
      </c>
      <c r="C1718" s="266" t="s">
        <v>2641</v>
      </c>
      <c r="D1718" s="266" t="s">
        <v>2561</v>
      </c>
      <c r="E1718" s="378"/>
      <c r="F1718" s="291" t="s">
        <v>5467</v>
      </c>
      <c r="G1718" s="268" t="s">
        <v>1463</v>
      </c>
      <c r="H1718" s="270">
        <v>0.0017592592592592592</v>
      </c>
      <c r="I1718" s="271">
        <v>44491.350694444445</v>
      </c>
      <c r="J1718" s="268"/>
      <c r="K1718" s="271">
        <v>44491.35277777778</v>
      </c>
      <c r="L1718" s="288"/>
      <c r="M1718" s="278" t="s">
        <v>5468</v>
      </c>
      <c r="N1718" s="290"/>
      <c r="O1718" s="276"/>
      <c r="P1718" s="276"/>
      <c r="Q1718" s="276"/>
      <c r="R1718" s="278"/>
      <c r="S1718" s="278"/>
      <c r="T1718" s="278"/>
      <c r="U1718" s="279"/>
      <c r="V1718" s="279" t="s">
        <v>1824</v>
      </c>
      <c r="W1718" s="280">
        <v>44495.0</v>
      </c>
      <c r="X1718" s="281">
        <v>0.011805555555555555</v>
      </c>
      <c r="Y1718" s="279" t="s">
        <v>1693</v>
      </c>
      <c r="Z1718" s="282" t="s">
        <v>53</v>
      </c>
      <c r="AA1718" s="282">
        <v>6860173.0</v>
      </c>
      <c r="AB1718" s="283">
        <v>44494.0</v>
      </c>
      <c r="AC1718" s="284"/>
      <c r="AD1718" s="284"/>
    </row>
    <row r="1719" ht="14.25" customHeight="1">
      <c r="A1719" s="265">
        <v>44473.0</v>
      </c>
      <c r="B1719" s="266" t="s">
        <v>2030</v>
      </c>
      <c r="C1719" s="266" t="s">
        <v>1450</v>
      </c>
      <c r="D1719" s="266" t="s">
        <v>1450</v>
      </c>
      <c r="E1719" s="378"/>
      <c r="F1719" s="291" t="s">
        <v>5469</v>
      </c>
      <c r="G1719" s="268" t="s">
        <v>2085</v>
      </c>
      <c r="H1719" s="270">
        <v>0.09739583333333333</v>
      </c>
      <c r="I1719" s="271">
        <v>44473.510416666664</v>
      </c>
      <c r="J1719" s="268"/>
      <c r="K1719" s="271">
        <v>44473.60972222222</v>
      </c>
      <c r="L1719" s="288" t="str">
        <f t="shared" ref="L1719:L1722" si="105">IFERROR(IF(OR(I1719="",K1719=""),"",K1719-I1719),"")</f>
        <v>2:23:00 AM</v>
      </c>
      <c r="M1719" s="278"/>
      <c r="N1719" s="290"/>
      <c r="O1719" s="276"/>
      <c r="P1719" s="276"/>
      <c r="Q1719" s="276"/>
      <c r="R1719" s="278"/>
      <c r="S1719" s="278"/>
      <c r="T1719" s="278"/>
      <c r="U1719" s="279"/>
      <c r="V1719" s="279" t="s">
        <v>2030</v>
      </c>
      <c r="W1719" s="280">
        <v>44291.0</v>
      </c>
      <c r="X1719" s="281">
        <v>0.25</v>
      </c>
      <c r="Y1719" s="279" t="s">
        <v>1693</v>
      </c>
      <c r="Z1719" s="282" t="s">
        <v>53</v>
      </c>
      <c r="AA1719" s="282" t="s">
        <v>5470</v>
      </c>
      <c r="AB1719" s="283">
        <v>44474.0</v>
      </c>
      <c r="AC1719" s="284"/>
      <c r="AD1719" s="284"/>
    </row>
    <row r="1720" ht="14.25" customHeight="1">
      <c r="A1720" s="265">
        <v>44473.0</v>
      </c>
      <c r="B1720" s="266" t="s">
        <v>1685</v>
      </c>
      <c r="C1720" s="266"/>
      <c r="D1720" s="266" t="s">
        <v>1452</v>
      </c>
      <c r="E1720" s="378"/>
      <c r="F1720" s="291" t="s">
        <v>5471</v>
      </c>
      <c r="G1720" s="268" t="s">
        <v>2085</v>
      </c>
      <c r="H1720" s="270">
        <v>0.010625</v>
      </c>
      <c r="I1720" s="271">
        <v>44473.5</v>
      </c>
      <c r="J1720" s="268"/>
      <c r="K1720" s="268"/>
      <c r="L1720" s="288" t="str">
        <f t="shared" si="105"/>
        <v/>
      </c>
      <c r="M1720" s="278"/>
      <c r="N1720" s="290"/>
      <c r="O1720" s="276"/>
      <c r="P1720" s="276"/>
      <c r="Q1720" s="276"/>
      <c r="R1720" s="278"/>
      <c r="S1720" s="278"/>
      <c r="T1720" s="278"/>
      <c r="U1720" s="279"/>
      <c r="V1720" s="279" t="s">
        <v>1685</v>
      </c>
      <c r="W1720" s="280">
        <v>44473.0</v>
      </c>
      <c r="X1720" s="281">
        <v>0.020833333333333332</v>
      </c>
      <c r="Y1720" s="279" t="s">
        <v>1693</v>
      </c>
      <c r="Z1720" s="282" t="s">
        <v>53</v>
      </c>
      <c r="AA1720" s="282" t="s">
        <v>5471</v>
      </c>
      <c r="AB1720" s="283">
        <v>44474.0</v>
      </c>
      <c r="AC1720" s="284"/>
      <c r="AD1720" s="284"/>
    </row>
    <row r="1721" ht="14.25" customHeight="1">
      <c r="A1721" s="265">
        <v>44473.0</v>
      </c>
      <c r="B1721" s="266" t="s">
        <v>1733</v>
      </c>
      <c r="C1721" s="266"/>
      <c r="D1721" s="266" t="s">
        <v>1686</v>
      </c>
      <c r="E1721" s="378"/>
      <c r="F1721" s="358" t="s">
        <v>5472</v>
      </c>
      <c r="G1721" s="268" t="s">
        <v>2085</v>
      </c>
      <c r="H1721" s="270">
        <v>0.03804398148148148</v>
      </c>
      <c r="I1721" s="271">
        <v>44473.62569444445</v>
      </c>
      <c r="J1721" s="268"/>
      <c r="K1721" s="271">
        <v>44473.649375</v>
      </c>
      <c r="L1721" s="288" t="str">
        <f t="shared" si="105"/>
        <v>12:34:06 AM</v>
      </c>
      <c r="M1721" s="278"/>
      <c r="N1721" s="290"/>
      <c r="O1721" s="276"/>
      <c r="P1721" s="276"/>
      <c r="Q1721" s="276"/>
      <c r="R1721" s="278"/>
      <c r="S1721" s="278"/>
      <c r="T1721" s="278"/>
      <c r="U1721" s="279"/>
      <c r="V1721" s="279" t="s">
        <v>1733</v>
      </c>
      <c r="W1721" s="280">
        <v>44474.0</v>
      </c>
      <c r="X1721" s="281">
        <v>0.125</v>
      </c>
      <c r="Y1721" s="279" t="s">
        <v>1693</v>
      </c>
      <c r="Z1721" s="282" t="s">
        <v>53</v>
      </c>
      <c r="AA1721" s="282" t="s">
        <v>5472</v>
      </c>
      <c r="AB1721" s="283">
        <v>44474.0</v>
      </c>
      <c r="AC1721" s="284"/>
      <c r="AD1721" s="284"/>
    </row>
    <row r="1722" ht="14.25" customHeight="1">
      <c r="A1722" s="265">
        <v>44473.0</v>
      </c>
      <c r="B1722" s="266" t="s">
        <v>3677</v>
      </c>
      <c r="C1722" s="266"/>
      <c r="D1722" s="266" t="s">
        <v>1455</v>
      </c>
      <c r="E1722" s="378"/>
      <c r="F1722" s="358" t="s">
        <v>5473</v>
      </c>
      <c r="G1722" s="268" t="s">
        <v>2085</v>
      </c>
      <c r="H1722" s="268" t="s">
        <v>5474</v>
      </c>
      <c r="I1722" s="271">
        <v>44473.87708333333</v>
      </c>
      <c r="J1722" s="268"/>
      <c r="K1722" s="271">
        <v>44473.892430555556</v>
      </c>
      <c r="L1722" s="288" t="str">
        <f t="shared" si="105"/>
        <v>12:22:06 AM</v>
      </c>
      <c r="M1722" s="278"/>
      <c r="N1722" s="290"/>
      <c r="O1722" s="276"/>
      <c r="P1722" s="276"/>
      <c r="Q1722" s="276"/>
      <c r="R1722" s="278"/>
      <c r="S1722" s="278"/>
      <c r="T1722" s="278"/>
      <c r="U1722" s="279"/>
      <c r="V1722" s="279" t="s">
        <v>1824</v>
      </c>
      <c r="W1722" s="280">
        <v>44474.0</v>
      </c>
      <c r="X1722" s="281">
        <v>0.0763888888888889</v>
      </c>
      <c r="Y1722" s="279" t="s">
        <v>1693</v>
      </c>
      <c r="Z1722" s="282" t="s">
        <v>53</v>
      </c>
      <c r="AA1722" s="282" t="s">
        <v>5473</v>
      </c>
      <c r="AB1722" s="283">
        <v>44474.0</v>
      </c>
      <c r="AC1722" s="284"/>
      <c r="AD1722" s="284"/>
    </row>
    <row r="1723" ht="14.25" customHeight="1">
      <c r="A1723" s="265">
        <v>44474.0</v>
      </c>
      <c r="B1723" s="266" t="s">
        <v>1824</v>
      </c>
      <c r="C1723" s="266" t="s">
        <v>3472</v>
      </c>
      <c r="D1723" s="266" t="s">
        <v>1455</v>
      </c>
      <c r="E1723" s="378"/>
      <c r="F1723" s="291" t="s">
        <v>5475</v>
      </c>
      <c r="G1723" s="268" t="s">
        <v>1463</v>
      </c>
      <c r="H1723" s="270">
        <v>0.0020949074074074073</v>
      </c>
      <c r="I1723" s="271">
        <v>44476.70208333333</v>
      </c>
      <c r="J1723" s="268"/>
      <c r="K1723" s="271">
        <v>44476.71570601852</v>
      </c>
      <c r="L1723" s="288"/>
      <c r="M1723" s="278" t="s">
        <v>5476</v>
      </c>
      <c r="N1723" s="290"/>
      <c r="O1723" s="276"/>
      <c r="P1723" s="276"/>
      <c r="Q1723" s="276"/>
      <c r="R1723" s="278"/>
      <c r="S1723" s="278"/>
      <c r="T1723" s="278"/>
      <c r="U1723" s="279"/>
      <c r="V1723" s="279" t="s">
        <v>1824</v>
      </c>
      <c r="W1723" s="280">
        <v>44476.0</v>
      </c>
      <c r="X1723" s="281">
        <v>0.0020833333333333333</v>
      </c>
      <c r="Y1723" s="279" t="s">
        <v>1693</v>
      </c>
      <c r="Z1723" s="282" t="s">
        <v>53</v>
      </c>
      <c r="AA1723" s="282">
        <v>6758957.0</v>
      </c>
      <c r="AB1723" s="283">
        <v>44477.0</v>
      </c>
      <c r="AC1723" s="284"/>
      <c r="AD1723" s="284"/>
    </row>
    <row r="1724" ht="14.25" customHeight="1">
      <c r="A1724" s="265">
        <v>44474.0</v>
      </c>
      <c r="B1724" s="266" t="s">
        <v>1500</v>
      </c>
      <c r="C1724" s="266" t="s">
        <v>2888</v>
      </c>
      <c r="D1724" s="266" t="s">
        <v>1543</v>
      </c>
      <c r="E1724" s="378"/>
      <c r="F1724" s="291" t="s">
        <v>5477</v>
      </c>
      <c r="G1724" s="268" t="s">
        <v>1463</v>
      </c>
      <c r="H1724" s="270">
        <v>0.002800925925925926</v>
      </c>
      <c r="I1724" s="271">
        <v>44477.67361111111</v>
      </c>
      <c r="J1724" s="268"/>
      <c r="K1724" s="271">
        <v>44478.01417824074</v>
      </c>
      <c r="L1724" s="288"/>
      <c r="M1724" s="278" t="s">
        <v>5478</v>
      </c>
      <c r="N1724" s="290"/>
      <c r="O1724" s="276"/>
      <c r="P1724" s="276"/>
      <c r="Q1724" s="276"/>
      <c r="R1724" s="278"/>
      <c r="S1724" s="278"/>
      <c r="T1724" s="278"/>
      <c r="U1724" s="279"/>
      <c r="V1724" s="279" t="s">
        <v>1824</v>
      </c>
      <c r="W1724" s="280">
        <v>44494.0</v>
      </c>
      <c r="X1724" s="281">
        <v>0.008333333333333333</v>
      </c>
      <c r="Y1724" s="279" t="s">
        <v>1693</v>
      </c>
      <c r="Z1724" s="282" t="s">
        <v>53</v>
      </c>
      <c r="AA1724" s="282">
        <v>6784779.0</v>
      </c>
      <c r="AB1724" s="283">
        <v>44482.0</v>
      </c>
      <c r="AC1724" s="284"/>
      <c r="AD1724" s="284"/>
    </row>
    <row r="1725" ht="14.25" customHeight="1">
      <c r="A1725" s="265">
        <v>44474.0</v>
      </c>
      <c r="B1725" s="266" t="s">
        <v>1500</v>
      </c>
      <c r="C1725" s="266" t="s">
        <v>3138</v>
      </c>
      <c r="D1725" s="266" t="s">
        <v>1543</v>
      </c>
      <c r="E1725" s="378"/>
      <c r="F1725" s="291" t="s">
        <v>5479</v>
      </c>
      <c r="G1725" s="268" t="s">
        <v>1463</v>
      </c>
      <c r="H1725" s="270">
        <v>0.002824074074074074</v>
      </c>
      <c r="I1725" s="271">
        <v>44477.67361111111</v>
      </c>
      <c r="J1725" s="268"/>
      <c r="K1725" s="271">
        <v>44478.01498842592</v>
      </c>
      <c r="L1725" s="288"/>
      <c r="M1725" s="278" t="s">
        <v>5480</v>
      </c>
      <c r="N1725" s="290"/>
      <c r="O1725" s="276"/>
      <c r="P1725" s="276"/>
      <c r="Q1725" s="276"/>
      <c r="R1725" s="278"/>
      <c r="S1725" s="278"/>
      <c r="T1725" s="278"/>
      <c r="U1725" s="279"/>
      <c r="V1725" s="279" t="s">
        <v>1824</v>
      </c>
      <c r="W1725" s="280">
        <v>44494.0</v>
      </c>
      <c r="X1725" s="281">
        <v>0.004861111111111111</v>
      </c>
      <c r="Y1725" s="279" t="s">
        <v>1693</v>
      </c>
      <c r="Z1725" s="282" t="s">
        <v>53</v>
      </c>
      <c r="AA1725" s="282">
        <v>6784780.0</v>
      </c>
      <c r="AB1725" s="283">
        <v>44482.0</v>
      </c>
      <c r="AC1725" s="284"/>
      <c r="AD1725" s="284"/>
    </row>
    <row r="1726" ht="14.25" customHeight="1">
      <c r="A1726" s="265">
        <v>44474.0</v>
      </c>
      <c r="B1726" s="266" t="s">
        <v>1733</v>
      </c>
      <c r="C1726" s="266"/>
      <c r="D1726" s="266" t="s">
        <v>1686</v>
      </c>
      <c r="E1726" s="378"/>
      <c r="F1726" s="286" t="s">
        <v>5481</v>
      </c>
      <c r="G1726" s="268" t="s">
        <v>4787</v>
      </c>
      <c r="H1726" s="270"/>
      <c r="I1726" s="271"/>
      <c r="J1726" s="268"/>
      <c r="K1726" s="271"/>
      <c r="L1726" s="288"/>
      <c r="M1726" s="278" t="s">
        <v>3915</v>
      </c>
      <c r="N1726" s="290"/>
      <c r="O1726" s="276"/>
      <c r="P1726" s="276"/>
      <c r="Q1726" s="276"/>
      <c r="R1726" s="278"/>
      <c r="S1726" s="278"/>
      <c r="T1726" s="278" t="s">
        <v>3915</v>
      </c>
      <c r="U1726" s="279" t="s">
        <v>28</v>
      </c>
      <c r="V1726" s="279" t="s">
        <v>28</v>
      </c>
      <c r="W1726" s="279" t="s">
        <v>28</v>
      </c>
      <c r="X1726" s="279" t="s">
        <v>28</v>
      </c>
      <c r="Y1726" s="279" t="s">
        <v>28</v>
      </c>
      <c r="Z1726" s="282" t="s">
        <v>28</v>
      </c>
      <c r="AA1726" s="282" t="s">
        <v>28</v>
      </c>
      <c r="AB1726" s="283" t="s">
        <v>28</v>
      </c>
      <c r="AC1726" s="284"/>
      <c r="AD1726" s="284"/>
    </row>
    <row r="1727" ht="14.25" customHeight="1">
      <c r="A1727" s="265">
        <v>44474.0</v>
      </c>
      <c r="B1727" s="266" t="s">
        <v>2030</v>
      </c>
      <c r="C1727" s="266"/>
      <c r="D1727" s="266" t="s">
        <v>1450</v>
      </c>
      <c r="E1727" s="378"/>
      <c r="F1727" s="358" t="s">
        <v>5482</v>
      </c>
      <c r="G1727" s="268" t="s">
        <v>2085</v>
      </c>
      <c r="H1727" s="270">
        <v>0.09937499999999999</v>
      </c>
      <c r="I1727" s="271">
        <v>44474.509722222225</v>
      </c>
      <c r="J1727" s="268"/>
      <c r="K1727" s="271">
        <v>44474.572222222225</v>
      </c>
      <c r="L1727" s="288" t="str">
        <f t="shared" ref="L1727:L1730" si="106">IFERROR(IF(OR(I1727="",K1727=""),"",K1727-I1727),"")</f>
        <v>1:30:00 AM</v>
      </c>
      <c r="M1727" s="278"/>
      <c r="N1727" s="290"/>
      <c r="O1727" s="276"/>
      <c r="P1727" s="276"/>
      <c r="Q1727" s="276"/>
      <c r="R1727" s="278"/>
      <c r="S1727" s="278"/>
      <c r="T1727" s="278"/>
      <c r="U1727" s="279"/>
      <c r="V1727" s="279" t="s">
        <v>2030</v>
      </c>
      <c r="W1727" s="280">
        <v>44475.0</v>
      </c>
      <c r="X1727" s="281">
        <v>0.22916666666666666</v>
      </c>
      <c r="Y1727" s="279" t="s">
        <v>1693</v>
      </c>
      <c r="Z1727" s="282" t="s">
        <v>53</v>
      </c>
      <c r="AA1727" s="282" t="s">
        <v>5483</v>
      </c>
      <c r="AB1727" s="283">
        <v>44475.0</v>
      </c>
      <c r="AC1727" s="284"/>
      <c r="AD1727" s="284"/>
    </row>
    <row r="1728" ht="14.25" customHeight="1">
      <c r="A1728" s="265">
        <v>44474.0</v>
      </c>
      <c r="B1728" s="266" t="s">
        <v>1685</v>
      </c>
      <c r="C1728" s="266"/>
      <c r="D1728" s="266" t="s">
        <v>1452</v>
      </c>
      <c r="E1728" s="378"/>
      <c r="F1728" s="358" t="s">
        <v>5484</v>
      </c>
      <c r="G1728" s="268" t="s">
        <v>2085</v>
      </c>
      <c r="H1728" s="270">
        <v>0.010034722222222221</v>
      </c>
      <c r="I1728" s="271">
        <v>44474.5</v>
      </c>
      <c r="J1728" s="268"/>
      <c r="K1728" s="268"/>
      <c r="L1728" s="288" t="str">
        <f t="shared" si="106"/>
        <v/>
      </c>
      <c r="M1728" s="278"/>
      <c r="N1728" s="290"/>
      <c r="O1728" s="276"/>
      <c r="P1728" s="276"/>
      <c r="Q1728" s="276"/>
      <c r="R1728" s="278"/>
      <c r="S1728" s="278"/>
      <c r="T1728" s="278"/>
      <c r="U1728" s="279"/>
      <c r="V1728" s="279" t="s">
        <v>1685</v>
      </c>
      <c r="W1728" s="280">
        <v>44474.0</v>
      </c>
      <c r="X1728" s="281">
        <v>0.020833333333333332</v>
      </c>
      <c r="Y1728" s="279" t="s">
        <v>1693</v>
      </c>
      <c r="Z1728" s="282" t="s">
        <v>53</v>
      </c>
      <c r="AA1728" s="282" t="s">
        <v>5485</v>
      </c>
      <c r="AB1728" s="283">
        <v>44475.0</v>
      </c>
      <c r="AC1728" s="284"/>
      <c r="AD1728" s="284"/>
    </row>
    <row r="1729" ht="14.25" customHeight="1">
      <c r="A1729" s="265">
        <v>44474.0</v>
      </c>
      <c r="B1729" s="266" t="s">
        <v>1733</v>
      </c>
      <c r="C1729" s="266"/>
      <c r="D1729" s="266" t="s">
        <v>1686</v>
      </c>
      <c r="E1729" s="378"/>
      <c r="F1729" s="358" t="s">
        <v>5486</v>
      </c>
      <c r="G1729" s="268" t="s">
        <v>2085</v>
      </c>
      <c r="H1729" s="270">
        <v>0.037523148148148146</v>
      </c>
      <c r="I1729" s="271">
        <v>44474.79861111111</v>
      </c>
      <c r="J1729" s="268"/>
      <c r="K1729" s="271">
        <v>44474.833506944444</v>
      </c>
      <c r="L1729" s="288" t="str">
        <f t="shared" si="106"/>
        <v>12:50:15 AM</v>
      </c>
      <c r="M1729" s="278"/>
      <c r="N1729" s="290"/>
      <c r="O1729" s="276"/>
      <c r="P1729" s="276"/>
      <c r="Q1729" s="276"/>
      <c r="R1729" s="278"/>
      <c r="S1729" s="278"/>
      <c r="T1729" s="278"/>
      <c r="U1729" s="279"/>
      <c r="V1729" s="279" t="s">
        <v>1733</v>
      </c>
      <c r="W1729" s="280">
        <v>44475.0</v>
      </c>
      <c r="X1729" s="281">
        <v>0.14583333333333334</v>
      </c>
      <c r="Y1729" s="279" t="s">
        <v>1693</v>
      </c>
      <c r="Z1729" s="282" t="s">
        <v>53</v>
      </c>
      <c r="AA1729" s="282" t="s">
        <v>5486</v>
      </c>
      <c r="AB1729" s="283">
        <v>44475.0</v>
      </c>
      <c r="AC1729" s="284"/>
      <c r="AD1729" s="284"/>
    </row>
    <row r="1730" ht="14.25" customHeight="1">
      <c r="A1730" s="265">
        <v>44474.0</v>
      </c>
      <c r="B1730" s="266" t="s">
        <v>1738</v>
      </c>
      <c r="C1730" s="266"/>
      <c r="D1730" s="266" t="s">
        <v>1455</v>
      </c>
      <c r="E1730" s="378"/>
      <c r="F1730" s="358" t="s">
        <v>5487</v>
      </c>
      <c r="G1730" s="268" t="s">
        <v>2085</v>
      </c>
      <c r="H1730" s="270">
        <v>0.02175925925925926</v>
      </c>
      <c r="I1730" s="271">
        <v>44474.91180555556</v>
      </c>
      <c r="J1730" s="268"/>
      <c r="K1730" s="271">
        <v>44474.92806712963</v>
      </c>
      <c r="L1730" s="288" t="str">
        <f t="shared" si="106"/>
        <v>12:23:25 AM</v>
      </c>
      <c r="M1730" s="278"/>
      <c r="N1730" s="290"/>
      <c r="O1730" s="276"/>
      <c r="P1730" s="276"/>
      <c r="Q1730" s="276"/>
      <c r="R1730" s="278"/>
      <c r="S1730" s="278"/>
      <c r="T1730" s="278"/>
      <c r="U1730" s="279"/>
      <c r="V1730" s="279" t="s">
        <v>1824</v>
      </c>
      <c r="W1730" s="280">
        <v>44475.0</v>
      </c>
      <c r="X1730" s="281">
        <v>0.09027777777777778</v>
      </c>
      <c r="Y1730" s="279" t="s">
        <v>1693</v>
      </c>
      <c r="Z1730" s="282" t="s">
        <v>53</v>
      </c>
      <c r="AA1730" s="282" t="s">
        <v>5488</v>
      </c>
      <c r="AB1730" s="283">
        <v>44475.0</v>
      </c>
      <c r="AC1730" s="284"/>
      <c r="AD1730" s="284"/>
    </row>
    <row r="1731" ht="14.25" customHeight="1">
      <c r="A1731" s="265">
        <v>44475.0</v>
      </c>
      <c r="B1731" s="266" t="s">
        <v>1500</v>
      </c>
      <c r="C1731" s="266" t="s">
        <v>1686</v>
      </c>
      <c r="D1731" s="266" t="s">
        <v>1543</v>
      </c>
      <c r="E1731" s="378"/>
      <c r="F1731" s="269" t="s">
        <v>5489</v>
      </c>
      <c r="G1731" s="268" t="s">
        <v>1463</v>
      </c>
      <c r="H1731" s="270">
        <v>0.003599537037037037</v>
      </c>
      <c r="I1731" s="271">
        <v>44476.756944444445</v>
      </c>
      <c r="J1731" s="268"/>
      <c r="K1731" s="271">
        <v>44480.91179398148</v>
      </c>
      <c r="L1731" s="288"/>
      <c r="M1731" s="278" t="s">
        <v>5490</v>
      </c>
      <c r="N1731" s="290"/>
      <c r="O1731" s="276"/>
      <c r="P1731" s="276"/>
      <c r="Q1731" s="276"/>
      <c r="R1731" s="278"/>
      <c r="S1731" s="278"/>
      <c r="T1731" s="278"/>
      <c r="U1731" s="279"/>
      <c r="V1731" s="279" t="s">
        <v>1824</v>
      </c>
      <c r="W1731" s="280">
        <v>44494.0</v>
      </c>
      <c r="X1731" s="281">
        <v>0.005555555555555556</v>
      </c>
      <c r="Y1731" s="279" t="s">
        <v>1693</v>
      </c>
      <c r="Z1731" s="282" t="s">
        <v>53</v>
      </c>
      <c r="AA1731" s="282">
        <v>6817796.0</v>
      </c>
      <c r="AB1731" s="283">
        <v>44489.0</v>
      </c>
      <c r="AC1731" s="284"/>
      <c r="AD1731" s="284"/>
    </row>
    <row r="1732" ht="14.25" customHeight="1">
      <c r="A1732" s="265">
        <v>44475.0</v>
      </c>
      <c r="B1732" s="266" t="s">
        <v>2030</v>
      </c>
      <c r="C1732" s="266"/>
      <c r="D1732" s="266" t="s">
        <v>1450</v>
      </c>
      <c r="E1732" s="378"/>
      <c r="F1732" s="358" t="s">
        <v>5491</v>
      </c>
      <c r="G1732" s="268" t="s">
        <v>2085</v>
      </c>
      <c r="H1732" s="270">
        <v>0.09753472222222222</v>
      </c>
      <c r="I1732" s="271">
        <v>44475.60555555556</v>
      </c>
      <c r="J1732" s="268"/>
      <c r="K1732" s="271">
        <v>44475.7512037037</v>
      </c>
      <c r="L1732" s="288" t="str">
        <f t="shared" ref="L1732:L1735" si="107">IFERROR(IF(OR(I1732="",K1732=""),"",K1732-I1732),"")</f>
        <v>3:29:44 AM</v>
      </c>
      <c r="M1732" s="307"/>
      <c r="N1732" s="273"/>
      <c r="O1732" s="276"/>
      <c r="P1732" s="276"/>
      <c r="Q1732" s="276"/>
      <c r="R1732" s="278"/>
      <c r="S1732" s="278"/>
      <c r="T1732" s="278"/>
      <c r="U1732" s="279"/>
      <c r="V1732" s="279" t="s">
        <v>2030</v>
      </c>
      <c r="W1732" s="280">
        <v>44476.0</v>
      </c>
      <c r="X1732" s="281">
        <v>0.23611111111111113</v>
      </c>
      <c r="Y1732" s="279" t="s">
        <v>1693</v>
      </c>
      <c r="Z1732" s="282" t="s">
        <v>53</v>
      </c>
      <c r="AA1732" s="282" t="s">
        <v>5492</v>
      </c>
      <c r="AB1732" s="283">
        <v>44476.0</v>
      </c>
      <c r="AC1732" s="284"/>
      <c r="AD1732" s="284"/>
    </row>
    <row r="1733" ht="14.25" customHeight="1">
      <c r="A1733" s="265">
        <v>44475.0</v>
      </c>
      <c r="B1733" s="266" t="s">
        <v>1685</v>
      </c>
      <c r="C1733" s="266"/>
      <c r="D1733" s="266" t="s">
        <v>1452</v>
      </c>
      <c r="E1733" s="378"/>
      <c r="F1733" s="358" t="s">
        <v>5493</v>
      </c>
      <c r="G1733" s="268" t="s">
        <v>2085</v>
      </c>
      <c r="H1733" s="270">
        <v>0.010555555555555554</v>
      </c>
      <c r="I1733" s="271">
        <v>44475.45851851852</v>
      </c>
      <c r="J1733" s="268"/>
      <c r="K1733" s="271">
        <v>44475.496712962966</v>
      </c>
      <c r="L1733" s="288" t="str">
        <f t="shared" si="107"/>
        <v>12:55:00 AM</v>
      </c>
      <c r="M1733" s="278"/>
      <c r="N1733" s="290"/>
      <c r="O1733" s="276"/>
      <c r="P1733" s="276"/>
      <c r="Q1733" s="276"/>
      <c r="R1733" s="278"/>
      <c r="S1733" s="278"/>
      <c r="T1733" s="278"/>
      <c r="U1733" s="279"/>
      <c r="V1733" s="279" t="s">
        <v>1685</v>
      </c>
      <c r="W1733" s="280">
        <v>44475.0</v>
      </c>
      <c r="X1733" s="279"/>
      <c r="Y1733" s="279"/>
      <c r="Z1733" s="282" t="s">
        <v>53</v>
      </c>
      <c r="AA1733" s="282" t="s">
        <v>5493</v>
      </c>
      <c r="AB1733" s="283">
        <v>44476.0</v>
      </c>
      <c r="AC1733" s="284"/>
      <c r="AD1733" s="284"/>
    </row>
    <row r="1734" ht="14.25" customHeight="1">
      <c r="A1734" s="265">
        <v>44475.0</v>
      </c>
      <c r="B1734" s="266" t="s">
        <v>1733</v>
      </c>
      <c r="C1734" s="266"/>
      <c r="D1734" s="266" t="s">
        <v>1686</v>
      </c>
      <c r="E1734" s="378"/>
      <c r="F1734" s="358" t="s">
        <v>5494</v>
      </c>
      <c r="G1734" s="268" t="s">
        <v>2085</v>
      </c>
      <c r="H1734" s="270">
        <v>0.03666666666666667</v>
      </c>
      <c r="I1734" s="271">
        <v>44475.57013888889</v>
      </c>
      <c r="J1734" s="268"/>
      <c r="K1734" s="271">
        <v>44475.628275462965</v>
      </c>
      <c r="L1734" s="288" t="str">
        <f t="shared" si="107"/>
        <v>1:23:43 AM</v>
      </c>
      <c r="M1734" s="278"/>
      <c r="N1734" s="290"/>
      <c r="O1734" s="276"/>
      <c r="P1734" s="276"/>
      <c r="Q1734" s="276"/>
      <c r="R1734" s="278"/>
      <c r="S1734" s="278"/>
      <c r="T1734" s="278"/>
      <c r="U1734" s="279"/>
      <c r="V1734" s="279" t="s">
        <v>1733</v>
      </c>
      <c r="W1734" s="280">
        <v>44476.0</v>
      </c>
      <c r="X1734" s="281">
        <v>0.125</v>
      </c>
      <c r="Y1734" s="279" t="s">
        <v>1693</v>
      </c>
      <c r="Z1734" s="282" t="s">
        <v>53</v>
      </c>
      <c r="AA1734" s="282" t="s">
        <v>5494</v>
      </c>
      <c r="AB1734" s="283">
        <v>44476.0</v>
      </c>
      <c r="AC1734" s="284"/>
      <c r="AD1734" s="284"/>
    </row>
    <row r="1735" ht="14.25" customHeight="1">
      <c r="A1735" s="265">
        <v>44475.0</v>
      </c>
      <c r="B1735" s="266" t="s">
        <v>3677</v>
      </c>
      <c r="C1735" s="266"/>
      <c r="D1735" s="266" t="s">
        <v>1455</v>
      </c>
      <c r="E1735" s="378"/>
      <c r="F1735" s="358" t="s">
        <v>5495</v>
      </c>
      <c r="G1735" s="268" t="s">
        <v>2085</v>
      </c>
      <c r="H1735" s="270">
        <v>0.019074074074074073</v>
      </c>
      <c r="I1735" s="271">
        <v>44475.35486111111</v>
      </c>
      <c r="J1735" s="268"/>
      <c r="K1735" s="271">
        <v>44475.88112268518</v>
      </c>
      <c r="L1735" s="288" t="str">
        <f t="shared" si="107"/>
        <v>12:37:49 PM</v>
      </c>
      <c r="M1735" s="278"/>
      <c r="N1735" s="290"/>
      <c r="O1735" s="276"/>
      <c r="P1735" s="276"/>
      <c r="Q1735" s="276"/>
      <c r="R1735" s="278"/>
      <c r="S1735" s="278"/>
      <c r="T1735" s="278"/>
      <c r="U1735" s="279"/>
      <c r="V1735" s="279" t="s">
        <v>1824</v>
      </c>
      <c r="W1735" s="280">
        <v>44476.0</v>
      </c>
      <c r="X1735" s="281">
        <v>0.0763888888888889</v>
      </c>
      <c r="Y1735" s="279" t="s">
        <v>1693</v>
      </c>
      <c r="Z1735" s="282" t="s">
        <v>53</v>
      </c>
      <c r="AA1735" s="282" t="s">
        <v>5496</v>
      </c>
      <c r="AB1735" s="283">
        <v>44476.0</v>
      </c>
      <c r="AC1735" s="284"/>
      <c r="AD1735" s="284"/>
    </row>
    <row r="1736" ht="14.25" customHeight="1">
      <c r="A1736" s="265">
        <v>44476.0</v>
      </c>
      <c r="B1736" s="266" t="s">
        <v>1733</v>
      </c>
      <c r="C1736" s="266" t="s">
        <v>1831</v>
      </c>
      <c r="D1736" s="266" t="s">
        <v>1686</v>
      </c>
      <c r="E1736" s="378"/>
      <c r="F1736" s="286" t="s">
        <v>5497</v>
      </c>
      <c r="G1736" s="268" t="s">
        <v>4787</v>
      </c>
      <c r="H1736" s="270"/>
      <c r="I1736" s="271"/>
      <c r="J1736" s="268"/>
      <c r="K1736" s="271"/>
      <c r="L1736" s="288"/>
      <c r="M1736" s="278" t="s">
        <v>3915</v>
      </c>
      <c r="N1736" s="290"/>
      <c r="O1736" s="276"/>
      <c r="P1736" s="276"/>
      <c r="Q1736" s="276"/>
      <c r="R1736" s="278"/>
      <c r="S1736" s="278"/>
      <c r="T1736" s="278" t="s">
        <v>3915</v>
      </c>
      <c r="U1736" s="279" t="s">
        <v>28</v>
      </c>
      <c r="V1736" s="279" t="s">
        <v>28</v>
      </c>
      <c r="W1736" s="280" t="s">
        <v>28</v>
      </c>
      <c r="X1736" s="279" t="s">
        <v>28</v>
      </c>
      <c r="Y1736" s="279" t="s">
        <v>28</v>
      </c>
      <c r="Z1736" s="282" t="s">
        <v>28</v>
      </c>
      <c r="AA1736" s="282" t="s">
        <v>28</v>
      </c>
      <c r="AB1736" s="283" t="s">
        <v>28</v>
      </c>
      <c r="AC1736" s="284"/>
      <c r="AD1736" s="284"/>
    </row>
    <row r="1737" ht="14.25" customHeight="1">
      <c r="A1737" s="265">
        <v>44476.0</v>
      </c>
      <c r="B1737" s="266" t="s">
        <v>1824</v>
      </c>
      <c r="C1737" s="266" t="s">
        <v>3472</v>
      </c>
      <c r="D1737" s="266" t="s">
        <v>1455</v>
      </c>
      <c r="E1737" s="378"/>
      <c r="F1737" s="286" t="s">
        <v>5498</v>
      </c>
      <c r="G1737" s="268" t="s">
        <v>4787</v>
      </c>
      <c r="H1737" s="270"/>
      <c r="I1737" s="271"/>
      <c r="J1737" s="268"/>
      <c r="K1737" s="271"/>
      <c r="L1737" s="288"/>
      <c r="M1737" s="278" t="s">
        <v>3915</v>
      </c>
      <c r="N1737" s="290"/>
      <c r="O1737" s="276"/>
      <c r="P1737" s="276"/>
      <c r="Q1737" s="276"/>
      <c r="R1737" s="278"/>
      <c r="S1737" s="278"/>
      <c r="T1737" s="278" t="s">
        <v>3915</v>
      </c>
      <c r="U1737" s="279" t="s">
        <v>28</v>
      </c>
      <c r="V1737" s="279" t="s">
        <v>28</v>
      </c>
      <c r="W1737" s="280" t="s">
        <v>28</v>
      </c>
      <c r="X1737" s="281" t="s">
        <v>28</v>
      </c>
      <c r="Y1737" s="279" t="s">
        <v>28</v>
      </c>
      <c r="Z1737" s="282" t="s">
        <v>28</v>
      </c>
      <c r="AA1737" s="282" t="s">
        <v>28</v>
      </c>
      <c r="AB1737" s="283"/>
      <c r="AC1737" s="284"/>
      <c r="AD1737" s="284"/>
    </row>
    <row r="1738" ht="14.25" customHeight="1">
      <c r="A1738" s="265">
        <v>44476.0</v>
      </c>
      <c r="B1738" s="266" t="s">
        <v>2030</v>
      </c>
      <c r="C1738" s="266"/>
      <c r="D1738" s="266" t="s">
        <v>1450</v>
      </c>
      <c r="E1738" s="378"/>
      <c r="F1738" s="291" t="s">
        <v>5499</v>
      </c>
      <c r="G1738" s="268" t="s">
        <v>2085</v>
      </c>
      <c r="H1738" s="270">
        <v>0.0975925925925926</v>
      </c>
      <c r="I1738" s="271">
        <v>44476.46666666667</v>
      </c>
      <c r="J1738" s="268"/>
      <c r="K1738" s="271">
        <v>44476.561111111114</v>
      </c>
      <c r="L1738" s="288" t="str">
        <f t="shared" ref="L1738:L1741" si="108">IFERROR(IF(OR(I1738="",K1738=""),"",K1738-I1738),"")</f>
        <v>2:16:00 AM</v>
      </c>
      <c r="M1738" s="278"/>
      <c r="N1738" s="290"/>
      <c r="O1738" s="276"/>
      <c r="P1738" s="276"/>
      <c r="Q1738" s="276"/>
      <c r="R1738" s="278"/>
      <c r="S1738" s="278"/>
      <c r="T1738" s="278"/>
      <c r="U1738" s="279"/>
      <c r="V1738" s="279" t="s">
        <v>2030</v>
      </c>
      <c r="W1738" s="280">
        <v>44477.0</v>
      </c>
      <c r="X1738" s="281">
        <v>0.20833333333333334</v>
      </c>
      <c r="Y1738" s="279" t="s">
        <v>1693</v>
      </c>
      <c r="Z1738" s="282" t="s">
        <v>53</v>
      </c>
      <c r="AA1738" s="282" t="s">
        <v>5500</v>
      </c>
      <c r="AB1738" s="283">
        <v>44477.0</v>
      </c>
      <c r="AC1738" s="284"/>
      <c r="AD1738" s="284"/>
    </row>
    <row r="1739" ht="14.25" customHeight="1">
      <c r="A1739" s="265">
        <v>44476.0</v>
      </c>
      <c r="B1739" s="266" t="s">
        <v>1733</v>
      </c>
      <c r="C1739" s="266"/>
      <c r="D1739" s="266" t="s">
        <v>1452</v>
      </c>
      <c r="E1739" s="378"/>
      <c r="F1739" s="358" t="s">
        <v>5501</v>
      </c>
      <c r="G1739" s="268" t="s">
        <v>2085</v>
      </c>
      <c r="H1739" s="270">
        <v>0.0022800925925925927</v>
      </c>
      <c r="I1739" s="271">
        <v>44476.541666666664</v>
      </c>
      <c r="J1739" s="268"/>
      <c r="K1739" s="271">
        <v>44476.89386574074</v>
      </c>
      <c r="L1739" s="288" t="str">
        <f t="shared" si="108"/>
        <v>8:27:10 AM</v>
      </c>
      <c r="M1739" s="278"/>
      <c r="N1739" s="290"/>
      <c r="O1739" s="276"/>
      <c r="P1739" s="276"/>
      <c r="Q1739" s="276"/>
      <c r="R1739" s="278"/>
      <c r="S1739" s="278"/>
      <c r="T1739" s="278"/>
      <c r="U1739" s="279"/>
      <c r="V1739" s="279" t="s">
        <v>1685</v>
      </c>
      <c r="W1739" s="280">
        <v>44476.0</v>
      </c>
      <c r="X1739" s="281">
        <v>0.013888888888888888</v>
      </c>
      <c r="Y1739" s="279" t="s">
        <v>1693</v>
      </c>
      <c r="Z1739" s="282" t="s">
        <v>53</v>
      </c>
      <c r="AA1739" s="282" t="s">
        <v>5501</v>
      </c>
      <c r="AB1739" s="283">
        <v>44477.0</v>
      </c>
      <c r="AC1739" s="284"/>
      <c r="AD1739" s="284"/>
    </row>
    <row r="1740" ht="14.25" customHeight="1">
      <c r="A1740" s="265">
        <v>44476.0</v>
      </c>
      <c r="B1740" s="266" t="s">
        <v>1733</v>
      </c>
      <c r="C1740" s="266"/>
      <c r="D1740" s="266" t="s">
        <v>1686</v>
      </c>
      <c r="E1740" s="378"/>
      <c r="F1740" s="358" t="s">
        <v>5502</v>
      </c>
      <c r="G1740" s="268" t="s">
        <v>2085</v>
      </c>
      <c r="H1740" s="270">
        <v>0.03699074074074074</v>
      </c>
      <c r="I1740" s="271">
        <v>44476.61388888889</v>
      </c>
      <c r="J1740" s="268"/>
      <c r="K1740" s="271">
        <v>44476.63888888889</v>
      </c>
      <c r="L1740" s="288" t="str">
        <f t="shared" si="108"/>
        <v>12:36:00 AM</v>
      </c>
      <c r="M1740" s="278"/>
      <c r="N1740" s="290"/>
      <c r="O1740" s="276"/>
      <c r="P1740" s="276"/>
      <c r="Q1740" s="276"/>
      <c r="R1740" s="278"/>
      <c r="S1740" s="278"/>
      <c r="T1740" s="278"/>
      <c r="U1740" s="279"/>
      <c r="V1740" s="279" t="s">
        <v>1733</v>
      </c>
      <c r="W1740" s="280">
        <v>44477.0</v>
      </c>
      <c r="X1740" s="281">
        <v>0.125</v>
      </c>
      <c r="Y1740" s="279" t="s">
        <v>1693</v>
      </c>
      <c r="Z1740" s="282" t="s">
        <v>53</v>
      </c>
      <c r="AA1740" s="282" t="s">
        <v>5502</v>
      </c>
      <c r="AB1740" s="283">
        <v>44477.0</v>
      </c>
      <c r="AC1740" s="284"/>
      <c r="AD1740" s="284"/>
    </row>
    <row r="1741" ht="14.25" customHeight="1">
      <c r="A1741" s="265">
        <v>44476.0</v>
      </c>
      <c r="B1741" s="266" t="s">
        <v>3677</v>
      </c>
      <c r="C1741" s="266"/>
      <c r="D1741" s="266" t="s">
        <v>1455</v>
      </c>
      <c r="E1741" s="378"/>
      <c r="F1741" s="358" t="s">
        <v>5503</v>
      </c>
      <c r="G1741" s="268" t="s">
        <v>2085</v>
      </c>
      <c r="H1741" s="270">
        <v>0.014467592592592593</v>
      </c>
      <c r="I1741" s="271">
        <v>44476.85138888889</v>
      </c>
      <c r="J1741" s="268"/>
      <c r="K1741" s="271">
        <v>44476.870046296295</v>
      </c>
      <c r="L1741" s="288" t="str">
        <f t="shared" si="108"/>
        <v>12:26:52 AM</v>
      </c>
      <c r="M1741" s="278"/>
      <c r="N1741" s="290"/>
      <c r="O1741" s="276"/>
      <c r="P1741" s="276"/>
      <c r="Q1741" s="276"/>
      <c r="R1741" s="278"/>
      <c r="S1741" s="278"/>
      <c r="T1741" s="278"/>
      <c r="U1741" s="279"/>
      <c r="V1741" s="279" t="s">
        <v>1824</v>
      </c>
      <c r="W1741" s="280">
        <v>44477.0</v>
      </c>
      <c r="X1741" s="281">
        <v>0.06944444444444443</v>
      </c>
      <c r="Y1741" s="279" t="s">
        <v>1693</v>
      </c>
      <c r="Z1741" s="282" t="s">
        <v>53</v>
      </c>
      <c r="AA1741" s="282" t="s">
        <v>5503</v>
      </c>
      <c r="AB1741" s="283">
        <v>44477.0</v>
      </c>
      <c r="AC1741" s="284"/>
      <c r="AD1741" s="284"/>
    </row>
    <row r="1742" ht="14.25" customHeight="1">
      <c r="A1742" s="265">
        <v>44477.0</v>
      </c>
      <c r="B1742" s="266" t="s">
        <v>1500</v>
      </c>
      <c r="C1742" s="266" t="s">
        <v>1450</v>
      </c>
      <c r="D1742" s="266" t="s">
        <v>1543</v>
      </c>
      <c r="E1742" s="378"/>
      <c r="F1742" s="291" t="s">
        <v>5504</v>
      </c>
      <c r="G1742" s="268" t="s">
        <v>1463</v>
      </c>
      <c r="H1742" s="270">
        <v>0.0015624999999999999</v>
      </c>
      <c r="I1742" s="271">
        <v>44477.67361111111</v>
      </c>
      <c r="J1742" s="268"/>
      <c r="K1742" s="271">
        <v>44478.01449074074</v>
      </c>
      <c r="L1742" s="288"/>
      <c r="M1742" s="278" t="s">
        <v>5505</v>
      </c>
      <c r="N1742" s="290"/>
      <c r="O1742" s="276"/>
      <c r="P1742" s="276"/>
      <c r="Q1742" s="276"/>
      <c r="R1742" s="278"/>
      <c r="S1742" s="278"/>
      <c r="T1742" s="278"/>
      <c r="U1742" s="279"/>
      <c r="V1742" s="279" t="s">
        <v>1824</v>
      </c>
      <c r="W1742" s="280">
        <v>44494.0</v>
      </c>
      <c r="X1742" s="281">
        <v>0.007638888888888889</v>
      </c>
      <c r="Y1742" s="279" t="s">
        <v>1693</v>
      </c>
      <c r="Z1742" s="282" t="s">
        <v>53</v>
      </c>
      <c r="AA1742" s="282">
        <v>6784781.0</v>
      </c>
      <c r="AB1742" s="283">
        <v>44482.0</v>
      </c>
      <c r="AC1742" s="284"/>
      <c r="AD1742" s="284"/>
    </row>
    <row r="1743" ht="14.25" customHeight="1">
      <c r="A1743" s="265">
        <v>44477.0</v>
      </c>
      <c r="B1743" s="266" t="s">
        <v>2030</v>
      </c>
      <c r="C1743" s="266"/>
      <c r="D1743" s="266" t="s">
        <v>1450</v>
      </c>
      <c r="E1743" s="378"/>
      <c r="F1743" s="358" t="s">
        <v>5506</v>
      </c>
      <c r="G1743" s="268" t="s">
        <v>2085</v>
      </c>
      <c r="H1743" s="270">
        <v>0.09802083333333333</v>
      </c>
      <c r="I1743" s="271">
        <v>44477.49652777778</v>
      </c>
      <c r="J1743" s="268"/>
      <c r="K1743" s="271">
        <v>44477.938888888886</v>
      </c>
      <c r="L1743" s="288" t="str">
        <f>IFERROR(IF(OR(I1743="",K1743=""),"",K1743-I1743),"")</f>
        <v>10:37:00 AM</v>
      </c>
      <c r="M1743" s="278"/>
      <c r="N1743" s="290"/>
      <c r="O1743" s="276"/>
      <c r="P1743" s="276"/>
      <c r="Q1743" s="276"/>
      <c r="R1743" s="278"/>
      <c r="S1743" s="278"/>
      <c r="T1743" s="278"/>
      <c r="U1743" s="279"/>
      <c r="V1743" s="279" t="s">
        <v>1570</v>
      </c>
      <c r="W1743" s="280">
        <v>44480.0</v>
      </c>
      <c r="X1743" s="281">
        <v>0.25</v>
      </c>
      <c r="Y1743" s="279" t="s">
        <v>1693</v>
      </c>
      <c r="Z1743" s="282" t="s">
        <v>53</v>
      </c>
      <c r="AA1743" s="282" t="s">
        <v>5506</v>
      </c>
      <c r="AB1743" s="283">
        <v>44480.0</v>
      </c>
      <c r="AC1743" s="284"/>
      <c r="AD1743" s="284"/>
    </row>
    <row r="1744" ht="14.25" customHeight="1">
      <c r="A1744" s="265">
        <v>44477.0</v>
      </c>
      <c r="B1744" s="266" t="s">
        <v>1685</v>
      </c>
      <c r="C1744" s="266"/>
      <c r="D1744" s="266" t="s">
        <v>1452</v>
      </c>
      <c r="E1744" s="378"/>
      <c r="F1744" s="358" t="s">
        <v>5507</v>
      </c>
      <c r="G1744" s="268" t="s">
        <v>2085</v>
      </c>
      <c r="H1744" s="270">
        <v>0.001990740740740741</v>
      </c>
      <c r="I1744" s="271">
        <v>44477.57083333333</v>
      </c>
      <c r="J1744" s="268"/>
      <c r="K1744" s="268"/>
      <c r="L1744" s="288"/>
      <c r="M1744" s="307" t="s">
        <v>2808</v>
      </c>
      <c r="N1744" s="273">
        <v>44477.74097222222</v>
      </c>
      <c r="O1744" s="276" t="s">
        <v>5508</v>
      </c>
      <c r="P1744" s="276" t="s">
        <v>1463</v>
      </c>
      <c r="Q1744" s="276" t="s">
        <v>3940</v>
      </c>
      <c r="R1744" s="277">
        <v>44477.74363425926</v>
      </c>
      <c r="S1744" s="278"/>
      <c r="T1744" s="278" t="s">
        <v>5509</v>
      </c>
      <c r="U1744" s="279"/>
      <c r="V1744" s="279" t="s">
        <v>1685</v>
      </c>
      <c r="W1744" s="280">
        <v>44477.0</v>
      </c>
      <c r="X1744" s="281">
        <v>0.010416666666666666</v>
      </c>
      <c r="Y1744" s="279"/>
      <c r="Z1744" s="282" t="s">
        <v>53</v>
      </c>
      <c r="AA1744" s="282" t="s">
        <v>5507</v>
      </c>
      <c r="AB1744" s="283">
        <v>44480.0</v>
      </c>
      <c r="AC1744" s="284"/>
      <c r="AD1744" s="284"/>
    </row>
    <row r="1745" ht="14.25" customHeight="1">
      <c r="A1745" s="265">
        <v>44477.0</v>
      </c>
      <c r="B1745" s="266" t="s">
        <v>1733</v>
      </c>
      <c r="C1745" s="266"/>
      <c r="D1745" s="266" t="s">
        <v>1686</v>
      </c>
      <c r="E1745" s="378"/>
      <c r="F1745" s="358" t="s">
        <v>5510</v>
      </c>
      <c r="G1745" s="268" t="s">
        <v>2085</v>
      </c>
      <c r="H1745" s="270">
        <v>0.03736111111111111</v>
      </c>
      <c r="I1745" s="271">
        <v>44477.57083333333</v>
      </c>
      <c r="J1745" s="268"/>
      <c r="K1745" s="271">
        <v>44477.895162037035</v>
      </c>
      <c r="L1745" s="288" t="str">
        <f t="shared" ref="L1745:L1746" si="109">IFERROR(IF(OR(I1745="",K1745=""),"",K1745-I1745),"")</f>
        <v>7:47:02 AM</v>
      </c>
      <c r="M1745" s="278"/>
      <c r="N1745" s="290"/>
      <c r="O1745" s="276"/>
      <c r="P1745" s="276"/>
      <c r="Q1745" s="276"/>
      <c r="R1745" s="278"/>
      <c r="S1745" s="278"/>
      <c r="T1745" s="278"/>
      <c r="U1745" s="279"/>
      <c r="V1745" s="279" t="s">
        <v>1733</v>
      </c>
      <c r="W1745" s="280">
        <v>44477.0</v>
      </c>
      <c r="X1745" s="281">
        <v>0.125</v>
      </c>
      <c r="Y1745" s="279" t="s">
        <v>1693</v>
      </c>
      <c r="Z1745" s="282" t="s">
        <v>53</v>
      </c>
      <c r="AA1745" s="282" t="s">
        <v>5510</v>
      </c>
      <c r="AB1745" s="283">
        <v>44480.0</v>
      </c>
      <c r="AC1745" s="284"/>
      <c r="AD1745" s="284"/>
    </row>
    <row r="1746" ht="14.25" customHeight="1">
      <c r="A1746" s="265">
        <v>44477.0</v>
      </c>
      <c r="B1746" s="266" t="s">
        <v>3677</v>
      </c>
      <c r="C1746" s="266"/>
      <c r="D1746" s="266" t="s">
        <v>1455</v>
      </c>
      <c r="E1746" s="378"/>
      <c r="F1746" s="358" t="s">
        <v>5511</v>
      </c>
      <c r="G1746" s="268" t="s">
        <v>2085</v>
      </c>
      <c r="H1746" s="270">
        <v>0.020277777777777777</v>
      </c>
      <c r="I1746" s="271">
        <v>44477.87013888889</v>
      </c>
      <c r="J1746" s="268"/>
      <c r="K1746" s="271">
        <v>44478.22791666666</v>
      </c>
      <c r="L1746" s="288" t="str">
        <f t="shared" si="109"/>
        <v>8:35:12 AM</v>
      </c>
      <c r="M1746" s="278"/>
      <c r="N1746" s="290"/>
      <c r="O1746" s="276"/>
      <c r="P1746" s="276"/>
      <c r="Q1746" s="276"/>
      <c r="R1746" s="278"/>
      <c r="S1746" s="278"/>
      <c r="T1746" s="278"/>
      <c r="U1746" s="279"/>
      <c r="V1746" s="279" t="s">
        <v>1685</v>
      </c>
      <c r="W1746" s="280">
        <v>44480.0</v>
      </c>
      <c r="X1746" s="281">
        <v>0.08333333333333333</v>
      </c>
      <c r="Y1746" s="279" t="s">
        <v>1693</v>
      </c>
      <c r="Z1746" s="282" t="s">
        <v>53</v>
      </c>
      <c r="AA1746" s="282" t="s">
        <v>5512</v>
      </c>
      <c r="AB1746" s="283">
        <v>44480.0</v>
      </c>
      <c r="AC1746" s="284"/>
      <c r="AD1746" s="284"/>
    </row>
    <row r="1747" ht="14.25" customHeight="1">
      <c r="A1747" s="265">
        <v>44477.0</v>
      </c>
      <c r="B1747" s="266" t="s">
        <v>1570</v>
      </c>
      <c r="C1747" s="266" t="s">
        <v>2158</v>
      </c>
      <c r="D1747" s="266" t="s">
        <v>1450</v>
      </c>
      <c r="E1747" s="378"/>
      <c r="F1747" s="269" t="s">
        <v>5513</v>
      </c>
      <c r="G1747" s="268" t="s">
        <v>1463</v>
      </c>
      <c r="H1747" s="270">
        <v>0.005439814814814815</v>
      </c>
      <c r="I1747" s="271">
        <v>44481.708333333336</v>
      </c>
      <c r="J1747" s="268"/>
      <c r="K1747" s="271">
        <v>44481.713368055556</v>
      </c>
      <c r="L1747" s="288"/>
      <c r="M1747" s="278"/>
      <c r="N1747" s="290"/>
      <c r="O1747" s="276"/>
      <c r="P1747" s="276"/>
      <c r="Q1747" s="276"/>
      <c r="R1747" s="278"/>
      <c r="S1747" s="278"/>
      <c r="T1747" s="278"/>
      <c r="U1747" s="279"/>
      <c r="V1747" s="279"/>
      <c r="W1747" s="280"/>
      <c r="X1747" s="281"/>
      <c r="Y1747" s="279"/>
      <c r="Z1747" s="282"/>
      <c r="AA1747" s="282"/>
      <c r="AB1747" s="283"/>
      <c r="AC1747" s="284"/>
      <c r="AD1747" s="284"/>
    </row>
    <row r="1748" ht="14.25" customHeight="1">
      <c r="A1748" s="265">
        <v>44478.0</v>
      </c>
      <c r="B1748" s="266" t="s">
        <v>1500</v>
      </c>
      <c r="C1748" s="266" t="s">
        <v>1686</v>
      </c>
      <c r="D1748" s="266" t="s">
        <v>1543</v>
      </c>
      <c r="E1748" s="378"/>
      <c r="F1748" s="269" t="s">
        <v>5514</v>
      </c>
      <c r="G1748" s="268" t="s">
        <v>1463</v>
      </c>
      <c r="H1748" s="270">
        <v>0.0025925925925925925</v>
      </c>
      <c r="I1748" s="271">
        <v>44479.544444444444</v>
      </c>
      <c r="J1748" s="268"/>
      <c r="K1748" s="271">
        <v>44487.55002314815</v>
      </c>
      <c r="L1748" s="288"/>
      <c r="M1748" s="278" t="s">
        <v>5515</v>
      </c>
      <c r="N1748" s="290"/>
      <c r="O1748" s="276"/>
      <c r="P1748" s="276"/>
      <c r="Q1748" s="276"/>
      <c r="R1748" s="278"/>
      <c r="S1748" s="278"/>
      <c r="T1748" s="278"/>
      <c r="U1748" s="279"/>
      <c r="V1748" s="279" t="s">
        <v>1824</v>
      </c>
      <c r="W1748" s="280">
        <v>44494.0</v>
      </c>
      <c r="X1748" s="281">
        <v>0.004861111111111111</v>
      </c>
      <c r="Y1748" s="279" t="s">
        <v>1693</v>
      </c>
      <c r="Z1748" s="282" t="s">
        <v>53</v>
      </c>
      <c r="AA1748" s="282">
        <v>6817797.0</v>
      </c>
      <c r="AB1748" s="283">
        <v>44489.0</v>
      </c>
      <c r="AC1748" s="284"/>
      <c r="AD1748" s="284"/>
    </row>
    <row r="1749" ht="14.25" customHeight="1">
      <c r="A1749" s="265">
        <v>44478.0</v>
      </c>
      <c r="B1749" s="266" t="s">
        <v>2030</v>
      </c>
      <c r="C1749" s="266"/>
      <c r="D1749" s="266" t="s">
        <v>1686</v>
      </c>
      <c r="E1749" s="378"/>
      <c r="F1749" s="358" t="s">
        <v>5516</v>
      </c>
      <c r="G1749" s="268" t="s">
        <v>2085</v>
      </c>
      <c r="H1749" s="270">
        <v>0.038622685185185184</v>
      </c>
      <c r="I1749" s="271">
        <v>44478.615277777775</v>
      </c>
      <c r="J1749" s="268"/>
      <c r="K1749" s="271">
        <v>44478.645833333336</v>
      </c>
      <c r="L1749" s="288" t="str">
        <f t="shared" ref="L1749:L1750" si="110">IFERROR(IF(OR(I1749="",K1749=""),"",K1749-I1749),"")</f>
        <v>12:44:00 AM</v>
      </c>
      <c r="M1749" s="278"/>
      <c r="N1749" s="290"/>
      <c r="O1749" s="276"/>
      <c r="P1749" s="276"/>
      <c r="Q1749" s="276"/>
      <c r="R1749" s="278"/>
      <c r="S1749" s="278"/>
      <c r="T1749" s="278"/>
      <c r="U1749" s="279"/>
      <c r="V1749" s="279" t="s">
        <v>1733</v>
      </c>
      <c r="W1749" s="280">
        <v>44479.0</v>
      </c>
      <c r="X1749" s="281">
        <v>0.125</v>
      </c>
      <c r="Y1749" s="279" t="s">
        <v>1693</v>
      </c>
      <c r="Z1749" s="282" t="s">
        <v>53</v>
      </c>
      <c r="AA1749" s="282" t="s">
        <v>5517</v>
      </c>
      <c r="AB1749" s="283">
        <v>44480.0</v>
      </c>
      <c r="AC1749" s="284"/>
      <c r="AD1749" s="284"/>
    </row>
    <row r="1750" ht="14.25" customHeight="1">
      <c r="A1750" s="265">
        <v>44478.0</v>
      </c>
      <c r="B1750" s="266" t="s">
        <v>1733</v>
      </c>
      <c r="C1750" s="266"/>
      <c r="D1750" s="266" t="s">
        <v>1455</v>
      </c>
      <c r="E1750" s="378"/>
      <c r="F1750" s="358" t="s">
        <v>5518</v>
      </c>
      <c r="G1750" s="268" t="s">
        <v>2085</v>
      </c>
      <c r="H1750" s="270">
        <v>0.01769675925925926</v>
      </c>
      <c r="I1750" s="271">
        <v>44479.74097222222</v>
      </c>
      <c r="J1750" s="268"/>
      <c r="K1750" s="271">
        <v>44479.75840277778</v>
      </c>
      <c r="L1750" s="288" t="str">
        <f t="shared" si="110"/>
        <v>12:25:06 AM</v>
      </c>
      <c r="M1750" s="278"/>
      <c r="N1750" s="290"/>
      <c r="O1750" s="276"/>
      <c r="P1750" s="276"/>
      <c r="Q1750" s="276"/>
      <c r="R1750" s="278"/>
      <c r="S1750" s="278"/>
      <c r="T1750" s="278"/>
      <c r="U1750" s="279"/>
      <c r="V1750" s="279" t="s">
        <v>1685</v>
      </c>
      <c r="W1750" s="280">
        <v>44480.0</v>
      </c>
      <c r="X1750" s="281">
        <v>0.0763888888888889</v>
      </c>
      <c r="Y1750" s="279" t="s">
        <v>1693</v>
      </c>
      <c r="Z1750" s="282" t="s">
        <v>53</v>
      </c>
      <c r="AA1750" s="282" t="s">
        <v>5518</v>
      </c>
      <c r="AB1750" s="283">
        <v>44480.0</v>
      </c>
      <c r="AC1750" s="284"/>
      <c r="AD1750" s="284"/>
    </row>
    <row r="1751" ht="14.25" customHeight="1">
      <c r="A1751" s="265">
        <v>44479.0</v>
      </c>
      <c r="B1751" s="266" t="s">
        <v>1733</v>
      </c>
      <c r="C1751" s="266"/>
      <c r="D1751" s="266" t="s">
        <v>3509</v>
      </c>
      <c r="E1751" s="378"/>
      <c r="F1751" s="358">
        <v>6722005.0</v>
      </c>
      <c r="G1751" s="268" t="s">
        <v>3839</v>
      </c>
      <c r="H1751" s="270">
        <v>0.05229166666666666</v>
      </c>
      <c r="I1751" s="271">
        <v>44479.72083333333</v>
      </c>
      <c r="J1751" s="268"/>
      <c r="K1751" s="432">
        <v>44479.72361111111</v>
      </c>
      <c r="L1751" s="288"/>
      <c r="M1751" s="278"/>
      <c r="N1751" s="290"/>
      <c r="O1751" s="276"/>
      <c r="P1751" s="276"/>
      <c r="Q1751" s="276"/>
      <c r="R1751" s="278"/>
      <c r="S1751" s="278"/>
      <c r="T1751" s="278"/>
      <c r="U1751" s="279"/>
      <c r="V1751" s="279"/>
      <c r="W1751" s="279"/>
      <c r="X1751" s="279"/>
      <c r="Y1751" s="279"/>
      <c r="Z1751" s="282" t="s">
        <v>101</v>
      </c>
      <c r="AA1751" s="282">
        <v>6722005.0</v>
      </c>
      <c r="AB1751" s="282"/>
      <c r="AC1751" s="284"/>
      <c r="AD1751" s="284"/>
    </row>
    <row r="1752" ht="14.25" customHeight="1">
      <c r="A1752" s="265">
        <v>44479.0</v>
      </c>
      <c r="B1752" s="266" t="s">
        <v>1500</v>
      </c>
      <c r="C1752" s="266" t="s">
        <v>1686</v>
      </c>
      <c r="D1752" s="266" t="s">
        <v>1543</v>
      </c>
      <c r="E1752" s="378"/>
      <c r="F1752" s="269" t="s">
        <v>5519</v>
      </c>
      <c r="G1752" s="268" t="s">
        <v>1463</v>
      </c>
      <c r="H1752" s="270">
        <v>0.004849537037037037</v>
      </c>
      <c r="I1752" s="271">
        <v>44480.64487268519</v>
      </c>
      <c r="J1752" s="268"/>
      <c r="K1752" s="271">
        <v>44481.11997685185</v>
      </c>
      <c r="L1752" s="288"/>
      <c r="M1752" s="278" t="s">
        <v>5520</v>
      </c>
      <c r="N1752" s="290"/>
      <c r="O1752" s="276"/>
      <c r="P1752" s="276"/>
      <c r="Q1752" s="276"/>
      <c r="R1752" s="278"/>
      <c r="S1752" s="278"/>
      <c r="T1752" s="278"/>
      <c r="U1752" s="279"/>
      <c r="V1752" s="279" t="s">
        <v>1824</v>
      </c>
      <c r="W1752" s="280">
        <v>44494.0</v>
      </c>
      <c r="X1752" s="281">
        <v>0.003472222222222222</v>
      </c>
      <c r="Y1752" s="279" t="s">
        <v>1693</v>
      </c>
      <c r="Z1752" s="282" t="s">
        <v>53</v>
      </c>
      <c r="AA1752" s="282">
        <v>6790985.0</v>
      </c>
      <c r="AB1752" s="283">
        <v>44483.0</v>
      </c>
      <c r="AC1752" s="284"/>
      <c r="AD1752" s="284"/>
    </row>
    <row r="1753" ht="14.25" customHeight="1">
      <c r="A1753" s="265">
        <v>44479.0</v>
      </c>
      <c r="B1753" s="266" t="s">
        <v>1500</v>
      </c>
      <c r="C1753" s="266" t="s">
        <v>1450</v>
      </c>
      <c r="D1753" s="266" t="s">
        <v>1543</v>
      </c>
      <c r="E1753" s="378"/>
      <c r="F1753" s="269" t="s">
        <v>5521</v>
      </c>
      <c r="G1753" s="268" t="s">
        <v>1463</v>
      </c>
      <c r="H1753" s="270">
        <v>0.002870370370370371</v>
      </c>
      <c r="I1753" s="271">
        <v>44479.520833333336</v>
      </c>
      <c r="J1753" s="268"/>
      <c r="K1753" s="271">
        <v>44480.433900462966</v>
      </c>
      <c r="L1753" s="288"/>
      <c r="M1753" s="278" t="s">
        <v>5522</v>
      </c>
      <c r="N1753" s="290"/>
      <c r="O1753" s="276"/>
      <c r="P1753" s="276"/>
      <c r="Q1753" s="276"/>
      <c r="R1753" s="278"/>
      <c r="S1753" s="278"/>
      <c r="T1753" s="278"/>
      <c r="U1753" s="279"/>
      <c r="V1753" s="279" t="s">
        <v>1824</v>
      </c>
      <c r="W1753" s="280">
        <v>44494.0</v>
      </c>
      <c r="X1753" s="281">
        <v>0.006944444444444444</v>
      </c>
      <c r="Y1753" s="279" t="s">
        <v>1693</v>
      </c>
      <c r="Z1753" s="282" t="s">
        <v>53</v>
      </c>
      <c r="AA1753" s="282">
        <v>6817798.0</v>
      </c>
      <c r="AB1753" s="283">
        <v>44489.0</v>
      </c>
      <c r="AC1753" s="284"/>
      <c r="AD1753" s="284"/>
    </row>
    <row r="1754" ht="14.25" customHeight="1">
      <c r="A1754" s="265">
        <v>44479.0</v>
      </c>
      <c r="B1754" s="266" t="s">
        <v>1733</v>
      </c>
      <c r="C1754" s="266"/>
      <c r="D1754" s="266" t="s">
        <v>1457</v>
      </c>
      <c r="E1754" s="378"/>
      <c r="F1754" s="358" t="s">
        <v>5523</v>
      </c>
      <c r="G1754" s="268" t="s">
        <v>2085</v>
      </c>
      <c r="H1754" s="270">
        <v>0.017939814814814815</v>
      </c>
      <c r="I1754" s="271">
        <v>44480.419444444444</v>
      </c>
      <c r="J1754" s="268"/>
      <c r="K1754" s="271">
        <v>44480.433900462966</v>
      </c>
      <c r="L1754" s="288" t="str">
        <f t="shared" ref="L1754:L1755" si="111">IFERROR(IF(OR(I1754="",K1754=""),"",K1754-I1754),"")</f>
        <v>12:20:49 AM</v>
      </c>
      <c r="M1754" s="278"/>
      <c r="N1754" s="290"/>
      <c r="O1754" s="276"/>
      <c r="P1754" s="276"/>
      <c r="Q1754" s="276"/>
      <c r="R1754" s="278"/>
      <c r="S1754" s="278"/>
      <c r="T1754" s="278"/>
      <c r="U1754" s="279"/>
      <c r="V1754" s="279" t="s">
        <v>1824</v>
      </c>
      <c r="W1754" s="280">
        <v>44489.0</v>
      </c>
      <c r="X1754" s="281">
        <v>0.03819444444444444</v>
      </c>
      <c r="Y1754" s="279" t="s">
        <v>1693</v>
      </c>
      <c r="Z1754" s="282" t="s">
        <v>53</v>
      </c>
      <c r="AA1754" s="282" t="s">
        <v>5523</v>
      </c>
      <c r="AB1754" s="283">
        <v>44480.0</v>
      </c>
      <c r="AC1754" s="284"/>
      <c r="AD1754" s="284"/>
    </row>
    <row r="1755" ht="14.25" customHeight="1">
      <c r="A1755" s="265">
        <v>44479.0</v>
      </c>
      <c r="B1755" s="266" t="s">
        <v>1733</v>
      </c>
      <c r="C1755" s="266"/>
      <c r="D1755" s="266" t="s">
        <v>2829</v>
      </c>
      <c r="E1755" s="378"/>
      <c r="F1755" s="358" t="s">
        <v>5524</v>
      </c>
      <c r="G1755" s="268" t="s">
        <v>2085</v>
      </c>
      <c r="H1755" s="270">
        <v>0.018541666666666668</v>
      </c>
      <c r="I1755" s="271">
        <v>44479.73055555556</v>
      </c>
      <c r="J1755" s="268"/>
      <c r="K1755" s="268"/>
      <c r="L1755" s="288" t="str">
        <f t="shared" si="111"/>
        <v/>
      </c>
      <c r="M1755" s="307" t="s">
        <v>3482</v>
      </c>
      <c r="N1755" s="273">
        <v>44479.73333333333</v>
      </c>
      <c r="O1755" s="276" t="s">
        <v>5525</v>
      </c>
      <c r="P1755" s="276" t="s">
        <v>1463</v>
      </c>
      <c r="Q1755" s="276" t="s">
        <v>1819</v>
      </c>
      <c r="R1755" s="277">
        <v>44479.85244212963</v>
      </c>
      <c r="S1755" s="278"/>
      <c r="T1755" s="278" t="s">
        <v>5526</v>
      </c>
      <c r="U1755" s="279"/>
      <c r="V1755" s="279"/>
      <c r="W1755" s="279"/>
      <c r="X1755" s="279"/>
      <c r="Y1755" s="279"/>
      <c r="Z1755" s="282" t="s">
        <v>53</v>
      </c>
      <c r="AA1755" s="282" t="s">
        <v>5524</v>
      </c>
      <c r="AB1755" s="283">
        <v>44482.0</v>
      </c>
      <c r="AC1755" s="284"/>
      <c r="AD1755" s="284"/>
    </row>
    <row r="1756" ht="14.25" customHeight="1">
      <c r="A1756" s="265">
        <v>44480.0</v>
      </c>
      <c r="B1756" s="266" t="s">
        <v>1500</v>
      </c>
      <c r="C1756" s="266" t="s">
        <v>1686</v>
      </c>
      <c r="D1756" s="266" t="s">
        <v>1543</v>
      </c>
      <c r="E1756" s="268"/>
      <c r="F1756" s="269" t="s">
        <v>5527</v>
      </c>
      <c r="G1756" s="268" t="s">
        <v>1463</v>
      </c>
      <c r="H1756" s="270">
        <v>0.0014351851851851854</v>
      </c>
      <c r="I1756" s="271">
        <v>44482.895833333336</v>
      </c>
      <c r="J1756" s="268"/>
      <c r="K1756" s="271">
        <v>44483.23201388889</v>
      </c>
      <c r="L1756" s="288"/>
      <c r="M1756" s="272" t="s">
        <v>5528</v>
      </c>
      <c r="N1756" s="273"/>
      <c r="O1756" s="276"/>
      <c r="P1756" s="276"/>
      <c r="Q1756" s="276"/>
      <c r="R1756" s="277"/>
      <c r="S1756" s="278"/>
      <c r="T1756" s="278"/>
      <c r="U1756" s="279"/>
      <c r="V1756" s="279" t="s">
        <v>1824</v>
      </c>
      <c r="W1756" s="280">
        <v>44494.0</v>
      </c>
      <c r="X1756" s="281">
        <v>0.004861111111111111</v>
      </c>
      <c r="Y1756" s="279" t="s">
        <v>1693</v>
      </c>
      <c r="Z1756" s="282" t="s">
        <v>53</v>
      </c>
      <c r="AA1756" s="282">
        <v>6817799.0</v>
      </c>
      <c r="AB1756" s="283">
        <v>44489.0</v>
      </c>
      <c r="AC1756" s="284"/>
      <c r="AD1756" s="284"/>
    </row>
    <row r="1757" ht="14.25" customHeight="1">
      <c r="A1757" s="265">
        <v>44480.0</v>
      </c>
      <c r="B1757" s="266" t="s">
        <v>1824</v>
      </c>
      <c r="C1757" s="266" t="s">
        <v>1831</v>
      </c>
      <c r="D1757" s="266" t="s">
        <v>1686</v>
      </c>
      <c r="E1757" s="268"/>
      <c r="F1757" s="269" t="s">
        <v>5529</v>
      </c>
      <c r="G1757" s="268" t="s">
        <v>4787</v>
      </c>
      <c r="H1757" s="270"/>
      <c r="I1757" s="271"/>
      <c r="J1757" s="268"/>
      <c r="K1757" s="268"/>
      <c r="L1757" s="288"/>
      <c r="M1757" s="272" t="s">
        <v>3915</v>
      </c>
      <c r="N1757" s="273"/>
      <c r="O1757" s="276"/>
      <c r="P1757" s="276"/>
      <c r="Q1757" s="276"/>
      <c r="R1757" s="277"/>
      <c r="S1757" s="278"/>
      <c r="T1757" s="278" t="s">
        <v>3915</v>
      </c>
      <c r="U1757" s="279" t="s">
        <v>28</v>
      </c>
      <c r="V1757" s="279" t="s">
        <v>28</v>
      </c>
      <c r="W1757" s="280" t="s">
        <v>28</v>
      </c>
      <c r="X1757" s="281" t="s">
        <v>28</v>
      </c>
      <c r="Y1757" s="279" t="s">
        <v>28</v>
      </c>
      <c r="Z1757" s="282" t="s">
        <v>28</v>
      </c>
      <c r="AA1757" s="282" t="s">
        <v>28</v>
      </c>
      <c r="AB1757" s="283"/>
      <c r="AC1757" s="284"/>
      <c r="AD1757" s="284"/>
    </row>
    <row r="1758" ht="14.25" customHeight="1">
      <c r="A1758" s="265">
        <v>44480.0</v>
      </c>
      <c r="B1758" s="266" t="s">
        <v>1570</v>
      </c>
      <c r="C1758" s="266"/>
      <c r="D1758" s="266" t="s">
        <v>1450</v>
      </c>
      <c r="E1758" s="268"/>
      <c r="F1758" s="358" t="s">
        <v>5530</v>
      </c>
      <c r="G1758" s="268" t="s">
        <v>2155</v>
      </c>
      <c r="H1758" s="270">
        <v>0.09857638888888888</v>
      </c>
      <c r="I1758" s="271">
        <v>44480.56319444445</v>
      </c>
      <c r="J1758" s="268"/>
      <c r="K1758" s="271">
        <v>44480.96895833333</v>
      </c>
      <c r="L1758" s="288" t="str">
        <f t="shared" ref="L1758:L1765" si="112">IFERROR(IF(OR(I1758="",K1758=""),"",K1758-I1758),"")</f>
        <v>9:44:18 AM</v>
      </c>
      <c r="M1758" s="278"/>
      <c r="N1758" s="290"/>
      <c r="O1758" s="276"/>
      <c r="P1758" s="276"/>
      <c r="Q1758" s="276"/>
      <c r="R1758" s="278"/>
      <c r="S1758" s="278"/>
      <c r="T1758" s="278"/>
      <c r="U1758" s="279"/>
      <c r="V1758" s="279" t="s">
        <v>1570</v>
      </c>
      <c r="W1758" s="280">
        <v>44482.0</v>
      </c>
      <c r="X1758" s="281">
        <v>0.25</v>
      </c>
      <c r="Y1758" s="279" t="s">
        <v>1693</v>
      </c>
      <c r="Z1758" s="282" t="s">
        <v>53</v>
      </c>
      <c r="AA1758" s="282" t="s">
        <v>5531</v>
      </c>
      <c r="AB1758" s="283">
        <v>44482.0</v>
      </c>
      <c r="AC1758" s="284"/>
      <c r="AD1758" s="284"/>
    </row>
    <row r="1759" ht="14.25" customHeight="1">
      <c r="A1759" s="265">
        <v>44480.0</v>
      </c>
      <c r="B1759" s="266" t="s">
        <v>1685</v>
      </c>
      <c r="C1759" s="266"/>
      <c r="D1759" s="266" t="s">
        <v>1452</v>
      </c>
      <c r="E1759" s="268"/>
      <c r="F1759" s="358" t="s">
        <v>5532</v>
      </c>
      <c r="G1759" s="268" t="s">
        <v>2085</v>
      </c>
      <c r="H1759" s="270">
        <v>0.005439814814814815</v>
      </c>
      <c r="I1759" s="271">
        <v>44480.841782407406</v>
      </c>
      <c r="J1759" s="268"/>
      <c r="K1759" s="271">
        <v>44480.841782407406</v>
      </c>
      <c r="L1759" s="288" t="str">
        <f t="shared" si="112"/>
        <v>12:00:00 AM</v>
      </c>
      <c r="M1759" s="278"/>
      <c r="N1759" s="290"/>
      <c r="O1759" s="276"/>
      <c r="P1759" s="276"/>
      <c r="Q1759" s="276"/>
      <c r="R1759" s="278"/>
      <c r="S1759" s="278"/>
      <c r="T1759" s="278"/>
      <c r="U1759" s="279"/>
      <c r="V1759" s="279" t="s">
        <v>1685</v>
      </c>
      <c r="W1759" s="280">
        <v>44481.0</v>
      </c>
      <c r="X1759" s="281">
        <v>0.013194444444444444</v>
      </c>
      <c r="Y1759" s="279" t="s">
        <v>1693</v>
      </c>
      <c r="Z1759" s="282" t="s">
        <v>53</v>
      </c>
      <c r="AA1759" s="282" t="s">
        <v>5532</v>
      </c>
      <c r="AB1759" s="283">
        <v>44482.0</v>
      </c>
      <c r="AC1759" s="284"/>
      <c r="AD1759" s="284"/>
    </row>
    <row r="1760" ht="14.25" customHeight="1">
      <c r="A1760" s="265">
        <v>44480.0</v>
      </c>
      <c r="B1760" s="266" t="s">
        <v>1824</v>
      </c>
      <c r="C1760" s="266"/>
      <c r="D1760" s="266" t="s">
        <v>1686</v>
      </c>
      <c r="E1760" s="268"/>
      <c r="F1760" s="358" t="s">
        <v>5533</v>
      </c>
      <c r="G1760" s="268" t="s">
        <v>2085</v>
      </c>
      <c r="H1760" s="270">
        <v>0.037592592592592594</v>
      </c>
      <c r="I1760" s="271">
        <v>44480.69375</v>
      </c>
      <c r="J1760" s="268"/>
      <c r="K1760" s="268"/>
      <c r="L1760" s="288" t="str">
        <f t="shared" si="112"/>
        <v/>
      </c>
      <c r="M1760" s="307" t="s">
        <v>3482</v>
      </c>
      <c r="N1760" s="273">
        <v>44480.70416666667</v>
      </c>
      <c r="O1760" s="276" t="s">
        <v>5534</v>
      </c>
      <c r="P1760" s="276" t="s">
        <v>1463</v>
      </c>
      <c r="Q1760" s="276" t="s">
        <v>1819</v>
      </c>
      <c r="R1760" s="277">
        <v>44480.92202546296</v>
      </c>
      <c r="S1760" s="278"/>
      <c r="T1760" s="278" t="s">
        <v>5535</v>
      </c>
      <c r="U1760" s="279"/>
      <c r="V1760" s="279" t="s">
        <v>1824</v>
      </c>
      <c r="W1760" s="280">
        <v>44482.0</v>
      </c>
      <c r="X1760" s="281">
        <v>0.15277777777777776</v>
      </c>
      <c r="Y1760" s="279" t="s">
        <v>1693</v>
      </c>
      <c r="Z1760" s="282" t="s">
        <v>53</v>
      </c>
      <c r="AA1760" s="282" t="s">
        <v>5536</v>
      </c>
      <c r="AB1760" s="283">
        <v>44482.0</v>
      </c>
      <c r="AC1760" s="284"/>
      <c r="AD1760" s="284"/>
    </row>
    <row r="1761" ht="14.25" customHeight="1">
      <c r="A1761" s="265">
        <v>44480.0</v>
      </c>
      <c r="B1761" s="266" t="s">
        <v>3677</v>
      </c>
      <c r="C1761" s="266"/>
      <c r="D1761" s="266" t="s">
        <v>1455</v>
      </c>
      <c r="E1761" s="268"/>
      <c r="F1761" s="358" t="s">
        <v>5537</v>
      </c>
      <c r="G1761" s="268" t="s">
        <v>2085</v>
      </c>
      <c r="H1761" s="270">
        <v>0.02054398148148148</v>
      </c>
      <c r="I1761" s="271">
        <v>44480.93194444444</v>
      </c>
      <c r="J1761" s="268"/>
      <c r="K1761" s="268"/>
      <c r="L1761" s="288" t="str">
        <f t="shared" si="112"/>
        <v/>
      </c>
      <c r="M1761" s="307" t="s">
        <v>3482</v>
      </c>
      <c r="N1761" s="273">
        <v>44480.927083333336</v>
      </c>
      <c r="O1761" s="276" t="s">
        <v>5538</v>
      </c>
      <c r="P1761" s="276" t="s">
        <v>1463</v>
      </c>
      <c r="Q1761" s="276" t="s">
        <v>1819</v>
      </c>
      <c r="R1761" s="277">
        <v>44480.94190972222</v>
      </c>
      <c r="S1761" s="278"/>
      <c r="T1761" s="278" t="s">
        <v>5539</v>
      </c>
      <c r="U1761" s="279"/>
      <c r="V1761" s="279" t="s">
        <v>1685</v>
      </c>
      <c r="W1761" s="280">
        <v>44481.0</v>
      </c>
      <c r="X1761" s="281">
        <v>0.09027777777777778</v>
      </c>
      <c r="Y1761" s="279"/>
      <c r="Z1761" s="282" t="s">
        <v>53</v>
      </c>
      <c r="AA1761" s="282" t="s">
        <v>5540</v>
      </c>
      <c r="AB1761" s="283">
        <v>44482.0</v>
      </c>
      <c r="AC1761" s="284"/>
      <c r="AD1761" s="284"/>
    </row>
    <row r="1762" ht="14.25" customHeight="1">
      <c r="A1762" s="265">
        <v>44481.0</v>
      </c>
      <c r="B1762" s="266" t="s">
        <v>2030</v>
      </c>
      <c r="C1762" s="266"/>
      <c r="D1762" s="266" t="s">
        <v>1450</v>
      </c>
      <c r="E1762" s="268"/>
      <c r="F1762" s="358" t="s">
        <v>5541</v>
      </c>
      <c r="G1762" s="268" t="s">
        <v>2085</v>
      </c>
      <c r="H1762" s="270">
        <v>0.09915509259259259</v>
      </c>
      <c r="I1762" s="271">
        <v>44481.46111111111</v>
      </c>
      <c r="J1762" s="268"/>
      <c r="K1762" s="268" t="s">
        <v>5542</v>
      </c>
      <c r="L1762" s="288" t="str">
        <f t="shared" si="112"/>
        <v>1:40:26 AM</v>
      </c>
      <c r="M1762" s="278"/>
      <c r="N1762" s="290"/>
      <c r="O1762" s="276"/>
      <c r="P1762" s="276"/>
      <c r="Q1762" s="276"/>
      <c r="R1762" s="278"/>
      <c r="S1762" s="278"/>
      <c r="T1762" s="278"/>
      <c r="U1762" s="279"/>
      <c r="V1762" s="279" t="s">
        <v>1570</v>
      </c>
      <c r="W1762" s="280">
        <v>44483.0</v>
      </c>
      <c r="X1762" s="281">
        <v>0.25</v>
      </c>
      <c r="Y1762" s="279" t="s">
        <v>1693</v>
      </c>
      <c r="Z1762" s="282" t="s">
        <v>53</v>
      </c>
      <c r="AA1762" s="282" t="s">
        <v>5543</v>
      </c>
      <c r="AB1762" s="283">
        <v>44482.0</v>
      </c>
      <c r="AC1762" s="284"/>
      <c r="AD1762" s="284"/>
    </row>
    <row r="1763" ht="14.25" customHeight="1">
      <c r="A1763" s="265">
        <v>44481.0</v>
      </c>
      <c r="B1763" s="266" t="s">
        <v>1783</v>
      </c>
      <c r="C1763" s="266"/>
      <c r="D1763" s="266" t="s">
        <v>1452</v>
      </c>
      <c r="E1763" s="268"/>
      <c r="F1763" s="358" t="s">
        <v>5544</v>
      </c>
      <c r="G1763" s="268" t="s">
        <v>2085</v>
      </c>
      <c r="H1763" s="270">
        <v>0.002384259259259259</v>
      </c>
      <c r="I1763" s="271">
        <v>44481.461805555555</v>
      </c>
      <c r="J1763" s="268"/>
      <c r="K1763" s="268" t="s">
        <v>5545</v>
      </c>
      <c r="L1763" s="288" t="str">
        <f t="shared" si="112"/>
        <v>12:05:21 AM</v>
      </c>
      <c r="M1763" s="278"/>
      <c r="N1763" s="290"/>
      <c r="O1763" s="276"/>
      <c r="P1763" s="276"/>
      <c r="Q1763" s="276"/>
      <c r="R1763" s="278"/>
      <c r="S1763" s="278"/>
      <c r="T1763" s="278"/>
      <c r="U1763" s="279"/>
      <c r="V1763" s="279" t="s">
        <v>1685</v>
      </c>
      <c r="W1763" s="280">
        <v>44481.0</v>
      </c>
      <c r="X1763" s="281">
        <v>0.006944444444444444</v>
      </c>
      <c r="Y1763" s="279" t="s">
        <v>1693</v>
      </c>
      <c r="Z1763" s="282" t="s">
        <v>53</v>
      </c>
      <c r="AA1763" s="282" t="s">
        <v>5544</v>
      </c>
      <c r="AB1763" s="283">
        <v>44482.0</v>
      </c>
      <c r="AC1763" s="284"/>
      <c r="AD1763" s="284"/>
    </row>
    <row r="1764" ht="14.25" customHeight="1">
      <c r="A1764" s="265">
        <v>44481.0</v>
      </c>
      <c r="B1764" s="266" t="s">
        <v>1783</v>
      </c>
      <c r="C1764" s="266"/>
      <c r="D1764" s="266" t="s">
        <v>1686</v>
      </c>
      <c r="E1764" s="268"/>
      <c r="F1764" s="358" t="s">
        <v>5546</v>
      </c>
      <c r="G1764" s="268" t="s">
        <v>2085</v>
      </c>
      <c r="H1764" s="270">
        <v>0.037175925925925925</v>
      </c>
      <c r="I1764" s="271">
        <v>44481.606944444444</v>
      </c>
      <c r="J1764" s="268"/>
      <c r="K1764" s="348">
        <v>44481.62278935185</v>
      </c>
      <c r="L1764" s="288" t="str">
        <f t="shared" si="112"/>
        <v>12:22:49 AM</v>
      </c>
      <c r="M1764" s="278"/>
      <c r="N1764" s="290"/>
      <c r="O1764" s="276"/>
      <c r="P1764" s="276"/>
      <c r="Q1764" s="276"/>
      <c r="R1764" s="278"/>
      <c r="S1764" s="278"/>
      <c r="T1764" s="278"/>
      <c r="U1764" s="279"/>
      <c r="V1764" s="279" t="s">
        <v>1824</v>
      </c>
      <c r="W1764" s="280">
        <v>44482.0</v>
      </c>
      <c r="X1764" s="281">
        <v>0.15277777777777776</v>
      </c>
      <c r="Y1764" s="279" t="s">
        <v>1693</v>
      </c>
      <c r="Z1764" s="282" t="s">
        <v>53</v>
      </c>
      <c r="AA1764" s="282" t="s">
        <v>5546</v>
      </c>
      <c r="AB1764" s="283">
        <v>44482.0</v>
      </c>
      <c r="AC1764" s="284"/>
      <c r="AD1764" s="284"/>
    </row>
    <row r="1765" ht="14.25" customHeight="1">
      <c r="A1765" s="265">
        <v>44481.0</v>
      </c>
      <c r="B1765" s="266" t="s">
        <v>3677</v>
      </c>
      <c r="C1765" s="266"/>
      <c r="D1765" s="266" t="s">
        <v>1455</v>
      </c>
      <c r="E1765" s="268"/>
      <c r="F1765" s="358" t="s">
        <v>5547</v>
      </c>
      <c r="G1765" s="268" t="s">
        <v>2085</v>
      </c>
      <c r="H1765" s="270">
        <v>0.020613425925925927</v>
      </c>
      <c r="I1765" s="271">
        <v>44481.83888888889</v>
      </c>
      <c r="J1765" s="268"/>
      <c r="K1765" s="271">
        <v>44481.86361111111</v>
      </c>
      <c r="L1765" s="288" t="str">
        <f t="shared" si="112"/>
        <v>12:35:36 AM</v>
      </c>
      <c r="M1765" s="278"/>
      <c r="N1765" s="290"/>
      <c r="O1765" s="276"/>
      <c r="P1765" s="276"/>
      <c r="Q1765" s="276"/>
      <c r="R1765" s="278"/>
      <c r="S1765" s="278"/>
      <c r="T1765" s="278"/>
      <c r="U1765" s="279"/>
      <c r="V1765" s="279" t="s">
        <v>1500</v>
      </c>
      <c r="W1765" s="280">
        <v>44482.0</v>
      </c>
      <c r="X1765" s="281">
        <v>0.10416666666666667</v>
      </c>
      <c r="Y1765" s="279" t="s">
        <v>1693</v>
      </c>
      <c r="Z1765" s="282" t="s">
        <v>53</v>
      </c>
      <c r="AA1765" s="282" t="s">
        <v>5548</v>
      </c>
      <c r="AB1765" s="283">
        <v>44482.0</v>
      </c>
      <c r="AC1765" s="284"/>
      <c r="AD1765" s="284"/>
    </row>
    <row r="1766" ht="14.25" customHeight="1">
      <c r="A1766" s="265">
        <v>44482.0</v>
      </c>
      <c r="B1766" s="266" t="s">
        <v>1500</v>
      </c>
      <c r="C1766" s="266" t="s">
        <v>2471</v>
      </c>
      <c r="D1766" s="266" t="s">
        <v>1543</v>
      </c>
      <c r="E1766" s="268"/>
      <c r="F1766" s="269" t="s">
        <v>5549</v>
      </c>
      <c r="G1766" s="268" t="s">
        <v>1463</v>
      </c>
      <c r="H1766" s="270">
        <v>0.0030555555555555557</v>
      </c>
      <c r="I1766" s="271">
        <v>44484.64027777778</v>
      </c>
      <c r="J1766" s="268"/>
      <c r="K1766" s="271">
        <v>44487.55070601852</v>
      </c>
      <c r="L1766" s="288"/>
      <c r="M1766" s="272" t="s">
        <v>5550</v>
      </c>
      <c r="N1766" s="273"/>
      <c r="O1766" s="276"/>
      <c r="P1766" s="268"/>
      <c r="Q1766" s="276"/>
      <c r="R1766" s="271"/>
      <c r="S1766" s="278"/>
      <c r="T1766" s="278"/>
      <c r="U1766" s="279"/>
      <c r="V1766" s="279" t="s">
        <v>1824</v>
      </c>
      <c r="W1766" s="280">
        <v>44494.0</v>
      </c>
      <c r="X1766" s="281">
        <v>0.006944444444444444</v>
      </c>
      <c r="Y1766" s="279" t="s">
        <v>1693</v>
      </c>
      <c r="Z1766" s="282" t="s">
        <v>53</v>
      </c>
      <c r="AA1766" s="282">
        <v>6817800.0</v>
      </c>
      <c r="AB1766" s="283">
        <v>44489.0</v>
      </c>
      <c r="AC1766" s="284"/>
      <c r="AD1766" s="284"/>
    </row>
    <row r="1767" ht="14.25" customHeight="1">
      <c r="A1767" s="265">
        <v>44482.0</v>
      </c>
      <c r="B1767" s="266" t="s">
        <v>1500</v>
      </c>
      <c r="C1767" s="266" t="s">
        <v>1686</v>
      </c>
      <c r="D1767" s="266" t="s">
        <v>1543</v>
      </c>
      <c r="E1767" s="268"/>
      <c r="F1767" s="269" t="s">
        <v>5551</v>
      </c>
      <c r="G1767" s="268" t="s">
        <v>1463</v>
      </c>
      <c r="H1767" s="270">
        <v>0.0010069444444444444</v>
      </c>
      <c r="I1767" s="271">
        <v>44488.504166666666</v>
      </c>
      <c r="J1767" s="268"/>
      <c r="K1767" s="271">
        <v>44489.54671296296</v>
      </c>
      <c r="L1767" s="288"/>
      <c r="M1767" s="272" t="s">
        <v>5552</v>
      </c>
      <c r="N1767" s="273"/>
      <c r="O1767" s="276"/>
      <c r="P1767" s="268"/>
      <c r="Q1767" s="276"/>
      <c r="R1767" s="271"/>
      <c r="S1767" s="278"/>
      <c r="T1767" s="278"/>
      <c r="U1767" s="279"/>
      <c r="V1767" s="279" t="s">
        <v>1824</v>
      </c>
      <c r="W1767" s="280">
        <v>44494.0</v>
      </c>
      <c r="X1767" s="281">
        <v>0.005555555555555556</v>
      </c>
      <c r="Y1767" s="279" t="s">
        <v>1693</v>
      </c>
      <c r="Z1767" s="282" t="s">
        <v>53</v>
      </c>
      <c r="AA1767" s="282">
        <v>6829749.0</v>
      </c>
      <c r="AB1767" s="283">
        <v>44490.0</v>
      </c>
      <c r="AC1767" s="284"/>
      <c r="AD1767" s="284"/>
    </row>
    <row r="1768" ht="14.25" customHeight="1">
      <c r="A1768" s="265">
        <v>44482.0</v>
      </c>
      <c r="B1768" s="266" t="s">
        <v>1570</v>
      </c>
      <c r="C1768" s="266"/>
      <c r="D1768" s="266" t="s">
        <v>1450</v>
      </c>
      <c r="E1768" s="268"/>
      <c r="F1768" s="358" t="s">
        <v>5553</v>
      </c>
      <c r="G1768" s="268" t="s">
        <v>2085</v>
      </c>
      <c r="H1768" s="270">
        <v>0.09784722222222221</v>
      </c>
      <c r="I1768" s="271">
        <v>44482.49722222222</v>
      </c>
      <c r="J1768" s="268"/>
      <c r="K1768" s="271">
        <v>44483.70887731481</v>
      </c>
      <c r="L1768" s="288" t="str">
        <f t="shared" ref="L1768:L1771" si="113">IFERROR(IF(OR(I1768="",K1768=""),"",K1768-I1768),"")</f>
        <v>5:04:47 AM</v>
      </c>
      <c r="M1768" s="278"/>
      <c r="N1768" s="290"/>
      <c r="O1768" s="276"/>
      <c r="P1768" s="276"/>
      <c r="Q1768" s="276"/>
      <c r="R1768" s="278"/>
      <c r="S1768" s="278"/>
      <c r="T1768" s="278"/>
      <c r="U1768" s="279"/>
      <c r="V1768" s="279" t="s">
        <v>1570</v>
      </c>
      <c r="W1768" s="280">
        <v>44484.0</v>
      </c>
      <c r="X1768" s="281">
        <v>0.25</v>
      </c>
      <c r="Y1768" s="279" t="s">
        <v>1693</v>
      </c>
      <c r="Z1768" s="282" t="s">
        <v>53</v>
      </c>
      <c r="AA1768" s="282" t="s">
        <v>5554</v>
      </c>
      <c r="AB1768" s="283">
        <v>44483.0</v>
      </c>
      <c r="AC1768" s="284"/>
      <c r="AD1768" s="284"/>
    </row>
    <row r="1769" ht="14.25" customHeight="1">
      <c r="A1769" s="265">
        <v>44482.0</v>
      </c>
      <c r="B1769" s="266" t="s">
        <v>1570</v>
      </c>
      <c r="C1769" s="266"/>
      <c r="D1769" s="266" t="s">
        <v>1452</v>
      </c>
      <c r="E1769" s="268"/>
      <c r="F1769" s="358" t="s">
        <v>5555</v>
      </c>
      <c r="G1769" s="268" t="s">
        <v>2085</v>
      </c>
      <c r="H1769" s="268" t="s">
        <v>5556</v>
      </c>
      <c r="I1769" s="271">
        <v>44482.51736111111</v>
      </c>
      <c r="J1769" s="268"/>
      <c r="K1769" s="271">
        <v>44482.855358796296</v>
      </c>
      <c r="L1769" s="288" t="str">
        <f t="shared" si="113"/>
        <v>8:06:43 AM</v>
      </c>
      <c r="M1769" s="278"/>
      <c r="N1769" s="290"/>
      <c r="O1769" s="276"/>
      <c r="P1769" s="276"/>
      <c r="Q1769" s="276"/>
      <c r="R1769" s="278"/>
      <c r="S1769" s="278"/>
      <c r="T1769" s="278"/>
      <c r="U1769" s="279"/>
      <c r="V1769" s="279" t="s">
        <v>1570</v>
      </c>
      <c r="W1769" s="280">
        <v>44484.0</v>
      </c>
      <c r="X1769" s="281">
        <v>0.006944444444444444</v>
      </c>
      <c r="Y1769" s="279" t="s">
        <v>1693</v>
      </c>
      <c r="Z1769" s="282" t="s">
        <v>53</v>
      </c>
      <c r="AA1769" s="282" t="s">
        <v>5557</v>
      </c>
      <c r="AB1769" s="283">
        <v>44483.0</v>
      </c>
      <c r="AC1769" s="284"/>
      <c r="AD1769" s="284"/>
    </row>
    <row r="1770" ht="14.25" customHeight="1">
      <c r="A1770" s="265">
        <v>44482.0</v>
      </c>
      <c r="B1770" s="266" t="s">
        <v>1824</v>
      </c>
      <c r="C1770" s="266"/>
      <c r="D1770" s="266" t="s">
        <v>1686</v>
      </c>
      <c r="E1770" s="268"/>
      <c r="F1770" s="358" t="s">
        <v>5558</v>
      </c>
      <c r="G1770" s="268" t="s">
        <v>2085</v>
      </c>
      <c r="H1770" s="270">
        <v>0.03674768518518518</v>
      </c>
      <c r="I1770" s="271">
        <v>44482.56875</v>
      </c>
      <c r="J1770" s="268"/>
      <c r="K1770" s="271">
        <v>44483.73100694444</v>
      </c>
      <c r="L1770" s="288" t="str">
        <f t="shared" si="113"/>
        <v>3:53:39 AM</v>
      </c>
      <c r="M1770" s="278"/>
      <c r="N1770" s="290"/>
      <c r="O1770" s="276"/>
      <c r="P1770" s="276"/>
      <c r="Q1770" s="276"/>
      <c r="R1770" s="278"/>
      <c r="S1770" s="278"/>
      <c r="T1770" s="278"/>
      <c r="U1770" s="279"/>
      <c r="V1770" s="279" t="s">
        <v>1824</v>
      </c>
      <c r="W1770" s="280">
        <v>44483.0</v>
      </c>
      <c r="X1770" s="281">
        <v>0.13541666666666666</v>
      </c>
      <c r="Y1770" s="279" t="s">
        <v>1693</v>
      </c>
      <c r="Z1770" s="282" t="s">
        <v>53</v>
      </c>
      <c r="AA1770" s="282" t="s">
        <v>5558</v>
      </c>
      <c r="AB1770" s="283">
        <v>44483.0</v>
      </c>
      <c r="AC1770" s="284"/>
      <c r="AD1770" s="284"/>
    </row>
    <row r="1771" ht="14.25" customHeight="1">
      <c r="A1771" s="265">
        <v>44482.0</v>
      </c>
      <c r="B1771" s="266" t="s">
        <v>3677</v>
      </c>
      <c r="C1771" s="266"/>
      <c r="D1771" s="266" t="s">
        <v>1455</v>
      </c>
      <c r="E1771" s="268"/>
      <c r="F1771" s="358" t="s">
        <v>5559</v>
      </c>
      <c r="G1771" s="268" t="s">
        <v>2085</v>
      </c>
      <c r="H1771" s="270">
        <v>0.0203125</v>
      </c>
      <c r="I1771" s="271">
        <v>44482.8625</v>
      </c>
      <c r="J1771" s="268"/>
      <c r="K1771" s="271">
        <v>44482.881944444445</v>
      </c>
      <c r="L1771" s="288" t="str">
        <f t="shared" si="113"/>
        <v>12:28:00 AM</v>
      </c>
      <c r="M1771" s="278"/>
      <c r="N1771" s="290"/>
      <c r="O1771" s="276"/>
      <c r="P1771" s="276"/>
      <c r="Q1771" s="276"/>
      <c r="R1771" s="278"/>
      <c r="S1771" s="278"/>
      <c r="T1771" s="278"/>
      <c r="U1771" s="279"/>
      <c r="V1771" s="279" t="s">
        <v>1500</v>
      </c>
      <c r="W1771" s="280">
        <v>44483.0</v>
      </c>
      <c r="X1771" s="281">
        <v>0.10416666666666667</v>
      </c>
      <c r="Y1771" s="279" t="s">
        <v>1693</v>
      </c>
      <c r="Z1771" s="282" t="s">
        <v>53</v>
      </c>
      <c r="AA1771" s="282" t="s">
        <v>5560</v>
      </c>
      <c r="AB1771" s="283">
        <v>44483.0</v>
      </c>
      <c r="AC1771" s="284"/>
      <c r="AD1771" s="284"/>
    </row>
    <row r="1772" ht="14.25" customHeight="1">
      <c r="A1772" s="265">
        <v>44483.0</v>
      </c>
      <c r="B1772" s="266" t="s">
        <v>2030</v>
      </c>
      <c r="C1772" s="266" t="s">
        <v>2641</v>
      </c>
      <c r="D1772" s="266" t="s">
        <v>1543</v>
      </c>
      <c r="E1772" s="268"/>
      <c r="F1772" s="269" t="s">
        <v>5561</v>
      </c>
      <c r="G1772" s="268" t="s">
        <v>1463</v>
      </c>
      <c r="H1772" s="270">
        <v>0.0027199074074074074</v>
      </c>
      <c r="I1772" s="271">
        <v>44483.28611111111</v>
      </c>
      <c r="J1772" s="268"/>
      <c r="K1772" s="271">
        <v>44483.28888888889</v>
      </c>
      <c r="L1772" s="288"/>
      <c r="M1772" s="278" t="s">
        <v>5562</v>
      </c>
      <c r="N1772" s="290"/>
      <c r="O1772" s="276"/>
      <c r="P1772" s="276"/>
      <c r="Q1772" s="276"/>
      <c r="R1772" s="278"/>
      <c r="S1772" s="278"/>
      <c r="T1772" s="278"/>
      <c r="U1772" s="279"/>
      <c r="V1772" s="279" t="s">
        <v>1824</v>
      </c>
      <c r="W1772" s="280">
        <v>44489.0</v>
      </c>
      <c r="X1772" s="281">
        <v>0.003472222222222222</v>
      </c>
      <c r="Y1772" s="279" t="s">
        <v>1693</v>
      </c>
      <c r="Z1772" s="282" t="s">
        <v>53</v>
      </c>
      <c r="AA1772" s="282">
        <v>6790986.0</v>
      </c>
      <c r="AB1772" s="326">
        <v>44483.0</v>
      </c>
      <c r="AC1772" s="284"/>
      <c r="AD1772" s="284"/>
    </row>
    <row r="1773" ht="14.25" customHeight="1">
      <c r="A1773" s="265">
        <v>44483.0</v>
      </c>
      <c r="B1773" s="266" t="s">
        <v>2030</v>
      </c>
      <c r="C1773" s="266" t="s">
        <v>2641</v>
      </c>
      <c r="D1773" s="266" t="s">
        <v>1543</v>
      </c>
      <c r="E1773" s="268"/>
      <c r="F1773" s="269" t="s">
        <v>5563</v>
      </c>
      <c r="G1773" s="268" t="s">
        <v>1463</v>
      </c>
      <c r="H1773" s="270">
        <v>0.004733796296296296</v>
      </c>
      <c r="I1773" s="271">
        <v>44483.288194444445</v>
      </c>
      <c r="J1773" s="268"/>
      <c r="K1773" s="271">
        <v>44483.29236111111</v>
      </c>
      <c r="L1773" s="288"/>
      <c r="M1773" s="278" t="s">
        <v>5564</v>
      </c>
      <c r="N1773" s="290"/>
      <c r="O1773" s="276"/>
      <c r="P1773" s="276"/>
      <c r="Q1773" s="276"/>
      <c r="R1773" s="278"/>
      <c r="S1773" s="278"/>
      <c r="T1773" s="278"/>
      <c r="U1773" s="279"/>
      <c r="V1773" s="279" t="s">
        <v>1824</v>
      </c>
      <c r="W1773" s="280">
        <v>44489.0</v>
      </c>
      <c r="X1773" s="281">
        <v>0.008333333333333333</v>
      </c>
      <c r="Y1773" s="279" t="s">
        <v>1693</v>
      </c>
      <c r="Z1773" s="282" t="s">
        <v>53</v>
      </c>
      <c r="AA1773" s="282">
        <v>6790987.0</v>
      </c>
      <c r="AB1773" s="326">
        <v>44483.0</v>
      </c>
      <c r="AC1773" s="284"/>
      <c r="AD1773" s="284"/>
    </row>
    <row r="1774" ht="14.25" customHeight="1">
      <c r="A1774" s="265">
        <v>44483.0</v>
      </c>
      <c r="B1774" s="266" t="s">
        <v>2030</v>
      </c>
      <c r="C1774" s="266" t="s">
        <v>2641</v>
      </c>
      <c r="D1774" s="266" t="s">
        <v>1543</v>
      </c>
      <c r="E1774" s="268"/>
      <c r="F1774" s="269" t="s">
        <v>5565</v>
      </c>
      <c r="G1774" s="268" t="s">
        <v>1463</v>
      </c>
      <c r="H1774" s="270">
        <v>0.004826388888888889</v>
      </c>
      <c r="I1774" s="271">
        <v>44483.28472222222</v>
      </c>
      <c r="J1774" s="268"/>
      <c r="K1774" s="271"/>
      <c r="L1774" s="288"/>
      <c r="M1774" s="307" t="s">
        <v>5566</v>
      </c>
      <c r="N1774" s="273">
        <v>44483.30694444444</v>
      </c>
      <c r="O1774" s="276" t="s">
        <v>5567</v>
      </c>
      <c r="P1774" s="268" t="s">
        <v>1463</v>
      </c>
      <c r="Q1774" s="276" t="s">
        <v>1691</v>
      </c>
      <c r="R1774" s="271">
        <v>44483.30902777778</v>
      </c>
      <c r="S1774" s="278"/>
      <c r="T1774" s="278" t="s">
        <v>5568</v>
      </c>
      <c r="U1774" s="279"/>
      <c r="V1774" s="279" t="s">
        <v>1824</v>
      </c>
      <c r="W1774" s="280">
        <v>44494.0</v>
      </c>
      <c r="X1774" s="281">
        <v>0.004861111111111111</v>
      </c>
      <c r="Y1774" s="279" t="s">
        <v>1693</v>
      </c>
      <c r="Z1774" s="282" t="s">
        <v>53</v>
      </c>
      <c r="AA1774" s="282">
        <v>6812000.0</v>
      </c>
      <c r="AB1774" s="283">
        <v>44487.0</v>
      </c>
      <c r="AC1774" s="284"/>
      <c r="AD1774" s="284"/>
    </row>
    <row r="1775" ht="14.25" customHeight="1">
      <c r="A1775" s="265">
        <v>44483.0</v>
      </c>
      <c r="B1775" s="266" t="s">
        <v>1500</v>
      </c>
      <c r="C1775" s="266" t="s">
        <v>2471</v>
      </c>
      <c r="D1775" s="266" t="s">
        <v>1543</v>
      </c>
      <c r="E1775" s="268"/>
      <c r="F1775" s="269" t="s">
        <v>5569</v>
      </c>
      <c r="G1775" s="268" t="s">
        <v>1463</v>
      </c>
      <c r="H1775" s="270">
        <v>0.001423611111111111</v>
      </c>
      <c r="I1775" s="271">
        <v>44484.64027777778</v>
      </c>
      <c r="J1775" s="268"/>
      <c r="K1775" s="271">
        <v>44487.551770833335</v>
      </c>
      <c r="L1775" s="288"/>
      <c r="M1775" s="278" t="s">
        <v>5570</v>
      </c>
      <c r="N1775" s="290"/>
      <c r="O1775" s="276"/>
      <c r="P1775" s="276"/>
      <c r="Q1775" s="276"/>
      <c r="R1775" s="278"/>
      <c r="S1775" s="278"/>
      <c r="T1775" s="278"/>
      <c r="U1775" s="279"/>
      <c r="V1775" s="279" t="s">
        <v>1824</v>
      </c>
      <c r="W1775" s="280">
        <v>44489.0</v>
      </c>
      <c r="X1775" s="281">
        <v>0.003472222222222222</v>
      </c>
      <c r="Y1775" s="279" t="s">
        <v>1693</v>
      </c>
      <c r="Z1775" s="282" t="s">
        <v>53</v>
      </c>
      <c r="AA1775" s="282">
        <v>6817801.0</v>
      </c>
      <c r="AB1775" s="283">
        <v>44489.0</v>
      </c>
      <c r="AC1775" s="284"/>
      <c r="AD1775" s="284"/>
    </row>
    <row r="1776" ht="14.25" customHeight="1">
      <c r="A1776" s="265">
        <v>44483.0</v>
      </c>
      <c r="B1776" s="266" t="s">
        <v>1500</v>
      </c>
      <c r="C1776" s="266" t="s">
        <v>1686</v>
      </c>
      <c r="D1776" s="266" t="s">
        <v>1543</v>
      </c>
      <c r="E1776" s="268"/>
      <c r="F1776" s="269" t="s">
        <v>5571</v>
      </c>
      <c r="G1776" s="268" t="s">
        <v>1463</v>
      </c>
      <c r="H1776" s="270">
        <v>0.001574074074074074</v>
      </c>
      <c r="I1776" s="271">
        <v>44488.504166666666</v>
      </c>
      <c r="J1776" s="268"/>
      <c r="K1776" s="271">
        <v>44488.84228009259</v>
      </c>
      <c r="L1776" s="288"/>
      <c r="M1776" s="278" t="s">
        <v>5572</v>
      </c>
      <c r="N1776" s="290"/>
      <c r="O1776" s="276"/>
      <c r="P1776" s="276"/>
      <c r="Q1776" s="276"/>
      <c r="R1776" s="278"/>
      <c r="S1776" s="278"/>
      <c r="T1776" s="278"/>
      <c r="U1776" s="279"/>
      <c r="V1776" s="279" t="s">
        <v>1824</v>
      </c>
      <c r="W1776" s="280">
        <v>44494.0</v>
      </c>
      <c r="X1776" s="281">
        <v>0.004861111111111111</v>
      </c>
      <c r="Y1776" s="279" t="s">
        <v>1693</v>
      </c>
      <c r="Z1776" s="282" t="s">
        <v>53</v>
      </c>
      <c r="AA1776" s="282">
        <v>6829750.0</v>
      </c>
      <c r="AB1776" s="283">
        <v>44490.0</v>
      </c>
      <c r="AC1776" s="284"/>
      <c r="AD1776" s="284"/>
    </row>
    <row r="1777" ht="14.25" customHeight="1">
      <c r="A1777" s="265">
        <v>44483.0</v>
      </c>
      <c r="B1777" s="266" t="s">
        <v>1500</v>
      </c>
      <c r="C1777" s="266" t="s">
        <v>2641</v>
      </c>
      <c r="D1777" s="266" t="s">
        <v>1543</v>
      </c>
      <c r="E1777" s="268"/>
      <c r="F1777" s="269" t="s">
        <v>5573</v>
      </c>
      <c r="G1777" s="268" t="s">
        <v>1463</v>
      </c>
      <c r="H1777" s="270">
        <v>0.002488425925925926</v>
      </c>
      <c r="I1777" s="271">
        <v>44494.79513888889</v>
      </c>
      <c r="J1777" s="268"/>
      <c r="K1777" s="271">
        <v>44495.13523148148</v>
      </c>
      <c r="L1777" s="288"/>
      <c r="M1777" s="278" t="s">
        <v>5574</v>
      </c>
      <c r="N1777" s="290"/>
      <c r="O1777" s="276"/>
      <c r="P1777" s="276"/>
      <c r="Q1777" s="276"/>
      <c r="R1777" s="278"/>
      <c r="S1777" s="278"/>
      <c r="T1777" s="278"/>
      <c r="U1777" s="279"/>
      <c r="V1777" s="279" t="s">
        <v>1824</v>
      </c>
      <c r="W1777" s="280">
        <v>44501.0</v>
      </c>
      <c r="X1777" s="281">
        <v>0.008333333333333333</v>
      </c>
      <c r="Y1777" s="279" t="s">
        <v>1693</v>
      </c>
      <c r="Z1777" s="282" t="s">
        <v>53</v>
      </c>
      <c r="AA1777" s="282">
        <v>6894487.0</v>
      </c>
      <c r="AB1777" s="283">
        <v>44501.0</v>
      </c>
      <c r="AC1777" s="284"/>
      <c r="AD1777" s="284"/>
    </row>
    <row r="1778" ht="14.25" customHeight="1">
      <c r="A1778" s="265">
        <v>44483.0</v>
      </c>
      <c r="B1778" s="266" t="s">
        <v>1570</v>
      </c>
      <c r="C1778" s="266"/>
      <c r="D1778" s="266" t="s">
        <v>1450</v>
      </c>
      <c r="E1778" s="268"/>
      <c r="F1778" s="358" t="s">
        <v>5575</v>
      </c>
      <c r="G1778" s="268" t="s">
        <v>2085</v>
      </c>
      <c r="H1778" s="270">
        <v>0.09811342592592592</v>
      </c>
      <c r="I1778" s="271">
        <v>44483.458333333336</v>
      </c>
      <c r="J1778" s="268"/>
      <c r="K1778" s="271">
        <v>44483.558344907404</v>
      </c>
      <c r="L1778" s="288" t="str">
        <f t="shared" ref="L1778:L1781" si="114">IFERROR(IF(OR(I1778="",K1778=""),"",K1778-I1778),"")</f>
        <v>2:24:01 AM</v>
      </c>
      <c r="M1778" s="278"/>
      <c r="N1778" s="290"/>
      <c r="O1778" s="276"/>
      <c r="P1778" s="276"/>
      <c r="Q1778" s="276"/>
      <c r="R1778" s="278"/>
      <c r="S1778" s="278"/>
      <c r="T1778" s="278"/>
      <c r="U1778" s="279"/>
      <c r="V1778" s="279" t="s">
        <v>1738</v>
      </c>
      <c r="W1778" s="280">
        <v>44487.0</v>
      </c>
      <c r="X1778" s="281">
        <v>0.25</v>
      </c>
      <c r="Y1778" s="279" t="s">
        <v>1693</v>
      </c>
      <c r="Z1778" s="282" t="s">
        <v>53</v>
      </c>
      <c r="AA1778" s="282" t="s">
        <v>5576</v>
      </c>
      <c r="AB1778" s="283">
        <v>44484.0</v>
      </c>
      <c r="AC1778" s="284"/>
      <c r="AD1778" s="284"/>
    </row>
    <row r="1779" ht="14.25" customHeight="1">
      <c r="A1779" s="265">
        <v>44483.0</v>
      </c>
      <c r="B1779" s="266" t="s">
        <v>5577</v>
      </c>
      <c r="C1779" s="266"/>
      <c r="D1779" s="266" t="s">
        <v>1452</v>
      </c>
      <c r="E1779" s="268"/>
      <c r="F1779" s="358" t="s">
        <v>5578</v>
      </c>
      <c r="G1779" s="268" t="s">
        <v>2085</v>
      </c>
      <c r="H1779" s="270">
        <v>0.006840277777777778</v>
      </c>
      <c r="I1779" s="271">
        <v>44483.46944444445</v>
      </c>
      <c r="J1779" s="268"/>
      <c r="K1779" s="271">
        <v>44483.558344907404</v>
      </c>
      <c r="L1779" s="288" t="str">
        <f t="shared" si="114"/>
        <v>2:08:01 AM</v>
      </c>
      <c r="M1779" s="278"/>
      <c r="N1779" s="290"/>
      <c r="O1779" s="276"/>
      <c r="P1779" s="276"/>
      <c r="Q1779" s="276"/>
      <c r="R1779" s="278"/>
      <c r="S1779" s="278"/>
      <c r="T1779" s="278"/>
      <c r="U1779" s="279"/>
      <c r="V1779" s="279" t="s">
        <v>1570</v>
      </c>
      <c r="W1779" s="280">
        <v>44484.0</v>
      </c>
      <c r="X1779" s="281">
        <v>0.006944444444444444</v>
      </c>
      <c r="Y1779" s="279" t="s">
        <v>1693</v>
      </c>
      <c r="Z1779" s="282" t="s">
        <v>53</v>
      </c>
      <c r="AA1779" s="282" t="s">
        <v>5579</v>
      </c>
      <c r="AB1779" s="283">
        <v>44484.0</v>
      </c>
      <c r="AC1779" s="284"/>
      <c r="AD1779" s="284"/>
    </row>
    <row r="1780" ht="14.25" customHeight="1">
      <c r="A1780" s="265">
        <v>44483.0</v>
      </c>
      <c r="B1780" s="266" t="s">
        <v>1824</v>
      </c>
      <c r="C1780" s="266"/>
      <c r="D1780" s="266" t="s">
        <v>1686</v>
      </c>
      <c r="E1780" s="268"/>
      <c r="F1780" s="358" t="s">
        <v>5580</v>
      </c>
      <c r="G1780" s="268" t="s">
        <v>2085</v>
      </c>
      <c r="H1780" s="270">
        <v>0.03795138888888889</v>
      </c>
      <c r="I1780" s="271">
        <v>44483.67222222222</v>
      </c>
      <c r="J1780" s="268"/>
      <c r="K1780" s="271">
        <v>44483.69883101852</v>
      </c>
      <c r="L1780" s="288" t="str">
        <f t="shared" si="114"/>
        <v>12:38:19 AM</v>
      </c>
      <c r="M1780" s="278"/>
      <c r="N1780" s="290"/>
      <c r="O1780" s="276"/>
      <c r="P1780" s="276"/>
      <c r="Q1780" s="276"/>
      <c r="R1780" s="278"/>
      <c r="S1780" s="278"/>
      <c r="T1780" s="278"/>
      <c r="U1780" s="279"/>
      <c r="V1780" s="279" t="s">
        <v>1824</v>
      </c>
      <c r="W1780" s="280">
        <v>44484.0</v>
      </c>
      <c r="X1780" s="281">
        <v>0.15972222222222224</v>
      </c>
      <c r="Y1780" s="279" t="s">
        <v>1693</v>
      </c>
      <c r="Z1780" s="282" t="s">
        <v>53</v>
      </c>
      <c r="AA1780" s="282" t="s">
        <v>5580</v>
      </c>
      <c r="AB1780" s="283">
        <v>44484.0</v>
      </c>
      <c r="AC1780" s="284"/>
      <c r="AD1780" s="284"/>
    </row>
    <row r="1781" ht="14.25" customHeight="1">
      <c r="A1781" s="265">
        <v>44483.0</v>
      </c>
      <c r="B1781" s="266" t="s">
        <v>3677</v>
      </c>
      <c r="C1781" s="266"/>
      <c r="D1781" s="266" t="s">
        <v>1455</v>
      </c>
      <c r="E1781" s="268"/>
      <c r="F1781" s="358" t="s">
        <v>5581</v>
      </c>
      <c r="G1781" s="268" t="s">
        <v>2085</v>
      </c>
      <c r="H1781" s="270">
        <v>0.019664351851851853</v>
      </c>
      <c r="I1781" s="271">
        <v>44483.927083333336</v>
      </c>
      <c r="J1781" s="268"/>
      <c r="K1781" s="271">
        <v>44483.93760416667</v>
      </c>
      <c r="L1781" s="288" t="str">
        <f t="shared" si="114"/>
        <v>12:15:09 AM</v>
      </c>
      <c r="M1781" s="278"/>
      <c r="N1781" s="290"/>
      <c r="O1781" s="276"/>
      <c r="P1781" s="276"/>
      <c r="Q1781" s="276"/>
      <c r="R1781" s="278"/>
      <c r="S1781" s="278"/>
      <c r="T1781" s="278"/>
      <c r="U1781" s="279"/>
      <c r="V1781" s="279" t="s">
        <v>1500</v>
      </c>
      <c r="W1781" s="280">
        <v>44484.0</v>
      </c>
      <c r="X1781" s="281">
        <v>0.09722222222222222</v>
      </c>
      <c r="Y1781" s="279" t="s">
        <v>1693</v>
      </c>
      <c r="Z1781" s="282" t="s">
        <v>53</v>
      </c>
      <c r="AA1781" s="282" t="s">
        <v>5582</v>
      </c>
      <c r="AB1781" s="283">
        <v>44484.0</v>
      </c>
      <c r="AC1781" s="284"/>
      <c r="AD1781" s="284"/>
    </row>
    <row r="1782" ht="14.25" customHeight="1">
      <c r="A1782" s="265">
        <v>44484.0</v>
      </c>
      <c r="B1782" s="266" t="s">
        <v>1733</v>
      </c>
      <c r="C1782" s="266" t="s">
        <v>1831</v>
      </c>
      <c r="D1782" s="266" t="s">
        <v>1686</v>
      </c>
      <c r="E1782" s="268"/>
      <c r="F1782" s="269" t="s">
        <v>5583</v>
      </c>
      <c r="G1782" s="268" t="s">
        <v>1463</v>
      </c>
      <c r="H1782" s="270">
        <v>0.0022916666666666667</v>
      </c>
      <c r="I1782" s="271">
        <v>44487.44236111111</v>
      </c>
      <c r="J1782" s="271"/>
      <c r="K1782" s="271">
        <v>44487.44527777778</v>
      </c>
      <c r="L1782" s="271"/>
      <c r="M1782" s="287" t="s">
        <v>5584</v>
      </c>
      <c r="N1782" s="271"/>
      <c r="O1782" s="271"/>
      <c r="P1782" s="276"/>
      <c r="Q1782" s="276"/>
      <c r="R1782" s="278"/>
      <c r="S1782" s="278"/>
      <c r="T1782" s="278"/>
      <c r="U1782" s="279"/>
      <c r="V1782" s="279" t="s">
        <v>1733</v>
      </c>
      <c r="W1782" s="280">
        <v>44487.0</v>
      </c>
      <c r="X1782" s="281">
        <v>0.006944444444444444</v>
      </c>
      <c r="Y1782" s="279" t="s">
        <v>1693</v>
      </c>
      <c r="Z1782" s="282" t="s">
        <v>53</v>
      </c>
      <c r="AA1782" s="282">
        <v>6817802.0</v>
      </c>
      <c r="AB1782" s="283">
        <v>44489.0</v>
      </c>
      <c r="AC1782" s="284"/>
      <c r="AD1782" s="284"/>
    </row>
    <row r="1783" ht="14.25" customHeight="1">
      <c r="A1783" s="265">
        <v>44484.0</v>
      </c>
      <c r="B1783" s="266" t="s">
        <v>2753</v>
      </c>
      <c r="C1783" s="266" t="s">
        <v>2471</v>
      </c>
      <c r="D1783" s="266" t="s">
        <v>2561</v>
      </c>
      <c r="E1783" s="268"/>
      <c r="F1783" s="269" t="s">
        <v>5585</v>
      </c>
      <c r="G1783" s="268" t="s">
        <v>1463</v>
      </c>
      <c r="H1783" s="270">
        <v>0.0021643518518518518</v>
      </c>
      <c r="I1783" s="271">
        <v>44487.59027777778</v>
      </c>
      <c r="J1783" s="268"/>
      <c r="K1783" s="271">
        <v>44487.59923611111</v>
      </c>
      <c r="L1783" s="288"/>
      <c r="M1783" s="278" t="s">
        <v>5586</v>
      </c>
      <c r="N1783" s="290"/>
      <c r="O1783" s="276"/>
      <c r="P1783" s="276"/>
      <c r="Q1783" s="276"/>
      <c r="R1783" s="278"/>
      <c r="S1783" s="278"/>
      <c r="T1783" s="278"/>
      <c r="U1783" s="279"/>
      <c r="V1783" s="279" t="s">
        <v>1824</v>
      </c>
      <c r="W1783" s="280">
        <v>44489.0</v>
      </c>
      <c r="X1783" s="281">
        <v>0.003472222222222222</v>
      </c>
      <c r="Y1783" s="279" t="s">
        <v>1693</v>
      </c>
      <c r="Z1783" s="282" t="s">
        <v>53</v>
      </c>
      <c r="AA1783" s="282">
        <v>6817803.0</v>
      </c>
      <c r="AB1783" s="283">
        <v>44489.0</v>
      </c>
      <c r="AC1783" s="284"/>
      <c r="AD1783" s="284"/>
    </row>
    <row r="1784" ht="14.25" customHeight="1">
      <c r="A1784" s="265">
        <v>44484.0</v>
      </c>
      <c r="B1784" s="266" t="s">
        <v>1738</v>
      </c>
      <c r="C1784" s="266" t="s">
        <v>2158</v>
      </c>
      <c r="D1784" s="266" t="s">
        <v>1450</v>
      </c>
      <c r="E1784" s="268"/>
      <c r="F1784" s="269" t="s">
        <v>5587</v>
      </c>
      <c r="G1784" s="268" t="s">
        <v>1463</v>
      </c>
      <c r="H1784" s="270">
        <v>0.0043749999999999995</v>
      </c>
      <c r="I1784" s="271">
        <v>44488.61597222222</v>
      </c>
      <c r="J1784" s="268"/>
      <c r="K1784" s="271">
        <v>44488.69097222222</v>
      </c>
      <c r="L1784" s="288"/>
      <c r="M1784" s="277" t="s">
        <v>5588</v>
      </c>
      <c r="N1784" s="290"/>
      <c r="O1784" s="276"/>
      <c r="P1784" s="276"/>
      <c r="Q1784" s="276"/>
      <c r="R1784" s="278"/>
      <c r="S1784" s="278"/>
      <c r="T1784" s="278"/>
      <c r="U1784" s="279"/>
      <c r="V1784" s="279" t="s">
        <v>1738</v>
      </c>
      <c r="W1784" s="280">
        <v>44489.0</v>
      </c>
      <c r="X1784" s="281">
        <v>0.006944444444444444</v>
      </c>
      <c r="Y1784" s="279" t="s">
        <v>1693</v>
      </c>
      <c r="Z1784" s="282" t="s">
        <v>53</v>
      </c>
      <c r="AA1784" s="282">
        <v>6823937.0</v>
      </c>
      <c r="AB1784" s="283">
        <v>44490.0</v>
      </c>
      <c r="AC1784" s="284"/>
      <c r="AD1784" s="284"/>
    </row>
    <row r="1785" ht="14.25" customHeight="1">
      <c r="A1785" s="265">
        <v>44484.0</v>
      </c>
      <c r="B1785" s="266" t="s">
        <v>2753</v>
      </c>
      <c r="C1785" s="266" t="s">
        <v>1686</v>
      </c>
      <c r="D1785" s="266" t="s">
        <v>2561</v>
      </c>
      <c r="E1785" s="268"/>
      <c r="F1785" s="269" t="s">
        <v>5589</v>
      </c>
      <c r="G1785" s="268" t="s">
        <v>1463</v>
      </c>
      <c r="H1785" s="270">
        <v>0.0022337962962962967</v>
      </c>
      <c r="I1785" s="271">
        <v>44488.52777777778</v>
      </c>
      <c r="J1785" s="268"/>
      <c r="K1785" s="271">
        <v>44488.87128472222</v>
      </c>
      <c r="L1785" s="288"/>
      <c r="M1785" s="278" t="s">
        <v>5590</v>
      </c>
      <c r="N1785" s="290"/>
      <c r="O1785" s="276"/>
      <c r="P1785" s="276"/>
      <c r="Q1785" s="276"/>
      <c r="R1785" s="278"/>
      <c r="S1785" s="278"/>
      <c r="T1785" s="278"/>
      <c r="U1785" s="279"/>
      <c r="V1785" s="279" t="s">
        <v>1824</v>
      </c>
      <c r="W1785" s="280">
        <v>44495.0</v>
      </c>
      <c r="X1785" s="281">
        <v>0.005555555555555556</v>
      </c>
      <c r="Y1785" s="279" t="s">
        <v>1693</v>
      </c>
      <c r="Z1785" s="282" t="s">
        <v>53</v>
      </c>
      <c r="AA1785" s="282">
        <v>6829752.0</v>
      </c>
      <c r="AB1785" s="283">
        <v>44490.0</v>
      </c>
      <c r="AC1785" s="284"/>
      <c r="AD1785" s="284"/>
    </row>
    <row r="1786" ht="14.25" customHeight="1">
      <c r="A1786" s="265">
        <v>44484.0</v>
      </c>
      <c r="B1786" s="266" t="s">
        <v>1824</v>
      </c>
      <c r="C1786" s="266" t="s">
        <v>3472</v>
      </c>
      <c r="D1786" s="266" t="s">
        <v>1455</v>
      </c>
      <c r="E1786" s="268"/>
      <c r="F1786" s="269" t="s">
        <v>5591</v>
      </c>
      <c r="G1786" s="268" t="s">
        <v>1463</v>
      </c>
      <c r="H1786" s="270">
        <v>0.0019444444444444442</v>
      </c>
      <c r="I1786" s="271">
        <v>44495.51111111111</v>
      </c>
      <c r="J1786" s="268"/>
      <c r="K1786" s="271">
        <v>44495.51875</v>
      </c>
      <c r="L1786" s="288"/>
      <c r="M1786" s="278" t="s">
        <v>5592</v>
      </c>
      <c r="N1786" s="290"/>
      <c r="O1786" s="276"/>
      <c r="P1786" s="276"/>
      <c r="Q1786" s="276"/>
      <c r="R1786" s="278"/>
      <c r="S1786" s="278"/>
      <c r="T1786" s="278"/>
      <c r="U1786" s="279"/>
      <c r="V1786" s="279" t="s">
        <v>1824</v>
      </c>
      <c r="W1786" s="280">
        <v>44495.0</v>
      </c>
      <c r="X1786" s="281">
        <v>0.0020833333333333333</v>
      </c>
      <c r="Y1786" s="279" t="s">
        <v>1693</v>
      </c>
      <c r="Z1786" s="282" t="s">
        <v>53</v>
      </c>
      <c r="AA1786" s="282">
        <v>6876267.0</v>
      </c>
      <c r="AB1786" s="283">
        <v>44497.0</v>
      </c>
      <c r="AC1786" s="284"/>
      <c r="AD1786" s="284"/>
    </row>
    <row r="1787" ht="14.25" customHeight="1">
      <c r="A1787" s="265">
        <v>44484.0</v>
      </c>
      <c r="B1787" s="266" t="s">
        <v>1738</v>
      </c>
      <c r="C1787" s="266" t="s">
        <v>2158</v>
      </c>
      <c r="D1787" s="266" t="s">
        <v>1450</v>
      </c>
      <c r="E1787" s="268"/>
      <c r="F1787" s="286" t="s">
        <v>5593</v>
      </c>
      <c r="G1787" s="268" t="s">
        <v>4787</v>
      </c>
      <c r="H1787" s="270" t="s">
        <v>28</v>
      </c>
      <c r="I1787" s="271" t="s">
        <v>28</v>
      </c>
      <c r="J1787" s="268"/>
      <c r="K1787" s="271" t="s">
        <v>28</v>
      </c>
      <c r="L1787" s="288"/>
      <c r="M1787" s="277"/>
      <c r="N1787" s="290"/>
      <c r="O1787" s="276"/>
      <c r="P1787" s="276"/>
      <c r="Q1787" s="276"/>
      <c r="R1787" s="278"/>
      <c r="S1787" s="278"/>
      <c r="T1787" s="278"/>
      <c r="U1787" s="279"/>
      <c r="V1787" s="279" t="s">
        <v>28</v>
      </c>
      <c r="W1787" s="279" t="s">
        <v>28</v>
      </c>
      <c r="X1787" s="279" t="s">
        <v>28</v>
      </c>
      <c r="Y1787" s="279" t="s">
        <v>28</v>
      </c>
      <c r="Z1787" s="282" t="s">
        <v>28</v>
      </c>
      <c r="AA1787" s="282" t="s">
        <v>28</v>
      </c>
      <c r="AB1787" s="283" t="s">
        <v>28</v>
      </c>
      <c r="AC1787" s="284"/>
      <c r="AD1787" s="284"/>
    </row>
    <row r="1788" ht="14.25" customHeight="1">
      <c r="A1788" s="265">
        <v>44484.0</v>
      </c>
      <c r="B1788" s="266" t="s">
        <v>1733</v>
      </c>
      <c r="C1788" s="266"/>
      <c r="D1788" s="266" t="s">
        <v>1450</v>
      </c>
      <c r="E1788" s="268"/>
      <c r="F1788" s="358" t="s">
        <v>5594</v>
      </c>
      <c r="G1788" s="268" t="s">
        <v>2085</v>
      </c>
      <c r="H1788" s="270">
        <v>0.09755787037037038</v>
      </c>
      <c r="I1788" s="271">
        <v>44484.86875</v>
      </c>
      <c r="J1788" s="268"/>
      <c r="K1788" s="271">
        <v>44484.96944444445</v>
      </c>
      <c r="L1788" s="288" t="str">
        <f t="shared" ref="L1788:L1789" si="115">IFERROR(IF(OR(I1788="",K1788=""),"",K1788-I1788),"")</f>
        <v>2:25:00 AM</v>
      </c>
      <c r="M1788" s="277"/>
      <c r="N1788" s="290"/>
      <c r="O1788" s="276"/>
      <c r="P1788" s="276"/>
      <c r="Q1788" s="276"/>
      <c r="R1788" s="278"/>
      <c r="S1788" s="278"/>
      <c r="T1788" s="278"/>
      <c r="U1788" s="279"/>
      <c r="V1788" s="279" t="s">
        <v>1738</v>
      </c>
      <c r="W1788" s="280">
        <v>44488.0</v>
      </c>
      <c r="X1788" s="281">
        <v>0.2916666666666667</v>
      </c>
      <c r="Y1788" s="279" t="s">
        <v>1693</v>
      </c>
      <c r="Z1788" s="282" t="s">
        <v>53</v>
      </c>
      <c r="AA1788" s="282" t="s">
        <v>5595</v>
      </c>
      <c r="AB1788" s="283">
        <v>44487.0</v>
      </c>
      <c r="AC1788" s="284"/>
      <c r="AD1788" s="284"/>
    </row>
    <row r="1789" ht="14.25" customHeight="1">
      <c r="A1789" s="265">
        <v>44484.0</v>
      </c>
      <c r="B1789" s="266" t="s">
        <v>1733</v>
      </c>
      <c r="C1789" s="266"/>
      <c r="D1789" s="266" t="s">
        <v>1452</v>
      </c>
      <c r="E1789" s="268"/>
      <c r="F1789" s="358" t="s">
        <v>5596</v>
      </c>
      <c r="G1789" s="268" t="s">
        <v>2085</v>
      </c>
      <c r="H1789" s="270">
        <v>0.005532407407407407</v>
      </c>
      <c r="I1789" s="271">
        <v>44484.856944444444</v>
      </c>
      <c r="J1789" s="268"/>
      <c r="K1789" s="271">
        <v>44484.867118055554</v>
      </c>
      <c r="L1789" s="288" t="str">
        <f t="shared" si="115"/>
        <v>12:14:39 AM</v>
      </c>
      <c r="M1789" s="278"/>
      <c r="N1789" s="290"/>
      <c r="O1789" s="276"/>
      <c r="P1789" s="276"/>
      <c r="Q1789" s="276"/>
      <c r="R1789" s="278"/>
      <c r="S1789" s="278"/>
      <c r="T1789" s="278"/>
      <c r="U1789" s="279"/>
      <c r="V1789" s="279" t="s">
        <v>1733</v>
      </c>
      <c r="W1789" s="280">
        <v>44484.0</v>
      </c>
      <c r="X1789" s="281">
        <v>0.013888888888888888</v>
      </c>
      <c r="Y1789" s="279" t="s">
        <v>1693</v>
      </c>
      <c r="Z1789" s="282" t="s">
        <v>53</v>
      </c>
      <c r="AA1789" s="282" t="s">
        <v>5597</v>
      </c>
      <c r="AB1789" s="283">
        <v>44487.0</v>
      </c>
      <c r="AC1789" s="284"/>
      <c r="AD1789" s="284"/>
    </row>
    <row r="1790" ht="14.25" customHeight="1">
      <c r="A1790" s="265">
        <v>44484.0</v>
      </c>
      <c r="B1790" s="266" t="s">
        <v>1824</v>
      </c>
      <c r="C1790" s="266"/>
      <c r="D1790" s="266" t="s">
        <v>1686</v>
      </c>
      <c r="E1790" s="268"/>
      <c r="F1790" s="358" t="s">
        <v>5598</v>
      </c>
      <c r="G1790" s="268" t="s">
        <v>2085</v>
      </c>
      <c r="H1790" s="270">
        <v>0.03633101851851852</v>
      </c>
      <c r="I1790" s="271">
        <v>44484.580555555556</v>
      </c>
      <c r="J1790" s="271">
        <v>44485.580555555556</v>
      </c>
      <c r="K1790" s="271">
        <v>44484.946608796294</v>
      </c>
      <c r="L1790" s="271">
        <v>44487.580555555556</v>
      </c>
      <c r="M1790" s="271"/>
      <c r="N1790" s="271"/>
      <c r="O1790" s="271"/>
      <c r="P1790" s="276"/>
      <c r="Q1790" s="276"/>
      <c r="R1790" s="278"/>
      <c r="S1790" s="278"/>
      <c r="T1790" s="278"/>
      <c r="U1790" s="279"/>
      <c r="V1790" s="279" t="s">
        <v>1733</v>
      </c>
      <c r="W1790" s="280">
        <v>44487.0</v>
      </c>
      <c r="X1790" s="281">
        <v>0.14583333333333334</v>
      </c>
      <c r="Y1790" s="279" t="s">
        <v>1693</v>
      </c>
      <c r="Z1790" s="282" t="s">
        <v>53</v>
      </c>
      <c r="AA1790" s="282" t="s">
        <v>5598</v>
      </c>
      <c r="AB1790" s="283">
        <v>44487.0</v>
      </c>
      <c r="AC1790" s="284"/>
      <c r="AD1790" s="284"/>
    </row>
    <row r="1791" ht="14.25" customHeight="1">
      <c r="A1791" s="265">
        <v>44484.0</v>
      </c>
      <c r="B1791" s="266" t="s">
        <v>3677</v>
      </c>
      <c r="C1791" s="266"/>
      <c r="D1791" s="266" t="s">
        <v>1455</v>
      </c>
      <c r="E1791" s="268"/>
      <c r="F1791" s="358" t="s">
        <v>5599</v>
      </c>
      <c r="G1791" s="268" t="s">
        <v>2085</v>
      </c>
      <c r="H1791" s="270">
        <v>0.020381944444444446</v>
      </c>
      <c r="I1791" s="271">
        <v>44484.847916666666</v>
      </c>
      <c r="J1791" s="268"/>
      <c r="K1791" s="271">
        <v>44484.87050925926</v>
      </c>
      <c r="L1791" s="288" t="str">
        <f>IFERROR(IF(OR(I1791="",K1791=""),"",K1791-I1791),"")</f>
        <v>12:32:32 AM</v>
      </c>
      <c r="M1791" s="278"/>
      <c r="N1791" s="290"/>
      <c r="O1791" s="276"/>
      <c r="P1791" s="276"/>
      <c r="Q1791" s="276"/>
      <c r="R1791" s="278"/>
      <c r="S1791" s="278"/>
      <c r="T1791" s="278"/>
      <c r="U1791" s="279"/>
      <c r="V1791" s="279" t="s">
        <v>1824</v>
      </c>
      <c r="W1791" s="280">
        <v>44487.0</v>
      </c>
      <c r="X1791" s="281">
        <v>0.08333333333333333</v>
      </c>
      <c r="Y1791" s="279" t="s">
        <v>1693</v>
      </c>
      <c r="Z1791" s="282" t="s">
        <v>53</v>
      </c>
      <c r="AA1791" s="282" t="s">
        <v>5600</v>
      </c>
      <c r="AB1791" s="283">
        <v>44487.0</v>
      </c>
      <c r="AC1791" s="284"/>
      <c r="AD1791" s="284"/>
    </row>
    <row r="1792" ht="14.25" customHeight="1">
      <c r="A1792" s="265">
        <v>44485.0</v>
      </c>
      <c r="B1792" s="266" t="s">
        <v>2753</v>
      </c>
      <c r="C1792" s="266" t="s">
        <v>1686</v>
      </c>
      <c r="D1792" s="266" t="s">
        <v>2561</v>
      </c>
      <c r="E1792" s="268"/>
      <c r="F1792" s="269" t="s">
        <v>5601</v>
      </c>
      <c r="G1792" s="268" t="s">
        <v>1463</v>
      </c>
      <c r="H1792" s="270">
        <v>0.0011458333333333333</v>
      </c>
      <c r="I1792" s="271">
        <v>44488.52777777778</v>
      </c>
      <c r="J1792" s="268"/>
      <c r="K1792" s="271">
        <v>44488.87085648148</v>
      </c>
      <c r="L1792" s="288"/>
      <c r="M1792" s="278" t="s">
        <v>5602</v>
      </c>
      <c r="N1792" s="290"/>
      <c r="O1792" s="276"/>
      <c r="P1792" s="276"/>
      <c r="Q1792" s="276"/>
      <c r="R1792" s="278"/>
      <c r="S1792" s="278"/>
      <c r="T1792" s="278"/>
      <c r="U1792" s="279"/>
      <c r="V1792" s="279" t="s">
        <v>1824</v>
      </c>
      <c r="W1792" s="280">
        <v>44495.0</v>
      </c>
      <c r="X1792" s="281">
        <v>0.004861111111111111</v>
      </c>
      <c r="Y1792" s="279" t="s">
        <v>1693</v>
      </c>
      <c r="Z1792" s="282" t="s">
        <v>53</v>
      </c>
      <c r="AA1792" s="282">
        <v>6829753.0</v>
      </c>
      <c r="AB1792" s="283">
        <v>44490.0</v>
      </c>
      <c r="AC1792" s="284"/>
      <c r="AD1792" s="284"/>
    </row>
    <row r="1793" ht="14.25" customHeight="1">
      <c r="A1793" s="265">
        <v>44485.0</v>
      </c>
      <c r="B1793" s="266" t="s">
        <v>1738</v>
      </c>
      <c r="C1793" s="266"/>
      <c r="D1793" s="266" t="s">
        <v>1686</v>
      </c>
      <c r="E1793" s="268"/>
      <c r="F1793" s="358" t="s">
        <v>5603</v>
      </c>
      <c r="G1793" s="268" t="s">
        <v>2085</v>
      </c>
      <c r="H1793" s="270">
        <v>0.03841435185185185</v>
      </c>
      <c r="I1793" s="271">
        <v>44485.69097222222</v>
      </c>
      <c r="J1793" s="268"/>
      <c r="K1793" s="271">
        <v>44485.72986111111</v>
      </c>
      <c r="L1793" s="288" t="str">
        <f t="shared" ref="L1793:L1794" si="116">IFERROR(IF(OR(I1793="",K1793=""),"",K1793-I1793),"")</f>
        <v>12:56:00 AM</v>
      </c>
      <c r="M1793" s="278"/>
      <c r="N1793" s="290"/>
      <c r="O1793" s="276"/>
      <c r="P1793" s="276"/>
      <c r="Q1793" s="276"/>
      <c r="R1793" s="278"/>
      <c r="S1793" s="278"/>
      <c r="T1793" s="278"/>
      <c r="U1793" s="279"/>
      <c r="V1793" s="279" t="s">
        <v>1733</v>
      </c>
      <c r="W1793" s="280">
        <v>44487.0</v>
      </c>
      <c r="X1793" s="281">
        <v>0.14583333333333334</v>
      </c>
      <c r="Y1793" s="279" t="s">
        <v>1693</v>
      </c>
      <c r="Z1793" s="282" t="s">
        <v>53</v>
      </c>
      <c r="AA1793" s="282" t="s">
        <v>5604</v>
      </c>
      <c r="AB1793" s="283">
        <v>44487.0</v>
      </c>
      <c r="AC1793" s="284"/>
      <c r="AD1793" s="284"/>
    </row>
    <row r="1794" ht="14.25" customHeight="1">
      <c r="A1794" s="265">
        <v>44485.0</v>
      </c>
      <c r="B1794" s="266" t="s">
        <v>3677</v>
      </c>
      <c r="C1794" s="266"/>
      <c r="D1794" s="266" t="s">
        <v>1455</v>
      </c>
      <c r="E1794" s="268"/>
      <c r="F1794" s="358" t="s">
        <v>5605</v>
      </c>
      <c r="G1794" s="268" t="s">
        <v>2085</v>
      </c>
      <c r="H1794" s="270">
        <v>0.017662037037037035</v>
      </c>
      <c r="I1794" s="271">
        <v>44485.92083333333</v>
      </c>
      <c r="J1794" s="268"/>
      <c r="K1794" s="271">
        <v>44486.931805555556</v>
      </c>
      <c r="L1794" s="288" t="str">
        <f t="shared" si="116"/>
        <v>12:15:48 AM</v>
      </c>
      <c r="M1794" s="278"/>
      <c r="N1794" s="290"/>
      <c r="O1794" s="276"/>
      <c r="P1794" s="276"/>
      <c r="Q1794" s="276"/>
      <c r="R1794" s="278"/>
      <c r="S1794" s="278"/>
      <c r="T1794" s="278"/>
      <c r="U1794" s="279"/>
      <c r="V1794" s="279" t="s">
        <v>1824</v>
      </c>
      <c r="W1794" s="280">
        <v>44488.0</v>
      </c>
      <c r="X1794" s="281">
        <v>0.05555555555555555</v>
      </c>
      <c r="Y1794" s="279" t="s">
        <v>1693</v>
      </c>
      <c r="Z1794" s="282" t="s">
        <v>53</v>
      </c>
      <c r="AA1794" s="282" t="s">
        <v>5606</v>
      </c>
      <c r="AB1794" s="283">
        <v>44487.0</v>
      </c>
      <c r="AC1794" s="284"/>
      <c r="AD1794" s="284"/>
    </row>
    <row r="1795" ht="14.25" customHeight="1">
      <c r="A1795" s="265">
        <v>44486.0</v>
      </c>
      <c r="B1795" s="266" t="s">
        <v>1733</v>
      </c>
      <c r="C1795" s="266"/>
      <c r="D1795" s="266" t="s">
        <v>3509</v>
      </c>
      <c r="E1795" s="268"/>
      <c r="F1795" s="358">
        <v>6750441.0</v>
      </c>
      <c r="G1795" s="268" t="s">
        <v>3839</v>
      </c>
      <c r="H1795" s="270">
        <v>0.06427083333333333</v>
      </c>
      <c r="I1795" s="271">
        <v>44486.930555555555</v>
      </c>
      <c r="J1795" s="268"/>
      <c r="K1795" s="271">
        <v>44486.95347222222</v>
      </c>
      <c r="L1795" s="288"/>
      <c r="M1795" s="307"/>
      <c r="N1795" s="273"/>
      <c r="O1795" s="276"/>
      <c r="P1795" s="276"/>
      <c r="Q1795" s="276"/>
      <c r="R1795" s="278"/>
      <c r="S1795" s="278"/>
      <c r="T1795" s="278"/>
      <c r="U1795" s="279" t="s">
        <v>28</v>
      </c>
      <c r="V1795" s="279" t="s">
        <v>28</v>
      </c>
      <c r="W1795" s="279" t="s">
        <v>28</v>
      </c>
      <c r="X1795" s="279" t="s">
        <v>28</v>
      </c>
      <c r="Y1795" s="279" t="s">
        <v>28</v>
      </c>
      <c r="Z1795" s="282" t="s">
        <v>4986</v>
      </c>
      <c r="AA1795" s="282">
        <v>6750441.0</v>
      </c>
      <c r="AB1795" s="283">
        <v>44487.0</v>
      </c>
      <c r="AC1795" s="284"/>
      <c r="AD1795" s="284"/>
    </row>
    <row r="1796" ht="14.25" customHeight="1">
      <c r="A1796" s="265">
        <v>44486.0</v>
      </c>
      <c r="B1796" s="266" t="s">
        <v>2753</v>
      </c>
      <c r="C1796" s="266" t="s">
        <v>1686</v>
      </c>
      <c r="D1796" s="266" t="s">
        <v>2561</v>
      </c>
      <c r="E1796" s="268"/>
      <c r="F1796" s="269" t="s">
        <v>5607</v>
      </c>
      <c r="G1796" s="268" t="s">
        <v>1463</v>
      </c>
      <c r="H1796" s="270">
        <v>0.0016319444444444445</v>
      </c>
      <c r="I1796" s="271">
        <v>44488.6875</v>
      </c>
      <c r="J1796" s="268"/>
      <c r="K1796" s="271">
        <v>44489.02836805556</v>
      </c>
      <c r="L1796" s="288"/>
      <c r="M1796" s="272" t="s">
        <v>5608</v>
      </c>
      <c r="N1796" s="273"/>
      <c r="O1796" s="276"/>
      <c r="P1796" s="276"/>
      <c r="Q1796" s="276"/>
      <c r="R1796" s="278"/>
      <c r="S1796" s="278"/>
      <c r="T1796" s="278"/>
      <c r="U1796" s="279"/>
      <c r="V1796" s="279" t="s">
        <v>1824</v>
      </c>
      <c r="W1796" s="280">
        <v>44494.0</v>
      </c>
      <c r="X1796" s="281">
        <v>0.003472222222222222</v>
      </c>
      <c r="Y1796" s="279" t="s">
        <v>1693</v>
      </c>
      <c r="Z1796" s="282" t="s">
        <v>53</v>
      </c>
      <c r="AA1796" s="282">
        <v>6829754.0</v>
      </c>
      <c r="AB1796" s="283">
        <v>44490.0</v>
      </c>
      <c r="AC1796" s="284"/>
      <c r="AD1796" s="284"/>
    </row>
    <row r="1797" ht="14.25" customHeight="1">
      <c r="A1797" s="265">
        <v>44486.0</v>
      </c>
      <c r="B1797" s="266" t="s">
        <v>1733</v>
      </c>
      <c r="C1797" s="266"/>
      <c r="D1797" s="266" t="s">
        <v>1457</v>
      </c>
      <c r="E1797" s="268"/>
      <c r="F1797" s="358" t="s">
        <v>5609</v>
      </c>
      <c r="G1797" s="268" t="s">
        <v>2085</v>
      </c>
      <c r="H1797" s="270">
        <v>0.017870370370370373</v>
      </c>
      <c r="I1797" s="271">
        <v>44487.481944444444</v>
      </c>
      <c r="J1797" s="268"/>
      <c r="K1797" s="271">
        <v>44487.50231481482</v>
      </c>
      <c r="L1797" s="288" t="str">
        <f t="shared" ref="L1797:L1798" si="117">IFERROR(IF(OR(I1797="",K1797=""),"",K1797-I1797),"")</f>
        <v>12:29:20 AM</v>
      </c>
      <c r="M1797" s="278"/>
      <c r="N1797" s="290"/>
      <c r="O1797" s="276"/>
      <c r="P1797" s="276"/>
      <c r="Q1797" s="276"/>
      <c r="R1797" s="278"/>
      <c r="S1797" s="278"/>
      <c r="T1797" s="278"/>
      <c r="U1797" s="279"/>
      <c r="V1797" s="279" t="s">
        <v>1824</v>
      </c>
      <c r="W1797" s="280">
        <v>44489.0</v>
      </c>
      <c r="X1797" s="281">
        <v>0.041666666666666664</v>
      </c>
      <c r="Y1797" s="279" t="s">
        <v>1693</v>
      </c>
      <c r="Z1797" s="282" t="s">
        <v>53</v>
      </c>
      <c r="AA1797" s="282" t="s">
        <v>5609</v>
      </c>
      <c r="AB1797" s="283">
        <v>44488.0</v>
      </c>
      <c r="AC1797" s="284"/>
      <c r="AD1797" s="284"/>
    </row>
    <row r="1798" ht="14.25" customHeight="1">
      <c r="A1798" s="265">
        <v>44486.0</v>
      </c>
      <c r="B1798" s="266" t="s">
        <v>1733</v>
      </c>
      <c r="C1798" s="266"/>
      <c r="D1798" s="266" t="s">
        <v>2829</v>
      </c>
      <c r="E1798" s="268"/>
      <c r="F1798" s="358" t="s">
        <v>5610</v>
      </c>
      <c r="G1798" s="268" t="s">
        <v>2085</v>
      </c>
      <c r="H1798" s="270">
        <v>0.018449074074074073</v>
      </c>
      <c r="I1798" s="271">
        <v>44486.87986111111</v>
      </c>
      <c r="J1798" s="268"/>
      <c r="K1798" s="268"/>
      <c r="L1798" s="288" t="str">
        <f t="shared" si="117"/>
        <v/>
      </c>
      <c r="M1798" s="307" t="s">
        <v>2808</v>
      </c>
      <c r="N1798" s="273">
        <v>44486.885416666664</v>
      </c>
      <c r="O1798" s="276" t="s">
        <v>5611</v>
      </c>
      <c r="P1798" s="276" t="s">
        <v>1463</v>
      </c>
      <c r="Q1798" s="276" t="s">
        <v>1819</v>
      </c>
      <c r="R1798" s="277">
        <v>44486.89361111111</v>
      </c>
      <c r="S1798" s="278"/>
      <c r="T1798" s="278" t="s">
        <v>5612</v>
      </c>
      <c r="U1798" s="279"/>
      <c r="V1798" s="279"/>
      <c r="W1798" s="279"/>
      <c r="X1798" s="279"/>
      <c r="Y1798" s="279"/>
      <c r="Z1798" s="282" t="s">
        <v>53</v>
      </c>
      <c r="AA1798" s="282" t="s">
        <v>5610</v>
      </c>
      <c r="AB1798" s="283">
        <v>44487.0</v>
      </c>
      <c r="AC1798" s="284"/>
      <c r="AD1798" s="284"/>
    </row>
    <row r="1799" ht="14.25" customHeight="1">
      <c r="A1799" s="265">
        <v>44487.0</v>
      </c>
      <c r="B1799" s="266" t="s">
        <v>2753</v>
      </c>
      <c r="C1799" s="266" t="s">
        <v>1686</v>
      </c>
      <c r="D1799" s="266" t="s">
        <v>2561</v>
      </c>
      <c r="E1799" s="268"/>
      <c r="F1799" s="269" t="s">
        <v>5613</v>
      </c>
      <c r="G1799" s="268" t="s">
        <v>1463</v>
      </c>
      <c r="H1799" s="270">
        <v>0.0011226851851851851</v>
      </c>
      <c r="I1799" s="271">
        <v>44489.77777777778</v>
      </c>
      <c r="J1799" s="268"/>
      <c r="K1799" s="271">
        <v>44490.114386574074</v>
      </c>
      <c r="L1799" s="288"/>
      <c r="M1799" s="278" t="s">
        <v>5614</v>
      </c>
      <c r="N1799" s="290"/>
      <c r="O1799" s="276"/>
      <c r="P1799" s="276"/>
      <c r="Q1799" s="276"/>
      <c r="R1799" s="278"/>
      <c r="S1799" s="278"/>
      <c r="T1799" s="278"/>
      <c r="U1799" s="279"/>
      <c r="V1799" s="279" t="s">
        <v>1824</v>
      </c>
      <c r="W1799" s="280">
        <v>44494.0</v>
      </c>
      <c r="X1799" s="281">
        <v>0.003472222222222222</v>
      </c>
      <c r="Y1799" s="279" t="s">
        <v>1693</v>
      </c>
      <c r="Z1799" s="282" t="s">
        <v>53</v>
      </c>
      <c r="AA1799" s="282">
        <v>6829751.0</v>
      </c>
      <c r="AB1799" s="283">
        <v>44494.0</v>
      </c>
      <c r="AC1799" s="284"/>
      <c r="AD1799" s="284"/>
    </row>
    <row r="1800" ht="14.25" customHeight="1">
      <c r="A1800" s="265">
        <v>44487.0</v>
      </c>
      <c r="B1800" s="266" t="s">
        <v>2753</v>
      </c>
      <c r="C1800" s="266" t="s">
        <v>1686</v>
      </c>
      <c r="D1800" s="266" t="s">
        <v>2561</v>
      </c>
      <c r="E1800" s="268"/>
      <c r="F1800" s="269" t="s">
        <v>5615</v>
      </c>
      <c r="G1800" s="268" t="s">
        <v>1463</v>
      </c>
      <c r="H1800" s="270">
        <v>0.001979166666666667</v>
      </c>
      <c r="I1800" s="271">
        <v>44489.77777777778</v>
      </c>
      <c r="J1800" s="268"/>
      <c r="K1800" s="271">
        <v>44490.95743055556</v>
      </c>
      <c r="L1800" s="288"/>
      <c r="M1800" s="278" t="s">
        <v>5616</v>
      </c>
      <c r="N1800" s="290"/>
      <c r="O1800" s="276"/>
      <c r="P1800" s="276"/>
      <c r="Q1800" s="276"/>
      <c r="R1800" s="278"/>
      <c r="S1800" s="278"/>
      <c r="T1800" s="278"/>
      <c r="U1800" s="279"/>
      <c r="V1800" s="279" t="s">
        <v>1824</v>
      </c>
      <c r="W1800" s="280">
        <v>44494.0</v>
      </c>
      <c r="X1800" s="281">
        <v>0.003472222222222222</v>
      </c>
      <c r="Y1800" s="279" t="s">
        <v>1693</v>
      </c>
      <c r="Z1800" s="282" t="s">
        <v>53</v>
      </c>
      <c r="AA1800" s="282">
        <v>6860174.0</v>
      </c>
      <c r="AB1800" s="283">
        <v>44494.0</v>
      </c>
      <c r="AC1800" s="284"/>
      <c r="AD1800" s="284"/>
    </row>
    <row r="1801" ht="14.25" customHeight="1">
      <c r="A1801" s="265">
        <v>44487.0</v>
      </c>
      <c r="B1801" s="266" t="s">
        <v>1824</v>
      </c>
      <c r="C1801" s="266" t="s">
        <v>3472</v>
      </c>
      <c r="D1801" s="266" t="s">
        <v>1455</v>
      </c>
      <c r="E1801" s="268"/>
      <c r="F1801" s="269" t="s">
        <v>5617</v>
      </c>
      <c r="G1801" s="268" t="s">
        <v>4787</v>
      </c>
      <c r="H1801" s="270"/>
      <c r="I1801" s="271"/>
      <c r="J1801" s="268"/>
      <c r="K1801" s="271"/>
      <c r="L1801" s="288"/>
      <c r="M1801" s="278" t="s">
        <v>3915</v>
      </c>
      <c r="N1801" s="290"/>
      <c r="O1801" s="276"/>
      <c r="P1801" s="276"/>
      <c r="Q1801" s="276"/>
      <c r="R1801" s="278"/>
      <c r="S1801" s="278"/>
      <c r="T1801" s="278" t="s">
        <v>3915</v>
      </c>
      <c r="U1801" s="279" t="s">
        <v>28</v>
      </c>
      <c r="V1801" s="279" t="s">
        <v>28</v>
      </c>
      <c r="W1801" s="280" t="s">
        <v>28</v>
      </c>
      <c r="X1801" s="281" t="s">
        <v>28</v>
      </c>
      <c r="Y1801" s="279" t="s">
        <v>28</v>
      </c>
      <c r="Z1801" s="282" t="s">
        <v>28</v>
      </c>
      <c r="AA1801" s="282" t="s">
        <v>28</v>
      </c>
      <c r="AB1801" s="283" t="s">
        <v>28</v>
      </c>
      <c r="AC1801" s="284"/>
      <c r="AD1801" s="284"/>
    </row>
    <row r="1802" ht="14.25" customHeight="1">
      <c r="A1802" s="265">
        <v>44487.0</v>
      </c>
      <c r="B1802" s="266" t="s">
        <v>1738</v>
      </c>
      <c r="C1802" s="266"/>
      <c r="D1802" s="266" t="s">
        <v>1450</v>
      </c>
      <c r="E1802" s="268"/>
      <c r="F1802" s="358" t="s">
        <v>5618</v>
      </c>
      <c r="G1802" s="268" t="s">
        <v>2085</v>
      </c>
      <c r="H1802" s="270">
        <v>0.09784722222222221</v>
      </c>
      <c r="I1802" s="271">
        <v>44487.51388888889</v>
      </c>
      <c r="J1802" s="268"/>
      <c r="K1802" s="271">
        <v>44487.58998842593</v>
      </c>
      <c r="L1802" s="288" t="str">
        <f t="shared" ref="L1802:L1805" si="118">IFERROR(IF(OR(I1802="",K1802=""),"",K1802-I1802),"")</f>
        <v>1:49:35 AM</v>
      </c>
      <c r="M1802" s="278"/>
      <c r="N1802" s="290"/>
      <c r="O1802" s="276"/>
      <c r="P1802" s="276"/>
      <c r="Q1802" s="276"/>
      <c r="R1802" s="278"/>
      <c r="S1802" s="278"/>
      <c r="T1802" s="278"/>
      <c r="U1802" s="279"/>
      <c r="V1802" s="279" t="s">
        <v>1783</v>
      </c>
      <c r="W1802" s="280" t="s">
        <v>5619</v>
      </c>
      <c r="X1802" s="281">
        <v>0.2708333333333333</v>
      </c>
      <c r="Y1802" s="279" t="s">
        <v>1693</v>
      </c>
      <c r="Z1802" s="282" t="s">
        <v>53</v>
      </c>
      <c r="AA1802" s="282" t="s">
        <v>5620</v>
      </c>
      <c r="AB1802" s="283">
        <v>44488.0</v>
      </c>
      <c r="AC1802" s="284"/>
      <c r="AD1802" s="284"/>
    </row>
    <row r="1803" ht="14.25" customHeight="1">
      <c r="A1803" s="265">
        <v>44487.0</v>
      </c>
      <c r="B1803" s="266" t="s">
        <v>1733</v>
      </c>
      <c r="C1803" s="266"/>
      <c r="D1803" s="266" t="s">
        <v>1452</v>
      </c>
      <c r="E1803" s="268"/>
      <c r="F1803" s="358" t="s">
        <v>5621</v>
      </c>
      <c r="G1803" s="268" t="s">
        <v>2085</v>
      </c>
      <c r="H1803" s="270">
        <v>0.007638888888888889</v>
      </c>
      <c r="I1803" s="271">
        <v>44487.57847222222</v>
      </c>
      <c r="J1803" s="268"/>
      <c r="K1803" s="271">
        <v>44487.585127314815</v>
      </c>
      <c r="L1803" s="288" t="str">
        <f t="shared" si="118"/>
        <v>12:09:35 AM</v>
      </c>
      <c r="M1803" s="278"/>
      <c r="N1803" s="290"/>
      <c r="O1803" s="276"/>
      <c r="P1803" s="276"/>
      <c r="Q1803" s="276"/>
      <c r="R1803" s="278"/>
      <c r="S1803" s="278"/>
      <c r="T1803" s="278"/>
      <c r="U1803" s="279"/>
      <c r="V1803" s="279" t="s">
        <v>1733</v>
      </c>
      <c r="W1803" s="280">
        <v>44487.0</v>
      </c>
      <c r="X1803" s="281">
        <v>0.017361111111111112</v>
      </c>
      <c r="Y1803" s="279" t="s">
        <v>1693</v>
      </c>
      <c r="Z1803" s="282" t="s">
        <v>53</v>
      </c>
      <c r="AA1803" s="282" t="s">
        <v>5621</v>
      </c>
      <c r="AB1803" s="283">
        <v>44488.0</v>
      </c>
      <c r="AC1803" s="284"/>
      <c r="AD1803" s="284"/>
    </row>
    <row r="1804" ht="14.25" customHeight="1">
      <c r="A1804" s="265">
        <v>44487.0</v>
      </c>
      <c r="B1804" s="266" t="s">
        <v>1733</v>
      </c>
      <c r="C1804" s="266"/>
      <c r="D1804" s="266" t="s">
        <v>1686</v>
      </c>
      <c r="E1804" s="268"/>
      <c r="F1804" s="358" t="s">
        <v>5622</v>
      </c>
      <c r="G1804" s="268" t="s">
        <v>2085</v>
      </c>
      <c r="H1804" s="270">
        <v>0.037696759259259256</v>
      </c>
      <c r="I1804" s="271">
        <v>44487.58819444444</v>
      </c>
      <c r="J1804" s="268"/>
      <c r="K1804" s="268"/>
      <c r="L1804" s="288" t="str">
        <f t="shared" si="118"/>
        <v/>
      </c>
      <c r="M1804" s="307" t="s">
        <v>3482</v>
      </c>
      <c r="N1804" s="433" t="s">
        <v>5623</v>
      </c>
      <c r="O1804" s="276" t="s">
        <v>5624</v>
      </c>
      <c r="P1804" s="276" t="s">
        <v>1463</v>
      </c>
      <c r="Q1804" s="276" t="s">
        <v>1819</v>
      </c>
      <c r="R1804" s="277">
        <v>44487.61547453704</v>
      </c>
      <c r="S1804" s="278"/>
      <c r="T1804" s="278" t="s">
        <v>5625</v>
      </c>
      <c r="U1804" s="279"/>
      <c r="V1804" s="279" t="s">
        <v>1733</v>
      </c>
      <c r="W1804" s="280">
        <v>44487.0</v>
      </c>
      <c r="X1804" s="281">
        <v>0.125</v>
      </c>
      <c r="Y1804" s="279" t="s">
        <v>1693</v>
      </c>
      <c r="Z1804" s="282" t="s">
        <v>53</v>
      </c>
      <c r="AA1804" s="282" t="s">
        <v>5622</v>
      </c>
      <c r="AB1804" s="283">
        <v>44488.0</v>
      </c>
      <c r="AC1804" s="284"/>
      <c r="AD1804" s="284"/>
    </row>
    <row r="1805" ht="14.25" customHeight="1">
      <c r="A1805" s="265">
        <v>44487.0</v>
      </c>
      <c r="B1805" s="266" t="s">
        <v>3677</v>
      </c>
      <c r="C1805" s="266"/>
      <c r="D1805" s="266" t="s">
        <v>1455</v>
      </c>
      <c r="E1805" s="268"/>
      <c r="F1805" s="358" t="s">
        <v>5626</v>
      </c>
      <c r="G1805" s="268" t="s">
        <v>2085</v>
      </c>
      <c r="H1805" s="270">
        <v>0.021875000000000002</v>
      </c>
      <c r="I1805" s="271">
        <v>44487.86666666667</v>
      </c>
      <c r="J1805" s="268"/>
      <c r="K1805" s="271">
        <v>44487.8843287037</v>
      </c>
      <c r="L1805" s="288" t="str">
        <f t="shared" si="118"/>
        <v>12:25:26 AM</v>
      </c>
      <c r="M1805" s="278"/>
      <c r="N1805" s="290"/>
      <c r="O1805" s="276"/>
      <c r="P1805" s="276"/>
      <c r="Q1805" s="276"/>
      <c r="R1805" s="278"/>
      <c r="S1805" s="278"/>
      <c r="T1805" s="278"/>
      <c r="U1805" s="279"/>
      <c r="V1805" s="279" t="s">
        <v>1824</v>
      </c>
      <c r="W1805" s="280">
        <v>44488.0</v>
      </c>
      <c r="X1805" s="281">
        <v>0.09027777777777778</v>
      </c>
      <c r="Y1805" s="279" t="s">
        <v>1693</v>
      </c>
      <c r="Z1805" s="282" t="s">
        <v>53</v>
      </c>
      <c r="AA1805" s="282" t="s">
        <v>5626</v>
      </c>
      <c r="AB1805" s="283">
        <v>44488.0</v>
      </c>
      <c r="AC1805" s="284"/>
      <c r="AD1805" s="284"/>
    </row>
    <row r="1806" ht="14.25" customHeight="1">
      <c r="A1806" s="265">
        <v>44488.0</v>
      </c>
      <c r="B1806" s="266" t="s">
        <v>2753</v>
      </c>
      <c r="C1806" s="266" t="s">
        <v>1686</v>
      </c>
      <c r="D1806" s="266" t="s">
        <v>2561</v>
      </c>
      <c r="E1806" s="268"/>
      <c r="F1806" s="269" t="s">
        <v>5627</v>
      </c>
      <c r="G1806" s="268" t="s">
        <v>1463</v>
      </c>
      <c r="H1806" s="270">
        <v>0.0018981481481481482</v>
      </c>
      <c r="I1806" s="271">
        <v>44489.77777777778</v>
      </c>
      <c r="J1806" s="268"/>
      <c r="K1806" s="271">
        <v>44490.11572916667</v>
      </c>
      <c r="L1806" s="288"/>
      <c r="M1806" s="278" t="s">
        <v>5628</v>
      </c>
      <c r="N1806" s="290"/>
      <c r="O1806" s="276"/>
      <c r="P1806" s="276"/>
      <c r="Q1806" s="276"/>
      <c r="R1806" s="278"/>
      <c r="S1806" s="278"/>
      <c r="T1806" s="278"/>
      <c r="U1806" s="279"/>
      <c r="V1806" s="279" t="s">
        <v>1824</v>
      </c>
      <c r="W1806" s="280">
        <v>44494.0</v>
      </c>
      <c r="X1806" s="281">
        <v>0.003472222222222222</v>
      </c>
      <c r="Y1806" s="279" t="s">
        <v>1693</v>
      </c>
      <c r="Z1806" s="282" t="s">
        <v>53</v>
      </c>
      <c r="AA1806" s="282">
        <v>6836302.0</v>
      </c>
      <c r="AB1806" s="283">
        <v>44494.0</v>
      </c>
      <c r="AC1806" s="284"/>
      <c r="AD1806" s="284"/>
    </row>
    <row r="1807" ht="14.25" customHeight="1">
      <c r="A1807" s="265">
        <v>44488.0</v>
      </c>
      <c r="B1807" s="266" t="s">
        <v>2753</v>
      </c>
      <c r="C1807" s="266" t="s">
        <v>1686</v>
      </c>
      <c r="D1807" s="266" t="s">
        <v>2561</v>
      </c>
      <c r="E1807" s="268"/>
      <c r="F1807" s="269" t="s">
        <v>5629</v>
      </c>
      <c r="G1807" s="268" t="s">
        <v>1463</v>
      </c>
      <c r="H1807" s="270">
        <v>0.0019328703703703704</v>
      </c>
      <c r="I1807" s="271">
        <v>44489.77777777778</v>
      </c>
      <c r="J1807" s="268"/>
      <c r="K1807" s="271">
        <v>44490.11746527778</v>
      </c>
      <c r="L1807" s="288"/>
      <c r="M1807" s="278" t="s">
        <v>5630</v>
      </c>
      <c r="N1807" s="290"/>
      <c r="O1807" s="276"/>
      <c r="P1807" s="276"/>
      <c r="Q1807" s="276"/>
      <c r="R1807" s="278"/>
      <c r="S1807" s="278"/>
      <c r="T1807" s="278"/>
      <c r="U1807" s="279"/>
      <c r="V1807" s="279" t="s">
        <v>1824</v>
      </c>
      <c r="W1807" s="280">
        <v>44494.0</v>
      </c>
      <c r="X1807" s="281">
        <v>0.006944444444444444</v>
      </c>
      <c r="Y1807" s="279" t="s">
        <v>1693</v>
      </c>
      <c r="Z1807" s="282" t="s">
        <v>53</v>
      </c>
      <c r="AA1807" s="282">
        <v>6836397.0</v>
      </c>
      <c r="AB1807" s="283">
        <v>44494.0</v>
      </c>
      <c r="AC1807" s="284"/>
      <c r="AD1807" s="284"/>
    </row>
    <row r="1808" ht="14.25" customHeight="1">
      <c r="A1808" s="265">
        <v>44488.0</v>
      </c>
      <c r="B1808" s="266" t="s">
        <v>2030</v>
      </c>
      <c r="C1808" s="266" t="s">
        <v>1455</v>
      </c>
      <c r="D1808" s="266" t="s">
        <v>1543</v>
      </c>
      <c r="E1808" s="268"/>
      <c r="F1808" s="269" t="s">
        <v>5631</v>
      </c>
      <c r="G1808" s="268" t="s">
        <v>1463</v>
      </c>
      <c r="H1808" s="270">
        <v>0.002314814814814815</v>
      </c>
      <c r="I1808" s="271">
        <v>44490.33125</v>
      </c>
      <c r="J1808" s="268"/>
      <c r="K1808" s="271">
        <v>44490.005578703705</v>
      </c>
      <c r="L1808" s="288"/>
      <c r="M1808" s="278" t="s">
        <v>5632</v>
      </c>
      <c r="N1808" s="290"/>
      <c r="O1808" s="276"/>
      <c r="P1808" s="276"/>
      <c r="Q1808" s="276"/>
      <c r="R1808" s="278"/>
      <c r="S1808" s="278"/>
      <c r="T1808" s="278"/>
      <c r="U1808" s="279"/>
      <c r="V1808" s="279" t="s">
        <v>1824</v>
      </c>
      <c r="W1808" s="280">
        <v>44494.0</v>
      </c>
      <c r="X1808" s="281">
        <v>0.006944444444444444</v>
      </c>
      <c r="Y1808" s="279" t="s">
        <v>1693</v>
      </c>
      <c r="Z1808" s="282" t="s">
        <v>53</v>
      </c>
      <c r="AA1808" s="282">
        <v>6836398.0</v>
      </c>
      <c r="AB1808" s="283">
        <v>44494.0</v>
      </c>
      <c r="AC1808" s="284"/>
      <c r="AD1808" s="284"/>
    </row>
    <row r="1809" ht="14.25" customHeight="1">
      <c r="A1809" s="265">
        <v>44488.0</v>
      </c>
      <c r="B1809" s="266" t="s">
        <v>2030</v>
      </c>
      <c r="C1809" s="266" t="s">
        <v>2888</v>
      </c>
      <c r="D1809" s="266" t="s">
        <v>1543</v>
      </c>
      <c r="E1809" s="268"/>
      <c r="F1809" s="269" t="s">
        <v>5633</v>
      </c>
      <c r="G1809" s="268" t="s">
        <v>1463</v>
      </c>
      <c r="H1809" s="270">
        <v>0.005671296296296296</v>
      </c>
      <c r="I1809" s="271">
        <v>44490.388194444444</v>
      </c>
      <c r="J1809" s="268"/>
      <c r="K1809" s="271">
        <v>44490.39236111111</v>
      </c>
      <c r="L1809" s="288"/>
      <c r="M1809" s="278" t="s">
        <v>5634</v>
      </c>
      <c r="N1809" s="290"/>
      <c r="O1809" s="276"/>
      <c r="P1809" s="276"/>
      <c r="Q1809" s="276"/>
      <c r="R1809" s="278"/>
      <c r="S1809" s="278"/>
      <c r="T1809" s="278"/>
      <c r="U1809" s="279"/>
      <c r="V1809" s="279" t="s">
        <v>1824</v>
      </c>
      <c r="W1809" s="280">
        <v>44494.0</v>
      </c>
      <c r="X1809" s="281">
        <v>0.005555555555555556</v>
      </c>
      <c r="Y1809" s="279" t="s">
        <v>1693</v>
      </c>
      <c r="Z1809" s="282" t="s">
        <v>53</v>
      </c>
      <c r="AA1809" s="282">
        <v>6836399.0</v>
      </c>
      <c r="AB1809" s="283">
        <v>44494.0</v>
      </c>
      <c r="AC1809" s="284"/>
      <c r="AD1809" s="284"/>
    </row>
    <row r="1810" ht="14.25" customHeight="1">
      <c r="A1810" s="265">
        <v>44488.0</v>
      </c>
      <c r="B1810" s="266" t="s">
        <v>1824</v>
      </c>
      <c r="C1810" s="266" t="s">
        <v>3472</v>
      </c>
      <c r="D1810" s="266" t="s">
        <v>1455</v>
      </c>
      <c r="E1810" s="268"/>
      <c r="F1810" s="269" t="s">
        <v>5635</v>
      </c>
      <c r="G1810" s="268" t="s">
        <v>1463</v>
      </c>
      <c r="H1810" s="270">
        <v>0.0021643518518518518</v>
      </c>
      <c r="I1810" s="271">
        <v>44489.65347222222</v>
      </c>
      <c r="J1810" s="268"/>
      <c r="K1810" s="271">
        <v>44489.657905092594</v>
      </c>
      <c r="L1810" s="288"/>
      <c r="M1810" s="278" t="s">
        <v>5636</v>
      </c>
      <c r="N1810" s="290"/>
      <c r="O1810" s="276"/>
      <c r="P1810" s="276"/>
      <c r="Q1810" s="276"/>
      <c r="R1810" s="278"/>
      <c r="S1810" s="278"/>
      <c r="T1810" s="278"/>
      <c r="U1810" s="279"/>
      <c r="V1810" s="279" t="s">
        <v>1824</v>
      </c>
      <c r="W1810" s="280">
        <v>44491.0</v>
      </c>
      <c r="X1810" s="281">
        <v>0.0020833333333333333</v>
      </c>
      <c r="Y1810" s="279" t="s">
        <v>1693</v>
      </c>
      <c r="Z1810" s="282" t="s">
        <v>53</v>
      </c>
      <c r="AA1810" s="282">
        <v>6860175.0</v>
      </c>
      <c r="AB1810" s="283">
        <v>44494.0</v>
      </c>
      <c r="AC1810" s="284"/>
      <c r="AD1810" s="284"/>
    </row>
    <row r="1811" ht="14.25" customHeight="1">
      <c r="A1811" s="265">
        <v>44488.0</v>
      </c>
      <c r="B1811" s="266" t="s">
        <v>1738</v>
      </c>
      <c r="C1811" s="266"/>
      <c r="D1811" s="266" t="s">
        <v>1450</v>
      </c>
      <c r="E1811" s="268"/>
      <c r="F1811" s="286" t="s">
        <v>5637</v>
      </c>
      <c r="G1811" s="268" t="s">
        <v>4787</v>
      </c>
      <c r="H1811" s="270"/>
      <c r="I1811" s="271"/>
      <c r="J1811" s="268"/>
      <c r="K1811" s="271"/>
      <c r="L1811" s="288"/>
      <c r="M1811" s="278"/>
      <c r="N1811" s="290"/>
      <c r="O1811" s="276"/>
      <c r="P1811" s="276"/>
      <c r="Q1811" s="276"/>
      <c r="R1811" s="278"/>
      <c r="S1811" s="278"/>
      <c r="T1811" s="278"/>
      <c r="U1811" s="279"/>
      <c r="V1811" s="279" t="s">
        <v>28</v>
      </c>
      <c r="W1811" s="279" t="s">
        <v>28</v>
      </c>
      <c r="X1811" s="279" t="s">
        <v>28</v>
      </c>
      <c r="Y1811" s="279" t="s">
        <v>28</v>
      </c>
      <c r="Z1811" s="282" t="s">
        <v>28</v>
      </c>
      <c r="AA1811" s="434" t="s">
        <v>28</v>
      </c>
      <c r="AB1811" s="283" t="s">
        <v>28</v>
      </c>
      <c r="AC1811" s="284"/>
      <c r="AD1811" s="284"/>
    </row>
    <row r="1812" ht="14.25" customHeight="1">
      <c r="A1812" s="265">
        <v>44488.0</v>
      </c>
      <c r="B1812" s="266" t="s">
        <v>1733</v>
      </c>
      <c r="C1812" s="266" t="s">
        <v>1831</v>
      </c>
      <c r="D1812" s="266" t="s">
        <v>1686</v>
      </c>
      <c r="E1812" s="268"/>
      <c r="F1812" s="286" t="s">
        <v>5638</v>
      </c>
      <c r="G1812" s="268" t="s">
        <v>4787</v>
      </c>
      <c r="H1812" s="270"/>
      <c r="I1812" s="271"/>
      <c r="J1812" s="268"/>
      <c r="K1812" s="271"/>
      <c r="L1812" s="288"/>
      <c r="M1812" s="278" t="s">
        <v>3915</v>
      </c>
      <c r="N1812" s="290"/>
      <c r="O1812" s="276"/>
      <c r="P1812" s="276"/>
      <c r="Q1812" s="276"/>
      <c r="R1812" s="278"/>
      <c r="S1812" s="278"/>
      <c r="T1812" s="278" t="s">
        <v>3915</v>
      </c>
      <c r="U1812" s="279"/>
      <c r="V1812" s="279" t="s">
        <v>28</v>
      </c>
      <c r="W1812" s="279" t="s">
        <v>28</v>
      </c>
      <c r="X1812" s="279" t="s">
        <v>28</v>
      </c>
      <c r="Y1812" s="279" t="s">
        <v>28</v>
      </c>
      <c r="Z1812" s="435" t="s">
        <v>28</v>
      </c>
      <c r="AA1812" s="436" t="s">
        <v>28</v>
      </c>
      <c r="AB1812" s="437" t="s">
        <v>28</v>
      </c>
      <c r="AC1812" s="284"/>
      <c r="AD1812" s="284"/>
    </row>
    <row r="1813" ht="14.25" customHeight="1">
      <c r="A1813" s="265">
        <v>44488.0</v>
      </c>
      <c r="B1813" s="266" t="s">
        <v>1738</v>
      </c>
      <c r="C1813" s="266"/>
      <c r="D1813" s="266" t="s">
        <v>1450</v>
      </c>
      <c r="E1813" s="268"/>
      <c r="F1813" s="358" t="s">
        <v>5639</v>
      </c>
      <c r="G1813" s="268" t="s">
        <v>2085</v>
      </c>
      <c r="H1813" s="270">
        <v>0.09685185185185186</v>
      </c>
      <c r="I1813" s="271">
        <v>44488.49166666667</v>
      </c>
      <c r="J1813" s="268"/>
      <c r="K1813" s="271">
        <v>44488.66527777778</v>
      </c>
      <c r="L1813" s="288" t="str">
        <f t="shared" ref="L1813:L1816" si="119">IFERROR(IF(OR(I1813="",K1813=""),"",K1813-I1813),"")</f>
        <v>4:10:00 AM</v>
      </c>
      <c r="M1813" s="278"/>
      <c r="N1813" s="290"/>
      <c r="O1813" s="276"/>
      <c r="P1813" s="276"/>
      <c r="Q1813" s="276"/>
      <c r="R1813" s="278"/>
      <c r="S1813" s="278"/>
      <c r="T1813" s="278"/>
      <c r="U1813" s="279"/>
      <c r="V1813" s="279" t="s">
        <v>1738</v>
      </c>
      <c r="W1813" s="280">
        <v>44489.0</v>
      </c>
      <c r="X1813" s="281">
        <v>0.25</v>
      </c>
      <c r="Y1813" s="279" t="s">
        <v>1693</v>
      </c>
      <c r="Z1813" s="435" t="s">
        <v>53</v>
      </c>
      <c r="AA1813" s="436" t="s">
        <v>5640</v>
      </c>
      <c r="AB1813" s="438">
        <v>44489.0</v>
      </c>
      <c r="AC1813" s="284"/>
      <c r="AD1813" s="284"/>
    </row>
    <row r="1814" ht="14.25" customHeight="1">
      <c r="A1814" s="265">
        <v>44488.0</v>
      </c>
      <c r="B1814" s="266" t="s">
        <v>1733</v>
      </c>
      <c r="C1814" s="266"/>
      <c r="D1814" s="266" t="s">
        <v>1452</v>
      </c>
      <c r="E1814" s="268"/>
      <c r="F1814" s="358" t="s">
        <v>5641</v>
      </c>
      <c r="G1814" s="268" t="s">
        <v>2085</v>
      </c>
      <c r="H1814" s="270">
        <v>0.00431712962962963</v>
      </c>
      <c r="I1814" s="271">
        <v>44488.7</v>
      </c>
      <c r="J1814" s="268"/>
      <c r="K1814" s="271">
        <v>44488.705613425926</v>
      </c>
      <c r="L1814" s="288" t="str">
        <f t="shared" si="119"/>
        <v>12:08:05 AM</v>
      </c>
      <c r="M1814" s="278"/>
      <c r="N1814" s="290"/>
      <c r="O1814" s="276"/>
      <c r="P1814" s="276"/>
      <c r="Q1814" s="276"/>
      <c r="R1814" s="278"/>
      <c r="S1814" s="278"/>
      <c r="T1814" s="278"/>
      <c r="U1814" s="279"/>
      <c r="V1814" s="279" t="s">
        <v>1733</v>
      </c>
      <c r="W1814" s="280">
        <v>44488.0</v>
      </c>
      <c r="X1814" s="281">
        <v>0.013888888888888888</v>
      </c>
      <c r="Y1814" s="279" t="s">
        <v>1693</v>
      </c>
      <c r="Z1814" s="435" t="s">
        <v>53</v>
      </c>
      <c r="AA1814" s="436" t="s">
        <v>5641</v>
      </c>
      <c r="AB1814" s="438">
        <v>44489.0</v>
      </c>
      <c r="AC1814" s="284"/>
      <c r="AD1814" s="284"/>
    </row>
    <row r="1815" ht="14.25" customHeight="1">
      <c r="A1815" s="265">
        <v>44488.0</v>
      </c>
      <c r="B1815" s="266" t="s">
        <v>1733</v>
      </c>
      <c r="C1815" s="266"/>
      <c r="D1815" s="266" t="s">
        <v>1686</v>
      </c>
      <c r="E1815" s="268"/>
      <c r="F1815" s="358" t="s">
        <v>5642</v>
      </c>
      <c r="G1815" s="268" t="s">
        <v>2085</v>
      </c>
      <c r="H1815" s="270">
        <v>0.03760416666666667</v>
      </c>
      <c r="I1815" s="271">
        <v>44488.71875</v>
      </c>
      <c r="J1815" s="268"/>
      <c r="K1815" s="271">
        <v>44488.75662037037</v>
      </c>
      <c r="L1815" s="288" t="str">
        <f t="shared" si="119"/>
        <v>12:54:32 AM</v>
      </c>
      <c r="M1815" s="278"/>
      <c r="N1815" s="290"/>
      <c r="O1815" s="276"/>
      <c r="P1815" s="276"/>
      <c r="Q1815" s="276"/>
      <c r="R1815" s="278"/>
      <c r="S1815" s="278"/>
      <c r="T1815" s="278"/>
      <c r="U1815" s="279"/>
      <c r="V1815" s="279" t="s">
        <v>1733</v>
      </c>
      <c r="W1815" s="280">
        <v>44489.0</v>
      </c>
      <c r="X1815" s="281">
        <v>0.125</v>
      </c>
      <c r="Y1815" s="279" t="s">
        <v>1693</v>
      </c>
      <c r="Z1815" s="435" t="s">
        <v>53</v>
      </c>
      <c r="AA1815" s="436" t="s">
        <v>5642</v>
      </c>
      <c r="AB1815" s="438">
        <v>44489.0</v>
      </c>
      <c r="AC1815" s="284"/>
      <c r="AD1815" s="284"/>
    </row>
    <row r="1816" ht="14.25" customHeight="1">
      <c r="A1816" s="265">
        <v>44488.0</v>
      </c>
      <c r="B1816" s="266" t="s">
        <v>3677</v>
      </c>
      <c r="C1816" s="266"/>
      <c r="D1816" s="266" t="s">
        <v>1455</v>
      </c>
      <c r="E1816" s="268"/>
      <c r="F1816" s="358" t="s">
        <v>5643</v>
      </c>
      <c r="G1816" s="268" t="s">
        <v>2085</v>
      </c>
      <c r="H1816" s="270">
        <v>0.020324074074074074</v>
      </c>
      <c r="I1816" s="271">
        <v>44490.879166666666</v>
      </c>
      <c r="J1816" s="268"/>
      <c r="K1816" s="271">
        <v>44488.891180555554</v>
      </c>
      <c r="L1816" s="288" t="str">
        <f t="shared" si="119"/>
        <v>12:17:18 AM</v>
      </c>
      <c r="M1816" s="278"/>
      <c r="N1816" s="290"/>
      <c r="O1816" s="276"/>
      <c r="P1816" s="276"/>
      <c r="Q1816" s="276"/>
      <c r="R1816" s="278"/>
      <c r="S1816" s="278"/>
      <c r="T1816" s="278"/>
      <c r="U1816" s="279"/>
      <c r="V1816" s="279" t="s">
        <v>1824</v>
      </c>
      <c r="W1816" s="280">
        <v>44489.0</v>
      </c>
      <c r="X1816" s="281">
        <v>0.06944444444444443</v>
      </c>
      <c r="Y1816" s="279" t="s">
        <v>1693</v>
      </c>
      <c r="Z1816" s="435" t="s">
        <v>53</v>
      </c>
      <c r="AA1816" s="436" t="s">
        <v>5644</v>
      </c>
      <c r="AB1816" s="438">
        <v>44489.0</v>
      </c>
      <c r="AC1816" s="284"/>
      <c r="AD1816" s="284"/>
    </row>
    <row r="1817" ht="14.25" customHeight="1">
      <c r="A1817" s="265">
        <v>44489.0</v>
      </c>
      <c r="B1817" s="266" t="s">
        <v>1500</v>
      </c>
      <c r="C1817" s="266" t="s">
        <v>1450</v>
      </c>
      <c r="D1817" s="266" t="s">
        <v>1543</v>
      </c>
      <c r="E1817" s="268"/>
      <c r="F1817" s="269" t="s">
        <v>5645</v>
      </c>
      <c r="G1817" s="268" t="s">
        <v>1463</v>
      </c>
      <c r="H1817" s="270">
        <v>0.0012152777777777778</v>
      </c>
      <c r="I1817" s="271">
        <v>44498.61736111111</v>
      </c>
      <c r="J1817" s="268"/>
      <c r="K1817" s="271">
        <v>44498.62018518519</v>
      </c>
      <c r="L1817" s="288"/>
      <c r="M1817" s="278" t="s">
        <v>5646</v>
      </c>
      <c r="N1817" s="290"/>
      <c r="O1817" s="276"/>
      <c r="P1817" s="276"/>
      <c r="Q1817" s="276"/>
      <c r="R1817" s="278"/>
      <c r="S1817" s="278"/>
      <c r="T1817" s="278"/>
      <c r="U1817" s="279"/>
      <c r="V1817" s="279" t="s">
        <v>1824</v>
      </c>
      <c r="W1817" s="280">
        <v>44501.0</v>
      </c>
      <c r="X1817" s="281">
        <v>0.004861111111111111</v>
      </c>
      <c r="Y1817" s="279" t="s">
        <v>1693</v>
      </c>
      <c r="Z1817" s="435" t="s">
        <v>53</v>
      </c>
      <c r="AA1817" s="436">
        <v>6894488.0</v>
      </c>
      <c r="AB1817" s="438">
        <v>44501.0</v>
      </c>
      <c r="AC1817" s="284"/>
      <c r="AD1817" s="284"/>
    </row>
    <row r="1818" ht="14.25" customHeight="1">
      <c r="A1818" s="265">
        <v>44489.0</v>
      </c>
      <c r="B1818" s="266" t="s">
        <v>1738</v>
      </c>
      <c r="C1818" s="266"/>
      <c r="D1818" s="266" t="s">
        <v>1450</v>
      </c>
      <c r="E1818" s="268"/>
      <c r="F1818" s="358" t="s">
        <v>5647</v>
      </c>
      <c r="G1818" s="268" t="s">
        <v>2085</v>
      </c>
      <c r="H1818" s="270">
        <v>0.09695601851851852</v>
      </c>
      <c r="I1818" s="271">
        <v>44489.48611111111</v>
      </c>
      <c r="J1818" s="268"/>
      <c r="K1818" s="271">
        <v>44489.584027777775</v>
      </c>
      <c r="L1818" s="288" t="str">
        <f t="shared" ref="L1818:L1821" si="120">IFERROR(IF(OR(I1818="",K1818=""),"",K1818-I1818),"")</f>
        <v>2:21:00 AM</v>
      </c>
      <c r="M1818" s="278"/>
      <c r="N1818" s="290"/>
      <c r="O1818" s="276"/>
      <c r="P1818" s="276"/>
      <c r="Q1818" s="276"/>
      <c r="R1818" s="278"/>
      <c r="S1818" s="278"/>
      <c r="T1818" s="278"/>
      <c r="U1818" s="279"/>
      <c r="V1818" s="279" t="s">
        <v>1738</v>
      </c>
      <c r="W1818" s="280">
        <v>44490.0</v>
      </c>
      <c r="X1818" s="281">
        <v>0.2916666666666667</v>
      </c>
      <c r="Y1818" s="279" t="s">
        <v>1693</v>
      </c>
      <c r="Z1818" s="435" t="s">
        <v>53</v>
      </c>
      <c r="AA1818" s="436" t="s">
        <v>5648</v>
      </c>
      <c r="AB1818" s="438">
        <v>44490.0</v>
      </c>
      <c r="AC1818" s="284"/>
      <c r="AD1818" s="284"/>
    </row>
    <row r="1819" ht="14.25" customHeight="1">
      <c r="A1819" s="265">
        <v>44489.0</v>
      </c>
      <c r="B1819" s="266" t="s">
        <v>1733</v>
      </c>
      <c r="C1819" s="266"/>
      <c r="D1819" s="266" t="s">
        <v>1452</v>
      </c>
      <c r="E1819" s="268"/>
      <c r="F1819" s="358" t="s">
        <v>5649</v>
      </c>
      <c r="G1819" s="268" t="s">
        <v>2085</v>
      </c>
      <c r="H1819" s="270">
        <v>0.002349537037037037</v>
      </c>
      <c r="I1819" s="271">
        <v>44490.50625</v>
      </c>
      <c r="J1819" s="268"/>
      <c r="K1819" s="271">
        <v>44489.51027777778</v>
      </c>
      <c r="L1819" s="288" t="str">
        <f t="shared" si="120"/>
        <v>12:05:48 AM</v>
      </c>
      <c r="M1819" s="278"/>
      <c r="N1819" s="290"/>
      <c r="O1819" s="276"/>
      <c r="P1819" s="276"/>
      <c r="Q1819" s="276"/>
      <c r="R1819" s="278"/>
      <c r="S1819" s="278"/>
      <c r="T1819" s="278"/>
      <c r="U1819" s="279"/>
      <c r="V1819" s="279" t="s">
        <v>1733</v>
      </c>
      <c r="W1819" s="280">
        <v>44489.0</v>
      </c>
      <c r="X1819" s="439">
        <v>0.007638888888888889</v>
      </c>
      <c r="Y1819" s="279" t="s">
        <v>1693</v>
      </c>
      <c r="Z1819" s="435" t="s">
        <v>53</v>
      </c>
      <c r="AA1819" s="436" t="s">
        <v>5649</v>
      </c>
      <c r="AB1819" s="438">
        <v>44490.0</v>
      </c>
      <c r="AC1819" s="284"/>
      <c r="AD1819" s="284"/>
    </row>
    <row r="1820" ht="14.25" customHeight="1">
      <c r="A1820" s="265">
        <v>44489.0</v>
      </c>
      <c r="B1820" s="266" t="s">
        <v>1733</v>
      </c>
      <c r="C1820" s="266"/>
      <c r="D1820" s="266" t="s">
        <v>1686</v>
      </c>
      <c r="E1820" s="268"/>
      <c r="F1820" s="358" t="s">
        <v>5650</v>
      </c>
      <c r="G1820" s="268" t="s">
        <v>2085</v>
      </c>
      <c r="H1820" s="270">
        <v>0.03644675925925926</v>
      </c>
      <c r="I1820" s="271">
        <v>44490.57638888889</v>
      </c>
      <c r="J1820" s="268"/>
      <c r="K1820" s="271">
        <v>44489.59693287037</v>
      </c>
      <c r="L1820" s="288" t="str">
        <f t="shared" si="120"/>
        <v>12:29:35 AM</v>
      </c>
      <c r="M1820" s="278"/>
      <c r="N1820" s="290"/>
      <c r="O1820" s="276"/>
      <c r="P1820" s="276"/>
      <c r="Q1820" s="276"/>
      <c r="R1820" s="278"/>
      <c r="S1820" s="278"/>
      <c r="T1820" s="278"/>
      <c r="U1820" s="279"/>
      <c r="V1820" s="279" t="s">
        <v>1733</v>
      </c>
      <c r="W1820" s="280">
        <v>44490.0</v>
      </c>
      <c r="X1820" s="281">
        <v>0.125</v>
      </c>
      <c r="Y1820" s="279" t="s">
        <v>1693</v>
      </c>
      <c r="Z1820" s="435" t="s">
        <v>53</v>
      </c>
      <c r="AA1820" s="440" t="s">
        <v>5650</v>
      </c>
      <c r="AB1820" s="438">
        <v>44490.0</v>
      </c>
      <c r="AC1820" s="284"/>
      <c r="AD1820" s="284"/>
    </row>
    <row r="1821" ht="14.25" customHeight="1">
      <c r="A1821" s="265">
        <v>44489.0</v>
      </c>
      <c r="B1821" s="266" t="s">
        <v>3677</v>
      </c>
      <c r="C1821" s="266"/>
      <c r="D1821" s="266" t="s">
        <v>1455</v>
      </c>
      <c r="E1821" s="268"/>
      <c r="F1821" s="358" t="s">
        <v>5651</v>
      </c>
      <c r="G1821" s="268" t="s">
        <v>2085</v>
      </c>
      <c r="H1821" s="270">
        <v>0.021180555555555553</v>
      </c>
      <c r="I1821" s="271">
        <v>44490.970138888886</v>
      </c>
      <c r="J1821" s="268"/>
      <c r="K1821" s="268" t="s">
        <v>5652</v>
      </c>
      <c r="L1821" s="288" t="str">
        <f t="shared" si="120"/>
        <v/>
      </c>
      <c r="M1821" s="278"/>
      <c r="N1821" s="290"/>
      <c r="O1821" s="276"/>
      <c r="P1821" s="276"/>
      <c r="Q1821" s="276"/>
      <c r="R1821" s="278"/>
      <c r="S1821" s="278"/>
      <c r="T1821" s="278"/>
      <c r="U1821" s="279"/>
      <c r="V1821" s="279" t="s">
        <v>1824</v>
      </c>
      <c r="W1821" s="280">
        <v>44491.0</v>
      </c>
      <c r="X1821" s="281">
        <v>0.08333333333333333</v>
      </c>
      <c r="Y1821" s="279" t="s">
        <v>1693</v>
      </c>
      <c r="Z1821" s="435" t="s">
        <v>53</v>
      </c>
      <c r="AA1821" s="441" t="s">
        <v>5653</v>
      </c>
      <c r="AB1821" s="438">
        <v>44490.0</v>
      </c>
      <c r="AC1821" s="284"/>
      <c r="AD1821" s="284"/>
    </row>
    <row r="1822" ht="14.25" customHeight="1">
      <c r="A1822" s="265">
        <v>44490.0</v>
      </c>
      <c r="B1822" s="266" t="s">
        <v>1500</v>
      </c>
      <c r="C1822" s="266" t="s">
        <v>2641</v>
      </c>
      <c r="D1822" s="266" t="s">
        <v>1543</v>
      </c>
      <c r="E1822" s="268"/>
      <c r="F1822" s="269" t="s">
        <v>5654</v>
      </c>
      <c r="G1822" s="268" t="s">
        <v>1463</v>
      </c>
      <c r="H1822" s="270">
        <v>9.027777777777778E-4</v>
      </c>
      <c r="I1822" s="271">
        <v>44494.79513888889</v>
      </c>
      <c r="J1822" s="268"/>
      <c r="K1822" s="271">
        <v>44495.133310185185</v>
      </c>
      <c r="L1822" s="288"/>
      <c r="M1822" s="278" t="s">
        <v>5655</v>
      </c>
      <c r="N1822" s="290"/>
      <c r="O1822" s="276"/>
      <c r="P1822" s="276"/>
      <c r="Q1822" s="276"/>
      <c r="R1822" s="278"/>
      <c r="S1822" s="278"/>
      <c r="T1822" s="278"/>
      <c r="U1822" s="279"/>
      <c r="V1822" s="279" t="s">
        <v>1824</v>
      </c>
      <c r="W1822" s="280">
        <v>44501.0</v>
      </c>
      <c r="X1822" s="281">
        <v>0.0062499999999999995</v>
      </c>
      <c r="Y1822" s="279" t="s">
        <v>1693</v>
      </c>
      <c r="Z1822" s="435" t="s">
        <v>53</v>
      </c>
      <c r="AA1822" s="441">
        <v>6894489.0</v>
      </c>
      <c r="AB1822" s="438">
        <v>44501.0</v>
      </c>
      <c r="AC1822" s="284"/>
      <c r="AD1822" s="284"/>
    </row>
    <row r="1823" ht="14.25" customHeight="1">
      <c r="A1823" s="265">
        <v>44490.0</v>
      </c>
      <c r="B1823" s="266" t="s">
        <v>1500</v>
      </c>
      <c r="C1823" s="266" t="s">
        <v>1696</v>
      </c>
      <c r="D1823" s="266" t="s">
        <v>1543</v>
      </c>
      <c r="E1823" s="268"/>
      <c r="F1823" s="269" t="s">
        <v>5656</v>
      </c>
      <c r="G1823" s="268" t="s">
        <v>1463</v>
      </c>
      <c r="H1823" s="270">
        <v>0.0017013888888888892</v>
      </c>
      <c r="I1823" s="271">
        <v>44495.663194444445</v>
      </c>
      <c r="J1823" s="268"/>
      <c r="K1823" s="271">
        <v>44496.00121527778</v>
      </c>
      <c r="L1823" s="288"/>
      <c r="M1823" s="278" t="s">
        <v>5657</v>
      </c>
      <c r="N1823" s="290"/>
      <c r="O1823" s="276"/>
      <c r="P1823" s="276"/>
      <c r="Q1823" s="276"/>
      <c r="R1823" s="278"/>
      <c r="S1823" s="278"/>
      <c r="T1823" s="278"/>
      <c r="U1823" s="279"/>
      <c r="V1823" s="279" t="s">
        <v>1824</v>
      </c>
      <c r="W1823" s="280">
        <v>44501.0</v>
      </c>
      <c r="X1823" s="281">
        <v>0.0062499999999999995</v>
      </c>
      <c r="Y1823" s="279" t="s">
        <v>1693</v>
      </c>
      <c r="Z1823" s="435" t="s">
        <v>53</v>
      </c>
      <c r="AA1823" s="441">
        <v>6894490.0</v>
      </c>
      <c r="AB1823" s="438">
        <v>44501.0</v>
      </c>
      <c r="AC1823" s="284"/>
      <c r="AD1823" s="284"/>
    </row>
    <row r="1824" ht="14.25" customHeight="1">
      <c r="A1824" s="265">
        <v>44490.0</v>
      </c>
      <c r="B1824" s="266" t="s">
        <v>1500</v>
      </c>
      <c r="C1824" s="266" t="s">
        <v>2179</v>
      </c>
      <c r="D1824" s="266" t="s">
        <v>1543</v>
      </c>
      <c r="E1824" s="268"/>
      <c r="F1824" s="269" t="s">
        <v>5658</v>
      </c>
      <c r="G1824" s="268" t="s">
        <v>1463</v>
      </c>
      <c r="H1824" s="270">
        <v>0.001597222222222222</v>
      </c>
      <c r="I1824" s="271">
        <v>44497.79513888889</v>
      </c>
      <c r="J1824" s="268"/>
      <c r="K1824" s="271">
        <v>44498.13328703704</v>
      </c>
      <c r="L1824" s="288"/>
      <c r="M1824" s="278" t="s">
        <v>5659</v>
      </c>
      <c r="N1824" s="290"/>
      <c r="O1824" s="276"/>
      <c r="P1824" s="276"/>
      <c r="Q1824" s="276"/>
      <c r="R1824" s="278"/>
      <c r="S1824" s="278"/>
      <c r="T1824" s="278"/>
      <c r="U1824" s="279"/>
      <c r="V1824" s="279" t="s">
        <v>1824</v>
      </c>
      <c r="W1824" s="280">
        <v>44501.0</v>
      </c>
      <c r="X1824" s="281">
        <v>0.006944444444444444</v>
      </c>
      <c r="Y1824" s="279" t="s">
        <v>1693</v>
      </c>
      <c r="Z1824" s="435" t="s">
        <v>53</v>
      </c>
      <c r="AA1824" s="441">
        <v>6894491.0</v>
      </c>
      <c r="AB1824" s="438">
        <v>44501.0</v>
      </c>
      <c r="AC1824" s="284"/>
      <c r="AD1824" s="284"/>
    </row>
    <row r="1825" ht="14.25" customHeight="1">
      <c r="A1825" s="265">
        <v>44490.0</v>
      </c>
      <c r="B1825" s="266" t="s">
        <v>1738</v>
      </c>
      <c r="C1825" s="266"/>
      <c r="D1825" s="266" t="s">
        <v>1450</v>
      </c>
      <c r="E1825" s="268"/>
      <c r="F1825" s="286" t="s">
        <v>5660</v>
      </c>
      <c r="G1825" s="268" t="s">
        <v>4787</v>
      </c>
      <c r="H1825" s="270"/>
      <c r="I1825" s="271"/>
      <c r="J1825" s="268"/>
      <c r="K1825" s="271"/>
      <c r="L1825" s="288"/>
      <c r="M1825" s="278" t="s">
        <v>3915</v>
      </c>
      <c r="N1825" s="290"/>
      <c r="O1825" s="276"/>
      <c r="P1825" s="276"/>
      <c r="Q1825" s="276"/>
      <c r="R1825" s="278"/>
      <c r="S1825" s="278"/>
      <c r="T1825" s="278" t="s">
        <v>3915</v>
      </c>
      <c r="U1825" s="279"/>
      <c r="V1825" s="279" t="s">
        <v>28</v>
      </c>
      <c r="W1825" s="279" t="s">
        <v>28</v>
      </c>
      <c r="X1825" s="279" t="s">
        <v>28</v>
      </c>
      <c r="Y1825" s="279" t="s">
        <v>28</v>
      </c>
      <c r="Z1825" s="435" t="s">
        <v>28</v>
      </c>
      <c r="AA1825" s="441" t="s">
        <v>28</v>
      </c>
      <c r="AB1825" s="438" t="s">
        <v>28</v>
      </c>
      <c r="AC1825" s="284"/>
      <c r="AD1825" s="284"/>
    </row>
    <row r="1826" ht="14.25" customHeight="1">
      <c r="A1826" s="265">
        <v>44490.0</v>
      </c>
      <c r="B1826" s="266" t="s">
        <v>1733</v>
      </c>
      <c r="C1826" s="266" t="s">
        <v>1831</v>
      </c>
      <c r="D1826" s="266" t="s">
        <v>1686</v>
      </c>
      <c r="E1826" s="268"/>
      <c r="F1826" s="286" t="s">
        <v>5661</v>
      </c>
      <c r="G1826" s="268" t="s">
        <v>4787</v>
      </c>
      <c r="H1826" s="270"/>
      <c r="I1826" s="271"/>
      <c r="J1826" s="268"/>
      <c r="K1826" s="268"/>
      <c r="L1826" s="288"/>
      <c r="M1826" s="278" t="s">
        <v>3915</v>
      </c>
      <c r="N1826" s="290"/>
      <c r="O1826" s="276"/>
      <c r="P1826" s="276"/>
      <c r="Q1826" s="276"/>
      <c r="R1826" s="278"/>
      <c r="S1826" s="278"/>
      <c r="T1826" s="278" t="s">
        <v>3915</v>
      </c>
      <c r="U1826" s="279"/>
      <c r="V1826" s="279" t="s">
        <v>28</v>
      </c>
      <c r="W1826" s="279" t="s">
        <v>28</v>
      </c>
      <c r="X1826" s="279" t="s">
        <v>28</v>
      </c>
      <c r="Y1826" s="279" t="s">
        <v>28</v>
      </c>
      <c r="Z1826" s="435" t="s">
        <v>28</v>
      </c>
      <c r="AA1826" s="441" t="s">
        <v>28</v>
      </c>
      <c r="AB1826" s="437" t="s">
        <v>28</v>
      </c>
      <c r="AC1826" s="284"/>
      <c r="AD1826" s="284"/>
    </row>
    <row r="1827" ht="14.25" customHeight="1">
      <c r="A1827" s="265">
        <v>44490.0</v>
      </c>
      <c r="B1827" s="266" t="s">
        <v>1733</v>
      </c>
      <c r="C1827" s="266" t="s">
        <v>1831</v>
      </c>
      <c r="D1827" s="266" t="s">
        <v>1686</v>
      </c>
      <c r="E1827" s="268"/>
      <c r="F1827" s="286" t="s">
        <v>5662</v>
      </c>
      <c r="G1827" s="268" t="s">
        <v>4787</v>
      </c>
      <c r="H1827" s="270"/>
      <c r="I1827" s="271"/>
      <c r="J1827" s="268"/>
      <c r="K1827" s="268"/>
      <c r="L1827" s="288"/>
      <c r="M1827" s="278" t="s">
        <v>3915</v>
      </c>
      <c r="N1827" s="290"/>
      <c r="O1827" s="276"/>
      <c r="P1827" s="276"/>
      <c r="Q1827" s="276"/>
      <c r="R1827" s="278"/>
      <c r="S1827" s="278"/>
      <c r="T1827" s="278" t="s">
        <v>3915</v>
      </c>
      <c r="U1827" s="279"/>
      <c r="V1827" s="279" t="s">
        <v>28</v>
      </c>
      <c r="W1827" s="279" t="s">
        <v>28</v>
      </c>
      <c r="X1827" s="279" t="s">
        <v>28</v>
      </c>
      <c r="Y1827" s="279" t="s">
        <v>28</v>
      </c>
      <c r="Z1827" s="435" t="s">
        <v>28</v>
      </c>
      <c r="AA1827" s="441" t="s">
        <v>28</v>
      </c>
      <c r="AB1827" s="437" t="s">
        <v>28</v>
      </c>
      <c r="AC1827" s="284"/>
      <c r="AD1827" s="284"/>
    </row>
    <row r="1828" ht="14.25" customHeight="1">
      <c r="A1828" s="265">
        <v>44490.0</v>
      </c>
      <c r="B1828" s="266" t="s">
        <v>1733</v>
      </c>
      <c r="C1828" s="266" t="s">
        <v>1831</v>
      </c>
      <c r="D1828" s="266" t="s">
        <v>1686</v>
      </c>
      <c r="E1828" s="268"/>
      <c r="F1828" s="286" t="s">
        <v>5663</v>
      </c>
      <c r="G1828" s="268" t="s">
        <v>4787</v>
      </c>
      <c r="H1828" s="270"/>
      <c r="I1828" s="271"/>
      <c r="J1828" s="268"/>
      <c r="K1828" s="268"/>
      <c r="L1828" s="288"/>
      <c r="M1828" s="278" t="s">
        <v>3915</v>
      </c>
      <c r="N1828" s="290"/>
      <c r="O1828" s="276"/>
      <c r="P1828" s="276"/>
      <c r="Q1828" s="276"/>
      <c r="R1828" s="278"/>
      <c r="S1828" s="278"/>
      <c r="T1828" s="278" t="s">
        <v>3915</v>
      </c>
      <c r="U1828" s="279"/>
      <c r="V1828" s="279" t="s">
        <v>28</v>
      </c>
      <c r="W1828" s="279" t="s">
        <v>28</v>
      </c>
      <c r="X1828" s="279" t="s">
        <v>28</v>
      </c>
      <c r="Y1828" s="279" t="s">
        <v>28</v>
      </c>
      <c r="Z1828" s="435" t="s">
        <v>28</v>
      </c>
      <c r="AA1828" s="441" t="s">
        <v>28</v>
      </c>
      <c r="AB1828" s="437" t="s">
        <v>28</v>
      </c>
      <c r="AC1828" s="284"/>
      <c r="AD1828" s="284"/>
    </row>
    <row r="1829" ht="14.25" customHeight="1">
      <c r="A1829" s="265">
        <v>44490.0</v>
      </c>
      <c r="B1829" s="266" t="s">
        <v>1733</v>
      </c>
      <c r="C1829" s="266" t="s">
        <v>1831</v>
      </c>
      <c r="D1829" s="266" t="s">
        <v>1686</v>
      </c>
      <c r="E1829" s="268"/>
      <c r="F1829" s="286" t="s">
        <v>5664</v>
      </c>
      <c r="G1829" s="268" t="s">
        <v>4787</v>
      </c>
      <c r="H1829" s="270"/>
      <c r="I1829" s="271"/>
      <c r="J1829" s="268"/>
      <c r="K1829" s="268"/>
      <c r="L1829" s="288"/>
      <c r="M1829" s="278" t="s">
        <v>3915</v>
      </c>
      <c r="N1829" s="290"/>
      <c r="O1829" s="276"/>
      <c r="P1829" s="276"/>
      <c r="Q1829" s="276"/>
      <c r="R1829" s="278"/>
      <c r="S1829" s="278"/>
      <c r="T1829" s="278" t="s">
        <v>3915</v>
      </c>
      <c r="U1829" s="279"/>
      <c r="V1829" s="279" t="s">
        <v>28</v>
      </c>
      <c r="W1829" s="279" t="s">
        <v>28</v>
      </c>
      <c r="X1829" s="279" t="s">
        <v>28</v>
      </c>
      <c r="Y1829" s="279" t="s">
        <v>28</v>
      </c>
      <c r="Z1829" s="435" t="s">
        <v>28</v>
      </c>
      <c r="AA1829" s="441" t="s">
        <v>28</v>
      </c>
      <c r="AB1829" s="437" t="s">
        <v>28</v>
      </c>
      <c r="AC1829" s="284"/>
      <c r="AD1829" s="284"/>
    </row>
    <row r="1830" ht="14.25" customHeight="1">
      <c r="A1830" s="265">
        <v>44490.0</v>
      </c>
      <c r="B1830" s="266" t="s">
        <v>1824</v>
      </c>
      <c r="C1830" s="266" t="s">
        <v>3472</v>
      </c>
      <c r="D1830" s="266" t="s">
        <v>1455</v>
      </c>
      <c r="E1830" s="268"/>
      <c r="F1830" s="286" t="s">
        <v>5665</v>
      </c>
      <c r="G1830" s="268" t="s">
        <v>5666</v>
      </c>
      <c r="H1830" s="270"/>
      <c r="I1830" s="271"/>
      <c r="J1830" s="268"/>
      <c r="K1830" s="271"/>
      <c r="L1830" s="288"/>
      <c r="M1830" s="278" t="s">
        <v>3915</v>
      </c>
      <c r="N1830" s="290"/>
      <c r="O1830" s="276"/>
      <c r="P1830" s="276"/>
      <c r="Q1830" s="276"/>
      <c r="R1830" s="278"/>
      <c r="S1830" s="278"/>
      <c r="T1830" s="278" t="s">
        <v>3915</v>
      </c>
      <c r="U1830" s="279"/>
      <c r="V1830" s="279" t="s">
        <v>28</v>
      </c>
      <c r="W1830" s="280" t="s">
        <v>28</v>
      </c>
      <c r="X1830" s="281" t="s">
        <v>28</v>
      </c>
      <c r="Y1830" s="279" t="s">
        <v>28</v>
      </c>
      <c r="Z1830" s="435" t="s">
        <v>28</v>
      </c>
      <c r="AA1830" s="441" t="s">
        <v>28</v>
      </c>
      <c r="AB1830" s="438" t="s">
        <v>28</v>
      </c>
      <c r="AC1830" s="284"/>
      <c r="AD1830" s="284"/>
    </row>
    <row r="1831" ht="14.25" customHeight="1">
      <c r="A1831" s="265">
        <v>44490.0</v>
      </c>
      <c r="B1831" s="266" t="s">
        <v>1733</v>
      </c>
      <c r="C1831" s="266"/>
      <c r="D1831" s="266" t="s">
        <v>1450</v>
      </c>
      <c r="E1831" s="268"/>
      <c r="F1831" s="358" t="s">
        <v>5667</v>
      </c>
      <c r="G1831" s="268" t="s">
        <v>2085</v>
      </c>
      <c r="H1831" s="270">
        <v>0.09824074074074074</v>
      </c>
      <c r="I1831" s="271">
        <v>44490.47638888889</v>
      </c>
      <c r="J1831" s="268"/>
      <c r="K1831" s="271">
        <v>44490.55752314815</v>
      </c>
      <c r="L1831" s="288" t="str">
        <f t="shared" ref="L1831:L1834" si="121">IFERROR(IF(OR(I1831="",K1831=""),"",K1831-I1831),"")</f>
        <v>1:56:50 AM</v>
      </c>
      <c r="M1831" s="278"/>
      <c r="N1831" s="290"/>
      <c r="O1831" s="276"/>
      <c r="P1831" s="276"/>
      <c r="Q1831" s="276"/>
      <c r="R1831" s="278"/>
      <c r="S1831" s="278"/>
      <c r="T1831" s="278"/>
      <c r="U1831" s="279"/>
      <c r="V1831" s="279" t="s">
        <v>1738</v>
      </c>
      <c r="W1831" s="280">
        <v>44491.0</v>
      </c>
      <c r="X1831" s="281">
        <v>0.25</v>
      </c>
      <c r="Y1831" s="279" t="s">
        <v>1693</v>
      </c>
      <c r="Z1831" s="435" t="s">
        <v>53</v>
      </c>
      <c r="AA1831" s="441" t="s">
        <v>5667</v>
      </c>
      <c r="AB1831" s="438">
        <v>44491.0</v>
      </c>
      <c r="AC1831" s="284"/>
      <c r="AD1831" s="284"/>
    </row>
    <row r="1832" ht="14.25" customHeight="1">
      <c r="A1832" s="265">
        <v>44490.0</v>
      </c>
      <c r="B1832" s="266" t="s">
        <v>1733</v>
      </c>
      <c r="C1832" s="266"/>
      <c r="D1832" s="266" t="s">
        <v>1452</v>
      </c>
      <c r="E1832" s="268"/>
      <c r="F1832" s="358" t="s">
        <v>5668</v>
      </c>
      <c r="G1832" s="268" t="s">
        <v>2085</v>
      </c>
      <c r="H1832" s="270">
        <v>0.0044212962962962956</v>
      </c>
      <c r="I1832" s="271">
        <v>44490.455555555556</v>
      </c>
      <c r="J1832" s="268"/>
      <c r="K1832" s="271">
        <v>44490.479363425926</v>
      </c>
      <c r="L1832" s="288" t="str">
        <f t="shared" si="121"/>
        <v>12:34:17 AM</v>
      </c>
      <c r="M1832" s="278"/>
      <c r="N1832" s="290"/>
      <c r="O1832" s="276"/>
      <c r="P1832" s="276"/>
      <c r="Q1832" s="276"/>
      <c r="R1832" s="278"/>
      <c r="S1832" s="278"/>
      <c r="T1832" s="278"/>
      <c r="U1832" s="279"/>
      <c r="V1832" s="279" t="s">
        <v>1733</v>
      </c>
      <c r="W1832" s="280">
        <v>44490.0</v>
      </c>
      <c r="X1832" s="281">
        <v>0.008333333333333333</v>
      </c>
      <c r="Y1832" s="279" t="s">
        <v>1693</v>
      </c>
      <c r="Z1832" s="282" t="s">
        <v>53</v>
      </c>
      <c r="AA1832" s="442" t="s">
        <v>5668</v>
      </c>
      <c r="AB1832" s="283">
        <v>44491.0</v>
      </c>
      <c r="AC1832" s="284"/>
      <c r="AD1832" s="284"/>
    </row>
    <row r="1833" ht="14.25" customHeight="1">
      <c r="A1833" s="265">
        <v>44490.0</v>
      </c>
      <c r="B1833" s="266" t="s">
        <v>1733</v>
      </c>
      <c r="C1833" s="266"/>
      <c r="D1833" s="266" t="s">
        <v>1686</v>
      </c>
      <c r="E1833" s="268"/>
      <c r="F1833" s="358" t="s">
        <v>5669</v>
      </c>
      <c r="G1833" s="268" t="s">
        <v>2085</v>
      </c>
      <c r="H1833" s="270">
        <v>0.03777777777777778</v>
      </c>
      <c r="I1833" s="271">
        <v>44490.60208333333</v>
      </c>
      <c r="J1833" s="268"/>
      <c r="K1833" s="271">
        <v>44490.622928240744</v>
      </c>
      <c r="L1833" s="288" t="str">
        <f t="shared" si="121"/>
        <v>12:30:01 AM</v>
      </c>
      <c r="M1833" s="278"/>
      <c r="N1833" s="290"/>
      <c r="O1833" s="276"/>
      <c r="P1833" s="276"/>
      <c r="Q1833" s="276"/>
      <c r="R1833" s="278"/>
      <c r="S1833" s="278"/>
      <c r="T1833" s="278"/>
      <c r="U1833" s="279"/>
      <c r="V1833" s="279" t="s">
        <v>1733</v>
      </c>
      <c r="W1833" s="280">
        <v>44491.0</v>
      </c>
      <c r="X1833" s="281">
        <v>0.125</v>
      </c>
      <c r="Y1833" s="279" t="s">
        <v>1693</v>
      </c>
      <c r="Z1833" s="282" t="s">
        <v>53</v>
      </c>
      <c r="AA1833" s="442" t="s">
        <v>5669</v>
      </c>
      <c r="AB1833" s="283">
        <v>44491.0</v>
      </c>
      <c r="AC1833" s="284"/>
      <c r="AD1833" s="284"/>
    </row>
    <row r="1834" ht="14.25" customHeight="1">
      <c r="A1834" s="265">
        <v>44490.0</v>
      </c>
      <c r="B1834" s="266" t="s">
        <v>3677</v>
      </c>
      <c r="C1834" s="266"/>
      <c r="D1834" s="266" t="s">
        <v>1455</v>
      </c>
      <c r="E1834" s="268"/>
      <c r="F1834" s="358" t="s">
        <v>5670</v>
      </c>
      <c r="G1834" s="268" t="s">
        <v>2085</v>
      </c>
      <c r="H1834" s="270">
        <v>0.020590277777777777</v>
      </c>
      <c r="I1834" s="271">
        <v>44490.85208333333</v>
      </c>
      <c r="J1834" s="268"/>
      <c r="K1834" s="271">
        <v>44491.28556712963</v>
      </c>
      <c r="L1834" s="288" t="str">
        <f t="shared" si="121"/>
        <v>10:24:13 AM</v>
      </c>
      <c r="M1834" s="278"/>
      <c r="N1834" s="290"/>
      <c r="O1834" s="276"/>
      <c r="P1834" s="276"/>
      <c r="Q1834" s="276"/>
      <c r="R1834" s="278"/>
      <c r="S1834" s="278"/>
      <c r="T1834" s="278"/>
      <c r="U1834" s="279"/>
      <c r="V1834" s="279" t="s">
        <v>1824</v>
      </c>
      <c r="W1834" s="280">
        <v>44491.0</v>
      </c>
      <c r="X1834" s="281">
        <v>0.08333333333333333</v>
      </c>
      <c r="Y1834" s="279" t="s">
        <v>1693</v>
      </c>
      <c r="Z1834" s="282" t="s">
        <v>53</v>
      </c>
      <c r="AA1834" s="282" t="s">
        <v>5671</v>
      </c>
      <c r="AB1834" s="283">
        <v>44494.0</v>
      </c>
      <c r="AC1834" s="284"/>
      <c r="AD1834" s="284"/>
    </row>
    <row r="1835" ht="14.25" customHeight="1">
      <c r="A1835" s="265">
        <v>44491.0</v>
      </c>
      <c r="B1835" s="266" t="s">
        <v>2030</v>
      </c>
      <c r="C1835" s="266" t="s">
        <v>2158</v>
      </c>
      <c r="D1835" s="266" t="s">
        <v>1450</v>
      </c>
      <c r="E1835" s="268"/>
      <c r="F1835" s="269" t="s">
        <v>5672</v>
      </c>
      <c r="G1835" s="268" t="s">
        <v>2085</v>
      </c>
      <c r="H1835" s="270">
        <v>0.003981481481481482</v>
      </c>
      <c r="I1835" s="271">
        <v>44494.41875</v>
      </c>
      <c r="J1835" s="268"/>
      <c r="K1835" s="271">
        <v>44494.42013888889</v>
      </c>
      <c r="L1835" s="288"/>
      <c r="M1835" s="278" t="s">
        <v>5673</v>
      </c>
      <c r="N1835" s="290"/>
      <c r="O1835" s="276"/>
      <c r="P1835" s="276"/>
      <c r="Q1835" s="276"/>
      <c r="R1835" s="278"/>
      <c r="S1835" s="278"/>
      <c r="T1835" s="278"/>
      <c r="U1835" s="279"/>
      <c r="V1835" s="279" t="s">
        <v>2030</v>
      </c>
      <c r="W1835" s="280">
        <v>44495.0</v>
      </c>
      <c r="X1835" s="281">
        <v>0.0020833333333333333</v>
      </c>
      <c r="Y1835" s="279"/>
      <c r="Z1835" s="282" t="s">
        <v>53</v>
      </c>
      <c r="AA1835" s="282">
        <v>6865477.0</v>
      </c>
      <c r="AB1835" s="283">
        <v>44496.0</v>
      </c>
      <c r="AC1835" s="284"/>
      <c r="AD1835" s="284"/>
    </row>
    <row r="1836" ht="14.25" customHeight="1">
      <c r="A1836" s="265">
        <v>44491.0</v>
      </c>
      <c r="B1836" s="266" t="s">
        <v>1500</v>
      </c>
      <c r="C1836" s="266" t="s">
        <v>1686</v>
      </c>
      <c r="D1836" s="266" t="s">
        <v>1543</v>
      </c>
      <c r="E1836" s="268"/>
      <c r="F1836" s="269" t="s">
        <v>5674</v>
      </c>
      <c r="G1836" s="268" t="s">
        <v>1463</v>
      </c>
      <c r="H1836" s="270">
        <v>0.0010763888888888889</v>
      </c>
      <c r="I1836" s="271">
        <v>44495.663194444445</v>
      </c>
      <c r="J1836" s="268"/>
      <c r="K1836" s="271">
        <v>44498.623090277775</v>
      </c>
      <c r="L1836" s="288"/>
      <c r="M1836" s="278" t="s">
        <v>5675</v>
      </c>
      <c r="N1836" s="290"/>
      <c r="O1836" s="276"/>
      <c r="P1836" s="276"/>
      <c r="Q1836" s="276"/>
      <c r="R1836" s="278"/>
      <c r="S1836" s="278"/>
      <c r="T1836" s="278"/>
      <c r="U1836" s="279"/>
      <c r="V1836" s="279" t="s">
        <v>1824</v>
      </c>
      <c r="W1836" s="280">
        <v>44501.0</v>
      </c>
      <c r="X1836" s="281">
        <v>0.004166666666666667</v>
      </c>
      <c r="Y1836" s="279" t="s">
        <v>1693</v>
      </c>
      <c r="Z1836" s="282" t="s">
        <v>53</v>
      </c>
      <c r="AA1836" s="282">
        <v>6894492.0</v>
      </c>
      <c r="AB1836" s="283">
        <v>44501.0</v>
      </c>
      <c r="AC1836" s="284"/>
      <c r="AD1836" s="284"/>
    </row>
    <row r="1837" ht="14.25" customHeight="1">
      <c r="A1837" s="265">
        <v>44491.0</v>
      </c>
      <c r="B1837" s="266" t="s">
        <v>1500</v>
      </c>
      <c r="C1837" s="266" t="s">
        <v>2179</v>
      </c>
      <c r="D1837" s="266" t="s">
        <v>1543</v>
      </c>
      <c r="E1837" s="268"/>
      <c r="F1837" s="269" t="s">
        <v>5676</v>
      </c>
      <c r="G1837" s="268" t="s">
        <v>1463</v>
      </c>
      <c r="H1837" s="270">
        <v>0.0013310185185185185</v>
      </c>
      <c r="I1837" s="271">
        <v>44497.79513888889</v>
      </c>
      <c r="J1837" s="268"/>
      <c r="K1837" s="271">
        <v>44498.132731481484</v>
      </c>
      <c r="L1837" s="288"/>
      <c r="M1837" s="278" t="s">
        <v>5677</v>
      </c>
      <c r="N1837" s="290"/>
      <c r="O1837" s="276"/>
      <c r="P1837" s="276"/>
      <c r="Q1837" s="276"/>
      <c r="R1837" s="278"/>
      <c r="S1837" s="278"/>
      <c r="T1837" s="278"/>
      <c r="U1837" s="279"/>
      <c r="V1837" s="279" t="s">
        <v>1824</v>
      </c>
      <c r="W1837" s="280">
        <v>44501.0</v>
      </c>
      <c r="X1837" s="281">
        <v>0.002777777777777778</v>
      </c>
      <c r="Y1837" s="279" t="s">
        <v>1693</v>
      </c>
      <c r="Z1837" s="282" t="s">
        <v>53</v>
      </c>
      <c r="AA1837" s="282">
        <v>6894493.0</v>
      </c>
      <c r="AB1837" s="283">
        <v>44501.0</v>
      </c>
      <c r="AC1837" s="284"/>
      <c r="AD1837" s="284"/>
    </row>
    <row r="1838" ht="14.25" customHeight="1">
      <c r="A1838" s="265">
        <v>44491.0</v>
      </c>
      <c r="B1838" s="266" t="s">
        <v>1500</v>
      </c>
      <c r="C1838" s="266" t="s">
        <v>2179</v>
      </c>
      <c r="D1838" s="266" t="s">
        <v>1543</v>
      </c>
      <c r="E1838" s="268"/>
      <c r="F1838" s="269" t="s">
        <v>5678</v>
      </c>
      <c r="G1838" s="268" t="s">
        <v>1463</v>
      </c>
      <c r="H1838" s="270">
        <v>0.0025578703703703705</v>
      </c>
      <c r="I1838" s="271">
        <v>44497.79513888889</v>
      </c>
      <c r="J1838" s="268"/>
      <c r="K1838" s="271">
        <v>44498.63251157408</v>
      </c>
      <c r="L1838" s="288"/>
      <c r="M1838" s="278" t="s">
        <v>5679</v>
      </c>
      <c r="N1838" s="290"/>
      <c r="O1838" s="276"/>
      <c r="P1838" s="276"/>
      <c r="Q1838" s="276"/>
      <c r="R1838" s="278"/>
      <c r="S1838" s="278"/>
      <c r="T1838" s="278"/>
      <c r="U1838" s="279"/>
      <c r="V1838" s="279" t="s">
        <v>1824</v>
      </c>
      <c r="W1838" s="280">
        <v>44501.0</v>
      </c>
      <c r="X1838" s="281">
        <v>0.004166666666666667</v>
      </c>
      <c r="Y1838" s="279" t="s">
        <v>1693</v>
      </c>
      <c r="Z1838" s="282" t="s">
        <v>53</v>
      </c>
      <c r="AA1838" s="282">
        <v>6894494.0</v>
      </c>
      <c r="AB1838" s="283">
        <v>44501.0</v>
      </c>
      <c r="AC1838" s="284"/>
      <c r="AD1838" s="284"/>
    </row>
    <row r="1839" ht="14.25" customHeight="1">
      <c r="A1839" s="265">
        <v>44491.0</v>
      </c>
      <c r="B1839" s="266" t="s">
        <v>1738</v>
      </c>
      <c r="C1839" s="266"/>
      <c r="D1839" s="266" t="s">
        <v>1450</v>
      </c>
      <c r="E1839" s="268"/>
      <c r="F1839" s="358" t="s">
        <v>5680</v>
      </c>
      <c r="G1839" s="268" t="s">
        <v>2085</v>
      </c>
      <c r="H1839" s="270">
        <v>0.09760416666666667</v>
      </c>
      <c r="I1839" s="271">
        <v>44491.48402777778</v>
      </c>
      <c r="J1839" s="268"/>
      <c r="K1839" s="271">
        <v>44491.57164351852</v>
      </c>
      <c r="L1839" s="288" t="str">
        <f t="shared" ref="L1839:L1842" si="122">IFERROR(IF(OR(I1839="",K1839=""),"",K1839-I1839),"")</f>
        <v>2:06:10 AM</v>
      </c>
      <c r="M1839" s="278"/>
      <c r="N1839" s="290"/>
      <c r="O1839" s="276"/>
      <c r="P1839" s="276"/>
      <c r="Q1839" s="276"/>
      <c r="R1839" s="278"/>
      <c r="S1839" s="278"/>
      <c r="T1839" s="278"/>
      <c r="U1839" s="279"/>
      <c r="V1839" s="279" t="s">
        <v>2030</v>
      </c>
      <c r="W1839" s="280">
        <v>44494.0</v>
      </c>
      <c r="X1839" s="281">
        <v>0.22916666666666666</v>
      </c>
      <c r="Y1839" s="279" t="s">
        <v>1693</v>
      </c>
      <c r="Z1839" s="282" t="s">
        <v>53</v>
      </c>
      <c r="AA1839" s="282" t="s">
        <v>5681</v>
      </c>
      <c r="AB1839" s="283">
        <v>44494.0</v>
      </c>
      <c r="AC1839" s="284"/>
      <c r="AD1839" s="284"/>
    </row>
    <row r="1840" ht="14.25" customHeight="1">
      <c r="A1840" s="265">
        <v>44491.0</v>
      </c>
      <c r="B1840" s="266" t="s">
        <v>1733</v>
      </c>
      <c r="C1840" s="266"/>
      <c r="D1840" s="266" t="s">
        <v>1452</v>
      </c>
      <c r="E1840" s="268"/>
      <c r="F1840" s="358" t="s">
        <v>5682</v>
      </c>
      <c r="G1840" s="268" t="s">
        <v>2085</v>
      </c>
      <c r="H1840" s="270">
        <v>0.007685185185185185</v>
      </c>
      <c r="I1840" s="271">
        <v>44491.57847222222</v>
      </c>
      <c r="J1840" s="268"/>
      <c r="K1840" s="271">
        <v>44491.58692129629</v>
      </c>
      <c r="L1840" s="288" t="str">
        <f t="shared" si="122"/>
        <v>12:12:10 AM</v>
      </c>
      <c r="M1840" s="278"/>
      <c r="N1840" s="290"/>
      <c r="O1840" s="276"/>
      <c r="P1840" s="276"/>
      <c r="Q1840" s="276"/>
      <c r="R1840" s="278"/>
      <c r="S1840" s="278"/>
      <c r="T1840" s="278"/>
      <c r="U1840" s="279"/>
      <c r="V1840" s="279" t="s">
        <v>1733</v>
      </c>
      <c r="W1840" s="280">
        <v>44491.0</v>
      </c>
      <c r="X1840" s="281">
        <v>0.017361111111111112</v>
      </c>
      <c r="Y1840" s="279" t="s">
        <v>1693</v>
      </c>
      <c r="Z1840" s="282" t="s">
        <v>53</v>
      </c>
      <c r="AA1840" s="282" t="s">
        <v>5682</v>
      </c>
      <c r="AB1840" s="283">
        <v>44494.0</v>
      </c>
      <c r="AC1840" s="284"/>
      <c r="AD1840" s="284"/>
    </row>
    <row r="1841" ht="14.25" customHeight="1">
      <c r="A1841" s="265">
        <v>44491.0</v>
      </c>
      <c r="B1841" s="266" t="s">
        <v>1733</v>
      </c>
      <c r="C1841" s="266"/>
      <c r="D1841" s="266" t="s">
        <v>1686</v>
      </c>
      <c r="E1841" s="268"/>
      <c r="F1841" s="358" t="s">
        <v>5683</v>
      </c>
      <c r="G1841" s="268" t="s">
        <v>2085</v>
      </c>
      <c r="H1841" s="270">
        <v>0.03644675925925926</v>
      </c>
      <c r="I1841" s="271">
        <v>44491.583333333336</v>
      </c>
      <c r="J1841" s="268"/>
      <c r="K1841" s="271">
        <v>44491.611805555556</v>
      </c>
      <c r="L1841" s="288" t="str">
        <f t="shared" si="122"/>
        <v>12:41:00 AM</v>
      </c>
      <c r="M1841" s="278"/>
      <c r="N1841" s="290"/>
      <c r="O1841" s="276"/>
      <c r="P1841" s="276"/>
      <c r="Q1841" s="276"/>
      <c r="R1841" s="278"/>
      <c r="S1841" s="278"/>
      <c r="T1841" s="278"/>
      <c r="U1841" s="279"/>
      <c r="V1841" s="279" t="s">
        <v>1733</v>
      </c>
      <c r="W1841" s="280">
        <v>44491.0</v>
      </c>
      <c r="X1841" s="281">
        <v>0.125</v>
      </c>
      <c r="Y1841" s="279" t="s">
        <v>1693</v>
      </c>
      <c r="Z1841" s="282" t="s">
        <v>53</v>
      </c>
      <c r="AA1841" s="282" t="s">
        <v>5683</v>
      </c>
      <c r="AB1841" s="283">
        <v>44494.0</v>
      </c>
      <c r="AC1841" s="284"/>
      <c r="AD1841" s="284"/>
    </row>
    <row r="1842" ht="14.25" customHeight="1">
      <c r="A1842" s="265">
        <v>44491.0</v>
      </c>
      <c r="B1842" s="266" t="s">
        <v>3677</v>
      </c>
      <c r="C1842" s="266"/>
      <c r="D1842" s="266" t="s">
        <v>1455</v>
      </c>
      <c r="E1842" s="268"/>
      <c r="F1842" s="358" t="s">
        <v>5684</v>
      </c>
      <c r="G1842" s="268" t="s">
        <v>2085</v>
      </c>
      <c r="H1842" s="270">
        <v>0.022037037037037036</v>
      </c>
      <c r="I1842" s="271">
        <v>44491.875081018516</v>
      </c>
      <c r="J1842" s="268"/>
      <c r="K1842" s="271">
        <v>44491.88758101852</v>
      </c>
      <c r="L1842" s="288" t="str">
        <f t="shared" si="122"/>
        <v>12:18:00 AM</v>
      </c>
      <c r="M1842" s="278"/>
      <c r="N1842" s="290"/>
      <c r="O1842" s="276"/>
      <c r="P1842" s="276"/>
      <c r="Q1842" s="276"/>
      <c r="R1842" s="278"/>
      <c r="S1842" s="278"/>
      <c r="T1842" s="278"/>
      <c r="U1842" s="279"/>
      <c r="V1842" s="279" t="s">
        <v>1824</v>
      </c>
      <c r="W1842" s="280">
        <v>44497.0</v>
      </c>
      <c r="X1842" s="281">
        <v>0.08680555555555557</v>
      </c>
      <c r="Y1842" s="279" t="s">
        <v>1693</v>
      </c>
      <c r="Z1842" s="282" t="s">
        <v>53</v>
      </c>
      <c r="AA1842" s="282" t="s">
        <v>5685</v>
      </c>
      <c r="AB1842" s="283">
        <v>44494.0</v>
      </c>
      <c r="AC1842" s="284"/>
      <c r="AD1842" s="284"/>
    </row>
    <row r="1843" ht="14.25" customHeight="1">
      <c r="A1843" s="265">
        <v>44492.0</v>
      </c>
      <c r="B1843" s="266" t="s">
        <v>1500</v>
      </c>
      <c r="C1843" s="266" t="s">
        <v>2641</v>
      </c>
      <c r="D1843" s="266" t="s">
        <v>1543</v>
      </c>
      <c r="E1843" s="268"/>
      <c r="F1843" s="269" t="s">
        <v>5686</v>
      </c>
      <c r="G1843" s="268" t="s">
        <v>1463</v>
      </c>
      <c r="H1843" s="270">
        <v>0.0011458333333333333</v>
      </c>
      <c r="I1843" s="271">
        <v>44494.79513888889</v>
      </c>
      <c r="J1843" s="268"/>
      <c r="K1843" s="271">
        <v>44495.133518518516</v>
      </c>
      <c r="L1843" s="288"/>
      <c r="M1843" s="278" t="s">
        <v>5687</v>
      </c>
      <c r="N1843" s="290"/>
      <c r="O1843" s="276"/>
      <c r="P1843" s="276"/>
      <c r="Q1843" s="276"/>
      <c r="R1843" s="278"/>
      <c r="S1843" s="278"/>
      <c r="T1843" s="278"/>
      <c r="U1843" s="279"/>
      <c r="V1843" s="279" t="s">
        <v>1824</v>
      </c>
      <c r="W1843" s="280">
        <v>44501.0</v>
      </c>
      <c r="X1843" s="281">
        <v>0.002777777777777778</v>
      </c>
      <c r="Y1843" s="279" t="s">
        <v>1693</v>
      </c>
      <c r="Z1843" s="282" t="s">
        <v>53</v>
      </c>
      <c r="AA1843" s="282">
        <v>6894495.0</v>
      </c>
      <c r="AB1843" s="283">
        <v>44501.0</v>
      </c>
      <c r="AC1843" s="284"/>
      <c r="AD1843" s="284"/>
    </row>
    <row r="1844" ht="14.25" customHeight="1">
      <c r="A1844" s="265">
        <v>44492.0</v>
      </c>
      <c r="B1844" s="266" t="s">
        <v>1500</v>
      </c>
      <c r="C1844" s="266" t="s">
        <v>2083</v>
      </c>
      <c r="D1844" s="266" t="s">
        <v>1543</v>
      </c>
      <c r="E1844" s="268"/>
      <c r="F1844" s="269" t="s">
        <v>5688</v>
      </c>
      <c r="G1844" s="268" t="s">
        <v>1463</v>
      </c>
      <c r="H1844" s="270">
        <v>0.0018634259259259261</v>
      </c>
      <c r="I1844" s="271">
        <v>44495.663194444445</v>
      </c>
      <c r="J1844" s="268"/>
      <c r="K1844" s="271">
        <v>44496.00282407407</v>
      </c>
      <c r="L1844" s="288"/>
      <c r="M1844" s="278" t="s">
        <v>5689</v>
      </c>
      <c r="N1844" s="290"/>
      <c r="O1844" s="276"/>
      <c r="P1844" s="276"/>
      <c r="Q1844" s="276"/>
      <c r="R1844" s="278"/>
      <c r="S1844" s="278"/>
      <c r="T1844" s="278"/>
      <c r="U1844" s="279"/>
      <c r="V1844" s="279" t="s">
        <v>1824</v>
      </c>
      <c r="W1844" s="280">
        <v>44501.0</v>
      </c>
      <c r="X1844" s="281">
        <v>0.002777777777777778</v>
      </c>
      <c r="Y1844" s="279" t="s">
        <v>1693</v>
      </c>
      <c r="Z1844" s="282" t="s">
        <v>53</v>
      </c>
      <c r="AA1844" s="282">
        <v>6894496.0</v>
      </c>
      <c r="AB1844" s="283">
        <v>44501.0</v>
      </c>
      <c r="AC1844" s="284"/>
      <c r="AD1844" s="284"/>
    </row>
    <row r="1845" ht="14.25" customHeight="1">
      <c r="A1845" s="265">
        <v>44492.0</v>
      </c>
      <c r="B1845" s="266" t="s">
        <v>1500</v>
      </c>
      <c r="C1845" s="266" t="s">
        <v>2179</v>
      </c>
      <c r="D1845" s="266" t="s">
        <v>1543</v>
      </c>
      <c r="E1845" s="268"/>
      <c r="F1845" s="269" t="s">
        <v>5690</v>
      </c>
      <c r="G1845" s="268" t="s">
        <v>1463</v>
      </c>
      <c r="H1845" s="270">
        <v>0.0018402777777777777</v>
      </c>
      <c r="I1845" s="271">
        <v>44497.79513888889</v>
      </c>
      <c r="J1845" s="268"/>
      <c r="K1845" s="271">
        <v>44498.13474537037</v>
      </c>
      <c r="L1845" s="288"/>
      <c r="M1845" s="278" t="s">
        <v>5691</v>
      </c>
      <c r="N1845" s="290"/>
      <c r="O1845" s="276"/>
      <c r="P1845" s="276"/>
      <c r="Q1845" s="276"/>
      <c r="R1845" s="278"/>
      <c r="S1845" s="278"/>
      <c r="T1845" s="278"/>
      <c r="U1845" s="279"/>
      <c r="V1845" s="279" t="s">
        <v>1824</v>
      </c>
      <c r="W1845" s="280">
        <v>44501.0</v>
      </c>
      <c r="X1845" s="281">
        <v>0.008333333333333333</v>
      </c>
      <c r="Y1845" s="279" t="s">
        <v>1693</v>
      </c>
      <c r="Z1845" s="282" t="s">
        <v>53</v>
      </c>
      <c r="AA1845" s="282">
        <v>6894497.0</v>
      </c>
      <c r="AB1845" s="283">
        <v>44501.0</v>
      </c>
      <c r="AC1845" s="284"/>
      <c r="AD1845" s="284"/>
    </row>
    <row r="1846" ht="14.25" customHeight="1">
      <c r="A1846" s="265">
        <v>44492.0</v>
      </c>
      <c r="B1846" s="266" t="s">
        <v>1500</v>
      </c>
      <c r="C1846" s="266"/>
      <c r="D1846" s="266" t="s">
        <v>1686</v>
      </c>
      <c r="E1846" s="268"/>
      <c r="F1846" s="358" t="s">
        <v>5692</v>
      </c>
      <c r="G1846" s="268" t="s">
        <v>2085</v>
      </c>
      <c r="H1846" s="270">
        <v>0.0391087962962963</v>
      </c>
      <c r="I1846" s="271">
        <v>44492.62847222222</v>
      </c>
      <c r="J1846" s="268"/>
      <c r="K1846" s="271">
        <v>44492.9943287037</v>
      </c>
      <c r="L1846" s="288" t="str">
        <f t="shared" ref="L1846:L1847" si="123">IFERROR(IF(OR(I1846="",K1846=""),"",K1846-I1846),"")</f>
        <v>8:46:50 AM</v>
      </c>
      <c r="M1846" s="278"/>
      <c r="N1846" s="290"/>
      <c r="O1846" s="276"/>
      <c r="P1846" s="276"/>
      <c r="Q1846" s="276"/>
      <c r="R1846" s="278"/>
      <c r="S1846" s="278"/>
      <c r="T1846" s="278"/>
      <c r="U1846" s="279"/>
      <c r="V1846" s="279" t="s">
        <v>1733</v>
      </c>
      <c r="W1846" s="280">
        <v>44494.0</v>
      </c>
      <c r="X1846" s="281">
        <v>0.125</v>
      </c>
      <c r="Y1846" s="279" t="s">
        <v>1693</v>
      </c>
      <c r="Z1846" s="282" t="s">
        <v>53</v>
      </c>
      <c r="AA1846" s="282" t="s">
        <v>5692</v>
      </c>
      <c r="AB1846" s="283">
        <v>44494.0</v>
      </c>
      <c r="AC1846" s="284"/>
      <c r="AD1846" s="284"/>
    </row>
    <row r="1847" ht="14.25" customHeight="1">
      <c r="A1847" s="265">
        <v>44492.0</v>
      </c>
      <c r="B1847" s="266" t="s">
        <v>1746</v>
      </c>
      <c r="C1847" s="266"/>
      <c r="D1847" s="266" t="s">
        <v>1455</v>
      </c>
      <c r="E1847" s="268"/>
      <c r="F1847" s="358" t="s">
        <v>5693</v>
      </c>
      <c r="G1847" s="268" t="s">
        <v>2085</v>
      </c>
      <c r="H1847" s="270">
        <v>0.015578703703703704</v>
      </c>
      <c r="I1847" s="271">
        <v>44494.041666666664</v>
      </c>
      <c r="J1847" s="268"/>
      <c r="K1847" s="271">
        <v>44494.05625</v>
      </c>
      <c r="L1847" s="288" t="str">
        <f t="shared" si="123"/>
        <v>12:21:00 AM</v>
      </c>
      <c r="M1847" s="278"/>
      <c r="N1847" s="290"/>
      <c r="O1847" s="276"/>
      <c r="P1847" s="276"/>
      <c r="Q1847" s="276"/>
      <c r="R1847" s="278"/>
      <c r="S1847" s="278"/>
      <c r="T1847" s="278"/>
      <c r="U1847" s="279"/>
      <c r="V1847" s="279" t="s">
        <v>1824</v>
      </c>
      <c r="W1847" s="280">
        <v>44495.0</v>
      </c>
      <c r="X1847" s="281">
        <v>0.06944444444444443</v>
      </c>
      <c r="Y1847" s="279" t="s">
        <v>1693</v>
      </c>
      <c r="Z1847" s="282" t="s">
        <v>53</v>
      </c>
      <c r="AA1847" s="282" t="s">
        <v>5694</v>
      </c>
      <c r="AB1847" s="283">
        <v>44494.0</v>
      </c>
      <c r="AC1847" s="284"/>
      <c r="AD1847" s="284"/>
    </row>
    <row r="1848" ht="14.25" customHeight="1">
      <c r="A1848" s="265">
        <v>44493.0</v>
      </c>
      <c r="B1848" s="266" t="s">
        <v>1733</v>
      </c>
      <c r="C1848" s="266"/>
      <c r="D1848" s="266" t="s">
        <v>3509</v>
      </c>
      <c r="E1848" s="268"/>
      <c r="F1848" s="358">
        <v>6750558.0</v>
      </c>
      <c r="G1848" s="268" t="s">
        <v>3839</v>
      </c>
      <c r="H1848" s="270">
        <v>0.02310185185185185</v>
      </c>
      <c r="I1848" s="271">
        <v>44494.333333333336</v>
      </c>
      <c r="J1848" s="268"/>
      <c r="K1848" s="271">
        <v>44494.33631944445</v>
      </c>
      <c r="L1848" s="288"/>
      <c r="M1848" s="278" t="s">
        <v>5695</v>
      </c>
      <c r="N1848" s="290"/>
      <c r="O1848" s="276"/>
      <c r="P1848" s="276"/>
      <c r="Q1848" s="276"/>
      <c r="R1848" s="278"/>
      <c r="S1848" s="278"/>
      <c r="T1848" s="278"/>
      <c r="U1848" s="279"/>
      <c r="V1848" s="279" t="s">
        <v>28</v>
      </c>
      <c r="W1848" s="279" t="s">
        <v>28</v>
      </c>
      <c r="X1848" s="279" t="s">
        <v>28</v>
      </c>
      <c r="Y1848" s="279" t="s">
        <v>28</v>
      </c>
      <c r="Z1848" s="282" t="s">
        <v>4986</v>
      </c>
      <c r="AA1848" s="282">
        <v>6750558.0</v>
      </c>
      <c r="AB1848" s="283">
        <v>44494.0</v>
      </c>
      <c r="AC1848" s="284"/>
      <c r="AD1848" s="284"/>
    </row>
    <row r="1849" ht="14.25" customHeight="1">
      <c r="A1849" s="265">
        <v>44493.0</v>
      </c>
      <c r="B1849" s="266" t="s">
        <v>1500</v>
      </c>
      <c r="C1849" s="266" t="s">
        <v>1450</v>
      </c>
      <c r="D1849" s="266" t="s">
        <v>1543</v>
      </c>
      <c r="E1849" s="268"/>
      <c r="F1849" s="269" t="s">
        <v>5696</v>
      </c>
      <c r="G1849" s="268" t="s">
        <v>1463</v>
      </c>
      <c r="H1849" s="270">
        <v>0.0018171296296296297</v>
      </c>
      <c r="I1849" s="271">
        <v>44498.61736111111</v>
      </c>
      <c r="J1849" s="268"/>
      <c r="K1849" s="271">
        <v>44498.62144675926</v>
      </c>
      <c r="L1849" s="288"/>
      <c r="M1849" s="278" t="s">
        <v>5697</v>
      </c>
      <c r="N1849" s="290"/>
      <c r="O1849" s="276"/>
      <c r="P1849" s="276"/>
      <c r="Q1849" s="276"/>
      <c r="R1849" s="278"/>
      <c r="S1849" s="278"/>
      <c r="T1849" s="278"/>
      <c r="U1849" s="279"/>
      <c r="V1849" s="279" t="s">
        <v>1824</v>
      </c>
      <c r="W1849" s="280">
        <v>44508.0</v>
      </c>
      <c r="X1849" s="281">
        <v>0.009722222222222222</v>
      </c>
      <c r="Y1849" s="279" t="s">
        <v>1693</v>
      </c>
      <c r="Z1849" s="282" t="s">
        <v>53</v>
      </c>
      <c r="AA1849" s="282">
        <v>6894498.0</v>
      </c>
      <c r="AB1849" s="283">
        <v>44501.0</v>
      </c>
      <c r="AC1849" s="284"/>
      <c r="AD1849" s="284"/>
    </row>
    <row r="1850" ht="14.25" customHeight="1">
      <c r="A1850" s="265">
        <v>44493.0</v>
      </c>
      <c r="B1850" s="266" t="s">
        <v>1733</v>
      </c>
      <c r="C1850" s="266"/>
      <c r="D1850" s="266" t="s">
        <v>1457</v>
      </c>
      <c r="E1850" s="268"/>
      <c r="F1850" s="358" t="s">
        <v>5698</v>
      </c>
      <c r="G1850" s="268" t="s">
        <v>2085</v>
      </c>
      <c r="H1850" s="270">
        <v>0.017662037037037035</v>
      </c>
      <c r="I1850" s="271">
        <v>44494.425</v>
      </c>
      <c r="J1850" s="268"/>
      <c r="K1850" s="271">
        <v>44494.44201388889</v>
      </c>
      <c r="L1850" s="288" t="str">
        <f t="shared" ref="L1850:L1851" si="124">IFERROR(IF(OR(I1850="",K1850=""),"",K1850-I1850),"")</f>
        <v>12:24:30 AM</v>
      </c>
      <c r="M1850" s="278"/>
      <c r="N1850" s="290"/>
      <c r="O1850" s="276"/>
      <c r="P1850" s="276"/>
      <c r="Q1850" s="276"/>
      <c r="R1850" s="278"/>
      <c r="S1850" s="278"/>
      <c r="T1850" s="278"/>
      <c r="U1850" s="279"/>
      <c r="V1850" s="279" t="s">
        <v>1824</v>
      </c>
      <c r="W1850" s="280">
        <v>44496.0</v>
      </c>
      <c r="X1850" s="281">
        <v>0.034722222222222224</v>
      </c>
      <c r="Y1850" s="279" t="s">
        <v>1693</v>
      </c>
      <c r="Z1850" s="282" t="s">
        <v>53</v>
      </c>
      <c r="AA1850" s="282" t="s">
        <v>5698</v>
      </c>
      <c r="AB1850" s="283">
        <v>44495.0</v>
      </c>
      <c r="AC1850" s="284"/>
      <c r="AD1850" s="284"/>
    </row>
    <row r="1851" ht="14.25" customHeight="1">
      <c r="A1851" s="265">
        <v>44493.0</v>
      </c>
      <c r="B1851" s="266" t="s">
        <v>1733</v>
      </c>
      <c r="C1851" s="266"/>
      <c r="D1851" s="266" t="s">
        <v>2829</v>
      </c>
      <c r="E1851" s="268"/>
      <c r="F1851" s="358" t="s">
        <v>5699</v>
      </c>
      <c r="G1851" s="268" t="s">
        <v>2085</v>
      </c>
      <c r="H1851" s="270">
        <v>0.01869212962962963</v>
      </c>
      <c r="I1851" s="268" t="s">
        <v>5700</v>
      </c>
      <c r="J1851" s="268"/>
      <c r="K1851" s="268"/>
      <c r="L1851" s="288" t="str">
        <f t="shared" si="124"/>
        <v/>
      </c>
      <c r="M1851" s="307" t="s">
        <v>3482</v>
      </c>
      <c r="N1851" s="273">
        <v>44494.333333333336</v>
      </c>
      <c r="O1851" s="276" t="s">
        <v>5701</v>
      </c>
      <c r="P1851" s="276" t="s">
        <v>1463</v>
      </c>
      <c r="Q1851" s="276" t="s">
        <v>1819</v>
      </c>
      <c r="R1851" s="278" t="s">
        <v>1463</v>
      </c>
      <c r="S1851" s="278"/>
      <c r="T1851" s="278" t="s">
        <v>5702</v>
      </c>
      <c r="U1851" s="279"/>
      <c r="V1851" s="279" t="s">
        <v>28</v>
      </c>
      <c r="W1851" s="279" t="s">
        <v>28</v>
      </c>
      <c r="X1851" s="279" t="s">
        <v>28</v>
      </c>
      <c r="Y1851" s="279" t="s">
        <v>28</v>
      </c>
      <c r="Z1851" s="282" t="s">
        <v>53</v>
      </c>
      <c r="AA1851" s="282" t="s">
        <v>5699</v>
      </c>
      <c r="AB1851" s="283">
        <v>44495.0</v>
      </c>
      <c r="AC1851" s="284"/>
      <c r="AD1851" s="284"/>
    </row>
    <row r="1852" ht="14.25" customHeight="1">
      <c r="A1852" s="265">
        <v>44494.0</v>
      </c>
      <c r="B1852" s="266" t="s">
        <v>2030</v>
      </c>
      <c r="C1852" s="266" t="s">
        <v>2158</v>
      </c>
      <c r="D1852" s="266" t="s">
        <v>1450</v>
      </c>
      <c r="E1852" s="378"/>
      <c r="F1852" s="291" t="s">
        <v>5703</v>
      </c>
      <c r="G1852" s="268" t="s">
        <v>2085</v>
      </c>
      <c r="H1852" s="270">
        <v>0.003090277777777778</v>
      </c>
      <c r="I1852" s="271">
        <v>44496.35625</v>
      </c>
      <c r="J1852" s="378"/>
      <c r="K1852" s="271"/>
      <c r="L1852" s="378"/>
      <c r="M1852" s="307" t="s">
        <v>2808</v>
      </c>
      <c r="N1852" s="273">
        <v>44496.472916666666</v>
      </c>
      <c r="O1852" s="276" t="s">
        <v>5704</v>
      </c>
      <c r="P1852" s="276" t="s">
        <v>1463</v>
      </c>
      <c r="Q1852" s="276"/>
      <c r="R1852" s="271">
        <v>44496.47638888889</v>
      </c>
      <c r="S1852" s="278"/>
      <c r="T1852" s="278" t="s">
        <v>5705</v>
      </c>
      <c r="U1852" s="279"/>
      <c r="V1852" s="279" t="s">
        <v>2030</v>
      </c>
      <c r="W1852" s="280">
        <v>44496.0</v>
      </c>
      <c r="X1852" s="281">
        <v>0.001388888888888889</v>
      </c>
      <c r="Y1852" s="279"/>
      <c r="Z1852" s="282" t="s">
        <v>53</v>
      </c>
      <c r="AA1852" s="282">
        <v>6876268.0</v>
      </c>
      <c r="AB1852" s="283">
        <v>44497.0</v>
      </c>
      <c r="AC1852" s="378"/>
      <c r="AD1852" s="284"/>
    </row>
    <row r="1853" ht="14.25" customHeight="1">
      <c r="A1853" s="265">
        <v>44494.0</v>
      </c>
      <c r="B1853" s="266" t="s">
        <v>1500</v>
      </c>
      <c r="C1853" s="266" t="s">
        <v>2179</v>
      </c>
      <c r="D1853" s="266" t="s">
        <v>1543</v>
      </c>
      <c r="E1853" s="268"/>
      <c r="F1853" s="269" t="s">
        <v>5706</v>
      </c>
      <c r="G1853" s="268" t="s">
        <v>1463</v>
      </c>
      <c r="H1853" s="270">
        <v>0.0017939814814814815</v>
      </c>
      <c r="I1853" s="271">
        <v>44497.79513888889</v>
      </c>
      <c r="J1853" s="268"/>
      <c r="K1853" s="271">
        <v>44498.134733796294</v>
      </c>
      <c r="L1853" s="288"/>
      <c r="M1853" s="278" t="s">
        <v>5707</v>
      </c>
      <c r="N1853" s="290"/>
      <c r="O1853" s="276"/>
      <c r="P1853" s="276"/>
      <c r="Q1853" s="276"/>
      <c r="R1853" s="278"/>
      <c r="S1853" s="278"/>
      <c r="T1853" s="278"/>
      <c r="U1853" s="279"/>
      <c r="V1853" s="279" t="s">
        <v>1824</v>
      </c>
      <c r="W1853" s="280">
        <v>44501.0</v>
      </c>
      <c r="X1853" s="281">
        <v>0.004861111111111111</v>
      </c>
      <c r="Y1853" s="279" t="s">
        <v>1693</v>
      </c>
      <c r="Z1853" s="282" t="s">
        <v>53</v>
      </c>
      <c r="AA1853" s="282">
        <v>6894499.0</v>
      </c>
      <c r="AB1853" s="283">
        <v>44501.0</v>
      </c>
      <c r="AC1853" s="284"/>
      <c r="AD1853" s="284"/>
    </row>
    <row r="1854" ht="14.25" customHeight="1">
      <c r="A1854" s="265">
        <v>44494.0</v>
      </c>
      <c r="B1854" s="266" t="s">
        <v>1824</v>
      </c>
      <c r="C1854" s="266" t="s">
        <v>5439</v>
      </c>
      <c r="D1854" s="266" t="s">
        <v>1455</v>
      </c>
      <c r="E1854" s="268"/>
      <c r="F1854" s="269" t="s">
        <v>5708</v>
      </c>
      <c r="G1854" s="268" t="s">
        <v>1463</v>
      </c>
      <c r="H1854" s="270">
        <v>0.0020833333333333333</v>
      </c>
      <c r="I1854" s="271">
        <v>44501.43680555555</v>
      </c>
      <c r="J1854" s="268"/>
      <c r="K1854" s="271">
        <v>44501.43958333333</v>
      </c>
      <c r="L1854" s="288"/>
      <c r="M1854" s="278" t="s">
        <v>5709</v>
      </c>
      <c r="N1854" s="290"/>
      <c r="O1854" s="276"/>
      <c r="P1854" s="276"/>
      <c r="Q1854" s="276"/>
      <c r="R1854" s="278"/>
      <c r="S1854" s="278"/>
      <c r="T1854" s="278"/>
      <c r="U1854" s="279"/>
      <c r="V1854" s="279" t="s">
        <v>1824</v>
      </c>
      <c r="W1854" s="280">
        <v>44501.0</v>
      </c>
      <c r="X1854" s="281">
        <v>0.0020833333333333333</v>
      </c>
      <c r="Y1854" s="279" t="s">
        <v>1693</v>
      </c>
      <c r="Z1854" s="282" t="s">
        <v>53</v>
      </c>
      <c r="AA1854" s="282">
        <v>6911586.0</v>
      </c>
      <c r="AB1854" s="283">
        <v>44502.0</v>
      </c>
      <c r="AC1854" s="284"/>
      <c r="AD1854" s="284"/>
    </row>
    <row r="1855" ht="14.25" customHeight="1">
      <c r="A1855" s="265">
        <v>44494.0</v>
      </c>
      <c r="B1855" s="266" t="s">
        <v>1733</v>
      </c>
      <c r="C1855" s="266" t="s">
        <v>1831</v>
      </c>
      <c r="D1855" s="266" t="s">
        <v>1686</v>
      </c>
      <c r="E1855" s="268"/>
      <c r="F1855" s="286" t="s">
        <v>5710</v>
      </c>
      <c r="G1855" s="268" t="s">
        <v>3742</v>
      </c>
      <c r="H1855" s="270"/>
      <c r="I1855" s="271"/>
      <c r="J1855" s="268"/>
      <c r="K1855" s="271"/>
      <c r="L1855" s="288"/>
      <c r="M1855" s="278" t="s">
        <v>3915</v>
      </c>
      <c r="N1855" s="290"/>
      <c r="O1855" s="276"/>
      <c r="P1855" s="276"/>
      <c r="Q1855" s="276"/>
      <c r="R1855" s="278"/>
      <c r="S1855" s="278"/>
      <c r="T1855" s="278" t="s">
        <v>3915</v>
      </c>
      <c r="U1855" s="279" t="s">
        <v>28</v>
      </c>
      <c r="V1855" s="279" t="s">
        <v>28</v>
      </c>
      <c r="W1855" s="279" t="s">
        <v>28</v>
      </c>
      <c r="X1855" s="279" t="s">
        <v>28</v>
      </c>
      <c r="Y1855" s="279" t="s">
        <v>28</v>
      </c>
      <c r="Z1855" s="282" t="s">
        <v>28</v>
      </c>
      <c r="AA1855" s="282" t="s">
        <v>28</v>
      </c>
      <c r="AB1855" s="283" t="s">
        <v>28</v>
      </c>
      <c r="AC1855" s="284"/>
      <c r="AD1855" s="284"/>
    </row>
    <row r="1856" ht="14.25" customHeight="1">
      <c r="A1856" s="265">
        <v>44494.0</v>
      </c>
      <c r="B1856" s="266" t="s">
        <v>2030</v>
      </c>
      <c r="C1856" s="266"/>
      <c r="D1856" s="266" t="s">
        <v>1450</v>
      </c>
      <c r="E1856" s="268"/>
      <c r="F1856" s="358" t="s">
        <v>5711</v>
      </c>
      <c r="G1856" s="268" t="s">
        <v>2085</v>
      </c>
      <c r="H1856" s="270">
        <v>0.09760416666666667</v>
      </c>
      <c r="I1856" s="271">
        <v>44494.52777777778</v>
      </c>
      <c r="J1856" s="268"/>
      <c r="K1856" s="271">
        <v>44494.59652777778</v>
      </c>
      <c r="L1856" s="288" t="str">
        <f t="shared" ref="L1856:L1859" si="125">IFERROR(IF(OR(I1856="",K1856=""),"",K1856-I1856),"")</f>
        <v>1:39:00 AM</v>
      </c>
      <c r="M1856" s="278"/>
      <c r="N1856" s="273">
        <v>44495.345138888886</v>
      </c>
      <c r="O1856" s="276" t="s">
        <v>5712</v>
      </c>
      <c r="P1856" s="276" t="s">
        <v>1463</v>
      </c>
      <c r="Q1856" s="276" t="s">
        <v>1819</v>
      </c>
      <c r="R1856" s="271">
        <v>44495.40625</v>
      </c>
      <c r="S1856" s="278"/>
      <c r="T1856" s="278" t="s">
        <v>5713</v>
      </c>
      <c r="U1856" s="279"/>
      <c r="V1856" s="279" t="s">
        <v>2030</v>
      </c>
      <c r="W1856" s="280">
        <v>44495.0</v>
      </c>
      <c r="X1856" s="281">
        <v>0.25</v>
      </c>
      <c r="Y1856" s="279" t="s">
        <v>1693</v>
      </c>
      <c r="Z1856" s="282" t="s">
        <v>53</v>
      </c>
      <c r="AA1856" s="282" t="s">
        <v>5714</v>
      </c>
      <c r="AB1856" s="283">
        <v>44495.0</v>
      </c>
      <c r="AC1856" s="284"/>
      <c r="AD1856" s="284"/>
    </row>
    <row r="1857" ht="14.25" customHeight="1">
      <c r="A1857" s="265">
        <v>44494.0</v>
      </c>
      <c r="B1857" s="266" t="s">
        <v>1733</v>
      </c>
      <c r="C1857" s="266"/>
      <c r="D1857" s="266" t="s">
        <v>1452</v>
      </c>
      <c r="E1857" s="268"/>
      <c r="F1857" s="358" t="s">
        <v>5715</v>
      </c>
      <c r="G1857" s="268" t="s">
        <v>2085</v>
      </c>
      <c r="H1857" s="270">
        <v>0.007013888888888889</v>
      </c>
      <c r="I1857" s="271">
        <v>44494.61597222222</v>
      </c>
      <c r="J1857" s="268"/>
      <c r="K1857" s="271">
        <v>44494.62162037037</v>
      </c>
      <c r="L1857" s="288" t="str">
        <f t="shared" si="125"/>
        <v>12:08:08 AM</v>
      </c>
      <c r="M1857" s="278"/>
      <c r="N1857" s="290"/>
      <c r="O1857" s="276"/>
      <c r="P1857" s="276"/>
      <c r="Q1857" s="276"/>
      <c r="R1857" s="278"/>
      <c r="S1857" s="278"/>
      <c r="T1857" s="278"/>
      <c r="U1857" s="279"/>
      <c r="V1857" s="279" t="s">
        <v>1733</v>
      </c>
      <c r="W1857" s="280">
        <v>44495.0</v>
      </c>
      <c r="X1857" s="281">
        <v>0.020833333333333332</v>
      </c>
      <c r="Y1857" s="279" t="s">
        <v>1693</v>
      </c>
      <c r="Z1857" s="282" t="s">
        <v>53</v>
      </c>
      <c r="AA1857" s="282" t="s">
        <v>5715</v>
      </c>
      <c r="AB1857" s="283">
        <v>44495.0</v>
      </c>
      <c r="AC1857" s="284"/>
      <c r="AD1857" s="284"/>
    </row>
    <row r="1858" ht="14.25" customHeight="1">
      <c r="A1858" s="265">
        <v>44494.0</v>
      </c>
      <c r="B1858" s="266" t="s">
        <v>3677</v>
      </c>
      <c r="C1858" s="266"/>
      <c r="D1858" s="266" t="s">
        <v>1455</v>
      </c>
      <c r="E1858" s="268"/>
      <c r="F1858" s="358" t="s">
        <v>5716</v>
      </c>
      <c r="G1858" s="268" t="s">
        <v>2085</v>
      </c>
      <c r="H1858" s="270">
        <v>0.021863425925925925</v>
      </c>
      <c r="I1858" s="271">
        <v>44494.875</v>
      </c>
      <c r="J1858" s="268"/>
      <c r="K1858" s="271">
        <v>44494.89177083333</v>
      </c>
      <c r="L1858" s="288" t="str">
        <f t="shared" si="125"/>
        <v>12:24:09 AM</v>
      </c>
      <c r="M1858" s="278"/>
      <c r="N1858" s="290"/>
      <c r="O1858" s="276"/>
      <c r="P1858" s="276"/>
      <c r="Q1858" s="276"/>
      <c r="R1858" s="278"/>
      <c r="S1858" s="278"/>
      <c r="T1858" s="278"/>
      <c r="U1858" s="279"/>
      <c r="V1858" s="279" t="s">
        <v>1824</v>
      </c>
      <c r="W1858" s="280">
        <v>44497.0</v>
      </c>
      <c r="X1858" s="281">
        <v>0.0763888888888889</v>
      </c>
      <c r="Y1858" s="279" t="s">
        <v>1693</v>
      </c>
      <c r="Z1858" s="282" t="s">
        <v>53</v>
      </c>
      <c r="AA1858" s="282" t="s">
        <v>5717</v>
      </c>
      <c r="AB1858" s="283">
        <v>44495.0</v>
      </c>
      <c r="AC1858" s="284"/>
      <c r="AD1858" s="284"/>
    </row>
    <row r="1859" ht="14.25" customHeight="1">
      <c r="A1859" s="265">
        <v>44494.0</v>
      </c>
      <c r="B1859" s="266" t="s">
        <v>1733</v>
      </c>
      <c r="C1859" s="266"/>
      <c r="D1859" s="266" t="s">
        <v>1686</v>
      </c>
      <c r="E1859" s="268"/>
      <c r="F1859" s="358" t="s">
        <v>5718</v>
      </c>
      <c r="G1859" s="268" t="s">
        <v>2085</v>
      </c>
      <c r="H1859" s="270">
        <v>0.037523148148148146</v>
      </c>
      <c r="I1859" s="271">
        <v>44494.623611111114</v>
      </c>
      <c r="J1859" s="268"/>
      <c r="K1859" s="271">
        <v>44494.651342592595</v>
      </c>
      <c r="L1859" s="288" t="str">
        <f t="shared" si="125"/>
        <v>12:39:56 AM</v>
      </c>
      <c r="M1859" s="278"/>
      <c r="N1859" s="290"/>
      <c r="O1859" s="276"/>
      <c r="P1859" s="276"/>
      <c r="Q1859" s="276"/>
      <c r="R1859" s="278"/>
      <c r="S1859" s="278"/>
      <c r="T1859" s="278"/>
      <c r="U1859" s="279"/>
      <c r="V1859" s="279" t="s">
        <v>1733</v>
      </c>
      <c r="W1859" s="280">
        <v>44495.0</v>
      </c>
      <c r="X1859" s="281">
        <v>0.125</v>
      </c>
      <c r="Y1859" s="279" t="s">
        <v>1693</v>
      </c>
      <c r="Z1859" s="282" t="s">
        <v>53</v>
      </c>
      <c r="AA1859" s="282" t="s">
        <v>5718</v>
      </c>
      <c r="AB1859" s="283">
        <v>44495.0</v>
      </c>
      <c r="AC1859" s="284"/>
      <c r="AD1859" s="284"/>
    </row>
    <row r="1860" ht="14.25" customHeight="1">
      <c r="A1860" s="265">
        <v>44495.0</v>
      </c>
      <c r="B1860" s="266" t="s">
        <v>1500</v>
      </c>
      <c r="C1860" s="266" t="s">
        <v>2083</v>
      </c>
      <c r="D1860" s="266" t="s">
        <v>1543</v>
      </c>
      <c r="E1860" s="268"/>
      <c r="F1860" s="291" t="s">
        <v>5719</v>
      </c>
      <c r="G1860" s="268" t="s">
        <v>1463</v>
      </c>
      <c r="H1860" s="270">
        <v>0.0018055555555555557</v>
      </c>
      <c r="I1860" s="271">
        <v>44495.663194444445</v>
      </c>
      <c r="J1860" s="268"/>
      <c r="K1860" s="271">
        <v>44496.004837962966</v>
      </c>
      <c r="L1860" s="288"/>
      <c r="M1860" s="278" t="s">
        <v>5720</v>
      </c>
      <c r="N1860" s="290"/>
      <c r="O1860" s="276"/>
      <c r="P1860" s="276"/>
      <c r="Q1860" s="276"/>
      <c r="R1860" s="278"/>
      <c r="S1860" s="278"/>
      <c r="T1860" s="278"/>
      <c r="U1860" s="279"/>
      <c r="V1860" s="279" t="s">
        <v>1824</v>
      </c>
      <c r="W1860" s="280">
        <v>44501.0</v>
      </c>
      <c r="X1860" s="281">
        <v>0.003472222222222222</v>
      </c>
      <c r="Y1860" s="279" t="s">
        <v>1693</v>
      </c>
      <c r="Z1860" s="282" t="s">
        <v>53</v>
      </c>
      <c r="AA1860" s="282">
        <v>6894500.0</v>
      </c>
      <c r="AB1860" s="283">
        <v>44501.0</v>
      </c>
      <c r="AC1860" s="284"/>
      <c r="AD1860" s="284"/>
    </row>
    <row r="1861" ht="14.25" customHeight="1">
      <c r="A1861" s="265">
        <v>44495.0</v>
      </c>
      <c r="B1861" s="266" t="s">
        <v>1500</v>
      </c>
      <c r="C1861" s="266" t="s">
        <v>1686</v>
      </c>
      <c r="D1861" s="266" t="s">
        <v>1543</v>
      </c>
      <c r="E1861" s="268"/>
      <c r="F1861" s="291" t="s">
        <v>5721</v>
      </c>
      <c r="G1861" s="268" t="s">
        <v>1463</v>
      </c>
      <c r="H1861" s="270">
        <v>6.36574074074074E-4</v>
      </c>
      <c r="I1861" s="271">
        <v>44495.663194444445</v>
      </c>
      <c r="J1861" s="268"/>
      <c r="K1861" s="271">
        <v>44498.6283912037</v>
      </c>
      <c r="L1861" s="288"/>
      <c r="M1861" s="278" t="s">
        <v>5722</v>
      </c>
      <c r="N1861" s="290"/>
      <c r="O1861" s="276"/>
      <c r="P1861" s="276"/>
      <c r="Q1861" s="276"/>
      <c r="R1861" s="278"/>
      <c r="S1861" s="278"/>
      <c r="T1861" s="278"/>
      <c r="U1861" s="279"/>
      <c r="V1861" s="279" t="s">
        <v>1824</v>
      </c>
      <c r="W1861" s="280">
        <v>44501.0</v>
      </c>
      <c r="X1861" s="281">
        <v>0.003472222222222222</v>
      </c>
      <c r="Y1861" s="279" t="s">
        <v>1693</v>
      </c>
      <c r="Z1861" s="282" t="s">
        <v>53</v>
      </c>
      <c r="AA1861" s="282">
        <v>6894501.0</v>
      </c>
      <c r="AB1861" s="283">
        <v>44501.0</v>
      </c>
      <c r="AC1861" s="284"/>
      <c r="AD1861" s="284"/>
    </row>
    <row r="1862" ht="14.25" customHeight="1">
      <c r="A1862" s="265">
        <v>44495.0</v>
      </c>
      <c r="B1862" s="266" t="s">
        <v>1500</v>
      </c>
      <c r="C1862" s="266" t="s">
        <v>1455</v>
      </c>
      <c r="D1862" s="266" t="s">
        <v>1543</v>
      </c>
      <c r="E1862" s="268"/>
      <c r="F1862" s="291" t="s">
        <v>5723</v>
      </c>
      <c r="G1862" s="268" t="s">
        <v>1463</v>
      </c>
      <c r="H1862" s="270">
        <v>0.0011226851851851851</v>
      </c>
      <c r="I1862" s="271">
        <v>44498.61736111111</v>
      </c>
      <c r="J1862" s="268"/>
      <c r="K1862" s="271">
        <v>44498.62152777778</v>
      </c>
      <c r="L1862" s="288"/>
      <c r="M1862" s="278" t="s">
        <v>5724</v>
      </c>
      <c r="N1862" s="290"/>
      <c r="O1862" s="276"/>
      <c r="P1862" s="276"/>
      <c r="Q1862" s="276"/>
      <c r="R1862" s="278"/>
      <c r="S1862" s="278"/>
      <c r="T1862" s="278"/>
      <c r="U1862" s="279"/>
      <c r="V1862" s="279" t="s">
        <v>1824</v>
      </c>
      <c r="W1862" s="280">
        <v>44501.0</v>
      </c>
      <c r="X1862" s="281">
        <v>0.004166666666666667</v>
      </c>
      <c r="Y1862" s="279" t="s">
        <v>1693</v>
      </c>
      <c r="Z1862" s="282" t="s">
        <v>53</v>
      </c>
      <c r="AA1862" s="282">
        <v>6894502.0</v>
      </c>
      <c r="AB1862" s="283">
        <v>44501.0</v>
      </c>
      <c r="AC1862" s="284"/>
      <c r="AD1862" s="284"/>
    </row>
    <row r="1863" ht="14.25" customHeight="1">
      <c r="A1863" s="265">
        <v>44495.0</v>
      </c>
      <c r="B1863" s="266" t="s">
        <v>1500</v>
      </c>
      <c r="C1863" s="266" t="s">
        <v>1455</v>
      </c>
      <c r="D1863" s="266" t="s">
        <v>1543</v>
      </c>
      <c r="E1863" s="268"/>
      <c r="F1863" s="291" t="s">
        <v>5725</v>
      </c>
      <c r="G1863" s="268" t="s">
        <v>1463</v>
      </c>
      <c r="H1863" s="270">
        <v>0.0010763888888888889</v>
      </c>
      <c r="I1863" s="271">
        <v>44498.61736111111</v>
      </c>
      <c r="J1863" s="268"/>
      <c r="K1863" s="271">
        <v>44498.629745370374</v>
      </c>
      <c r="L1863" s="288"/>
      <c r="M1863" s="278" t="s">
        <v>5726</v>
      </c>
      <c r="N1863" s="290"/>
      <c r="O1863" s="276"/>
      <c r="P1863" s="276"/>
      <c r="Q1863" s="276"/>
      <c r="R1863" s="278"/>
      <c r="S1863" s="278"/>
      <c r="T1863" s="278"/>
      <c r="U1863" s="279"/>
      <c r="V1863" s="279" t="s">
        <v>1824</v>
      </c>
      <c r="W1863" s="280">
        <v>44501.0</v>
      </c>
      <c r="X1863" s="281">
        <v>0.004861111111111111</v>
      </c>
      <c r="Y1863" s="279" t="s">
        <v>1693</v>
      </c>
      <c r="Z1863" s="282" t="s">
        <v>53</v>
      </c>
      <c r="AA1863" s="282">
        <v>6894503.0</v>
      </c>
      <c r="AB1863" s="283">
        <v>44501.0</v>
      </c>
      <c r="AC1863" s="284"/>
      <c r="AD1863" s="284"/>
    </row>
    <row r="1864" ht="14.25" customHeight="1">
      <c r="A1864" s="265">
        <v>44495.0</v>
      </c>
      <c r="B1864" s="266" t="s">
        <v>1500</v>
      </c>
      <c r="C1864" s="266" t="s">
        <v>1455</v>
      </c>
      <c r="D1864" s="266" t="s">
        <v>1543</v>
      </c>
      <c r="E1864" s="268"/>
      <c r="F1864" s="291" t="s">
        <v>5727</v>
      </c>
      <c r="G1864" s="268" t="s">
        <v>1463</v>
      </c>
      <c r="H1864" s="270">
        <v>0.0014351851851851854</v>
      </c>
      <c r="I1864" s="271">
        <v>44498.61736111111</v>
      </c>
      <c r="J1864" s="268"/>
      <c r="K1864" s="271">
        <v>44498.62167824074</v>
      </c>
      <c r="L1864" s="288"/>
      <c r="M1864" s="278" t="s">
        <v>5728</v>
      </c>
      <c r="N1864" s="290"/>
      <c r="O1864" s="276"/>
      <c r="P1864" s="276"/>
      <c r="Q1864" s="276"/>
      <c r="R1864" s="278"/>
      <c r="S1864" s="278"/>
      <c r="T1864" s="278"/>
      <c r="U1864" s="279"/>
      <c r="V1864" s="279" t="s">
        <v>1824</v>
      </c>
      <c r="W1864" s="280">
        <v>44501.0</v>
      </c>
      <c r="X1864" s="281">
        <v>0.004861111111111111</v>
      </c>
      <c r="Y1864" s="279" t="s">
        <v>1693</v>
      </c>
      <c r="Z1864" s="282" t="s">
        <v>53</v>
      </c>
      <c r="AA1864" s="282">
        <v>6894504.0</v>
      </c>
      <c r="AB1864" s="283">
        <v>44501.0</v>
      </c>
      <c r="AC1864" s="284"/>
      <c r="AD1864" s="284"/>
    </row>
    <row r="1865" ht="14.25" customHeight="1">
      <c r="A1865" s="265">
        <v>44495.0</v>
      </c>
      <c r="B1865" s="266" t="s">
        <v>1824</v>
      </c>
      <c r="C1865" s="266" t="s">
        <v>3472</v>
      </c>
      <c r="D1865" s="266" t="s">
        <v>1455</v>
      </c>
      <c r="E1865" s="268"/>
      <c r="F1865" s="269" t="s">
        <v>5729</v>
      </c>
      <c r="G1865" s="268" t="s">
        <v>1463</v>
      </c>
      <c r="H1865" s="270">
        <v>0.0023958333333333336</v>
      </c>
      <c r="I1865" s="271">
        <v>44501.44027777778</v>
      </c>
      <c r="J1865" s="268"/>
      <c r="K1865" s="271">
        <v>44501.44236111111</v>
      </c>
      <c r="L1865" s="288"/>
      <c r="M1865" s="315" t="s">
        <v>5730</v>
      </c>
      <c r="N1865" s="290"/>
      <c r="O1865" s="276"/>
      <c r="P1865" s="276"/>
      <c r="Q1865" s="276"/>
      <c r="R1865" s="278"/>
      <c r="S1865" s="278"/>
      <c r="T1865" s="278"/>
      <c r="U1865" s="279"/>
      <c r="V1865" s="279" t="s">
        <v>1824</v>
      </c>
      <c r="W1865" s="280">
        <v>44501.0</v>
      </c>
      <c r="X1865" s="281">
        <v>0.001388888888888889</v>
      </c>
      <c r="Y1865" s="279" t="s">
        <v>1693</v>
      </c>
      <c r="Z1865" s="282" t="s">
        <v>53</v>
      </c>
      <c r="AA1865" s="282">
        <v>6911587.0</v>
      </c>
      <c r="AB1865" s="283">
        <v>44502.0</v>
      </c>
      <c r="AC1865" s="284"/>
      <c r="AD1865" s="284"/>
    </row>
    <row r="1866" ht="14.25" customHeight="1">
      <c r="A1866" s="265">
        <v>44495.0</v>
      </c>
      <c r="B1866" s="266" t="s">
        <v>1500</v>
      </c>
      <c r="C1866" s="266" t="s">
        <v>1450</v>
      </c>
      <c r="D1866" s="266" t="s">
        <v>1543</v>
      </c>
      <c r="E1866" s="268"/>
      <c r="F1866" s="291" t="s">
        <v>5731</v>
      </c>
      <c r="G1866" s="268" t="s">
        <v>1463</v>
      </c>
      <c r="H1866" s="270">
        <v>0.002488425925925926</v>
      </c>
      <c r="I1866" s="271">
        <v>44505.493055555555</v>
      </c>
      <c r="J1866" s="268"/>
      <c r="K1866" s="271">
        <v>44509.13364583333</v>
      </c>
      <c r="L1866" s="288"/>
      <c r="M1866" s="278" t="s">
        <v>5732</v>
      </c>
      <c r="N1866" s="290"/>
      <c r="O1866" s="276"/>
      <c r="P1866" s="276"/>
      <c r="Q1866" s="276"/>
      <c r="R1866" s="278"/>
      <c r="S1866" s="278"/>
      <c r="T1866" s="278"/>
      <c r="U1866" s="279"/>
      <c r="V1866" s="279" t="s">
        <v>1824</v>
      </c>
      <c r="W1866" s="280">
        <v>44518.0</v>
      </c>
      <c r="X1866" s="281">
        <v>0.006944444444444444</v>
      </c>
      <c r="Y1866" s="279" t="s">
        <v>1693</v>
      </c>
      <c r="Z1866" s="282" t="s">
        <v>53</v>
      </c>
      <c r="AA1866" s="282">
        <v>7053763.0</v>
      </c>
      <c r="AB1866" s="283">
        <v>44510.0</v>
      </c>
      <c r="AC1866" s="284"/>
      <c r="AD1866" s="284"/>
    </row>
    <row r="1867" ht="14.25" customHeight="1">
      <c r="A1867" s="265">
        <v>44495.0</v>
      </c>
      <c r="B1867" s="266" t="s">
        <v>1733</v>
      </c>
      <c r="C1867" s="266" t="s">
        <v>1831</v>
      </c>
      <c r="D1867" s="266" t="s">
        <v>1686</v>
      </c>
      <c r="E1867" s="268"/>
      <c r="F1867" s="286" t="s">
        <v>5733</v>
      </c>
      <c r="G1867" s="268" t="s">
        <v>3742</v>
      </c>
      <c r="H1867" s="270"/>
      <c r="I1867" s="271"/>
      <c r="J1867" s="268"/>
      <c r="K1867" s="271"/>
      <c r="L1867" s="288"/>
      <c r="M1867" s="278" t="s">
        <v>3915</v>
      </c>
      <c r="N1867" s="290"/>
      <c r="O1867" s="276"/>
      <c r="P1867" s="276"/>
      <c r="Q1867" s="276"/>
      <c r="R1867" s="278"/>
      <c r="S1867" s="278"/>
      <c r="T1867" s="278" t="s">
        <v>3915</v>
      </c>
      <c r="U1867" s="279" t="s">
        <v>28</v>
      </c>
      <c r="V1867" s="279" t="s">
        <v>28</v>
      </c>
      <c r="W1867" s="279" t="s">
        <v>28</v>
      </c>
      <c r="X1867" s="279" t="s">
        <v>28</v>
      </c>
      <c r="Y1867" s="279" t="s">
        <v>28</v>
      </c>
      <c r="Z1867" s="282" t="s">
        <v>28</v>
      </c>
      <c r="AA1867" s="282" t="s">
        <v>28</v>
      </c>
      <c r="AB1867" s="282" t="s">
        <v>28</v>
      </c>
      <c r="AC1867" s="284"/>
      <c r="AD1867" s="284"/>
    </row>
    <row r="1868" ht="14.25" customHeight="1">
      <c r="A1868" s="265">
        <v>44495.0</v>
      </c>
      <c r="B1868" s="266" t="s">
        <v>2030</v>
      </c>
      <c r="C1868" s="266"/>
      <c r="D1868" s="266" t="s">
        <v>1450</v>
      </c>
      <c r="E1868" s="268"/>
      <c r="F1868" s="358" t="s">
        <v>5734</v>
      </c>
      <c r="G1868" s="268" t="s">
        <v>2085</v>
      </c>
      <c r="H1868" s="270">
        <v>0.09699074074074075</v>
      </c>
      <c r="I1868" s="271">
        <v>44495.5625</v>
      </c>
      <c r="J1868" s="268"/>
      <c r="K1868" s="271">
        <v>44495.63402777778</v>
      </c>
      <c r="L1868" s="288" t="str">
        <f t="shared" ref="L1868:L1871" si="126">IFERROR(IF(OR(I1868="",K1868=""),"",K1868-I1868),"")</f>
        <v>1:43:00 AM</v>
      </c>
      <c r="M1868" s="278"/>
      <c r="N1868" s="290"/>
      <c r="O1868" s="276"/>
      <c r="P1868" s="276"/>
      <c r="Q1868" s="276"/>
      <c r="R1868" s="278"/>
      <c r="S1868" s="278"/>
      <c r="T1868" s="278"/>
      <c r="U1868" s="279"/>
      <c r="V1868" s="279" t="s">
        <v>2030</v>
      </c>
      <c r="W1868" s="280">
        <v>44496.0</v>
      </c>
      <c r="X1868" s="281">
        <v>0.22916666666666666</v>
      </c>
      <c r="Y1868" s="279" t="s">
        <v>1693</v>
      </c>
      <c r="Z1868" s="282" t="s">
        <v>53</v>
      </c>
      <c r="AA1868" s="282" t="s">
        <v>5735</v>
      </c>
      <c r="AB1868" s="283">
        <v>44496.0</v>
      </c>
      <c r="AC1868" s="284"/>
      <c r="AD1868" s="284"/>
    </row>
    <row r="1869" ht="14.25" customHeight="1">
      <c r="A1869" s="265">
        <v>44495.0</v>
      </c>
      <c r="B1869" s="266" t="s">
        <v>1733</v>
      </c>
      <c r="C1869" s="266"/>
      <c r="D1869" s="266" t="s">
        <v>1452</v>
      </c>
      <c r="E1869" s="268"/>
      <c r="F1869" s="358" t="s">
        <v>5736</v>
      </c>
      <c r="G1869" s="268" t="s">
        <v>2085</v>
      </c>
      <c r="H1869" s="270">
        <v>0.005601851851851852</v>
      </c>
      <c r="I1869" s="271">
        <v>44495.563888888886</v>
      </c>
      <c r="J1869" s="268"/>
      <c r="K1869" s="271">
        <v>44495.57083333333</v>
      </c>
      <c r="L1869" s="288" t="str">
        <f t="shared" si="126"/>
        <v>12:10:00 AM</v>
      </c>
      <c r="M1869" s="278"/>
      <c r="N1869" s="290"/>
      <c r="O1869" s="276"/>
      <c r="P1869" s="276"/>
      <c r="Q1869" s="276"/>
      <c r="R1869" s="278"/>
      <c r="S1869" s="278"/>
      <c r="T1869" s="278"/>
      <c r="U1869" s="279"/>
      <c r="V1869" s="279" t="s">
        <v>1733</v>
      </c>
      <c r="W1869" s="280">
        <v>44495.0</v>
      </c>
      <c r="X1869" s="281">
        <v>0.020833333333333332</v>
      </c>
      <c r="Y1869" s="279" t="s">
        <v>1693</v>
      </c>
      <c r="Z1869" s="282" t="s">
        <v>53</v>
      </c>
      <c r="AA1869" s="282" t="s">
        <v>5736</v>
      </c>
      <c r="AB1869" s="283">
        <v>44496.0</v>
      </c>
      <c r="AC1869" s="284"/>
      <c r="AD1869" s="284"/>
    </row>
    <row r="1870" ht="14.25" customHeight="1">
      <c r="A1870" s="265">
        <v>44495.0</v>
      </c>
      <c r="B1870" s="266" t="s">
        <v>3677</v>
      </c>
      <c r="C1870" s="266"/>
      <c r="D1870" s="266" t="s">
        <v>1455</v>
      </c>
      <c r="E1870" s="268"/>
      <c r="F1870" s="358" t="s">
        <v>5737</v>
      </c>
      <c r="G1870" s="268" t="s">
        <v>2155</v>
      </c>
      <c r="H1870" s="270">
        <v>0.020925925925925928</v>
      </c>
      <c r="I1870" s="271">
        <v>44495.944444444445</v>
      </c>
      <c r="J1870" s="268"/>
      <c r="K1870" s="271">
        <v>44495.95972222222</v>
      </c>
      <c r="L1870" s="288" t="str">
        <f t="shared" si="126"/>
        <v>12:22:00 AM</v>
      </c>
      <c r="M1870" s="278"/>
      <c r="N1870" s="290"/>
      <c r="O1870" s="276"/>
      <c r="P1870" s="276"/>
      <c r="Q1870" s="276"/>
      <c r="R1870" s="278"/>
      <c r="S1870" s="278"/>
      <c r="T1870" s="278"/>
      <c r="U1870" s="279"/>
      <c r="V1870" s="279" t="s">
        <v>1824</v>
      </c>
      <c r="W1870" s="280">
        <v>44497.0</v>
      </c>
      <c r="X1870" s="281">
        <v>0.06944444444444443</v>
      </c>
      <c r="Y1870" s="279" t="s">
        <v>1693</v>
      </c>
      <c r="Z1870" s="282" t="s">
        <v>53</v>
      </c>
      <c r="AA1870" s="282" t="s">
        <v>5738</v>
      </c>
      <c r="AB1870" s="283">
        <v>44496.0</v>
      </c>
      <c r="AC1870" s="284"/>
      <c r="AD1870" s="284"/>
    </row>
    <row r="1871" ht="14.25" customHeight="1">
      <c r="A1871" s="265">
        <v>44495.0</v>
      </c>
      <c r="B1871" s="266" t="s">
        <v>1733</v>
      </c>
      <c r="C1871" s="266"/>
      <c r="D1871" s="266" t="s">
        <v>1686</v>
      </c>
      <c r="E1871" s="268"/>
      <c r="F1871" s="358" t="s">
        <v>5739</v>
      </c>
      <c r="G1871" s="268" t="s">
        <v>2085</v>
      </c>
      <c r="H1871" s="270">
        <v>0.03613425925925926</v>
      </c>
      <c r="I1871" s="271">
        <v>44495.57013888889</v>
      </c>
      <c r="J1871" s="268"/>
      <c r="K1871" s="271">
        <v>44495.59804398148</v>
      </c>
      <c r="L1871" s="288" t="str">
        <f t="shared" si="126"/>
        <v>12:40:11 AM</v>
      </c>
      <c r="M1871" s="278"/>
      <c r="N1871" s="290"/>
      <c r="O1871" s="276"/>
      <c r="P1871" s="276"/>
      <c r="Q1871" s="276"/>
      <c r="R1871" s="278"/>
      <c r="S1871" s="278"/>
      <c r="T1871" s="278"/>
      <c r="U1871" s="279"/>
      <c r="V1871" s="279" t="s">
        <v>1733</v>
      </c>
      <c r="W1871" s="280">
        <v>44496.0</v>
      </c>
      <c r="X1871" s="281">
        <v>0.1388888888888889</v>
      </c>
      <c r="Y1871" s="279" t="s">
        <v>1693</v>
      </c>
      <c r="Z1871" s="282" t="s">
        <v>53</v>
      </c>
      <c r="AA1871" s="282" t="s">
        <v>5739</v>
      </c>
      <c r="AB1871" s="283">
        <v>44496.0</v>
      </c>
      <c r="AC1871" s="284"/>
      <c r="AD1871" s="284"/>
    </row>
    <row r="1872" ht="14.25" customHeight="1">
      <c r="A1872" s="265">
        <v>44496.0</v>
      </c>
      <c r="B1872" s="266" t="s">
        <v>1500</v>
      </c>
      <c r="C1872" s="266" t="s">
        <v>2083</v>
      </c>
      <c r="D1872" s="266" t="s">
        <v>1543</v>
      </c>
      <c r="E1872" s="268"/>
      <c r="F1872" s="269" t="s">
        <v>5740</v>
      </c>
      <c r="G1872" s="268" t="s">
        <v>1463</v>
      </c>
      <c r="H1872" s="270">
        <v>0.0020717592592592593</v>
      </c>
      <c r="I1872" s="271">
        <v>44501.63055555556</v>
      </c>
      <c r="J1872" s="268"/>
      <c r="K1872" s="271">
        <v>44509.113645833335</v>
      </c>
      <c r="L1872" s="288"/>
      <c r="M1872" s="272" t="s">
        <v>5741</v>
      </c>
      <c r="N1872" s="273"/>
      <c r="O1872" s="276"/>
      <c r="P1872" s="276"/>
      <c r="Q1872" s="276"/>
      <c r="R1872" s="277"/>
      <c r="S1872" s="278"/>
      <c r="T1872" s="307"/>
      <c r="U1872" s="279"/>
      <c r="V1872" s="279" t="s">
        <v>1824</v>
      </c>
      <c r="W1872" s="280">
        <v>44518.0</v>
      </c>
      <c r="X1872" s="281">
        <v>0.004861111111111111</v>
      </c>
      <c r="Y1872" s="279" t="s">
        <v>1693</v>
      </c>
      <c r="Z1872" s="282" t="s">
        <v>53</v>
      </c>
      <c r="AA1872" s="282">
        <v>7053764.0</v>
      </c>
      <c r="AB1872" s="283">
        <v>44510.0</v>
      </c>
      <c r="AC1872" s="284"/>
      <c r="AD1872" s="284"/>
    </row>
    <row r="1873" ht="14.25" customHeight="1">
      <c r="A1873" s="265">
        <v>44496.0</v>
      </c>
      <c r="B1873" s="266" t="s">
        <v>1824</v>
      </c>
      <c r="C1873" s="266" t="s">
        <v>3472</v>
      </c>
      <c r="D1873" s="266" t="s">
        <v>1455</v>
      </c>
      <c r="E1873" s="268"/>
      <c r="F1873" s="286" t="s">
        <v>5742</v>
      </c>
      <c r="G1873" s="323" t="s">
        <v>3742</v>
      </c>
      <c r="H1873" s="270"/>
      <c r="I1873" s="271"/>
      <c r="J1873" s="268"/>
      <c r="K1873" s="268"/>
      <c r="L1873" s="288"/>
      <c r="M1873" s="307" t="s">
        <v>3915</v>
      </c>
      <c r="N1873" s="273"/>
      <c r="O1873" s="276"/>
      <c r="P1873" s="276"/>
      <c r="Q1873" s="276"/>
      <c r="R1873" s="277"/>
      <c r="S1873" s="278"/>
      <c r="T1873" s="307" t="s">
        <v>3915</v>
      </c>
      <c r="U1873" s="279"/>
      <c r="V1873" s="279" t="s">
        <v>28</v>
      </c>
      <c r="W1873" s="280" t="s">
        <v>28</v>
      </c>
      <c r="X1873" s="281" t="s">
        <v>28</v>
      </c>
      <c r="Y1873" s="279" t="s">
        <v>28</v>
      </c>
      <c r="Z1873" s="282" t="s">
        <v>28</v>
      </c>
      <c r="AA1873" s="282" t="s">
        <v>28</v>
      </c>
      <c r="AB1873" s="283" t="s">
        <v>28</v>
      </c>
      <c r="AC1873" s="284"/>
      <c r="AD1873" s="284"/>
    </row>
    <row r="1874" ht="14.25" customHeight="1">
      <c r="A1874" s="265">
        <v>44496.0</v>
      </c>
      <c r="B1874" s="266" t="s">
        <v>2030</v>
      </c>
      <c r="C1874" s="266"/>
      <c r="D1874" s="266" t="s">
        <v>1450</v>
      </c>
      <c r="E1874" s="268"/>
      <c r="F1874" s="291" t="s">
        <v>5743</v>
      </c>
      <c r="G1874" s="268" t="s">
        <v>2085</v>
      </c>
      <c r="H1874" s="270">
        <v>0.09712962962962964</v>
      </c>
      <c r="I1874" s="271">
        <v>44496.48888888889</v>
      </c>
      <c r="J1874" s="268"/>
      <c r="K1874" s="271">
        <v>44496.58541666667</v>
      </c>
      <c r="L1874" s="288" t="str">
        <f t="shared" ref="L1874:L1877" si="127">IFERROR(IF(OR(I1874="",K1874=""),"",K1874-I1874),"")</f>
        <v>2:19:00 AM</v>
      </c>
      <c r="M1874" s="278"/>
      <c r="N1874" s="290"/>
      <c r="O1874" s="276"/>
      <c r="P1874" s="276"/>
      <c r="Q1874" s="276"/>
      <c r="R1874" s="278"/>
      <c r="S1874" s="278"/>
      <c r="T1874" s="278"/>
      <c r="U1874" s="279" t="s">
        <v>2030</v>
      </c>
      <c r="V1874" s="279" t="s">
        <v>2030</v>
      </c>
      <c r="W1874" s="280">
        <v>44497.0</v>
      </c>
      <c r="X1874" s="279"/>
      <c r="Y1874" s="279" t="s">
        <v>1693</v>
      </c>
      <c r="Z1874" s="282" t="s">
        <v>53</v>
      </c>
      <c r="AA1874" s="282" t="s">
        <v>5744</v>
      </c>
      <c r="AB1874" s="283">
        <v>44497.0</v>
      </c>
      <c r="AC1874" s="284"/>
      <c r="AD1874" s="284"/>
    </row>
    <row r="1875" ht="14.25" customHeight="1">
      <c r="A1875" s="265">
        <v>44496.0</v>
      </c>
      <c r="B1875" s="266" t="s">
        <v>1733</v>
      </c>
      <c r="C1875" s="266"/>
      <c r="D1875" s="266" t="s">
        <v>1452</v>
      </c>
      <c r="E1875" s="268"/>
      <c r="F1875" s="358" t="s">
        <v>5745</v>
      </c>
      <c r="G1875" s="268" t="s">
        <v>2085</v>
      </c>
      <c r="H1875" s="270">
        <v>0.0018981481481481482</v>
      </c>
      <c r="I1875" s="271">
        <v>44496.58263888889</v>
      </c>
      <c r="J1875" s="268"/>
      <c r="K1875" s="271">
        <v>44496.589270833334</v>
      </c>
      <c r="L1875" s="288" t="str">
        <f t="shared" si="127"/>
        <v>12:09:33 AM</v>
      </c>
      <c r="M1875" s="278"/>
      <c r="N1875" s="290"/>
      <c r="O1875" s="276"/>
      <c r="P1875" s="276"/>
      <c r="Q1875" s="276"/>
      <c r="R1875" s="278"/>
      <c r="S1875" s="278"/>
      <c r="T1875" s="278"/>
      <c r="U1875" s="279"/>
      <c r="V1875" s="279" t="s">
        <v>1733</v>
      </c>
      <c r="W1875" s="280">
        <v>44496.0</v>
      </c>
      <c r="X1875" s="281">
        <v>0.006944444444444444</v>
      </c>
      <c r="Y1875" s="279" t="s">
        <v>1693</v>
      </c>
      <c r="Z1875" s="282" t="s">
        <v>53</v>
      </c>
      <c r="AA1875" s="282" t="s">
        <v>5745</v>
      </c>
      <c r="AB1875" s="283">
        <v>44497.0</v>
      </c>
      <c r="AC1875" s="284"/>
      <c r="AD1875" s="284"/>
    </row>
    <row r="1876" ht="14.25" customHeight="1">
      <c r="A1876" s="265">
        <v>44496.0</v>
      </c>
      <c r="B1876" s="266" t="s">
        <v>1733</v>
      </c>
      <c r="C1876" s="266"/>
      <c r="D1876" s="266" t="s">
        <v>1455</v>
      </c>
      <c r="E1876" s="268"/>
      <c r="F1876" s="358" t="s">
        <v>5746</v>
      </c>
      <c r="G1876" s="268" t="s">
        <v>2085</v>
      </c>
      <c r="H1876" s="270">
        <v>0.020069444444444442</v>
      </c>
      <c r="I1876" s="271">
        <v>44496.86111111111</v>
      </c>
      <c r="J1876" s="268"/>
      <c r="K1876" s="268"/>
      <c r="L1876" s="288" t="str">
        <f t="shared" si="127"/>
        <v/>
      </c>
      <c r="M1876" s="307" t="s">
        <v>3482</v>
      </c>
      <c r="N1876" s="273">
        <v>44497.34583333333</v>
      </c>
      <c r="O1876" s="276" t="s">
        <v>5747</v>
      </c>
      <c r="P1876" s="276" t="s">
        <v>1463</v>
      </c>
      <c r="Q1876" s="276" t="s">
        <v>1819</v>
      </c>
      <c r="R1876" s="277">
        <v>44497.359988425924</v>
      </c>
      <c r="S1876" s="278"/>
      <c r="T1876" s="278" t="s">
        <v>5748</v>
      </c>
      <c r="U1876" s="279"/>
      <c r="V1876" s="279" t="s">
        <v>1824</v>
      </c>
      <c r="W1876" s="280">
        <v>44498.0</v>
      </c>
      <c r="X1876" s="281">
        <v>0.08333333333333333</v>
      </c>
      <c r="Y1876" s="279" t="s">
        <v>1693</v>
      </c>
      <c r="Z1876" s="282" t="s">
        <v>53</v>
      </c>
      <c r="AA1876" s="282" t="s">
        <v>5749</v>
      </c>
      <c r="AB1876" s="283">
        <v>44498.0</v>
      </c>
      <c r="AC1876" s="284"/>
      <c r="AD1876" s="284"/>
    </row>
    <row r="1877" ht="14.25" customHeight="1">
      <c r="A1877" s="265">
        <v>44496.0</v>
      </c>
      <c r="B1877" s="266" t="s">
        <v>1733</v>
      </c>
      <c r="C1877" s="266"/>
      <c r="D1877" s="266" t="s">
        <v>1686</v>
      </c>
      <c r="E1877" s="268"/>
      <c r="F1877" s="358" t="s">
        <v>5750</v>
      </c>
      <c r="G1877" s="268" t="s">
        <v>2085</v>
      </c>
      <c r="H1877" s="270">
        <v>0.03747685185185185</v>
      </c>
      <c r="I1877" s="271">
        <v>44496.62013888889</v>
      </c>
      <c r="J1877" s="268"/>
      <c r="K1877" s="271">
        <v>44496.64517361111</v>
      </c>
      <c r="L1877" s="288" t="str">
        <f t="shared" si="127"/>
        <v>12:36:03 AM</v>
      </c>
      <c r="M1877" s="278"/>
      <c r="N1877" s="290"/>
      <c r="O1877" s="276"/>
      <c r="P1877" s="276"/>
      <c r="Q1877" s="276"/>
      <c r="R1877" s="278"/>
      <c r="S1877" s="278"/>
      <c r="T1877" s="278"/>
      <c r="U1877" s="279"/>
      <c r="V1877" s="279" t="s">
        <v>1733</v>
      </c>
      <c r="W1877" s="280">
        <v>44497.0</v>
      </c>
      <c r="X1877" s="281">
        <v>0.15277777777777776</v>
      </c>
      <c r="Y1877" s="279" t="s">
        <v>1693</v>
      </c>
      <c r="Z1877" s="282" t="s">
        <v>53</v>
      </c>
      <c r="AA1877" s="282" t="s">
        <v>5750</v>
      </c>
      <c r="AB1877" s="283">
        <v>44497.0</v>
      </c>
      <c r="AC1877" s="284"/>
      <c r="AD1877" s="284"/>
    </row>
    <row r="1878" ht="14.25" customHeight="1">
      <c r="A1878" s="265">
        <v>44497.0</v>
      </c>
      <c r="B1878" s="266" t="s">
        <v>1738</v>
      </c>
      <c r="C1878" s="266" t="s">
        <v>2158</v>
      </c>
      <c r="D1878" s="266" t="s">
        <v>1450</v>
      </c>
      <c r="E1878" s="268"/>
      <c r="F1878" s="269" t="s">
        <v>5751</v>
      </c>
      <c r="G1878" s="268" t="s">
        <v>1463</v>
      </c>
      <c r="H1878" s="270">
        <v>0.0016087962962962963</v>
      </c>
      <c r="I1878" s="271">
        <v>44501.427083333336</v>
      </c>
      <c r="J1878" s="268"/>
      <c r="K1878" s="271">
        <v>44501.43819444445</v>
      </c>
      <c r="L1878" s="288"/>
      <c r="M1878" s="278" t="s">
        <v>5752</v>
      </c>
      <c r="N1878" s="290"/>
      <c r="O1878" s="276"/>
      <c r="P1878" s="276"/>
      <c r="Q1878" s="276"/>
      <c r="R1878" s="278"/>
      <c r="S1878" s="278"/>
      <c r="T1878" s="278"/>
      <c r="U1878" s="279"/>
      <c r="V1878" s="279" t="s">
        <v>1738</v>
      </c>
      <c r="W1878" s="280">
        <v>44503.0</v>
      </c>
      <c r="X1878" s="281">
        <v>0.006944444444444444</v>
      </c>
      <c r="Y1878" s="279" t="s">
        <v>1693</v>
      </c>
      <c r="Z1878" s="282" t="s">
        <v>53</v>
      </c>
      <c r="AA1878" s="293">
        <v>6911588.0</v>
      </c>
      <c r="AB1878" s="283">
        <v>44502.0</v>
      </c>
      <c r="AC1878" s="284"/>
      <c r="AD1878" s="284"/>
    </row>
    <row r="1879" ht="14.25" customHeight="1">
      <c r="A1879" s="265">
        <v>44497.0</v>
      </c>
      <c r="B1879" s="266" t="s">
        <v>1824</v>
      </c>
      <c r="C1879" s="266" t="s">
        <v>3472</v>
      </c>
      <c r="D1879" s="266" t="s">
        <v>1455</v>
      </c>
      <c r="E1879" s="268"/>
      <c r="F1879" s="269" t="s">
        <v>5753</v>
      </c>
      <c r="G1879" s="268" t="s">
        <v>1463</v>
      </c>
      <c r="H1879" s="270">
        <v>0.0021296296296296298</v>
      </c>
      <c r="I1879" s="271">
        <v>44501.44513888889</v>
      </c>
      <c r="J1879" s="268"/>
      <c r="K1879" s="271">
        <v>44501.447916666664</v>
      </c>
      <c r="L1879" s="288"/>
      <c r="M1879" s="278" t="s">
        <v>5754</v>
      </c>
      <c r="N1879" s="290"/>
      <c r="O1879" s="276"/>
      <c r="P1879" s="276"/>
      <c r="Q1879" s="276"/>
      <c r="R1879" s="278"/>
      <c r="S1879" s="278"/>
      <c r="T1879" s="278"/>
      <c r="U1879" s="279"/>
      <c r="V1879" s="279" t="s">
        <v>1824</v>
      </c>
      <c r="W1879" s="280">
        <v>44501.0</v>
      </c>
      <c r="X1879" s="281">
        <v>0.0020833333333333333</v>
      </c>
      <c r="Y1879" s="279" t="s">
        <v>1693</v>
      </c>
      <c r="Z1879" s="282" t="s">
        <v>53</v>
      </c>
      <c r="AA1879" s="282">
        <v>6911589.0</v>
      </c>
      <c r="AB1879" s="283">
        <v>44502.0</v>
      </c>
      <c r="AC1879" s="284"/>
      <c r="AD1879" s="284"/>
    </row>
    <row r="1880" ht="14.25" customHeight="1">
      <c r="A1880" s="265">
        <v>44497.0</v>
      </c>
      <c r="B1880" s="266" t="s">
        <v>1500</v>
      </c>
      <c r="C1880" s="266" t="s">
        <v>1696</v>
      </c>
      <c r="D1880" s="266" t="s">
        <v>1543</v>
      </c>
      <c r="E1880" s="268"/>
      <c r="F1880" s="269" t="s">
        <v>5755</v>
      </c>
      <c r="G1880" s="268" t="s">
        <v>1463</v>
      </c>
      <c r="H1880" s="270">
        <v>0.0027546296296296294</v>
      </c>
      <c r="I1880" s="271">
        <v>44501.63055555556</v>
      </c>
      <c r="J1880" s="268"/>
      <c r="K1880" s="271">
        <v>44501.97096064815</v>
      </c>
      <c r="L1880" s="288"/>
      <c r="M1880" s="278" t="s">
        <v>5756</v>
      </c>
      <c r="N1880" s="290"/>
      <c r="O1880" s="276"/>
      <c r="P1880" s="276"/>
      <c r="Q1880" s="276"/>
      <c r="R1880" s="278"/>
      <c r="S1880" s="278"/>
      <c r="T1880" s="278"/>
      <c r="U1880" s="279"/>
      <c r="V1880" s="279" t="s">
        <v>1824</v>
      </c>
      <c r="W1880" s="280">
        <v>44508.0</v>
      </c>
      <c r="X1880" s="281">
        <v>0.003472222222222222</v>
      </c>
      <c r="Y1880" s="279" t="s">
        <v>1693</v>
      </c>
      <c r="Z1880" s="282" t="s">
        <v>53</v>
      </c>
      <c r="AA1880" s="282">
        <v>6934448.0</v>
      </c>
      <c r="AB1880" s="283">
        <v>44504.0</v>
      </c>
      <c r="AC1880" s="284"/>
      <c r="AD1880" s="284"/>
    </row>
    <row r="1881" ht="14.25" customHeight="1">
      <c r="A1881" s="265">
        <v>44497.0</v>
      </c>
      <c r="B1881" s="266" t="s">
        <v>1733</v>
      </c>
      <c r="C1881" s="266" t="s">
        <v>1831</v>
      </c>
      <c r="D1881" s="266" t="s">
        <v>1686</v>
      </c>
      <c r="E1881" s="268"/>
      <c r="F1881" s="286" t="s">
        <v>5757</v>
      </c>
      <c r="G1881" s="268" t="s">
        <v>3742</v>
      </c>
      <c r="H1881" s="270"/>
      <c r="I1881" s="271"/>
      <c r="J1881" s="268"/>
      <c r="K1881" s="271"/>
      <c r="L1881" s="288"/>
      <c r="M1881" s="272" t="s">
        <v>3915</v>
      </c>
      <c r="N1881" s="273"/>
      <c r="O1881" s="276"/>
      <c r="P1881" s="276"/>
      <c r="Q1881" s="276"/>
      <c r="R1881" s="277"/>
      <c r="S1881" s="278"/>
      <c r="T1881" s="278" t="s">
        <v>3915</v>
      </c>
      <c r="U1881" s="279" t="s">
        <v>28</v>
      </c>
      <c r="V1881" s="279" t="s">
        <v>28</v>
      </c>
      <c r="W1881" s="280" t="s">
        <v>28</v>
      </c>
      <c r="X1881" s="279" t="s">
        <v>28</v>
      </c>
      <c r="Y1881" s="279" t="s">
        <v>28</v>
      </c>
      <c r="Z1881" s="282" t="s">
        <v>28</v>
      </c>
      <c r="AA1881" s="282" t="s">
        <v>28</v>
      </c>
      <c r="AB1881" s="282" t="s">
        <v>28</v>
      </c>
      <c r="AC1881" s="284"/>
      <c r="AD1881" s="284"/>
    </row>
    <row r="1882" ht="14.25" customHeight="1">
      <c r="A1882" s="265">
        <v>44497.0</v>
      </c>
      <c r="B1882" s="266" t="s">
        <v>2030</v>
      </c>
      <c r="C1882" s="266"/>
      <c r="D1882" s="266" t="s">
        <v>1450</v>
      </c>
      <c r="E1882" s="268"/>
      <c r="F1882" s="358" t="s">
        <v>5758</v>
      </c>
      <c r="G1882" s="268" t="s">
        <v>2085</v>
      </c>
      <c r="H1882" s="268"/>
      <c r="I1882" s="271">
        <v>44497.48263888889</v>
      </c>
      <c r="J1882" s="268"/>
      <c r="K1882" s="268"/>
      <c r="L1882" s="288" t="str">
        <f t="shared" ref="L1882:L1885" si="128">IFERROR(IF(OR(I1882="",K1882=""),"",K1882-I1882),"")</f>
        <v/>
      </c>
      <c r="M1882" s="278"/>
      <c r="N1882" s="290"/>
      <c r="O1882" s="276"/>
      <c r="P1882" s="276"/>
      <c r="Q1882" s="276"/>
      <c r="R1882" s="278"/>
      <c r="S1882" s="278"/>
      <c r="T1882" s="278"/>
      <c r="U1882" s="279"/>
      <c r="V1882" s="279" t="s">
        <v>5759</v>
      </c>
      <c r="W1882" s="280">
        <v>44501.0</v>
      </c>
      <c r="X1882" s="281">
        <v>0.25</v>
      </c>
      <c r="Y1882" s="279" t="s">
        <v>1693</v>
      </c>
      <c r="Z1882" s="282" t="s">
        <v>53</v>
      </c>
      <c r="AA1882" s="293" t="s">
        <v>5758</v>
      </c>
      <c r="AB1882" s="283">
        <v>44498.0</v>
      </c>
      <c r="AC1882" s="284"/>
      <c r="AD1882" s="284"/>
    </row>
    <row r="1883" ht="14.25" customHeight="1">
      <c r="A1883" s="265">
        <v>44497.0</v>
      </c>
      <c r="B1883" s="266" t="s">
        <v>1733</v>
      </c>
      <c r="C1883" s="266"/>
      <c r="D1883" s="266" t="s">
        <v>1452</v>
      </c>
      <c r="E1883" s="268"/>
      <c r="F1883" s="358" t="s">
        <v>5760</v>
      </c>
      <c r="G1883" s="268" t="s">
        <v>2085</v>
      </c>
      <c r="H1883" s="270">
        <v>0.0042824074074074075</v>
      </c>
      <c r="I1883" s="271">
        <v>44497.569444444445</v>
      </c>
      <c r="J1883" s="268"/>
      <c r="K1883" s="271">
        <v>44497.59064814815</v>
      </c>
      <c r="L1883" s="288" t="str">
        <f t="shared" si="128"/>
        <v>12:30:32 AM</v>
      </c>
      <c r="M1883" s="278"/>
      <c r="N1883" s="290"/>
      <c r="O1883" s="276"/>
      <c r="P1883" s="276"/>
      <c r="Q1883" s="276"/>
      <c r="R1883" s="278"/>
      <c r="S1883" s="278"/>
      <c r="T1883" s="278"/>
      <c r="U1883" s="279"/>
      <c r="V1883" s="279" t="s">
        <v>1733</v>
      </c>
      <c r="W1883" s="280">
        <v>44497.0</v>
      </c>
      <c r="X1883" s="281">
        <v>0.013888888888888888</v>
      </c>
      <c r="Y1883" s="279" t="s">
        <v>1693</v>
      </c>
      <c r="Z1883" s="282" t="s">
        <v>53</v>
      </c>
      <c r="AA1883" s="293" t="s">
        <v>5761</v>
      </c>
      <c r="AB1883" s="283">
        <v>44498.0</v>
      </c>
      <c r="AC1883" s="284"/>
      <c r="AD1883" s="284"/>
    </row>
    <row r="1884" ht="14.25" customHeight="1">
      <c r="A1884" s="265">
        <v>44497.0</v>
      </c>
      <c r="B1884" s="266" t="s">
        <v>1733</v>
      </c>
      <c r="C1884" s="266"/>
      <c r="D1884" s="266" t="s">
        <v>1455</v>
      </c>
      <c r="E1884" s="268"/>
      <c r="F1884" s="358" t="s">
        <v>5762</v>
      </c>
      <c r="G1884" s="268" t="s">
        <v>2085</v>
      </c>
      <c r="H1884" s="270">
        <v>0.02136574074074074</v>
      </c>
      <c r="I1884" s="271">
        <v>44497.925</v>
      </c>
      <c r="J1884" s="268"/>
      <c r="K1884" s="271">
        <v>44497.95276620371</v>
      </c>
      <c r="L1884" s="288" t="str">
        <f t="shared" si="128"/>
        <v>12:39:59 AM</v>
      </c>
      <c r="M1884" s="278"/>
      <c r="N1884" s="290"/>
      <c r="O1884" s="276"/>
      <c r="P1884" s="276"/>
      <c r="Q1884" s="276"/>
      <c r="R1884" s="278"/>
      <c r="S1884" s="278"/>
      <c r="T1884" s="278"/>
      <c r="U1884" s="279"/>
      <c r="V1884" s="279" t="s">
        <v>1824</v>
      </c>
      <c r="W1884" s="280">
        <v>44498.0</v>
      </c>
      <c r="X1884" s="281">
        <v>0.08333333333333333</v>
      </c>
      <c r="Y1884" s="279" t="s">
        <v>1693</v>
      </c>
      <c r="Z1884" s="282" t="s">
        <v>53</v>
      </c>
      <c r="AA1884" s="282" t="s">
        <v>5763</v>
      </c>
      <c r="AB1884" s="283">
        <v>44498.0</v>
      </c>
      <c r="AC1884" s="284"/>
      <c r="AD1884" s="284"/>
    </row>
    <row r="1885" ht="14.25" customHeight="1">
      <c r="A1885" s="265">
        <v>44497.0</v>
      </c>
      <c r="B1885" s="266" t="s">
        <v>1733</v>
      </c>
      <c r="C1885" s="266"/>
      <c r="D1885" s="266" t="s">
        <v>1686</v>
      </c>
      <c r="E1885" s="268"/>
      <c r="F1885" s="358" t="s">
        <v>5764</v>
      </c>
      <c r="G1885" s="268" t="s">
        <v>2085</v>
      </c>
      <c r="H1885" s="270">
        <v>0.0375462962962963</v>
      </c>
      <c r="I1885" s="271">
        <v>44497.563888888886</v>
      </c>
      <c r="J1885" s="268"/>
      <c r="K1885" s="271">
        <v>44498.31861111111</v>
      </c>
      <c r="L1885" s="288" t="str">
        <f t="shared" si="128"/>
        <v>6:06:48 PM</v>
      </c>
      <c r="M1885" s="307"/>
      <c r="N1885" s="273"/>
      <c r="O1885" s="276"/>
      <c r="P1885" s="276"/>
      <c r="Q1885" s="276"/>
      <c r="R1885" s="277"/>
      <c r="S1885" s="278"/>
      <c r="T1885" s="278"/>
      <c r="U1885" s="279"/>
      <c r="V1885" s="279" t="s">
        <v>1733</v>
      </c>
      <c r="W1885" s="280">
        <v>44498.0</v>
      </c>
      <c r="X1885" s="281">
        <v>0.125</v>
      </c>
      <c r="Y1885" s="279" t="s">
        <v>1693</v>
      </c>
      <c r="Z1885" s="282" t="s">
        <v>53</v>
      </c>
      <c r="AA1885" s="282" t="s">
        <v>5764</v>
      </c>
      <c r="AB1885" s="283">
        <v>44498.0</v>
      </c>
      <c r="AC1885" s="284"/>
      <c r="AD1885" s="284"/>
    </row>
    <row r="1886" ht="14.25" customHeight="1">
      <c r="A1886" s="265">
        <v>44498.0</v>
      </c>
      <c r="B1886" s="266" t="s">
        <v>1500</v>
      </c>
      <c r="C1886" s="266" t="s">
        <v>1696</v>
      </c>
      <c r="D1886" s="266" t="s">
        <v>1543</v>
      </c>
      <c r="E1886" s="268"/>
      <c r="F1886" s="269" t="s">
        <v>5765</v>
      </c>
      <c r="G1886" s="268" t="s">
        <v>1463</v>
      </c>
      <c r="H1886" s="270">
        <v>0.0020949074074074073</v>
      </c>
      <c r="I1886" s="271">
        <v>44501.63055555556</v>
      </c>
      <c r="J1886" s="268"/>
      <c r="K1886" s="271">
        <v>44502.40238425926</v>
      </c>
      <c r="L1886" s="288"/>
      <c r="M1886" s="278" t="s">
        <v>5766</v>
      </c>
      <c r="N1886" s="290"/>
      <c r="O1886" s="276"/>
      <c r="P1886" s="276"/>
      <c r="Q1886" s="276"/>
      <c r="R1886" s="278"/>
      <c r="S1886" s="278"/>
      <c r="T1886" s="278"/>
      <c r="U1886" s="279"/>
      <c r="V1886" s="279" t="s">
        <v>1824</v>
      </c>
      <c r="W1886" s="280">
        <v>44508.0</v>
      </c>
      <c r="X1886" s="281">
        <v>0.004166666666666667</v>
      </c>
      <c r="Y1886" s="279" t="s">
        <v>1693</v>
      </c>
      <c r="Z1886" s="282" t="s">
        <v>53</v>
      </c>
      <c r="AA1886" s="282">
        <v>6934449.0</v>
      </c>
      <c r="AB1886" s="283">
        <v>44504.0</v>
      </c>
      <c r="AC1886" s="284"/>
      <c r="AD1886" s="284"/>
    </row>
    <row r="1887" ht="14.25" customHeight="1">
      <c r="A1887" s="265">
        <v>44498.0</v>
      </c>
      <c r="B1887" s="266" t="s">
        <v>1500</v>
      </c>
      <c r="C1887" s="266" t="s">
        <v>2083</v>
      </c>
      <c r="D1887" s="266" t="s">
        <v>1543</v>
      </c>
      <c r="E1887" s="268"/>
      <c r="F1887" s="269" t="s">
        <v>5767</v>
      </c>
      <c r="G1887" s="268" t="s">
        <v>1463</v>
      </c>
      <c r="H1887" s="270">
        <v>0.0030324074074074073</v>
      </c>
      <c r="I1887" s="271">
        <v>44505.493055555555</v>
      </c>
      <c r="J1887" s="268"/>
      <c r="K1887" s="271">
        <v>44505.83876157407</v>
      </c>
      <c r="L1887" s="288"/>
      <c r="M1887" s="278" t="s">
        <v>5768</v>
      </c>
      <c r="N1887" s="290"/>
      <c r="O1887" s="276"/>
      <c r="P1887" s="276"/>
      <c r="Q1887" s="276"/>
      <c r="R1887" s="278"/>
      <c r="S1887" s="278"/>
      <c r="T1887" s="278"/>
      <c r="U1887" s="279"/>
      <c r="V1887" s="279" t="s">
        <v>1824</v>
      </c>
      <c r="W1887" s="280">
        <v>44509.0</v>
      </c>
      <c r="X1887" s="281">
        <v>0.006944444444444444</v>
      </c>
      <c r="Y1887" s="279" t="s">
        <v>1693</v>
      </c>
      <c r="Z1887" s="282" t="s">
        <v>53</v>
      </c>
      <c r="AA1887" s="282">
        <v>7041343.0</v>
      </c>
      <c r="AB1887" s="283">
        <v>44509.0</v>
      </c>
      <c r="AC1887" s="284"/>
      <c r="AD1887" s="284"/>
    </row>
    <row r="1888" ht="14.25" customHeight="1">
      <c r="A1888" s="265">
        <v>44498.0</v>
      </c>
      <c r="B1888" s="266" t="s">
        <v>1738</v>
      </c>
      <c r="C1888" s="266" t="s">
        <v>2158</v>
      </c>
      <c r="D1888" s="266" t="s">
        <v>1450</v>
      </c>
      <c r="E1888" s="268"/>
      <c r="F1888" s="286" t="s">
        <v>5769</v>
      </c>
      <c r="G1888" s="268" t="s">
        <v>3742</v>
      </c>
      <c r="H1888" s="270"/>
      <c r="I1888" s="271"/>
      <c r="J1888" s="268"/>
      <c r="K1888" s="271"/>
      <c r="L1888" s="288"/>
      <c r="M1888" s="278"/>
      <c r="N1888" s="290"/>
      <c r="O1888" s="276"/>
      <c r="P1888" s="276"/>
      <c r="Q1888" s="276"/>
      <c r="R1888" s="278"/>
      <c r="S1888" s="278"/>
      <c r="T1888" s="278"/>
      <c r="U1888" s="279"/>
      <c r="V1888" s="279" t="s">
        <v>28</v>
      </c>
      <c r="W1888" s="279" t="s">
        <v>28</v>
      </c>
      <c r="X1888" s="279" t="s">
        <v>28</v>
      </c>
      <c r="Y1888" s="279" t="s">
        <v>28</v>
      </c>
      <c r="Z1888" s="282" t="s">
        <v>28</v>
      </c>
      <c r="AA1888" s="282" t="s">
        <v>28</v>
      </c>
      <c r="AB1888" s="283" t="s">
        <v>28</v>
      </c>
      <c r="AC1888" s="284"/>
      <c r="AD1888" s="284"/>
    </row>
    <row r="1889" ht="14.25" customHeight="1">
      <c r="A1889" s="265">
        <v>44498.0</v>
      </c>
      <c r="B1889" s="266" t="s">
        <v>1738</v>
      </c>
      <c r="C1889" s="266" t="s">
        <v>2158</v>
      </c>
      <c r="D1889" s="266" t="s">
        <v>1450</v>
      </c>
      <c r="E1889" s="268"/>
      <c r="F1889" s="286" t="s">
        <v>5770</v>
      </c>
      <c r="G1889" s="268" t="s">
        <v>3742</v>
      </c>
      <c r="H1889" s="270"/>
      <c r="I1889" s="271"/>
      <c r="J1889" s="268"/>
      <c r="K1889" s="271"/>
      <c r="L1889" s="288"/>
      <c r="M1889" s="278"/>
      <c r="N1889" s="290"/>
      <c r="O1889" s="276"/>
      <c r="P1889" s="276"/>
      <c r="Q1889" s="276"/>
      <c r="R1889" s="278"/>
      <c r="S1889" s="278"/>
      <c r="T1889" s="278"/>
      <c r="U1889" s="279"/>
      <c r="V1889" s="279" t="s">
        <v>28</v>
      </c>
      <c r="W1889" s="279" t="s">
        <v>28</v>
      </c>
      <c r="X1889" s="279" t="s">
        <v>28</v>
      </c>
      <c r="Y1889" s="279" t="s">
        <v>28</v>
      </c>
      <c r="Z1889" s="282" t="s">
        <v>28</v>
      </c>
      <c r="AA1889" s="282" t="s">
        <v>28</v>
      </c>
      <c r="AB1889" s="283" t="s">
        <v>28</v>
      </c>
      <c r="AC1889" s="284"/>
      <c r="AD1889" s="284"/>
    </row>
    <row r="1890" ht="14.25" customHeight="1">
      <c r="A1890" s="265">
        <v>44498.0</v>
      </c>
      <c r="B1890" s="266" t="s">
        <v>1733</v>
      </c>
      <c r="C1890" s="266" t="s">
        <v>3472</v>
      </c>
      <c r="D1890" s="266" t="s">
        <v>1455</v>
      </c>
      <c r="E1890" s="268"/>
      <c r="F1890" s="286" t="s">
        <v>5771</v>
      </c>
      <c r="G1890" s="268" t="s">
        <v>3742</v>
      </c>
      <c r="H1890" s="270"/>
      <c r="I1890" s="271"/>
      <c r="J1890" s="268"/>
      <c r="K1890" s="271"/>
      <c r="L1890" s="288"/>
      <c r="M1890" s="278" t="s">
        <v>4163</v>
      </c>
      <c r="N1890" s="290"/>
      <c r="O1890" s="276"/>
      <c r="P1890" s="276"/>
      <c r="Q1890" s="276"/>
      <c r="R1890" s="278"/>
      <c r="S1890" s="278"/>
      <c r="T1890" s="278" t="s">
        <v>3915</v>
      </c>
      <c r="U1890" s="279" t="s">
        <v>28</v>
      </c>
      <c r="V1890" s="279" t="s">
        <v>28</v>
      </c>
      <c r="W1890" s="280" t="s">
        <v>28</v>
      </c>
      <c r="X1890" s="279" t="s">
        <v>28</v>
      </c>
      <c r="Y1890" s="279" t="s">
        <v>28</v>
      </c>
      <c r="Z1890" s="282" t="s">
        <v>28</v>
      </c>
      <c r="AA1890" s="282" t="s">
        <v>28</v>
      </c>
      <c r="AB1890" s="282" t="s">
        <v>28</v>
      </c>
      <c r="AC1890" s="284"/>
      <c r="AD1890" s="284"/>
    </row>
    <row r="1891" ht="14.25" customHeight="1">
      <c r="A1891" s="265">
        <v>44498.0</v>
      </c>
      <c r="B1891" s="266" t="s">
        <v>1570</v>
      </c>
      <c r="C1891" s="266"/>
      <c r="D1891" s="266" t="s">
        <v>1450</v>
      </c>
      <c r="E1891" s="268"/>
      <c r="F1891" s="358" t="s">
        <v>5772</v>
      </c>
      <c r="G1891" s="268" t="s">
        <v>2085</v>
      </c>
      <c r="H1891" s="270">
        <v>0.09802083333333333</v>
      </c>
      <c r="I1891" s="271">
        <v>44499.34652777778</v>
      </c>
      <c r="J1891" s="268"/>
      <c r="K1891" s="271">
        <v>44499.83354166667</v>
      </c>
      <c r="L1891" s="288" t="str">
        <f t="shared" ref="L1891:L1896" si="129">IFERROR(IF(OR(I1891="",K1891=""),"",K1891-I1891),"")</f>
        <v>11:41:18 AM</v>
      </c>
      <c r="M1891" s="278"/>
      <c r="N1891" s="290"/>
      <c r="O1891" s="276"/>
      <c r="P1891" s="276"/>
      <c r="Q1891" s="276"/>
      <c r="R1891" s="278"/>
      <c r="S1891" s="278"/>
      <c r="T1891" s="278"/>
      <c r="U1891" s="279"/>
      <c r="V1891" s="279" t="s">
        <v>1738</v>
      </c>
      <c r="W1891" s="280">
        <v>44503.0</v>
      </c>
      <c r="X1891" s="281">
        <v>0.25</v>
      </c>
      <c r="Y1891" s="279" t="s">
        <v>1693</v>
      </c>
      <c r="Z1891" s="282" t="s">
        <v>53</v>
      </c>
      <c r="AA1891" s="282" t="s">
        <v>5772</v>
      </c>
      <c r="AB1891" s="283">
        <v>44501.0</v>
      </c>
      <c r="AC1891" s="284"/>
      <c r="AD1891" s="284"/>
    </row>
    <row r="1892" ht="14.25" customHeight="1">
      <c r="A1892" s="265">
        <v>44498.0</v>
      </c>
      <c r="B1892" s="266" t="s">
        <v>1733</v>
      </c>
      <c r="C1892" s="266"/>
      <c r="D1892" s="266" t="s">
        <v>1452</v>
      </c>
      <c r="E1892" s="268"/>
      <c r="F1892" s="358" t="s">
        <v>5773</v>
      </c>
      <c r="G1892" s="268" t="s">
        <v>2085</v>
      </c>
      <c r="H1892" s="270">
        <v>0.00318287037037037</v>
      </c>
      <c r="I1892" s="271">
        <v>44498.455555555556</v>
      </c>
      <c r="J1892" s="268"/>
      <c r="K1892" s="268" t="s">
        <v>5774</v>
      </c>
      <c r="L1892" s="288" t="str">
        <f t="shared" si="129"/>
        <v/>
      </c>
      <c r="M1892" s="278"/>
      <c r="N1892" s="290"/>
      <c r="O1892" s="276"/>
      <c r="P1892" s="276"/>
      <c r="Q1892" s="276"/>
      <c r="R1892" s="278"/>
      <c r="S1892" s="278"/>
      <c r="T1892" s="278"/>
      <c r="U1892" s="279"/>
      <c r="V1892" s="279" t="s">
        <v>1733</v>
      </c>
      <c r="W1892" s="280">
        <v>44498.0</v>
      </c>
      <c r="X1892" s="281">
        <v>0.010416666666666666</v>
      </c>
      <c r="Y1892" s="279" t="s">
        <v>1693</v>
      </c>
      <c r="Z1892" s="282" t="s">
        <v>53</v>
      </c>
      <c r="AA1892" s="282" t="s">
        <v>5773</v>
      </c>
      <c r="AB1892" s="283">
        <v>44501.0</v>
      </c>
      <c r="AC1892" s="284"/>
      <c r="AD1892" s="284"/>
    </row>
    <row r="1893" ht="14.25" customHeight="1">
      <c r="A1893" s="265">
        <v>44498.0</v>
      </c>
      <c r="B1893" s="266" t="s">
        <v>3677</v>
      </c>
      <c r="C1893" s="266"/>
      <c r="D1893" s="266" t="s">
        <v>1455</v>
      </c>
      <c r="E1893" s="268"/>
      <c r="F1893" s="358" t="s">
        <v>5775</v>
      </c>
      <c r="G1893" s="268" t="s">
        <v>2085</v>
      </c>
      <c r="H1893" s="270">
        <v>0.02228009259259259</v>
      </c>
      <c r="I1893" s="271">
        <v>44498.86944444444</v>
      </c>
      <c r="J1893" s="268"/>
      <c r="K1893" s="271">
        <v>44498.89163194445</v>
      </c>
      <c r="L1893" s="288" t="str">
        <f t="shared" si="129"/>
        <v>12:31:57 AM</v>
      </c>
      <c r="M1893" s="278"/>
      <c r="N1893" s="290"/>
      <c r="O1893" s="276"/>
      <c r="P1893" s="276"/>
      <c r="Q1893" s="276"/>
      <c r="R1893" s="278"/>
      <c r="S1893" s="278"/>
      <c r="T1893" s="278"/>
      <c r="U1893" s="279"/>
      <c r="V1893" s="279" t="s">
        <v>1733</v>
      </c>
      <c r="W1893" s="280">
        <v>44500.0</v>
      </c>
      <c r="X1893" s="281">
        <v>0.06944444444444443</v>
      </c>
      <c r="Y1893" s="279" t="s">
        <v>1693</v>
      </c>
      <c r="Z1893" s="282" t="s">
        <v>53</v>
      </c>
      <c r="AA1893" s="282" t="s">
        <v>5776</v>
      </c>
      <c r="AB1893" s="283">
        <v>44501.0</v>
      </c>
      <c r="AC1893" s="284"/>
      <c r="AD1893" s="284"/>
    </row>
    <row r="1894" ht="14.25" customHeight="1">
      <c r="A1894" s="265">
        <v>44498.0</v>
      </c>
      <c r="B1894" s="266" t="s">
        <v>1733</v>
      </c>
      <c r="C1894" s="266"/>
      <c r="D1894" s="266" t="s">
        <v>1686</v>
      </c>
      <c r="E1894" s="268"/>
      <c r="F1894" s="358" t="s">
        <v>5777</v>
      </c>
      <c r="G1894" s="268" t="s">
        <v>2085</v>
      </c>
      <c r="H1894" s="270">
        <v>0.036377314814814814</v>
      </c>
      <c r="I1894" s="271">
        <v>44498.575</v>
      </c>
      <c r="J1894" s="268"/>
      <c r="K1894" s="271">
        <v>44498.94513888889</v>
      </c>
      <c r="L1894" s="288" t="str">
        <f t="shared" si="129"/>
        <v>8:53:00 AM</v>
      </c>
      <c r="M1894" s="278"/>
      <c r="N1894" s="290"/>
      <c r="O1894" s="276"/>
      <c r="P1894" s="276"/>
      <c r="Q1894" s="276"/>
      <c r="R1894" s="278"/>
      <c r="S1894" s="278"/>
      <c r="T1894" s="278"/>
      <c r="U1894" s="279"/>
      <c r="V1894" s="279" t="s">
        <v>1733</v>
      </c>
      <c r="W1894" s="279" t="s">
        <v>5778</v>
      </c>
      <c r="X1894" s="281">
        <v>0.125</v>
      </c>
      <c r="Y1894" s="279" t="s">
        <v>1693</v>
      </c>
      <c r="Z1894" s="282" t="s">
        <v>53</v>
      </c>
      <c r="AA1894" s="282" t="s">
        <v>5777</v>
      </c>
      <c r="AB1894" s="283">
        <v>44501.0</v>
      </c>
      <c r="AC1894" s="284"/>
      <c r="AD1894" s="284"/>
    </row>
    <row r="1895" ht="14.25" customHeight="1">
      <c r="A1895" s="265">
        <v>44499.0</v>
      </c>
      <c r="B1895" s="266" t="s">
        <v>1733</v>
      </c>
      <c r="C1895" s="266"/>
      <c r="D1895" s="266" t="s">
        <v>1455</v>
      </c>
      <c r="E1895" s="268"/>
      <c r="F1895" s="358" t="s">
        <v>5779</v>
      </c>
      <c r="G1895" s="268" t="s">
        <v>2085</v>
      </c>
      <c r="H1895" s="270">
        <v>0.017083333333333336</v>
      </c>
      <c r="I1895" s="271">
        <v>44499.979166666664</v>
      </c>
      <c r="J1895" s="268"/>
      <c r="K1895" s="271">
        <v>44500.326006944444</v>
      </c>
      <c r="L1895" s="288" t="str">
        <f t="shared" si="129"/>
        <v>8:19:27 AM</v>
      </c>
      <c r="M1895" s="278"/>
      <c r="N1895" s="290"/>
      <c r="O1895" s="276"/>
      <c r="P1895" s="276"/>
      <c r="Q1895" s="276"/>
      <c r="R1895" s="278"/>
      <c r="S1895" s="278"/>
      <c r="T1895" s="278"/>
      <c r="U1895" s="279"/>
      <c r="V1895" s="279" t="s">
        <v>1824</v>
      </c>
      <c r="W1895" s="280">
        <v>44501.0</v>
      </c>
      <c r="X1895" s="281">
        <v>0.0625</v>
      </c>
      <c r="Y1895" s="279" t="s">
        <v>1693</v>
      </c>
      <c r="Z1895" s="282" t="s">
        <v>53</v>
      </c>
      <c r="AA1895" s="282" t="s">
        <v>5779</v>
      </c>
      <c r="AB1895" s="283">
        <v>44501.0</v>
      </c>
      <c r="AC1895" s="284"/>
      <c r="AD1895" s="284"/>
    </row>
    <row r="1896" ht="14.25" customHeight="1">
      <c r="A1896" s="265">
        <v>44499.0</v>
      </c>
      <c r="B1896" s="266" t="s">
        <v>1738</v>
      </c>
      <c r="C1896" s="266"/>
      <c r="D1896" s="266" t="s">
        <v>1686</v>
      </c>
      <c r="E1896" s="268"/>
      <c r="F1896" s="358" t="s">
        <v>5780</v>
      </c>
      <c r="G1896" s="268" t="s">
        <v>2085</v>
      </c>
      <c r="H1896" s="270">
        <v>0.040011574074074074</v>
      </c>
      <c r="I1896" s="271">
        <v>44499.669444444444</v>
      </c>
      <c r="J1896" s="268"/>
      <c r="K1896" s="271">
        <v>44499.71388888889</v>
      </c>
      <c r="L1896" s="288" t="str">
        <f t="shared" si="129"/>
        <v>1:04:00 AM</v>
      </c>
      <c r="M1896" s="278"/>
      <c r="N1896" s="290"/>
      <c r="O1896" s="276"/>
      <c r="P1896" s="276"/>
      <c r="Q1896" s="276"/>
      <c r="R1896" s="278"/>
      <c r="S1896" s="278"/>
      <c r="T1896" s="278"/>
      <c r="U1896" s="279"/>
      <c r="V1896" s="279" t="s">
        <v>1783</v>
      </c>
      <c r="W1896" s="280">
        <v>44503.0</v>
      </c>
      <c r="X1896" s="281">
        <v>0.03125</v>
      </c>
      <c r="Y1896" s="279" t="s">
        <v>1693</v>
      </c>
      <c r="Z1896" s="282" t="s">
        <v>53</v>
      </c>
      <c r="AA1896" s="282" t="s">
        <v>5781</v>
      </c>
      <c r="AB1896" s="283">
        <v>44501.0</v>
      </c>
      <c r="AC1896" s="284"/>
      <c r="AD1896" s="284"/>
    </row>
    <row r="1897" ht="14.25" customHeight="1">
      <c r="A1897" s="265">
        <v>44500.0</v>
      </c>
      <c r="B1897" s="266" t="s">
        <v>1733</v>
      </c>
      <c r="C1897" s="266"/>
      <c r="D1897" s="266" t="s">
        <v>3509</v>
      </c>
      <c r="E1897" s="268"/>
      <c r="F1897" s="358">
        <v>6848357.0</v>
      </c>
      <c r="G1897" s="268" t="s">
        <v>3839</v>
      </c>
      <c r="H1897" s="270" t="s">
        <v>5782</v>
      </c>
      <c r="I1897" s="271">
        <v>44500.854166666664</v>
      </c>
      <c r="J1897" s="268"/>
      <c r="K1897" s="271">
        <v>44500.865949074076</v>
      </c>
      <c r="L1897" s="288"/>
      <c r="M1897" s="272" t="s">
        <v>5783</v>
      </c>
      <c r="N1897" s="273"/>
      <c r="O1897" s="276"/>
      <c r="P1897" s="276"/>
      <c r="Q1897" s="276"/>
      <c r="R1897" s="278"/>
      <c r="S1897" s="278"/>
      <c r="T1897" s="278"/>
      <c r="U1897" s="279"/>
      <c r="V1897" s="279" t="s">
        <v>28</v>
      </c>
      <c r="W1897" s="279" t="s">
        <v>28</v>
      </c>
      <c r="X1897" s="279" t="s">
        <v>28</v>
      </c>
      <c r="Y1897" s="279" t="s">
        <v>28</v>
      </c>
      <c r="Z1897" s="282" t="s">
        <v>5784</v>
      </c>
      <c r="AA1897" s="282">
        <v>6848357.0</v>
      </c>
      <c r="AB1897" s="283">
        <v>44501.0</v>
      </c>
      <c r="AC1897" s="284"/>
      <c r="AD1897" s="284"/>
    </row>
    <row r="1898" ht="14.25" customHeight="1">
      <c r="A1898" s="265">
        <v>44500.0</v>
      </c>
      <c r="B1898" s="266" t="s">
        <v>1733</v>
      </c>
      <c r="C1898" s="266"/>
      <c r="D1898" s="266" t="s">
        <v>1457</v>
      </c>
      <c r="E1898" s="268"/>
      <c r="F1898" s="358" t="s">
        <v>5785</v>
      </c>
      <c r="G1898" s="268" t="s">
        <v>2085</v>
      </c>
      <c r="H1898" s="270">
        <v>0.017881944444444443</v>
      </c>
      <c r="I1898" s="271">
        <v>44503.745833333334</v>
      </c>
      <c r="J1898" s="268"/>
      <c r="K1898" s="271">
        <v>44503.764027777775</v>
      </c>
      <c r="L1898" s="288" t="str">
        <f t="shared" ref="L1898:L1899" si="130">IFERROR(IF(OR(I1898="",K1898=""),"",K1898-I1898),"")</f>
        <v>12:26:12 AM</v>
      </c>
      <c r="M1898" s="278"/>
      <c r="N1898" s="290"/>
      <c r="O1898" s="276"/>
      <c r="P1898" s="276"/>
      <c r="Q1898" s="276"/>
      <c r="R1898" s="278"/>
      <c r="S1898" s="278"/>
      <c r="T1898" s="278"/>
      <c r="U1898" s="279"/>
      <c r="V1898" s="279" t="s">
        <v>1824</v>
      </c>
      <c r="W1898" s="280">
        <v>44504.0</v>
      </c>
      <c r="X1898" s="281">
        <v>0.041666666666666664</v>
      </c>
      <c r="Y1898" s="279" t="s">
        <v>1693</v>
      </c>
      <c r="Z1898" s="282" t="s">
        <v>53</v>
      </c>
      <c r="AA1898" s="282" t="s">
        <v>5785</v>
      </c>
      <c r="AB1898" s="283">
        <v>44504.0</v>
      </c>
      <c r="AC1898" s="284"/>
      <c r="AD1898" s="284"/>
    </row>
    <row r="1899" ht="14.25" customHeight="1">
      <c r="A1899" s="265">
        <v>44500.0</v>
      </c>
      <c r="B1899" s="266" t="s">
        <v>1733</v>
      </c>
      <c r="C1899" s="266"/>
      <c r="D1899" s="266" t="s">
        <v>2829</v>
      </c>
      <c r="E1899" s="268"/>
      <c r="F1899" s="358" t="s">
        <v>5786</v>
      </c>
      <c r="G1899" s="268" t="s">
        <v>2085</v>
      </c>
      <c r="H1899" s="270">
        <v>0.01877314814814815</v>
      </c>
      <c r="I1899" s="271">
        <v>44500.42361111111</v>
      </c>
      <c r="J1899" s="268"/>
      <c r="K1899" s="271">
        <v>44500.453680555554</v>
      </c>
      <c r="L1899" s="288" t="str">
        <f t="shared" si="130"/>
        <v>12:43:18 AM</v>
      </c>
      <c r="M1899" s="307"/>
      <c r="N1899" s="273"/>
      <c r="O1899" s="276"/>
      <c r="P1899" s="276"/>
      <c r="Q1899" s="276"/>
      <c r="R1899" s="278"/>
      <c r="S1899" s="278"/>
      <c r="T1899" s="278"/>
      <c r="U1899" s="279"/>
      <c r="V1899" s="279" t="s">
        <v>28</v>
      </c>
      <c r="W1899" s="279" t="s">
        <v>28</v>
      </c>
      <c r="X1899" s="279" t="s">
        <v>28</v>
      </c>
      <c r="Y1899" s="279" t="s">
        <v>28</v>
      </c>
      <c r="Z1899" s="282" t="s">
        <v>53</v>
      </c>
      <c r="AA1899" s="282" t="s">
        <v>5786</v>
      </c>
      <c r="AB1899" s="283">
        <v>44501.0</v>
      </c>
      <c r="AC1899" s="284"/>
      <c r="AD1899" s="284"/>
    </row>
    <row r="1900" ht="14.25" customHeight="1">
      <c r="A1900" s="265">
        <v>44501.0</v>
      </c>
      <c r="B1900" s="266" t="s">
        <v>2753</v>
      </c>
      <c r="C1900" s="266" t="s">
        <v>1686</v>
      </c>
      <c r="D1900" s="266" t="s">
        <v>1543</v>
      </c>
      <c r="E1900" s="268"/>
      <c r="F1900" s="269" t="s">
        <v>5787</v>
      </c>
      <c r="G1900" s="268" t="s">
        <v>1463</v>
      </c>
      <c r="H1900" s="270">
        <v>0.001365740740740741</v>
      </c>
      <c r="I1900" s="271">
        <v>44505.493055555555</v>
      </c>
      <c r="J1900" s="268"/>
      <c r="K1900" s="271">
        <v>44505.837743055556</v>
      </c>
      <c r="L1900" s="288"/>
      <c r="M1900" s="278" t="s">
        <v>5788</v>
      </c>
      <c r="N1900" s="290"/>
      <c r="O1900" s="276"/>
      <c r="P1900" s="276"/>
      <c r="Q1900" s="276"/>
      <c r="R1900" s="278"/>
      <c r="S1900" s="278"/>
      <c r="T1900" s="278"/>
      <c r="U1900" s="279"/>
      <c r="V1900" s="279" t="s">
        <v>1824</v>
      </c>
      <c r="W1900" s="280">
        <v>44509.0</v>
      </c>
      <c r="X1900" s="281">
        <v>0.003472222222222222</v>
      </c>
      <c r="Y1900" s="279" t="s">
        <v>1693</v>
      </c>
      <c r="Z1900" s="282" t="s">
        <v>53</v>
      </c>
      <c r="AA1900" s="282">
        <v>7041344.0</v>
      </c>
      <c r="AB1900" s="283">
        <v>44509.0</v>
      </c>
      <c r="AC1900" s="284"/>
      <c r="AD1900" s="284"/>
    </row>
    <row r="1901" ht="14.25" customHeight="1">
      <c r="A1901" s="265">
        <v>44501.0</v>
      </c>
      <c r="B1901" s="266" t="s">
        <v>2753</v>
      </c>
      <c r="C1901" s="266" t="s">
        <v>2888</v>
      </c>
      <c r="D1901" s="266" t="s">
        <v>1543</v>
      </c>
      <c r="E1901" s="409"/>
      <c r="F1901" s="269" t="s">
        <v>5789</v>
      </c>
      <c r="G1901" s="268" t="s">
        <v>1463</v>
      </c>
      <c r="H1901" s="270">
        <v>0.0013310185185185185</v>
      </c>
      <c r="I1901" s="271">
        <v>44505.493055555555</v>
      </c>
      <c r="J1901" s="268"/>
      <c r="K1901" s="271">
        <v>44505.83775462963</v>
      </c>
      <c r="L1901" s="288"/>
      <c r="M1901" s="278" t="s">
        <v>5790</v>
      </c>
      <c r="N1901" s="290"/>
      <c r="O1901" s="276"/>
      <c r="P1901" s="276"/>
      <c r="Q1901" s="276"/>
      <c r="R1901" s="278"/>
      <c r="S1901" s="278"/>
      <c r="T1901" s="278"/>
      <c r="U1901" s="279"/>
      <c r="V1901" s="279" t="s">
        <v>1824</v>
      </c>
      <c r="W1901" s="280">
        <v>44509.0</v>
      </c>
      <c r="X1901" s="281">
        <v>0.003472222222222222</v>
      </c>
      <c r="Y1901" s="279" t="s">
        <v>1693</v>
      </c>
      <c r="Z1901" s="282" t="s">
        <v>53</v>
      </c>
      <c r="AA1901" s="282">
        <v>7041345.0</v>
      </c>
      <c r="AB1901" s="283">
        <v>44509.0</v>
      </c>
      <c r="AC1901" s="284"/>
      <c r="AD1901" s="284"/>
    </row>
    <row r="1902" ht="14.25" customHeight="1">
      <c r="A1902" s="265">
        <v>44501.0</v>
      </c>
      <c r="B1902" s="266" t="s">
        <v>1738</v>
      </c>
      <c r="C1902" s="266"/>
      <c r="D1902" s="266" t="s">
        <v>1450</v>
      </c>
      <c r="E1902" s="409"/>
      <c r="F1902" s="358" t="s">
        <v>5791</v>
      </c>
      <c r="G1902" s="268" t="s">
        <v>2085</v>
      </c>
      <c r="H1902" s="270">
        <v>0.09696759259259259</v>
      </c>
      <c r="I1902" s="271">
        <v>44501.47083333333</v>
      </c>
      <c r="J1902" s="268"/>
      <c r="K1902" s="271">
        <v>44501.552777777775</v>
      </c>
      <c r="L1902" s="288" t="str">
        <f t="shared" ref="L1902:L1909" si="131">IFERROR(IF(OR(I1902="",K1902=""),"",K1902-I1902),"")</f>
        <v>1:58:00 AM</v>
      </c>
      <c r="M1902" s="278"/>
      <c r="N1902" s="290"/>
      <c r="O1902" s="276"/>
      <c r="P1902" s="276"/>
      <c r="Q1902" s="276"/>
      <c r="R1902" s="278"/>
      <c r="S1902" s="278"/>
      <c r="T1902" s="278"/>
      <c r="U1902" s="279"/>
      <c r="V1902" s="279" t="s">
        <v>1738</v>
      </c>
      <c r="W1902" s="280">
        <v>44504.0</v>
      </c>
      <c r="X1902" s="281">
        <v>0.25</v>
      </c>
      <c r="Y1902" s="279" t="s">
        <v>1693</v>
      </c>
      <c r="Z1902" s="282" t="s">
        <v>53</v>
      </c>
      <c r="AA1902" s="282" t="s">
        <v>5791</v>
      </c>
      <c r="AB1902" s="283">
        <v>44502.0</v>
      </c>
      <c r="AC1902" s="284"/>
      <c r="AD1902" s="284"/>
    </row>
    <row r="1903" ht="14.25" customHeight="1">
      <c r="A1903" s="265">
        <v>44501.0</v>
      </c>
      <c r="B1903" s="266" t="s">
        <v>1733</v>
      </c>
      <c r="C1903" s="266"/>
      <c r="D1903" s="266" t="s">
        <v>1452</v>
      </c>
      <c r="E1903" s="409"/>
      <c r="F1903" s="358" t="s">
        <v>5792</v>
      </c>
      <c r="G1903" s="268" t="s">
        <v>2085</v>
      </c>
      <c r="H1903" s="270">
        <v>0.0030208333333333333</v>
      </c>
      <c r="I1903" s="271">
        <v>44501.97361111111</v>
      </c>
      <c r="J1903" s="268"/>
      <c r="K1903" s="271">
        <v>44501.977685185186</v>
      </c>
      <c r="L1903" s="288" t="str">
        <f t="shared" si="131"/>
        <v>12:05:52 AM</v>
      </c>
      <c r="M1903" s="278"/>
      <c r="N1903" s="290"/>
      <c r="O1903" s="276"/>
      <c r="P1903" s="276"/>
      <c r="Q1903" s="276"/>
      <c r="R1903" s="278"/>
      <c r="S1903" s="278"/>
      <c r="T1903" s="278"/>
      <c r="U1903" s="279"/>
      <c r="V1903" s="279" t="s">
        <v>1783</v>
      </c>
      <c r="W1903" s="280">
        <v>44503.0</v>
      </c>
      <c r="X1903" s="281">
        <v>0.010416666666666666</v>
      </c>
      <c r="Y1903" s="279" t="s">
        <v>1693</v>
      </c>
      <c r="Z1903" s="282" t="s">
        <v>53</v>
      </c>
      <c r="AA1903" s="282" t="s">
        <v>5792</v>
      </c>
      <c r="AB1903" s="283">
        <v>44502.0</v>
      </c>
      <c r="AC1903" s="284"/>
      <c r="AD1903" s="284"/>
    </row>
    <row r="1904" ht="14.25" customHeight="1">
      <c r="A1904" s="265">
        <v>44501.0</v>
      </c>
      <c r="B1904" s="266" t="s">
        <v>1733</v>
      </c>
      <c r="C1904" s="266"/>
      <c r="D1904" s="266" t="s">
        <v>1686</v>
      </c>
      <c r="E1904" s="409"/>
      <c r="F1904" s="358" t="s">
        <v>5793</v>
      </c>
      <c r="G1904" s="268" t="s">
        <v>2085</v>
      </c>
      <c r="H1904" s="270">
        <v>0.039074074074074074</v>
      </c>
      <c r="I1904" s="271">
        <v>44501.981944444444</v>
      </c>
      <c r="J1904" s="268"/>
      <c r="K1904" s="271">
        <v>44502.008784722224</v>
      </c>
      <c r="L1904" s="288" t="str">
        <f t="shared" si="131"/>
        <v>12:38:39 AM</v>
      </c>
      <c r="M1904" s="278"/>
      <c r="N1904" s="290"/>
      <c r="O1904" s="276"/>
      <c r="P1904" s="276"/>
      <c r="Q1904" s="276"/>
      <c r="R1904" s="278"/>
      <c r="S1904" s="278"/>
      <c r="T1904" s="278"/>
      <c r="U1904" s="279"/>
      <c r="V1904" s="279" t="s">
        <v>1783</v>
      </c>
      <c r="W1904" s="280">
        <v>44503.0</v>
      </c>
      <c r="X1904" s="281">
        <v>0.125</v>
      </c>
      <c r="Y1904" s="279" t="s">
        <v>1693</v>
      </c>
      <c r="Z1904" s="282" t="s">
        <v>53</v>
      </c>
      <c r="AA1904" s="282" t="s">
        <v>5793</v>
      </c>
      <c r="AB1904" s="283">
        <v>44502.0</v>
      </c>
      <c r="AC1904" s="284"/>
      <c r="AD1904" s="284"/>
    </row>
    <row r="1905" ht="14.25" customHeight="1">
      <c r="A1905" s="265">
        <v>44501.0</v>
      </c>
      <c r="B1905" s="266" t="s">
        <v>3677</v>
      </c>
      <c r="C1905" s="266"/>
      <c r="D1905" s="266" t="s">
        <v>1455</v>
      </c>
      <c r="E1905" s="409"/>
      <c r="F1905" s="358" t="s">
        <v>5794</v>
      </c>
      <c r="G1905" s="268" t="s">
        <v>2085</v>
      </c>
      <c r="H1905" s="270">
        <v>0.02028935185185185</v>
      </c>
      <c r="I1905" s="271">
        <v>44501.87986111111</v>
      </c>
      <c r="J1905" s="268"/>
      <c r="K1905" s="271">
        <v>44501.897210648145</v>
      </c>
      <c r="L1905" s="288" t="str">
        <f t="shared" si="131"/>
        <v>12:24:59 AM</v>
      </c>
      <c r="M1905" s="278"/>
      <c r="N1905" s="290"/>
      <c r="O1905" s="276"/>
      <c r="P1905" s="276"/>
      <c r="Q1905" s="276"/>
      <c r="R1905" s="278"/>
      <c r="S1905" s="278"/>
      <c r="T1905" s="278"/>
      <c r="U1905" s="279"/>
      <c r="V1905" s="279" t="s">
        <v>1824</v>
      </c>
      <c r="W1905" s="280">
        <v>44503.0</v>
      </c>
      <c r="X1905" s="281">
        <v>0.06944444444444443</v>
      </c>
      <c r="Y1905" s="279" t="s">
        <v>1693</v>
      </c>
      <c r="Z1905" s="282" t="s">
        <v>53</v>
      </c>
      <c r="AA1905" s="282" t="s">
        <v>5794</v>
      </c>
      <c r="AB1905" s="283">
        <v>44502.0</v>
      </c>
      <c r="AC1905" s="284"/>
      <c r="AD1905" s="284"/>
    </row>
    <row r="1906" ht="14.25" customHeight="1">
      <c r="A1906" s="265">
        <v>44502.0</v>
      </c>
      <c r="B1906" s="266" t="s">
        <v>1733</v>
      </c>
      <c r="C1906" s="266"/>
      <c r="D1906" s="266" t="s">
        <v>1450</v>
      </c>
      <c r="E1906" s="409"/>
      <c r="F1906" s="358" t="s">
        <v>5795</v>
      </c>
      <c r="G1906" s="268" t="s">
        <v>2085</v>
      </c>
      <c r="H1906" s="270">
        <v>0.09979166666666667</v>
      </c>
      <c r="I1906" s="271">
        <v>44502.802777777775</v>
      </c>
      <c r="J1906" s="268"/>
      <c r="K1906" s="271">
        <v>44502.86429398148</v>
      </c>
      <c r="L1906" s="288" t="str">
        <f t="shared" si="131"/>
        <v>1:28:35 AM</v>
      </c>
      <c r="M1906" s="278"/>
      <c r="N1906" s="290"/>
      <c r="O1906" s="276"/>
      <c r="P1906" s="276"/>
      <c r="Q1906" s="276"/>
      <c r="R1906" s="278"/>
      <c r="S1906" s="278"/>
      <c r="T1906" s="278"/>
      <c r="U1906" s="279"/>
      <c r="V1906" s="279" t="s">
        <v>1738</v>
      </c>
      <c r="W1906" s="280">
        <v>44505.0</v>
      </c>
      <c r="X1906" s="281">
        <v>0.25</v>
      </c>
      <c r="Y1906" s="279" t="s">
        <v>1693</v>
      </c>
      <c r="Z1906" s="282" t="s">
        <v>53</v>
      </c>
      <c r="AA1906" s="282" t="s">
        <v>5795</v>
      </c>
      <c r="AB1906" s="283">
        <v>44503.0</v>
      </c>
      <c r="AC1906" s="284"/>
      <c r="AD1906" s="284"/>
    </row>
    <row r="1907" ht="14.25" customHeight="1">
      <c r="A1907" s="265">
        <v>44502.0</v>
      </c>
      <c r="B1907" s="266" t="s">
        <v>1733</v>
      </c>
      <c r="C1907" s="266"/>
      <c r="D1907" s="266" t="s">
        <v>1452</v>
      </c>
      <c r="E1907" s="409"/>
      <c r="F1907" s="358" t="s">
        <v>5796</v>
      </c>
      <c r="G1907" s="268" t="s">
        <v>2085</v>
      </c>
      <c r="H1907" s="270">
        <v>0.001412037037037037</v>
      </c>
      <c r="I1907" s="271">
        <v>44502.81180555555</v>
      </c>
      <c r="J1907" s="268"/>
      <c r="K1907" s="271">
        <v>44502.814108796294</v>
      </c>
      <c r="L1907" s="288" t="str">
        <f t="shared" si="131"/>
        <v>12:03:19 AM</v>
      </c>
      <c r="M1907" s="278"/>
      <c r="N1907" s="290"/>
      <c r="O1907" s="276"/>
      <c r="P1907" s="276"/>
      <c r="Q1907" s="276"/>
      <c r="R1907" s="278"/>
      <c r="S1907" s="278"/>
      <c r="T1907" s="278"/>
      <c r="U1907" s="279"/>
      <c r="V1907" s="279" t="s">
        <v>1783</v>
      </c>
      <c r="W1907" s="280">
        <v>44503.0</v>
      </c>
      <c r="X1907" s="281">
        <v>0.010416666666666666</v>
      </c>
      <c r="Y1907" s="279" t="s">
        <v>1693</v>
      </c>
      <c r="Z1907" s="282" t="s">
        <v>53</v>
      </c>
      <c r="AA1907" s="282" t="s">
        <v>5796</v>
      </c>
      <c r="AB1907" s="283">
        <v>44503.0</v>
      </c>
      <c r="AC1907" s="284"/>
      <c r="AD1907" s="284"/>
    </row>
    <row r="1908" ht="14.25" customHeight="1">
      <c r="A1908" s="265">
        <v>44502.0</v>
      </c>
      <c r="B1908" s="266" t="s">
        <v>2753</v>
      </c>
      <c r="C1908" s="266"/>
      <c r="D1908" s="266" t="s">
        <v>1686</v>
      </c>
      <c r="E1908" s="409"/>
      <c r="F1908" s="358" t="s">
        <v>5797</v>
      </c>
      <c r="G1908" s="268" t="s">
        <v>2085</v>
      </c>
      <c r="H1908" s="270">
        <v>0.037071759259259256</v>
      </c>
      <c r="I1908" s="271">
        <v>44502.62708333333</v>
      </c>
      <c r="J1908" s="268"/>
      <c r="K1908" s="271">
        <v>44502.654699074075</v>
      </c>
      <c r="L1908" s="288" t="str">
        <f t="shared" si="131"/>
        <v>12:39:46 AM</v>
      </c>
      <c r="M1908" s="278"/>
      <c r="N1908" s="290"/>
      <c r="O1908" s="276"/>
      <c r="P1908" s="276"/>
      <c r="Q1908" s="276"/>
      <c r="R1908" s="278"/>
      <c r="S1908" s="278"/>
      <c r="T1908" s="278"/>
      <c r="U1908" s="279"/>
      <c r="V1908" s="279" t="s">
        <v>1783</v>
      </c>
      <c r="W1908" s="280">
        <v>44504.0</v>
      </c>
      <c r="X1908" s="281">
        <v>0.13194444444444445</v>
      </c>
      <c r="Y1908" s="279" t="s">
        <v>1693</v>
      </c>
      <c r="Z1908" s="282" t="s">
        <v>53</v>
      </c>
      <c r="AA1908" s="282" t="s">
        <v>5797</v>
      </c>
      <c r="AB1908" s="283">
        <v>44503.0</v>
      </c>
      <c r="AC1908" s="284"/>
      <c r="AD1908" s="284"/>
    </row>
    <row r="1909" ht="14.25" customHeight="1">
      <c r="A1909" s="265">
        <v>44502.0</v>
      </c>
      <c r="B1909" s="266" t="s">
        <v>1733</v>
      </c>
      <c r="C1909" s="266"/>
      <c r="D1909" s="266" t="s">
        <v>1455</v>
      </c>
      <c r="E1909" s="409"/>
      <c r="F1909" s="358" t="s">
        <v>5798</v>
      </c>
      <c r="G1909" s="268" t="s">
        <v>2085</v>
      </c>
      <c r="H1909" s="270">
        <v>0.021840277777777778</v>
      </c>
      <c r="I1909" s="271">
        <v>44502.87222222222</v>
      </c>
      <c r="J1909" s="268"/>
      <c r="K1909" s="271">
        <v>44502.886967592596</v>
      </c>
      <c r="L1909" s="288" t="str">
        <f t="shared" si="131"/>
        <v>12:21:14 AM</v>
      </c>
      <c r="M1909" s="278"/>
      <c r="N1909" s="290"/>
      <c r="O1909" s="276"/>
      <c r="P1909" s="276"/>
      <c r="Q1909" s="276"/>
      <c r="R1909" s="278"/>
      <c r="S1909" s="278"/>
      <c r="T1909" s="278"/>
      <c r="U1909" s="279"/>
      <c r="V1909" s="279" t="s">
        <v>1824</v>
      </c>
      <c r="W1909" s="280">
        <v>44503.0</v>
      </c>
      <c r="X1909" s="281">
        <v>0.09097222222222222</v>
      </c>
      <c r="Y1909" s="279" t="s">
        <v>1693</v>
      </c>
      <c r="Z1909" s="282" t="s">
        <v>53</v>
      </c>
      <c r="AA1909" s="282" t="s">
        <v>5798</v>
      </c>
      <c r="AB1909" s="283">
        <v>44503.0</v>
      </c>
      <c r="AC1909" s="284"/>
      <c r="AD1909" s="284"/>
    </row>
    <row r="1910" ht="14.25" customHeight="1">
      <c r="A1910" s="265">
        <v>44503.0</v>
      </c>
      <c r="B1910" s="266" t="s">
        <v>1500</v>
      </c>
      <c r="C1910" s="266" t="s">
        <v>1450</v>
      </c>
      <c r="D1910" s="266" t="s">
        <v>1543</v>
      </c>
      <c r="E1910" s="409"/>
      <c r="F1910" s="269" t="s">
        <v>5799</v>
      </c>
      <c r="G1910" s="268" t="s">
        <v>1463</v>
      </c>
      <c r="H1910" s="270">
        <v>0.0018055555555555557</v>
      </c>
      <c r="I1910" s="271">
        <v>44509.825694444444</v>
      </c>
      <c r="J1910" s="268"/>
      <c r="K1910" s="271">
        <v>44510.16552083333</v>
      </c>
      <c r="L1910" s="288"/>
      <c r="M1910" s="278" t="s">
        <v>5800</v>
      </c>
      <c r="N1910" s="290"/>
      <c r="O1910" s="276"/>
      <c r="P1910" s="276"/>
      <c r="Q1910" s="276"/>
      <c r="R1910" s="278"/>
      <c r="S1910" s="278"/>
      <c r="T1910" s="278"/>
      <c r="U1910" s="279"/>
      <c r="V1910" s="279" t="s">
        <v>1824</v>
      </c>
      <c r="W1910" s="280">
        <v>44518.0</v>
      </c>
      <c r="X1910" s="281">
        <v>0.004166666666666667</v>
      </c>
      <c r="Y1910" s="279" t="s">
        <v>1693</v>
      </c>
      <c r="Z1910" s="282" t="s">
        <v>53</v>
      </c>
      <c r="AA1910" s="282">
        <v>7072361.0</v>
      </c>
      <c r="AB1910" s="283">
        <v>44511.0</v>
      </c>
      <c r="AC1910" s="284"/>
      <c r="AD1910" s="284"/>
    </row>
    <row r="1911" ht="14.25" customHeight="1">
      <c r="A1911" s="265">
        <v>44503.0</v>
      </c>
      <c r="B1911" s="266" t="s">
        <v>1738</v>
      </c>
      <c r="C1911" s="266"/>
      <c r="D1911" s="266" t="s">
        <v>1450</v>
      </c>
      <c r="E1911" s="409"/>
      <c r="F1911" s="358" t="s">
        <v>5801</v>
      </c>
      <c r="G1911" s="268" t="s">
        <v>2085</v>
      </c>
      <c r="H1911" s="270">
        <v>0.09908564814814814</v>
      </c>
      <c r="I1911" s="271">
        <v>44503.479166666664</v>
      </c>
      <c r="J1911" s="268"/>
      <c r="K1911" s="271">
        <v>44503.558333333334</v>
      </c>
      <c r="L1911" s="288" t="str">
        <f t="shared" ref="L1911:L1914" si="132">IFERROR(IF(OR(I1911="",K1911=""),"",K1911-I1911),"")</f>
        <v>1:54:00 AM</v>
      </c>
      <c r="M1911" s="278"/>
      <c r="N1911" s="290"/>
      <c r="O1911" s="276"/>
      <c r="P1911" s="276"/>
      <c r="Q1911" s="276"/>
      <c r="R1911" s="278"/>
      <c r="S1911" s="278"/>
      <c r="T1911" s="278"/>
      <c r="U1911" s="279" t="s">
        <v>28</v>
      </c>
      <c r="V1911" s="279" t="s">
        <v>1733</v>
      </c>
      <c r="W1911" s="280">
        <v>44508.0</v>
      </c>
      <c r="X1911" s="281">
        <v>0.25</v>
      </c>
      <c r="Y1911" s="279" t="s">
        <v>1693</v>
      </c>
      <c r="Z1911" s="282" t="s">
        <v>53</v>
      </c>
      <c r="AA1911" s="282" t="s">
        <v>5801</v>
      </c>
      <c r="AB1911" s="283">
        <v>44504.0</v>
      </c>
      <c r="AC1911" s="284"/>
      <c r="AD1911" s="284"/>
    </row>
    <row r="1912" ht="14.25" customHeight="1">
      <c r="A1912" s="265">
        <v>44503.0</v>
      </c>
      <c r="B1912" s="266" t="s">
        <v>1500</v>
      </c>
      <c r="C1912" s="266"/>
      <c r="D1912" s="266" t="s">
        <v>1452</v>
      </c>
      <c r="E1912" s="409"/>
      <c r="F1912" s="358" t="s">
        <v>5802</v>
      </c>
      <c r="G1912" s="268" t="s">
        <v>2085</v>
      </c>
      <c r="H1912" s="270">
        <v>0.004386574074074074</v>
      </c>
      <c r="I1912" s="271">
        <v>44503.62152777778</v>
      </c>
      <c r="J1912" s="268"/>
      <c r="K1912" s="268" t="s">
        <v>5803</v>
      </c>
      <c r="L1912" s="288" t="str">
        <f t="shared" si="132"/>
        <v>12:08:30 AM</v>
      </c>
      <c r="M1912" s="278"/>
      <c r="N1912" s="290"/>
      <c r="O1912" s="276"/>
      <c r="P1912" s="276"/>
      <c r="Q1912" s="276"/>
      <c r="R1912" s="278"/>
      <c r="S1912" s="278"/>
      <c r="T1912" s="278"/>
      <c r="U1912" s="279"/>
      <c r="V1912" s="279" t="s">
        <v>1783</v>
      </c>
      <c r="W1912" s="280">
        <v>44504.0</v>
      </c>
      <c r="X1912" s="281">
        <v>0.013888888888888888</v>
      </c>
      <c r="Y1912" s="279" t="s">
        <v>1693</v>
      </c>
      <c r="Z1912" s="282" t="s">
        <v>53</v>
      </c>
      <c r="AA1912" s="282" t="s">
        <v>5802</v>
      </c>
      <c r="AB1912" s="283">
        <v>44504.0</v>
      </c>
      <c r="AC1912" s="284"/>
      <c r="AD1912" s="284"/>
    </row>
    <row r="1913" ht="14.25" customHeight="1">
      <c r="A1913" s="265">
        <v>44503.0</v>
      </c>
      <c r="B1913" s="266" t="s">
        <v>1738</v>
      </c>
      <c r="C1913" s="266"/>
      <c r="D1913" s="266" t="s">
        <v>1686</v>
      </c>
      <c r="E1913" s="409"/>
      <c r="F1913" s="358" t="s">
        <v>5804</v>
      </c>
      <c r="G1913" s="268" t="s">
        <v>2085</v>
      </c>
      <c r="H1913" s="270">
        <v>0.03805555555555556</v>
      </c>
      <c r="I1913" s="271">
        <v>44503.74652777778</v>
      </c>
      <c r="J1913" s="268"/>
      <c r="K1913" s="271">
        <v>44503.81277777778</v>
      </c>
      <c r="L1913" s="288" t="str">
        <f t="shared" si="132"/>
        <v>1:35:24 AM</v>
      </c>
      <c r="M1913" s="278"/>
      <c r="N1913" s="290"/>
      <c r="O1913" s="276"/>
      <c r="P1913" s="276"/>
      <c r="Q1913" s="276"/>
      <c r="R1913" s="278"/>
      <c r="S1913" s="278"/>
      <c r="T1913" s="278"/>
      <c r="U1913" s="279"/>
      <c r="V1913" s="279" t="s">
        <v>1783</v>
      </c>
      <c r="W1913" s="280">
        <v>44504.0</v>
      </c>
      <c r="X1913" s="281">
        <v>0.125</v>
      </c>
      <c r="Y1913" s="279" t="s">
        <v>1693</v>
      </c>
      <c r="Z1913" s="282" t="s">
        <v>53</v>
      </c>
      <c r="AA1913" s="282" t="s">
        <v>5804</v>
      </c>
      <c r="AB1913" s="283">
        <v>44504.0</v>
      </c>
      <c r="AC1913" s="284"/>
      <c r="AD1913" s="284"/>
    </row>
    <row r="1914" ht="14.25" customHeight="1">
      <c r="A1914" s="265">
        <v>44503.0</v>
      </c>
      <c r="B1914" s="266" t="s">
        <v>3677</v>
      </c>
      <c r="C1914" s="266"/>
      <c r="D1914" s="266" t="s">
        <v>1455</v>
      </c>
      <c r="E1914" s="409"/>
      <c r="F1914" s="358" t="s">
        <v>5805</v>
      </c>
      <c r="G1914" s="268" t="s">
        <v>2085</v>
      </c>
      <c r="H1914" s="270">
        <v>0.02245370370370371</v>
      </c>
      <c r="I1914" s="271">
        <v>44503.92916666667</v>
      </c>
      <c r="J1914" s="268"/>
      <c r="K1914" s="271">
        <v>44503.94422453704</v>
      </c>
      <c r="L1914" s="288" t="str">
        <f t="shared" si="132"/>
        <v>12:21:41 AM</v>
      </c>
      <c r="M1914" s="278"/>
      <c r="N1914" s="290"/>
      <c r="O1914" s="276"/>
      <c r="P1914" s="276"/>
      <c r="Q1914" s="276"/>
      <c r="R1914" s="278"/>
      <c r="S1914" s="278"/>
      <c r="T1914" s="278"/>
      <c r="U1914" s="279"/>
      <c r="V1914" s="279" t="s">
        <v>1824</v>
      </c>
      <c r="W1914" s="280">
        <v>44504.0</v>
      </c>
      <c r="X1914" s="281">
        <v>0.0625</v>
      </c>
      <c r="Y1914" s="279" t="s">
        <v>1693</v>
      </c>
      <c r="Z1914" s="282" t="s">
        <v>53</v>
      </c>
      <c r="AA1914" s="282" t="s">
        <v>5805</v>
      </c>
      <c r="AB1914" s="283">
        <v>44504.0</v>
      </c>
      <c r="AC1914" s="284"/>
      <c r="AD1914" s="284"/>
    </row>
    <row r="1915" ht="14.25" customHeight="1">
      <c r="A1915" s="265">
        <v>44504.0</v>
      </c>
      <c r="B1915" s="266" t="s">
        <v>1500</v>
      </c>
      <c r="C1915" s="266" t="s">
        <v>1686</v>
      </c>
      <c r="D1915" s="266" t="s">
        <v>1543</v>
      </c>
      <c r="E1915" s="409"/>
      <c r="F1915" s="269" t="s">
        <v>5806</v>
      </c>
      <c r="G1915" s="268" t="s">
        <v>1463</v>
      </c>
      <c r="H1915" s="270">
        <v>0.0026504629629629625</v>
      </c>
      <c r="I1915" s="271">
        <v>44509.825694444444</v>
      </c>
      <c r="J1915" s="268"/>
      <c r="K1915" s="271">
        <v>44510.16554398148</v>
      </c>
      <c r="L1915" s="288"/>
      <c r="M1915" s="278" t="s">
        <v>5807</v>
      </c>
      <c r="N1915" s="290"/>
      <c r="O1915" s="276"/>
      <c r="P1915" s="276"/>
      <c r="Q1915" s="276"/>
      <c r="R1915" s="278"/>
      <c r="S1915" s="278"/>
      <c r="T1915" s="278"/>
      <c r="U1915" s="279"/>
      <c r="V1915" s="279" t="s">
        <v>1824</v>
      </c>
      <c r="W1915" s="280">
        <v>44518.0</v>
      </c>
      <c r="X1915" s="281">
        <v>0.005555555555555556</v>
      </c>
      <c r="Y1915" s="279" t="s">
        <v>3636</v>
      </c>
      <c r="Z1915" s="282" t="s">
        <v>53</v>
      </c>
      <c r="AA1915" s="282">
        <v>7072362.0</v>
      </c>
      <c r="AB1915" s="283">
        <v>44511.0</v>
      </c>
      <c r="AC1915" s="284"/>
      <c r="AD1915" s="284"/>
    </row>
    <row r="1916" ht="14.25" customHeight="1">
      <c r="A1916" s="265">
        <v>44504.0</v>
      </c>
      <c r="B1916" s="266" t="s">
        <v>1500</v>
      </c>
      <c r="C1916" s="266" t="s">
        <v>1696</v>
      </c>
      <c r="D1916" s="266" t="s">
        <v>1543</v>
      </c>
      <c r="E1916" s="409"/>
      <c r="F1916" s="269" t="s">
        <v>5808</v>
      </c>
      <c r="G1916" s="268" t="s">
        <v>1463</v>
      </c>
      <c r="H1916" s="270">
        <v>0.0020601851851851853</v>
      </c>
      <c r="I1916" s="271">
        <v>44509.825694444444</v>
      </c>
      <c r="J1916" s="268"/>
      <c r="K1916" s="271">
        <v>44510.16559027778</v>
      </c>
      <c r="L1916" s="288"/>
      <c r="M1916" s="278" t="s">
        <v>5809</v>
      </c>
      <c r="N1916" s="290"/>
      <c r="O1916" s="276"/>
      <c r="P1916" s="276"/>
      <c r="Q1916" s="276"/>
      <c r="R1916" s="278"/>
      <c r="S1916" s="278"/>
      <c r="T1916" s="278"/>
      <c r="U1916" s="279"/>
      <c r="V1916" s="279" t="s">
        <v>1824</v>
      </c>
      <c r="W1916" s="280">
        <v>44518.0</v>
      </c>
      <c r="X1916" s="281">
        <v>0.004166666666666667</v>
      </c>
      <c r="Y1916" s="279" t="s">
        <v>3636</v>
      </c>
      <c r="Z1916" s="282" t="s">
        <v>53</v>
      </c>
      <c r="AA1916" s="282">
        <v>7072363.0</v>
      </c>
      <c r="AB1916" s="283">
        <v>44511.0</v>
      </c>
      <c r="AC1916" s="284"/>
      <c r="AD1916" s="284"/>
    </row>
    <row r="1917" ht="14.25" customHeight="1">
      <c r="A1917" s="265">
        <v>44504.0</v>
      </c>
      <c r="B1917" s="266" t="s">
        <v>1738</v>
      </c>
      <c r="C1917" s="266"/>
      <c r="D1917" s="266" t="s">
        <v>1450</v>
      </c>
      <c r="E1917" s="409"/>
      <c r="F1917" s="358" t="s">
        <v>5810</v>
      </c>
      <c r="G1917" s="268" t="s">
        <v>2085</v>
      </c>
      <c r="H1917" s="270">
        <v>0.09848379629629629</v>
      </c>
      <c r="I1917" s="271">
        <v>44504.47638888889</v>
      </c>
      <c r="J1917" s="268"/>
      <c r="K1917" s="271">
        <v>44504.55347222222</v>
      </c>
      <c r="L1917" s="288" t="str">
        <f t="shared" ref="L1917:L1920" si="133">IFERROR(IF(OR(I1917="",K1917=""),"",K1917-I1917),"")</f>
        <v>1:51:00 AM</v>
      </c>
      <c r="M1917" s="278"/>
      <c r="N1917" s="290"/>
      <c r="O1917" s="276"/>
      <c r="P1917" s="276"/>
      <c r="Q1917" s="276"/>
      <c r="R1917" s="278"/>
      <c r="S1917" s="278"/>
      <c r="T1917" s="278"/>
      <c r="U1917" s="279"/>
      <c r="V1917" s="279" t="s">
        <v>1746</v>
      </c>
      <c r="W1917" s="280">
        <v>44507.0</v>
      </c>
      <c r="X1917" s="281">
        <v>0.3333333333333333</v>
      </c>
      <c r="Y1917" s="279" t="s">
        <v>1693</v>
      </c>
      <c r="Z1917" s="282" t="s">
        <v>53</v>
      </c>
      <c r="AA1917" s="282" t="s">
        <v>5810</v>
      </c>
      <c r="AB1917" s="283">
        <v>44505.0</v>
      </c>
      <c r="AC1917" s="284"/>
      <c r="AD1917" s="284"/>
    </row>
    <row r="1918" ht="14.25" customHeight="1">
      <c r="A1918" s="265">
        <v>44504.0</v>
      </c>
      <c r="B1918" s="266" t="s">
        <v>1738</v>
      </c>
      <c r="C1918" s="266"/>
      <c r="D1918" s="266" t="s">
        <v>1452</v>
      </c>
      <c r="E1918" s="409"/>
      <c r="F1918" s="358" t="s">
        <v>5811</v>
      </c>
      <c r="G1918" s="268" t="s">
        <v>2085</v>
      </c>
      <c r="H1918" s="270">
        <v>0.006481481481481481</v>
      </c>
      <c r="I1918" s="271">
        <v>44504.50069444445</v>
      </c>
      <c r="J1918" s="268"/>
      <c r="K1918" s="271">
        <v>44504.505277777775</v>
      </c>
      <c r="L1918" s="288" t="str">
        <f t="shared" si="133"/>
        <v>12:06:36 AM</v>
      </c>
      <c r="M1918" s="278"/>
      <c r="N1918" s="290"/>
      <c r="O1918" s="276"/>
      <c r="P1918" s="276"/>
      <c r="Q1918" s="276"/>
      <c r="R1918" s="278"/>
      <c r="S1918" s="278"/>
      <c r="T1918" s="278"/>
      <c r="U1918" s="279"/>
      <c r="V1918" s="279" t="s">
        <v>1783</v>
      </c>
      <c r="W1918" s="280">
        <v>44505.0</v>
      </c>
      <c r="X1918" s="281">
        <v>0.017361111111111112</v>
      </c>
      <c r="Y1918" s="279" t="s">
        <v>1693</v>
      </c>
      <c r="Z1918" s="282" t="s">
        <v>53</v>
      </c>
      <c r="AA1918" s="282" t="s">
        <v>5811</v>
      </c>
      <c r="AB1918" s="283">
        <v>44505.0</v>
      </c>
      <c r="AC1918" s="284"/>
      <c r="AD1918" s="284"/>
    </row>
    <row r="1919" ht="14.25" customHeight="1">
      <c r="A1919" s="265">
        <v>44504.0</v>
      </c>
      <c r="B1919" s="266" t="s">
        <v>1783</v>
      </c>
      <c r="C1919" s="266"/>
      <c r="D1919" s="266" t="s">
        <v>1686</v>
      </c>
      <c r="E1919" s="409"/>
      <c r="F1919" s="358" t="s">
        <v>5812</v>
      </c>
      <c r="G1919" s="268" t="s">
        <v>2085</v>
      </c>
      <c r="H1919" s="270">
        <v>0.036423611111111115</v>
      </c>
      <c r="I1919" s="271">
        <v>44504.63125</v>
      </c>
      <c r="J1919" s="268"/>
      <c r="K1919" s="268" t="s">
        <v>5813</v>
      </c>
      <c r="L1919" s="288" t="str">
        <f t="shared" si="133"/>
        <v>12:29:18 AM</v>
      </c>
      <c r="M1919" s="278"/>
      <c r="N1919" s="290"/>
      <c r="O1919" s="276"/>
      <c r="P1919" s="276"/>
      <c r="Q1919" s="276"/>
      <c r="R1919" s="278"/>
      <c r="S1919" s="278"/>
      <c r="T1919" s="278"/>
      <c r="U1919" s="279"/>
      <c r="V1919" s="279" t="s">
        <v>1783</v>
      </c>
      <c r="W1919" s="280">
        <v>44505.0</v>
      </c>
      <c r="X1919" s="281">
        <v>0.13194444444444445</v>
      </c>
      <c r="Y1919" s="279" t="s">
        <v>1693</v>
      </c>
      <c r="Z1919" s="282" t="s">
        <v>53</v>
      </c>
      <c r="AA1919" s="282" t="s">
        <v>5812</v>
      </c>
      <c r="AB1919" s="283">
        <v>44505.0</v>
      </c>
      <c r="AC1919" s="284"/>
      <c r="AD1919" s="284"/>
    </row>
    <row r="1920" ht="14.25" customHeight="1">
      <c r="A1920" s="265">
        <v>44504.0</v>
      </c>
      <c r="B1920" s="266" t="s">
        <v>3677</v>
      </c>
      <c r="C1920" s="266"/>
      <c r="D1920" s="266" t="s">
        <v>1455</v>
      </c>
      <c r="E1920" s="409"/>
      <c r="F1920" s="358" t="s">
        <v>5814</v>
      </c>
      <c r="G1920" s="268" t="s">
        <v>2085</v>
      </c>
      <c r="H1920" s="270">
        <v>0.021770833333333336</v>
      </c>
      <c r="I1920" s="271">
        <v>44504.85138888889</v>
      </c>
      <c r="J1920" s="268"/>
      <c r="K1920" s="271">
        <v>44504.88015046297</v>
      </c>
      <c r="L1920" s="288" t="str">
        <f t="shared" si="133"/>
        <v>12:41:25 AM</v>
      </c>
      <c r="M1920" s="278"/>
      <c r="N1920" s="290"/>
      <c r="O1920" s="276"/>
      <c r="P1920" s="276"/>
      <c r="Q1920" s="276"/>
      <c r="R1920" s="278"/>
      <c r="S1920" s="278"/>
      <c r="T1920" s="278"/>
      <c r="U1920" s="279"/>
      <c r="V1920" s="279" t="s">
        <v>1824</v>
      </c>
      <c r="W1920" s="280">
        <v>44505.0</v>
      </c>
      <c r="X1920" s="281">
        <v>0.08333333333333333</v>
      </c>
      <c r="Y1920" s="279" t="s">
        <v>1693</v>
      </c>
      <c r="Z1920" s="282" t="s">
        <v>53</v>
      </c>
      <c r="AA1920" s="282" t="s">
        <v>5814</v>
      </c>
      <c r="AB1920" s="283">
        <v>44505.0</v>
      </c>
      <c r="AC1920" s="284"/>
      <c r="AD1920" s="284"/>
    </row>
    <row r="1921" ht="14.25" customHeight="1">
      <c r="A1921" s="265">
        <v>44505.0</v>
      </c>
      <c r="B1921" s="266" t="s">
        <v>1733</v>
      </c>
      <c r="C1921" s="266" t="s">
        <v>2158</v>
      </c>
      <c r="D1921" s="266" t="s">
        <v>1450</v>
      </c>
      <c r="E1921" s="409"/>
      <c r="F1921" s="269" t="s">
        <v>5815</v>
      </c>
      <c r="G1921" s="268" t="s">
        <v>1463</v>
      </c>
      <c r="H1921" s="270">
        <v>0.0025578703703703705</v>
      </c>
      <c r="I1921" s="271">
        <v>44509.379166666666</v>
      </c>
      <c r="J1921" s="268"/>
      <c r="K1921" s="271">
        <v>44509.388449074075</v>
      </c>
      <c r="L1921" s="288"/>
      <c r="M1921" s="278" t="s">
        <v>5816</v>
      </c>
      <c r="N1921" s="290"/>
      <c r="O1921" s="276"/>
      <c r="P1921" s="276"/>
      <c r="Q1921" s="276"/>
      <c r="R1921" s="278"/>
      <c r="S1921" s="278"/>
      <c r="T1921" s="278"/>
      <c r="U1921" s="279"/>
      <c r="V1921" s="279" t="s">
        <v>1733</v>
      </c>
      <c r="W1921" s="280">
        <v>44509.0</v>
      </c>
      <c r="X1921" s="281">
        <v>0.006944444444444444</v>
      </c>
      <c r="Y1921" s="279" t="s">
        <v>1693</v>
      </c>
      <c r="Z1921" s="282" t="s">
        <v>53</v>
      </c>
      <c r="AA1921" s="282">
        <v>7053765.0</v>
      </c>
      <c r="AB1921" s="283">
        <v>44510.0</v>
      </c>
      <c r="AC1921" s="284"/>
      <c r="AD1921" s="284"/>
    </row>
    <row r="1922" ht="14.25" customHeight="1">
      <c r="A1922" s="265">
        <v>44505.0</v>
      </c>
      <c r="B1922" s="266" t="s">
        <v>1500</v>
      </c>
      <c r="C1922" s="266" t="s">
        <v>2083</v>
      </c>
      <c r="D1922" s="266" t="s">
        <v>1543</v>
      </c>
      <c r="E1922" s="409"/>
      <c r="F1922" s="269" t="s">
        <v>5817</v>
      </c>
      <c r="G1922" s="268" t="s">
        <v>1463</v>
      </c>
      <c r="H1922" s="270">
        <v>0.0024305555555555556</v>
      </c>
      <c r="I1922" s="271">
        <v>44509.825694444444</v>
      </c>
      <c r="J1922" s="268"/>
      <c r="K1922" s="271">
        <v>44510.16611111111</v>
      </c>
      <c r="L1922" s="288"/>
      <c r="M1922" s="278" t="s">
        <v>5818</v>
      </c>
      <c r="N1922" s="290"/>
      <c r="O1922" s="276"/>
      <c r="P1922" s="276"/>
      <c r="Q1922" s="276"/>
      <c r="R1922" s="278"/>
      <c r="S1922" s="278"/>
      <c r="T1922" s="278"/>
      <c r="U1922" s="279"/>
      <c r="V1922" s="279" t="s">
        <v>1824</v>
      </c>
      <c r="W1922" s="280">
        <v>44518.0</v>
      </c>
      <c r="X1922" s="281">
        <v>0.004166666666666667</v>
      </c>
      <c r="Y1922" s="279" t="s">
        <v>3636</v>
      </c>
      <c r="Z1922" s="282" t="s">
        <v>53</v>
      </c>
      <c r="AA1922" s="282">
        <v>7072364.0</v>
      </c>
      <c r="AB1922" s="283">
        <v>44511.0</v>
      </c>
      <c r="AC1922" s="284"/>
      <c r="AD1922" s="284"/>
    </row>
    <row r="1923" ht="14.25" customHeight="1">
      <c r="A1923" s="265">
        <v>44505.0</v>
      </c>
      <c r="B1923" s="266" t="s">
        <v>1500</v>
      </c>
      <c r="C1923" s="266" t="s">
        <v>1696</v>
      </c>
      <c r="D1923" s="266" t="s">
        <v>1543</v>
      </c>
      <c r="E1923" s="409"/>
      <c r="F1923" s="269" t="s">
        <v>5819</v>
      </c>
      <c r="G1923" s="268" t="s">
        <v>1463</v>
      </c>
      <c r="H1923" s="270">
        <v>0.0022685185185185182</v>
      </c>
      <c r="I1923" s="271">
        <v>44510.770833333336</v>
      </c>
      <c r="J1923" s="268"/>
      <c r="K1923" s="271">
        <v>44510.78047453704</v>
      </c>
      <c r="L1923" s="288"/>
      <c r="M1923" s="278" t="s">
        <v>5820</v>
      </c>
      <c r="N1923" s="290"/>
      <c r="O1923" s="276"/>
      <c r="P1923" s="276"/>
      <c r="Q1923" s="276"/>
      <c r="R1923" s="278"/>
      <c r="S1923" s="278"/>
      <c r="T1923" s="278"/>
      <c r="U1923" s="279"/>
      <c r="V1923" s="279" t="s">
        <v>1824</v>
      </c>
      <c r="W1923" s="280">
        <v>44518.0</v>
      </c>
      <c r="X1923" s="281">
        <v>0.004861111111111111</v>
      </c>
      <c r="Y1923" s="279" t="s">
        <v>3636</v>
      </c>
      <c r="Z1923" s="282" t="s">
        <v>53</v>
      </c>
      <c r="AA1923" s="282">
        <v>7072365.0</v>
      </c>
      <c r="AB1923" s="283">
        <v>44511.0</v>
      </c>
      <c r="AC1923" s="284"/>
      <c r="AD1923" s="284"/>
    </row>
    <row r="1924" ht="14.25" customHeight="1">
      <c r="A1924" s="265">
        <v>44505.0</v>
      </c>
      <c r="B1924" s="266" t="s">
        <v>1738</v>
      </c>
      <c r="C1924" s="266"/>
      <c r="D1924" s="266" t="s">
        <v>1450</v>
      </c>
      <c r="E1924" s="409"/>
      <c r="F1924" s="358" t="s">
        <v>5821</v>
      </c>
      <c r="G1924" s="268" t="s">
        <v>2085</v>
      </c>
      <c r="H1924" s="270">
        <v>0.0975925925925926</v>
      </c>
      <c r="I1924" s="271">
        <v>44505.45972222222</v>
      </c>
      <c r="J1924" s="268"/>
      <c r="K1924" s="271">
        <v>44505.541666666664</v>
      </c>
      <c r="L1924" s="288" t="str">
        <f t="shared" ref="L1924:L1929" si="134">IFERROR(IF(OR(I1924="",K1924=""),"",K1924-I1924),"")</f>
        <v>1:58:00 AM</v>
      </c>
      <c r="M1924" s="278"/>
      <c r="N1924" s="290"/>
      <c r="O1924" s="276"/>
      <c r="P1924" s="276"/>
      <c r="Q1924" s="276"/>
      <c r="R1924" s="278"/>
      <c r="S1924" s="278"/>
      <c r="T1924" s="278"/>
      <c r="U1924" s="279"/>
      <c r="V1924" s="279" t="s">
        <v>1733</v>
      </c>
      <c r="W1924" s="280">
        <v>44509.0</v>
      </c>
      <c r="X1924" s="281">
        <v>0.25</v>
      </c>
      <c r="Y1924" s="279" t="s">
        <v>1693</v>
      </c>
      <c r="Z1924" s="282" t="s">
        <v>53</v>
      </c>
      <c r="AA1924" s="282" t="s">
        <v>5821</v>
      </c>
      <c r="AB1924" s="283">
        <v>44508.0</v>
      </c>
      <c r="AC1924" s="284"/>
      <c r="AD1924" s="284"/>
    </row>
    <row r="1925" ht="14.25" customHeight="1">
      <c r="A1925" s="265">
        <v>44505.0</v>
      </c>
      <c r="B1925" s="266" t="s">
        <v>1783</v>
      </c>
      <c r="C1925" s="266"/>
      <c r="D1925" s="266" t="s">
        <v>1452</v>
      </c>
      <c r="E1925" s="409"/>
      <c r="F1925" s="358" t="s">
        <v>5822</v>
      </c>
      <c r="G1925" s="268" t="s">
        <v>2085</v>
      </c>
      <c r="H1925" s="270">
        <v>0.0018518518518518517</v>
      </c>
      <c r="I1925" s="268" t="s">
        <v>5823</v>
      </c>
      <c r="J1925" s="268"/>
      <c r="K1925" s="268" t="s">
        <v>5824</v>
      </c>
      <c r="L1925" s="288" t="str">
        <f t="shared" si="134"/>
        <v>12:04:45 AM</v>
      </c>
      <c r="M1925" s="278"/>
      <c r="N1925" s="290"/>
      <c r="O1925" s="276"/>
      <c r="P1925" s="276"/>
      <c r="Q1925" s="276"/>
      <c r="R1925" s="278"/>
      <c r="S1925" s="278"/>
      <c r="T1925" s="278"/>
      <c r="U1925" s="279"/>
      <c r="V1925" s="279" t="s">
        <v>1783</v>
      </c>
      <c r="W1925" s="280">
        <v>44505.0</v>
      </c>
      <c r="X1925" s="281">
        <v>0.006944444444444444</v>
      </c>
      <c r="Y1925" s="279" t="s">
        <v>1693</v>
      </c>
      <c r="Z1925" s="282" t="s">
        <v>53</v>
      </c>
      <c r="AA1925" s="282" t="s">
        <v>5822</v>
      </c>
      <c r="AB1925" s="283">
        <v>44508.0</v>
      </c>
      <c r="AC1925" s="284"/>
      <c r="AD1925" s="284"/>
    </row>
    <row r="1926" ht="14.25" customHeight="1">
      <c r="A1926" s="265">
        <v>44505.0</v>
      </c>
      <c r="B1926" s="266" t="s">
        <v>1783</v>
      </c>
      <c r="C1926" s="266"/>
      <c r="D1926" s="266" t="s">
        <v>1686</v>
      </c>
      <c r="E1926" s="409"/>
      <c r="F1926" s="358" t="s">
        <v>5825</v>
      </c>
      <c r="G1926" s="268" t="s">
        <v>2085</v>
      </c>
      <c r="H1926" s="270">
        <v>0.037696759259259256</v>
      </c>
      <c r="I1926" s="271">
        <v>44505.589583333334</v>
      </c>
      <c r="J1926" s="268"/>
      <c r="K1926" s="268" t="s">
        <v>5826</v>
      </c>
      <c r="L1926" s="288" t="str">
        <f t="shared" si="134"/>
        <v>12:34:27 AM</v>
      </c>
      <c r="M1926" s="278"/>
      <c r="N1926" s="290"/>
      <c r="O1926" s="276"/>
      <c r="P1926" s="276"/>
      <c r="Q1926" s="276"/>
      <c r="R1926" s="278"/>
      <c r="S1926" s="278"/>
      <c r="T1926" s="278"/>
      <c r="U1926" s="279"/>
      <c r="V1926" s="279" t="s">
        <v>1824</v>
      </c>
      <c r="W1926" s="280">
        <v>44508.0</v>
      </c>
      <c r="X1926" s="281">
        <v>0.1111111111111111</v>
      </c>
      <c r="Y1926" s="279" t="s">
        <v>1693</v>
      </c>
      <c r="Z1926" s="282" t="s">
        <v>53</v>
      </c>
      <c r="AA1926" s="282" t="s">
        <v>5825</v>
      </c>
      <c r="AB1926" s="283">
        <v>44508.0</v>
      </c>
      <c r="AC1926" s="284"/>
      <c r="AD1926" s="284"/>
    </row>
    <row r="1927" ht="14.25" customHeight="1">
      <c r="A1927" s="265">
        <v>44505.0</v>
      </c>
      <c r="B1927" s="266" t="s">
        <v>1733</v>
      </c>
      <c r="C1927" s="266"/>
      <c r="D1927" s="266" t="s">
        <v>1455</v>
      </c>
      <c r="E1927" s="409"/>
      <c r="F1927" s="358" t="s">
        <v>5827</v>
      </c>
      <c r="G1927" s="268" t="s">
        <v>2085</v>
      </c>
      <c r="H1927" s="270">
        <v>0.02028935185185185</v>
      </c>
      <c r="I1927" s="271">
        <v>44505.92986111111</v>
      </c>
      <c r="J1927" s="268"/>
      <c r="K1927" s="271">
        <v>44505.95474537037</v>
      </c>
      <c r="L1927" s="288" t="str">
        <f t="shared" si="134"/>
        <v>12:35:50 AM</v>
      </c>
      <c r="M1927" s="278"/>
      <c r="N1927" s="290"/>
      <c r="O1927" s="276"/>
      <c r="P1927" s="276"/>
      <c r="Q1927" s="276"/>
      <c r="R1927" s="278"/>
      <c r="S1927" s="278"/>
      <c r="T1927" s="278"/>
      <c r="U1927" s="279"/>
      <c r="V1927" s="279" t="s">
        <v>1500</v>
      </c>
      <c r="W1927" s="280">
        <v>44508.0</v>
      </c>
      <c r="X1927" s="281">
        <v>0.08333333333333333</v>
      </c>
      <c r="Y1927" s="279" t="s">
        <v>1693</v>
      </c>
      <c r="Z1927" s="282" t="s">
        <v>53</v>
      </c>
      <c r="AA1927" s="282" t="s">
        <v>5827</v>
      </c>
      <c r="AB1927" s="283">
        <v>44508.0</v>
      </c>
      <c r="AC1927" s="284"/>
      <c r="AD1927" s="284"/>
    </row>
    <row r="1928" ht="14.25" customHeight="1">
      <c r="A1928" s="265">
        <v>44506.0</v>
      </c>
      <c r="B1928" s="266" t="s">
        <v>1783</v>
      </c>
      <c r="C1928" s="266"/>
      <c r="D1928" s="266" t="s">
        <v>1686</v>
      </c>
      <c r="E1928" s="409"/>
      <c r="F1928" s="358" t="s">
        <v>5828</v>
      </c>
      <c r="G1928" s="268" t="s">
        <v>2085</v>
      </c>
      <c r="H1928" s="270">
        <v>0.03833333333333334</v>
      </c>
      <c r="I1928" s="271">
        <v>44506.64027777778</v>
      </c>
      <c r="J1928" s="268"/>
      <c r="K1928" s="268" t="s">
        <v>5829</v>
      </c>
      <c r="L1928" s="288" t="str">
        <f t="shared" si="134"/>
        <v>12:44:57 AM</v>
      </c>
      <c r="M1928" s="278"/>
      <c r="N1928" s="290"/>
      <c r="O1928" s="276"/>
      <c r="P1928" s="276"/>
      <c r="Q1928" s="276"/>
      <c r="R1928" s="278"/>
      <c r="S1928" s="278"/>
      <c r="T1928" s="278"/>
      <c r="U1928" s="279"/>
      <c r="V1928" s="279" t="s">
        <v>1824</v>
      </c>
      <c r="W1928" s="280">
        <v>44509.0</v>
      </c>
      <c r="X1928" s="281">
        <v>0.10972222222222222</v>
      </c>
      <c r="Y1928" s="279" t="s">
        <v>1693</v>
      </c>
      <c r="Z1928" s="282" t="s">
        <v>53</v>
      </c>
      <c r="AA1928" s="282" t="s">
        <v>5828</v>
      </c>
      <c r="AB1928" s="283">
        <v>44508.0</v>
      </c>
      <c r="AC1928" s="284"/>
      <c r="AD1928" s="284"/>
    </row>
    <row r="1929" ht="14.25" customHeight="1">
      <c r="A1929" s="265">
        <v>44506.0</v>
      </c>
      <c r="B1929" s="266" t="s">
        <v>1746</v>
      </c>
      <c r="C1929" s="266"/>
      <c r="D1929" s="266" t="s">
        <v>1455</v>
      </c>
      <c r="E1929" s="409"/>
      <c r="F1929" s="358" t="s">
        <v>5830</v>
      </c>
      <c r="G1929" s="268" t="s">
        <v>2085</v>
      </c>
      <c r="H1929" s="270">
        <v>0.017372685185185185</v>
      </c>
      <c r="I1929" s="271">
        <v>44508.032638888886</v>
      </c>
      <c r="J1929" s="268"/>
      <c r="K1929" s="271">
        <v>44508.05069444444</v>
      </c>
      <c r="L1929" s="288" t="str">
        <f t="shared" si="134"/>
        <v>12:26:00 AM</v>
      </c>
      <c r="M1929" s="278"/>
      <c r="N1929" s="290"/>
      <c r="O1929" s="276"/>
      <c r="P1929" s="276"/>
      <c r="Q1929" s="276"/>
      <c r="R1929" s="278"/>
      <c r="S1929" s="278"/>
      <c r="T1929" s="278"/>
      <c r="U1929" s="279"/>
      <c r="V1929" s="279" t="s">
        <v>1500</v>
      </c>
      <c r="W1929" s="280">
        <v>44509.0</v>
      </c>
      <c r="X1929" s="281">
        <v>0.0763888888888889</v>
      </c>
      <c r="Y1929" s="279" t="s">
        <v>1693</v>
      </c>
      <c r="Z1929" s="282" t="s">
        <v>53</v>
      </c>
      <c r="AA1929" s="282" t="s">
        <v>5830</v>
      </c>
      <c r="AB1929" s="283">
        <v>44508.0</v>
      </c>
      <c r="AC1929" s="284"/>
      <c r="AD1929" s="284"/>
    </row>
    <row r="1930" ht="14.25" customHeight="1">
      <c r="A1930" s="265">
        <v>44507.0</v>
      </c>
      <c r="B1930" s="266" t="s">
        <v>1733</v>
      </c>
      <c r="C1930" s="266"/>
      <c r="D1930" s="266" t="s">
        <v>3509</v>
      </c>
      <c r="E1930" s="409"/>
      <c r="F1930" s="358">
        <v>6886721.0</v>
      </c>
      <c r="G1930" s="268" t="s">
        <v>3839</v>
      </c>
      <c r="H1930" s="270">
        <v>0.05649305555555556</v>
      </c>
      <c r="I1930" s="271">
        <v>44507.63888888889</v>
      </c>
      <c r="J1930" s="268"/>
      <c r="K1930" s="271">
        <v>44508.777233796296</v>
      </c>
      <c r="L1930" s="288"/>
      <c r="M1930" s="272" t="s">
        <v>5831</v>
      </c>
      <c r="N1930" s="273"/>
      <c r="O1930" s="276"/>
      <c r="P1930" s="276"/>
      <c r="Q1930" s="276"/>
      <c r="R1930" s="278"/>
      <c r="S1930" s="278"/>
      <c r="T1930" s="278"/>
      <c r="U1930" s="279" t="s">
        <v>28</v>
      </c>
      <c r="V1930" s="279" t="s">
        <v>28</v>
      </c>
      <c r="W1930" s="279" t="s">
        <v>28</v>
      </c>
      <c r="X1930" s="279" t="s">
        <v>28</v>
      </c>
      <c r="Y1930" s="279" t="s">
        <v>28</v>
      </c>
      <c r="Z1930" s="282" t="s">
        <v>526</v>
      </c>
      <c r="AA1930" s="282">
        <v>6886721.0</v>
      </c>
      <c r="AB1930" s="283">
        <v>44508.0</v>
      </c>
      <c r="AC1930" s="284"/>
      <c r="AD1930" s="284"/>
    </row>
    <row r="1931" ht="14.25" customHeight="1">
      <c r="A1931" s="265">
        <v>44507.0</v>
      </c>
      <c r="B1931" s="266" t="s">
        <v>1733</v>
      </c>
      <c r="C1931" s="266"/>
      <c r="D1931" s="266" t="s">
        <v>1457</v>
      </c>
      <c r="E1931" s="409"/>
      <c r="F1931" s="358" t="s">
        <v>5832</v>
      </c>
      <c r="G1931" s="268" t="s">
        <v>2085</v>
      </c>
      <c r="H1931" s="270">
        <v>0.017534722222222222</v>
      </c>
      <c r="I1931" s="271">
        <v>44508.92638888889</v>
      </c>
      <c r="J1931" s="268"/>
      <c r="K1931" s="271">
        <v>44508.94289351852</v>
      </c>
      <c r="L1931" s="288" t="str">
        <f t="shared" ref="L1931:L1932" si="135">IFERROR(IF(OR(I1931="",K1931=""),"",K1931-I1931),"")</f>
        <v>12:23:46 AM</v>
      </c>
      <c r="M1931" s="278"/>
      <c r="N1931" s="290"/>
      <c r="O1931" s="276"/>
      <c r="P1931" s="276"/>
      <c r="Q1931" s="276"/>
      <c r="R1931" s="278"/>
      <c r="S1931" s="278"/>
      <c r="T1931" s="278"/>
      <c r="U1931" s="279"/>
      <c r="V1931" s="279" t="s">
        <v>1824</v>
      </c>
      <c r="W1931" s="280">
        <v>44512.0</v>
      </c>
      <c r="X1931" s="281">
        <v>0.041666666666666664</v>
      </c>
      <c r="Y1931" s="279" t="s">
        <v>1693</v>
      </c>
      <c r="Z1931" s="282" t="s">
        <v>53</v>
      </c>
      <c r="AA1931" s="282" t="s">
        <v>5832</v>
      </c>
      <c r="AB1931" s="283">
        <v>44509.0</v>
      </c>
      <c r="AC1931" s="284"/>
      <c r="AD1931" s="284"/>
    </row>
    <row r="1932" ht="14.25" customHeight="1">
      <c r="A1932" s="265">
        <v>44507.0</v>
      </c>
      <c r="B1932" s="266" t="s">
        <v>1733</v>
      </c>
      <c r="C1932" s="266"/>
      <c r="D1932" s="266" t="s">
        <v>2829</v>
      </c>
      <c r="E1932" s="409"/>
      <c r="F1932" s="358" t="s">
        <v>5833</v>
      </c>
      <c r="G1932" s="268" t="s">
        <v>2085</v>
      </c>
      <c r="H1932" s="270">
        <v>0.01877314814814815</v>
      </c>
      <c r="I1932" s="271">
        <v>44507.645833333336</v>
      </c>
      <c r="J1932" s="268"/>
      <c r="K1932" s="268"/>
      <c r="L1932" s="288" t="str">
        <f t="shared" si="135"/>
        <v/>
      </c>
      <c r="M1932" s="307" t="s">
        <v>3482</v>
      </c>
      <c r="N1932" s="273">
        <v>44507.65625</v>
      </c>
      <c r="O1932" s="276" t="s">
        <v>5834</v>
      </c>
      <c r="P1932" s="276" t="s">
        <v>1463</v>
      </c>
      <c r="Q1932" s="276" t="s">
        <v>1819</v>
      </c>
      <c r="R1932" s="277">
        <v>44507.67822916667</v>
      </c>
      <c r="S1932" s="278"/>
      <c r="T1932" s="278" t="s">
        <v>5835</v>
      </c>
      <c r="U1932" s="279"/>
      <c r="V1932" s="279" t="s">
        <v>28</v>
      </c>
      <c r="W1932" s="279" t="s">
        <v>28</v>
      </c>
      <c r="X1932" s="279" t="s">
        <v>28</v>
      </c>
      <c r="Y1932" s="279" t="s">
        <v>28</v>
      </c>
      <c r="Z1932" s="282" t="s">
        <v>53</v>
      </c>
      <c r="AA1932" s="282" t="s">
        <v>5833</v>
      </c>
      <c r="AB1932" s="283">
        <v>44509.0</v>
      </c>
      <c r="AC1932" s="284"/>
      <c r="AD1932" s="284"/>
    </row>
    <row r="1933" ht="14.25" customHeight="1">
      <c r="A1933" s="265">
        <v>44508.0</v>
      </c>
      <c r="B1933" s="266" t="s">
        <v>1500</v>
      </c>
      <c r="C1933" s="266" t="s">
        <v>1450</v>
      </c>
      <c r="D1933" s="266" t="s">
        <v>1543</v>
      </c>
      <c r="E1933" s="409"/>
      <c r="F1933" s="269" t="s">
        <v>5836</v>
      </c>
      <c r="G1933" s="268" t="s">
        <v>1463</v>
      </c>
      <c r="H1933" s="270">
        <v>0.0026620370370370374</v>
      </c>
      <c r="I1933" s="271">
        <v>44509.825694444444</v>
      </c>
      <c r="J1933" s="268"/>
      <c r="K1933" s="271">
        <v>44510.16575231482</v>
      </c>
      <c r="L1933" s="288"/>
      <c r="M1933" s="278" t="s">
        <v>5837</v>
      </c>
      <c r="N1933" s="290"/>
      <c r="O1933" s="276"/>
      <c r="P1933" s="276"/>
      <c r="Q1933" s="276"/>
      <c r="R1933" s="278"/>
      <c r="S1933" s="278"/>
      <c r="T1933" s="278"/>
      <c r="U1933" s="279"/>
      <c r="V1933" s="279" t="s">
        <v>1824</v>
      </c>
      <c r="W1933" s="280">
        <v>44518.0</v>
      </c>
      <c r="X1933" s="281">
        <v>0.003472222222222222</v>
      </c>
      <c r="Y1933" s="279" t="s">
        <v>3636</v>
      </c>
      <c r="Z1933" s="282" t="s">
        <v>53</v>
      </c>
      <c r="AA1933" s="282">
        <v>7072366.0</v>
      </c>
      <c r="AB1933" s="283">
        <v>44511.0</v>
      </c>
      <c r="AC1933" s="284"/>
      <c r="AD1933" s="284"/>
    </row>
    <row r="1934" ht="14.25" customHeight="1">
      <c r="A1934" s="265">
        <v>44508.0</v>
      </c>
      <c r="B1934" s="266" t="s">
        <v>1500</v>
      </c>
      <c r="C1934" s="266" t="s">
        <v>1686</v>
      </c>
      <c r="D1934" s="266" t="s">
        <v>1543</v>
      </c>
      <c r="E1934" s="409"/>
      <c r="F1934" s="269" t="s">
        <v>5838</v>
      </c>
      <c r="G1934" s="268" t="s">
        <v>1463</v>
      </c>
      <c r="H1934" s="270">
        <v>0.001400462962962963</v>
      </c>
      <c r="I1934" s="271">
        <v>44511.75902777778</v>
      </c>
      <c r="J1934" s="268"/>
      <c r="K1934" s="271">
        <v>44512.09767361111</v>
      </c>
      <c r="L1934" s="288"/>
      <c r="M1934" s="278" t="s">
        <v>5839</v>
      </c>
      <c r="N1934" s="290"/>
      <c r="O1934" s="276"/>
      <c r="P1934" s="276"/>
      <c r="Q1934" s="276"/>
      <c r="R1934" s="278"/>
      <c r="S1934" s="278"/>
      <c r="T1934" s="278"/>
      <c r="U1934" s="279"/>
      <c r="V1934" s="279" t="s">
        <v>1824</v>
      </c>
      <c r="W1934" s="280">
        <v>44518.0</v>
      </c>
      <c r="X1934" s="281">
        <v>0.003472222222222222</v>
      </c>
      <c r="Y1934" s="279" t="s">
        <v>3636</v>
      </c>
      <c r="Z1934" s="282" t="s">
        <v>53</v>
      </c>
      <c r="AA1934" s="282">
        <v>7091754.0</v>
      </c>
      <c r="AB1934" s="283">
        <v>44517.0</v>
      </c>
      <c r="AC1934" s="284"/>
      <c r="AD1934" s="284"/>
    </row>
    <row r="1935" ht="14.25" customHeight="1">
      <c r="A1935" s="265">
        <v>44508.0</v>
      </c>
      <c r="B1935" s="266" t="s">
        <v>1500</v>
      </c>
      <c r="C1935" s="266" t="s">
        <v>1686</v>
      </c>
      <c r="D1935" s="266" t="s">
        <v>1543</v>
      </c>
      <c r="E1935" s="409"/>
      <c r="F1935" s="269" t="s">
        <v>5840</v>
      </c>
      <c r="G1935" s="268" t="s">
        <v>1463</v>
      </c>
      <c r="H1935" s="270">
        <v>0.0022106481481481478</v>
      </c>
      <c r="I1935" s="271">
        <v>44511.75902777778</v>
      </c>
      <c r="J1935" s="268"/>
      <c r="K1935" s="271">
        <v>44512.09923611111</v>
      </c>
      <c r="L1935" s="288"/>
      <c r="M1935" s="278" t="s">
        <v>5841</v>
      </c>
      <c r="N1935" s="290"/>
      <c r="O1935" s="276"/>
      <c r="P1935" s="276"/>
      <c r="Q1935" s="276"/>
      <c r="R1935" s="278"/>
      <c r="S1935" s="278"/>
      <c r="T1935" s="278"/>
      <c r="U1935" s="279"/>
      <c r="V1935" s="279" t="s">
        <v>1824</v>
      </c>
      <c r="W1935" s="280">
        <v>44518.0</v>
      </c>
      <c r="X1935" s="281">
        <v>0.004861111111111111</v>
      </c>
      <c r="Y1935" s="279" t="s">
        <v>3636</v>
      </c>
      <c r="Z1935" s="282" t="s">
        <v>53</v>
      </c>
      <c r="AA1935" s="282">
        <v>7091755.0</v>
      </c>
      <c r="AB1935" s="283">
        <v>44517.0</v>
      </c>
      <c r="AC1935" s="284"/>
      <c r="AD1935" s="284"/>
    </row>
    <row r="1936" ht="14.25" customHeight="1">
      <c r="A1936" s="265">
        <v>44508.0</v>
      </c>
      <c r="B1936" s="266" t="s">
        <v>1733</v>
      </c>
      <c r="C1936" s="266"/>
      <c r="D1936" s="266" t="s">
        <v>1450</v>
      </c>
      <c r="E1936" s="409"/>
      <c r="F1936" s="358" t="s">
        <v>5842</v>
      </c>
      <c r="G1936" s="268" t="s">
        <v>2085</v>
      </c>
      <c r="H1936" s="270">
        <v>0.0999074074074074</v>
      </c>
      <c r="I1936" s="271">
        <v>45237.94513888889</v>
      </c>
      <c r="J1936" s="268"/>
      <c r="K1936" s="271">
        <v>44509.053923611114</v>
      </c>
      <c r="L1936" s="288" t="str">
        <f t="shared" ref="L1936:L1939" si="136">IFERROR(IF(OR(I1936="",K1936=""),"",K1936-I1936),"")</f>
        <v>2:36:39 AM</v>
      </c>
      <c r="M1936" s="278"/>
      <c r="N1936" s="290"/>
      <c r="O1936" s="276"/>
      <c r="P1936" s="276"/>
      <c r="Q1936" s="276"/>
      <c r="R1936" s="278"/>
      <c r="S1936" s="278"/>
      <c r="T1936" s="278"/>
      <c r="U1936" s="279"/>
      <c r="V1936" s="279" t="s">
        <v>1733</v>
      </c>
      <c r="W1936" s="280">
        <v>44510.0</v>
      </c>
      <c r="X1936" s="281">
        <v>0.25</v>
      </c>
      <c r="Y1936" s="279" t="s">
        <v>1693</v>
      </c>
      <c r="Z1936" s="282" t="s">
        <v>53</v>
      </c>
      <c r="AA1936" s="282" t="s">
        <v>5842</v>
      </c>
      <c r="AB1936" s="283">
        <v>44509.0</v>
      </c>
      <c r="AC1936" s="284"/>
      <c r="AD1936" s="284"/>
    </row>
    <row r="1937" ht="14.25" customHeight="1">
      <c r="A1937" s="265">
        <v>44508.0</v>
      </c>
      <c r="B1937" s="266" t="s">
        <v>1733</v>
      </c>
      <c r="C1937" s="266"/>
      <c r="D1937" s="266" t="s">
        <v>1452</v>
      </c>
      <c r="E1937" s="409"/>
      <c r="F1937" s="358" t="s">
        <v>5843</v>
      </c>
      <c r="G1937" s="268" t="s">
        <v>2085</v>
      </c>
      <c r="H1937" s="270">
        <v>0.0011805555555555556</v>
      </c>
      <c r="I1937" s="271">
        <v>44507.958333333336</v>
      </c>
      <c r="J1937" s="268"/>
      <c r="K1937" s="268" t="s">
        <v>5844</v>
      </c>
      <c r="L1937" s="288" t="str">
        <f t="shared" si="136"/>
        <v>12:03:34 AM</v>
      </c>
      <c r="M1937" s="278"/>
      <c r="N1937" s="290"/>
      <c r="O1937" s="276"/>
      <c r="P1937" s="276"/>
      <c r="Q1937" s="276"/>
      <c r="R1937" s="278"/>
      <c r="S1937" s="278"/>
      <c r="T1937" s="278"/>
      <c r="U1937" s="279"/>
      <c r="V1937" s="279" t="s">
        <v>1733</v>
      </c>
      <c r="W1937" s="280">
        <v>44508.0</v>
      </c>
      <c r="X1937" s="281">
        <v>0.006944444444444444</v>
      </c>
      <c r="Y1937" s="279" t="s">
        <v>1693</v>
      </c>
      <c r="Z1937" s="282" t="s">
        <v>53</v>
      </c>
      <c r="AA1937" s="282" t="s">
        <v>5843</v>
      </c>
      <c r="AB1937" s="283">
        <v>44509.0</v>
      </c>
      <c r="AC1937" s="284"/>
      <c r="AD1937" s="284"/>
    </row>
    <row r="1938" ht="14.25" customHeight="1">
      <c r="A1938" s="265">
        <v>44508.0</v>
      </c>
      <c r="B1938" s="266" t="s">
        <v>1824</v>
      </c>
      <c r="C1938" s="266"/>
      <c r="D1938" s="266" t="s">
        <v>1686</v>
      </c>
      <c r="E1938" s="409"/>
      <c r="F1938" s="291" t="s">
        <v>5845</v>
      </c>
      <c r="G1938" s="268" t="s">
        <v>2085</v>
      </c>
      <c r="H1938" s="270">
        <v>0.03703703703703704</v>
      </c>
      <c r="I1938" s="271">
        <v>44508.59722222222</v>
      </c>
      <c r="J1938" s="268"/>
      <c r="K1938" s="268"/>
      <c r="L1938" s="288" t="str">
        <f t="shared" si="136"/>
        <v/>
      </c>
      <c r="M1938" s="307" t="s">
        <v>2808</v>
      </c>
      <c r="N1938" s="273">
        <v>44509.60208333333</v>
      </c>
      <c r="O1938" s="276" t="s">
        <v>5846</v>
      </c>
      <c r="P1938" s="276" t="s">
        <v>1463</v>
      </c>
      <c r="Q1938" s="276" t="s">
        <v>1819</v>
      </c>
      <c r="R1938" s="278"/>
      <c r="S1938" s="278"/>
      <c r="T1938" s="307"/>
      <c r="U1938" s="279"/>
      <c r="V1938" s="279" t="s">
        <v>1824</v>
      </c>
      <c r="W1938" s="280">
        <v>44510.0</v>
      </c>
      <c r="X1938" s="281">
        <v>0.14583333333333334</v>
      </c>
      <c r="Y1938" s="279" t="s">
        <v>1693</v>
      </c>
      <c r="Z1938" s="282" t="s">
        <v>53</v>
      </c>
      <c r="AA1938" s="282" t="s">
        <v>5845</v>
      </c>
      <c r="AB1938" s="283">
        <v>44511.0</v>
      </c>
      <c r="AC1938" s="284"/>
      <c r="AD1938" s="284"/>
    </row>
    <row r="1939" ht="14.25" customHeight="1">
      <c r="A1939" s="265">
        <v>44508.0</v>
      </c>
      <c r="B1939" s="266" t="s">
        <v>3677</v>
      </c>
      <c r="C1939" s="266"/>
      <c r="D1939" s="266" t="s">
        <v>1455</v>
      </c>
      <c r="E1939" s="409"/>
      <c r="F1939" s="358" t="s">
        <v>5847</v>
      </c>
      <c r="G1939" s="268" t="s">
        <v>2085</v>
      </c>
      <c r="H1939" s="270">
        <v>0.02146990740740741</v>
      </c>
      <c r="I1939" s="271">
        <v>44508.92361111111</v>
      </c>
      <c r="J1939" s="268"/>
      <c r="K1939" s="271">
        <v>44508.94128472222</v>
      </c>
      <c r="L1939" s="288" t="str">
        <f t="shared" si="136"/>
        <v>12:25:27 AM</v>
      </c>
      <c r="M1939" s="278"/>
      <c r="N1939" s="290"/>
      <c r="O1939" s="276"/>
      <c r="P1939" s="276"/>
      <c r="Q1939" s="276"/>
      <c r="R1939" s="278"/>
      <c r="S1939" s="278"/>
      <c r="T1939" s="278"/>
      <c r="U1939" s="279"/>
      <c r="V1939" s="279" t="s">
        <v>1500</v>
      </c>
      <c r="W1939" s="280">
        <v>44510.0</v>
      </c>
      <c r="X1939" s="281">
        <v>0.08333333333333333</v>
      </c>
      <c r="Y1939" s="279" t="s">
        <v>1693</v>
      </c>
      <c r="Z1939" s="282" t="s">
        <v>53</v>
      </c>
      <c r="AA1939" s="282" t="s">
        <v>5847</v>
      </c>
      <c r="AB1939" s="283">
        <v>44509.0</v>
      </c>
      <c r="AC1939" s="284"/>
      <c r="AD1939" s="284"/>
    </row>
    <row r="1940" ht="14.25" customHeight="1">
      <c r="A1940" s="265">
        <v>44509.0</v>
      </c>
      <c r="B1940" s="266" t="s">
        <v>1500</v>
      </c>
      <c r="C1940" s="266" t="s">
        <v>1450</v>
      </c>
      <c r="D1940" s="266" t="s">
        <v>1543</v>
      </c>
      <c r="E1940" s="409"/>
      <c r="F1940" s="291" t="s">
        <v>5848</v>
      </c>
      <c r="G1940" s="268" t="s">
        <v>1463</v>
      </c>
      <c r="H1940" s="270">
        <v>0.0014351851851851854</v>
      </c>
      <c r="I1940" s="271">
        <v>44509.825694444444</v>
      </c>
      <c r="J1940" s="268"/>
      <c r="K1940" s="271">
        <v>44510.16576388889</v>
      </c>
      <c r="L1940" s="288"/>
      <c r="M1940" s="278" t="s">
        <v>5849</v>
      </c>
      <c r="N1940" s="290"/>
      <c r="O1940" s="276"/>
      <c r="P1940" s="276"/>
      <c r="Q1940" s="276"/>
      <c r="R1940" s="278"/>
      <c r="S1940" s="278"/>
      <c r="T1940" s="278"/>
      <c r="U1940" s="279"/>
      <c r="V1940" s="279" t="s">
        <v>1824</v>
      </c>
      <c r="W1940" s="280">
        <v>44518.0</v>
      </c>
      <c r="X1940" s="281">
        <v>0.0020833333333333333</v>
      </c>
      <c r="Y1940" s="279" t="s">
        <v>3636</v>
      </c>
      <c r="Z1940" s="282" t="s">
        <v>53</v>
      </c>
      <c r="AA1940" s="282">
        <v>7072367.0</v>
      </c>
      <c r="AB1940" s="283">
        <v>44511.0</v>
      </c>
      <c r="AC1940" s="284"/>
      <c r="AD1940" s="284"/>
    </row>
    <row r="1941" ht="14.25" customHeight="1">
      <c r="A1941" s="265">
        <v>44509.0</v>
      </c>
      <c r="B1941" s="266" t="s">
        <v>1500</v>
      </c>
      <c r="C1941" s="266" t="s">
        <v>1450</v>
      </c>
      <c r="D1941" s="266" t="s">
        <v>1543</v>
      </c>
      <c r="E1941" s="409"/>
      <c r="F1941" s="291" t="s">
        <v>5850</v>
      </c>
      <c r="G1941" s="268" t="s">
        <v>1463</v>
      </c>
      <c r="H1941" s="270">
        <v>0.0021296296296296298</v>
      </c>
      <c r="I1941" s="271">
        <v>44509.825694444444</v>
      </c>
      <c r="J1941" s="268"/>
      <c r="K1941" s="271">
        <v>44510.16532407407</v>
      </c>
      <c r="L1941" s="288"/>
      <c r="M1941" s="278" t="s">
        <v>5851</v>
      </c>
      <c r="N1941" s="290"/>
      <c r="O1941" s="276"/>
      <c r="P1941" s="276"/>
      <c r="Q1941" s="276"/>
      <c r="R1941" s="278"/>
      <c r="S1941" s="278"/>
      <c r="T1941" s="278"/>
      <c r="U1941" s="279"/>
      <c r="V1941" s="279" t="s">
        <v>1824</v>
      </c>
      <c r="W1941" s="280">
        <v>44518.0</v>
      </c>
      <c r="X1941" s="281">
        <v>0.004861111111111111</v>
      </c>
      <c r="Y1941" s="279" t="s">
        <v>3636</v>
      </c>
      <c r="Z1941" s="282" t="s">
        <v>53</v>
      </c>
      <c r="AA1941" s="282">
        <v>7072368.0</v>
      </c>
      <c r="AB1941" s="283">
        <v>44511.0</v>
      </c>
      <c r="AC1941" s="284"/>
      <c r="AD1941" s="284"/>
    </row>
    <row r="1942" ht="14.25" customHeight="1">
      <c r="A1942" s="265">
        <v>44509.0</v>
      </c>
      <c r="B1942" s="266" t="s">
        <v>2030</v>
      </c>
      <c r="C1942" s="266" t="s">
        <v>1686</v>
      </c>
      <c r="D1942" s="266" t="s">
        <v>1543</v>
      </c>
      <c r="E1942" s="409"/>
      <c r="F1942" s="291" t="s">
        <v>5852</v>
      </c>
      <c r="G1942" s="268" t="s">
        <v>1463</v>
      </c>
      <c r="H1942" s="270">
        <v>0.001550925925925926</v>
      </c>
      <c r="I1942" s="271">
        <v>44517.493055555555</v>
      </c>
      <c r="J1942" s="268"/>
      <c r="K1942" s="271">
        <v>44517.49652777778</v>
      </c>
      <c r="L1942" s="288"/>
      <c r="M1942" s="278" t="s">
        <v>5853</v>
      </c>
      <c r="N1942" s="290"/>
      <c r="O1942" s="276"/>
      <c r="P1942" s="276"/>
      <c r="Q1942" s="276"/>
      <c r="R1942" s="278"/>
      <c r="S1942" s="278"/>
      <c r="T1942" s="278"/>
      <c r="U1942" s="279"/>
      <c r="V1942" s="279" t="s">
        <v>1824</v>
      </c>
      <c r="W1942" s="280">
        <v>44519.0</v>
      </c>
      <c r="X1942" s="281">
        <v>0.005555555555555556</v>
      </c>
      <c r="Y1942" s="279" t="s">
        <v>1693</v>
      </c>
      <c r="Z1942" s="282" t="s">
        <v>53</v>
      </c>
      <c r="AA1942" s="282">
        <v>7098852.0</v>
      </c>
      <c r="AB1942" s="283">
        <v>44518.0</v>
      </c>
      <c r="AC1942" s="284"/>
      <c r="AD1942" s="284"/>
    </row>
    <row r="1943" ht="14.25" customHeight="1">
      <c r="A1943" s="265">
        <v>44509.0</v>
      </c>
      <c r="B1943" s="266" t="s">
        <v>1733</v>
      </c>
      <c r="C1943" s="266"/>
      <c r="D1943" s="266" t="s">
        <v>1450</v>
      </c>
      <c r="E1943" s="409"/>
      <c r="F1943" s="358" t="s">
        <v>5854</v>
      </c>
      <c r="G1943" s="268" t="s">
        <v>2085</v>
      </c>
      <c r="H1943" s="270">
        <v>0.09962962962962962</v>
      </c>
      <c r="I1943" s="271">
        <v>44509.5875</v>
      </c>
      <c r="J1943" s="268"/>
      <c r="K1943" s="271">
        <v>44509.69016203703</v>
      </c>
      <c r="L1943" s="288" t="str">
        <f t="shared" ref="L1943:L1946" si="137">IFERROR(IF(OR(I1943="",K1943=""),"",K1943-I1943),"")</f>
        <v>2:27:50 AM</v>
      </c>
      <c r="M1943" s="278"/>
      <c r="N1943" s="290"/>
      <c r="O1943" s="276"/>
      <c r="P1943" s="276"/>
      <c r="Q1943" s="276"/>
      <c r="R1943" s="278"/>
      <c r="S1943" s="278"/>
      <c r="T1943" s="278"/>
      <c r="U1943" s="279"/>
      <c r="V1943" s="279" t="s">
        <v>1733</v>
      </c>
      <c r="W1943" s="280">
        <v>44511.0</v>
      </c>
      <c r="X1943" s="281">
        <v>0.25</v>
      </c>
      <c r="Y1943" s="279" t="s">
        <v>1693</v>
      </c>
      <c r="Z1943" s="282" t="s">
        <v>53</v>
      </c>
      <c r="AA1943" s="282" t="s">
        <v>5854</v>
      </c>
      <c r="AB1943" s="283">
        <v>44510.0</v>
      </c>
      <c r="AC1943" s="284"/>
      <c r="AD1943" s="284"/>
    </row>
    <row r="1944" ht="14.25" customHeight="1">
      <c r="A1944" s="265">
        <v>44509.0</v>
      </c>
      <c r="B1944" s="266" t="s">
        <v>1733</v>
      </c>
      <c r="C1944" s="266"/>
      <c r="D1944" s="266" t="s">
        <v>1452</v>
      </c>
      <c r="E1944" s="409"/>
      <c r="F1944" s="358" t="s">
        <v>5855</v>
      </c>
      <c r="G1944" s="268" t="s">
        <v>2085</v>
      </c>
      <c r="H1944" s="270">
        <v>0.0022569444444444447</v>
      </c>
      <c r="I1944" s="271">
        <v>44510.604166666664</v>
      </c>
      <c r="J1944" s="268"/>
      <c r="K1944" s="271">
        <v>44509.62326388889</v>
      </c>
      <c r="L1944" s="288" t="str">
        <f t="shared" si="137"/>
        <v>12:27:30 AM</v>
      </c>
      <c r="M1944" s="278"/>
      <c r="N1944" s="290"/>
      <c r="O1944" s="276"/>
      <c r="P1944" s="276"/>
      <c r="Q1944" s="276"/>
      <c r="R1944" s="278"/>
      <c r="S1944" s="278"/>
      <c r="T1944" s="278"/>
      <c r="U1944" s="279"/>
      <c r="V1944" s="279" t="s">
        <v>1733</v>
      </c>
      <c r="W1944" s="280">
        <v>44508.0</v>
      </c>
      <c r="X1944" s="281">
        <v>0.006944444444444444</v>
      </c>
      <c r="Y1944" s="279" t="s">
        <v>1693</v>
      </c>
      <c r="Z1944" s="282" t="s">
        <v>53</v>
      </c>
      <c r="AA1944" s="282" t="s">
        <v>5855</v>
      </c>
      <c r="AB1944" s="283">
        <v>44510.0</v>
      </c>
      <c r="AC1944" s="284"/>
      <c r="AD1944" s="284"/>
    </row>
    <row r="1945" ht="14.25" customHeight="1">
      <c r="A1945" s="265">
        <v>44509.0</v>
      </c>
      <c r="B1945" s="266" t="s">
        <v>1824</v>
      </c>
      <c r="C1945" s="266"/>
      <c r="D1945" s="266" t="s">
        <v>1686</v>
      </c>
      <c r="E1945" s="409"/>
      <c r="F1945" s="291" t="s">
        <v>5856</v>
      </c>
      <c r="G1945" s="268" t="s">
        <v>2085</v>
      </c>
      <c r="H1945" s="270">
        <v>0.03826388888888889</v>
      </c>
      <c r="I1945" s="271">
        <v>44509.6</v>
      </c>
      <c r="J1945" s="268"/>
      <c r="K1945" s="268"/>
      <c r="L1945" s="288" t="str">
        <f t="shared" si="137"/>
        <v/>
      </c>
      <c r="M1945" s="307" t="s">
        <v>2808</v>
      </c>
      <c r="N1945" s="273">
        <v>44510.43125</v>
      </c>
      <c r="O1945" s="276" t="s">
        <v>5857</v>
      </c>
      <c r="P1945" s="276" t="s">
        <v>1463</v>
      </c>
      <c r="Q1945" s="276" t="s">
        <v>1819</v>
      </c>
      <c r="R1945" s="277">
        <v>44510.50680555555</v>
      </c>
      <c r="S1945" s="278" t="s">
        <v>5858</v>
      </c>
      <c r="T1945" s="278"/>
      <c r="U1945" s="279"/>
      <c r="V1945" s="279" t="s">
        <v>1824</v>
      </c>
      <c r="W1945" s="280">
        <v>44511.0</v>
      </c>
      <c r="X1945" s="281">
        <v>0.13541666666666666</v>
      </c>
      <c r="Y1945" s="279" t="s">
        <v>1693</v>
      </c>
      <c r="Z1945" s="282" t="s">
        <v>53</v>
      </c>
      <c r="AA1945" s="282" t="s">
        <v>5856</v>
      </c>
      <c r="AB1945" s="283">
        <v>44511.0</v>
      </c>
      <c r="AC1945" s="284"/>
      <c r="AD1945" s="284"/>
    </row>
    <row r="1946" ht="14.25" customHeight="1">
      <c r="A1946" s="265">
        <v>44509.0</v>
      </c>
      <c r="B1946" s="266" t="s">
        <v>3677</v>
      </c>
      <c r="C1946" s="266"/>
      <c r="D1946" s="266" t="s">
        <v>1455</v>
      </c>
      <c r="E1946" s="409"/>
      <c r="F1946" s="291" t="s">
        <v>5859</v>
      </c>
      <c r="G1946" s="268" t="s">
        <v>2085</v>
      </c>
      <c r="H1946" s="270">
        <v>0.021493055555555557</v>
      </c>
      <c r="I1946" s="271">
        <v>44509.87777777778</v>
      </c>
      <c r="J1946" s="268"/>
      <c r="K1946" s="271">
        <v>44509.89613425926</v>
      </c>
      <c r="L1946" s="288" t="str">
        <f t="shared" si="137"/>
        <v>12:26:26 AM</v>
      </c>
      <c r="M1946" s="278"/>
      <c r="N1946" s="290"/>
      <c r="O1946" s="276"/>
      <c r="P1946" s="276"/>
      <c r="Q1946" s="276"/>
      <c r="R1946" s="278"/>
      <c r="S1946" s="278"/>
      <c r="T1946" s="278"/>
      <c r="U1946" s="279"/>
      <c r="V1946" s="279" t="s">
        <v>1500</v>
      </c>
      <c r="W1946" s="280">
        <v>44511.0</v>
      </c>
      <c r="X1946" s="281">
        <v>0.09027777777777778</v>
      </c>
      <c r="Y1946" s="279" t="s">
        <v>1693</v>
      </c>
      <c r="Z1946" s="282" t="s">
        <v>53</v>
      </c>
      <c r="AA1946" s="282" t="s">
        <v>5859</v>
      </c>
      <c r="AB1946" s="283">
        <v>44510.0</v>
      </c>
      <c r="AC1946" s="284"/>
      <c r="AD1946" s="284"/>
    </row>
    <row r="1947" ht="14.25" customHeight="1">
      <c r="A1947" s="265">
        <v>44510.0</v>
      </c>
      <c r="B1947" s="266" t="s">
        <v>1500</v>
      </c>
      <c r="C1947" s="266" t="s">
        <v>5860</v>
      </c>
      <c r="D1947" s="266" t="s">
        <v>1543</v>
      </c>
      <c r="E1947" s="292"/>
      <c r="F1947" s="269" t="s">
        <v>5861</v>
      </c>
      <c r="G1947" s="268" t="s">
        <v>1463</v>
      </c>
      <c r="H1947" s="270">
        <v>0.007129629629629631</v>
      </c>
      <c r="I1947" s="271">
        <v>44524.57916666667</v>
      </c>
      <c r="J1947" s="268"/>
      <c r="K1947" s="271">
        <v>44524.97686342592</v>
      </c>
      <c r="L1947" s="288"/>
      <c r="M1947" s="278" t="s">
        <v>5862</v>
      </c>
      <c r="N1947" s="290"/>
      <c r="O1947" s="276"/>
      <c r="P1947" s="276"/>
      <c r="Q1947" s="276"/>
      <c r="R1947" s="278"/>
      <c r="S1947" s="278"/>
      <c r="T1947" s="278"/>
      <c r="U1947" s="279"/>
      <c r="V1947" s="279" t="s">
        <v>1824</v>
      </c>
      <c r="W1947" s="280">
        <v>44536.0</v>
      </c>
      <c r="X1947" s="281">
        <v>0.012499999999999999</v>
      </c>
      <c r="Y1947" s="279" t="s">
        <v>3636</v>
      </c>
      <c r="Z1947" s="282" t="s">
        <v>53</v>
      </c>
      <c r="AA1947" s="282">
        <v>7145783.0</v>
      </c>
      <c r="AB1947" s="283">
        <v>44530.0</v>
      </c>
      <c r="AC1947" s="284"/>
      <c r="AD1947" s="284"/>
    </row>
    <row r="1948" ht="14.25" customHeight="1">
      <c r="A1948" s="265">
        <v>44510.0</v>
      </c>
      <c r="B1948" s="266" t="s">
        <v>1733</v>
      </c>
      <c r="C1948" s="266"/>
      <c r="D1948" s="266" t="s">
        <v>1450</v>
      </c>
      <c r="E1948" s="409"/>
      <c r="F1948" s="358" t="s">
        <v>5863</v>
      </c>
      <c r="G1948" s="268" t="s">
        <v>2085</v>
      </c>
      <c r="H1948" s="270">
        <v>0.09935185185185186</v>
      </c>
      <c r="I1948" s="271">
        <v>44510.72222222222</v>
      </c>
      <c r="J1948" s="268"/>
      <c r="K1948" s="271">
        <v>44510.82424768519</v>
      </c>
      <c r="L1948" s="288" t="str">
        <f t="shared" ref="L1948:L1951" si="138">IFERROR(IF(OR(I1948="",K1948=""),"",K1948-I1948),"")</f>
        <v>2:26:55 AM</v>
      </c>
      <c r="M1948" s="278"/>
      <c r="N1948" s="290"/>
      <c r="O1948" s="276"/>
      <c r="P1948" s="276"/>
      <c r="Q1948" s="276"/>
      <c r="R1948" s="278"/>
      <c r="S1948" s="278"/>
      <c r="T1948" s="278"/>
      <c r="U1948" s="279"/>
      <c r="V1948" s="279" t="s">
        <v>1733</v>
      </c>
      <c r="W1948" s="280" t="s">
        <v>5864</v>
      </c>
      <c r="X1948" s="281">
        <v>0.25</v>
      </c>
      <c r="Y1948" s="279" t="s">
        <v>1693</v>
      </c>
      <c r="Z1948" s="282" t="s">
        <v>53</v>
      </c>
      <c r="AA1948" s="282" t="s">
        <v>5863</v>
      </c>
      <c r="AB1948" s="283">
        <v>44511.0</v>
      </c>
      <c r="AC1948" s="284"/>
      <c r="AD1948" s="284"/>
    </row>
    <row r="1949" ht="14.25" customHeight="1">
      <c r="A1949" s="265">
        <v>44510.0</v>
      </c>
      <c r="B1949" s="266" t="s">
        <v>1733</v>
      </c>
      <c r="C1949" s="266"/>
      <c r="D1949" s="266" t="s">
        <v>1452</v>
      </c>
      <c r="E1949" s="409"/>
      <c r="F1949" s="358" t="s">
        <v>5865</v>
      </c>
      <c r="G1949" s="268" t="s">
        <v>2085</v>
      </c>
      <c r="H1949" s="270">
        <v>0.0032870370370370367</v>
      </c>
      <c r="I1949" s="271">
        <v>44510.714583333334</v>
      </c>
      <c r="J1949" s="268"/>
      <c r="K1949" s="271">
        <v>44510.72508101852</v>
      </c>
      <c r="L1949" s="288" t="str">
        <f t="shared" si="138"/>
        <v>12:15:07 AM</v>
      </c>
      <c r="M1949" s="278"/>
      <c r="N1949" s="290"/>
      <c r="O1949" s="276"/>
      <c r="P1949" s="276"/>
      <c r="Q1949" s="276"/>
      <c r="R1949" s="278"/>
      <c r="S1949" s="278"/>
      <c r="T1949" s="278"/>
      <c r="U1949" s="279"/>
      <c r="V1949" s="279" t="s">
        <v>1733</v>
      </c>
      <c r="W1949" s="280">
        <v>44510.0</v>
      </c>
      <c r="X1949" s="281">
        <v>0.013888888888888888</v>
      </c>
      <c r="Y1949" s="279" t="s">
        <v>1693</v>
      </c>
      <c r="Z1949" s="282" t="s">
        <v>53</v>
      </c>
      <c r="AA1949" s="282" t="s">
        <v>5865</v>
      </c>
      <c r="AB1949" s="283">
        <v>44511.0</v>
      </c>
      <c r="AC1949" s="284"/>
      <c r="AD1949" s="284"/>
    </row>
    <row r="1950" ht="14.25" customHeight="1">
      <c r="A1950" s="265">
        <v>44510.0</v>
      </c>
      <c r="B1950" s="266" t="s">
        <v>1824</v>
      </c>
      <c r="C1950" s="266"/>
      <c r="D1950" s="266" t="s">
        <v>1686</v>
      </c>
      <c r="E1950" s="409"/>
      <c r="F1950" s="358" t="s">
        <v>5866</v>
      </c>
      <c r="G1950" s="268" t="s">
        <v>2085</v>
      </c>
      <c r="H1950" s="270">
        <v>0.03783564814814815</v>
      </c>
      <c r="I1950" s="271">
        <v>44510.614583333336</v>
      </c>
      <c r="J1950" s="268"/>
      <c r="K1950" s="268"/>
      <c r="L1950" s="288" t="str">
        <f t="shared" si="138"/>
        <v/>
      </c>
      <c r="M1950" s="278"/>
      <c r="N1950" s="290"/>
      <c r="O1950" s="276"/>
      <c r="P1950" s="276"/>
      <c r="Q1950" s="276"/>
      <c r="R1950" s="278"/>
      <c r="S1950" s="278"/>
      <c r="T1950" s="278"/>
      <c r="U1950" s="279"/>
      <c r="V1950" s="279" t="s">
        <v>1824</v>
      </c>
      <c r="W1950" s="280">
        <v>44512.0</v>
      </c>
      <c r="X1950" s="281">
        <v>0.125</v>
      </c>
      <c r="Y1950" s="279" t="s">
        <v>1693</v>
      </c>
      <c r="Z1950" s="282" t="s">
        <v>53</v>
      </c>
      <c r="AA1950" s="282" t="s">
        <v>5866</v>
      </c>
      <c r="AB1950" s="283">
        <v>44511.0</v>
      </c>
      <c r="AC1950" s="284"/>
      <c r="AD1950" s="284"/>
    </row>
    <row r="1951" ht="14.25" customHeight="1">
      <c r="A1951" s="265">
        <v>44510.0</v>
      </c>
      <c r="B1951" s="266" t="s">
        <v>3677</v>
      </c>
      <c r="C1951" s="266"/>
      <c r="D1951" s="266" t="s">
        <v>1455</v>
      </c>
      <c r="E1951" s="292"/>
      <c r="F1951" s="358" t="s">
        <v>5867</v>
      </c>
      <c r="G1951" s="268" t="s">
        <v>2085</v>
      </c>
      <c r="H1951" s="270">
        <v>0.020613425925925927</v>
      </c>
      <c r="I1951" s="271">
        <v>44510.864583333336</v>
      </c>
      <c r="J1951" s="268"/>
      <c r="K1951" s="271">
        <v>44510.87637731482</v>
      </c>
      <c r="L1951" s="288" t="str">
        <f t="shared" si="138"/>
        <v>12:16:59 AM</v>
      </c>
      <c r="M1951" s="278"/>
      <c r="N1951" s="290"/>
      <c r="O1951" s="276"/>
      <c r="P1951" s="276"/>
      <c r="Q1951" s="276"/>
      <c r="R1951" s="278"/>
      <c r="S1951" s="278"/>
      <c r="T1951" s="278"/>
      <c r="U1951" s="279"/>
      <c r="V1951" s="279" t="s">
        <v>1500</v>
      </c>
      <c r="W1951" s="280">
        <v>44511.0</v>
      </c>
      <c r="X1951" s="281">
        <v>0.001388888888888889</v>
      </c>
      <c r="Y1951" s="279" t="s">
        <v>1693</v>
      </c>
      <c r="Z1951" s="282" t="s">
        <v>53</v>
      </c>
      <c r="AA1951" s="282" t="s">
        <v>5867</v>
      </c>
      <c r="AB1951" s="283">
        <v>44511.0</v>
      </c>
      <c r="AC1951" s="284"/>
      <c r="AD1951" s="284"/>
    </row>
    <row r="1952" ht="14.25" customHeight="1">
      <c r="A1952" s="265">
        <v>44511.0</v>
      </c>
      <c r="B1952" s="266" t="s">
        <v>1500</v>
      </c>
      <c r="C1952" s="266" t="s">
        <v>1686</v>
      </c>
      <c r="D1952" s="266" t="s">
        <v>1543</v>
      </c>
      <c r="E1952" s="292"/>
      <c r="F1952" s="291" t="s">
        <v>5868</v>
      </c>
      <c r="G1952" s="268" t="s">
        <v>1463</v>
      </c>
      <c r="H1952" s="270">
        <v>0.0019328703703703704</v>
      </c>
      <c r="I1952" s="271">
        <v>44511.75902777778</v>
      </c>
      <c r="J1952" s="268"/>
      <c r="K1952" s="271">
        <v>44512.12850694444</v>
      </c>
      <c r="L1952" s="288"/>
      <c r="M1952" s="278" t="s">
        <v>5869</v>
      </c>
      <c r="N1952" s="290"/>
      <c r="O1952" s="276"/>
      <c r="P1952" s="276"/>
      <c r="Q1952" s="276"/>
      <c r="R1952" s="278"/>
      <c r="S1952" s="278"/>
      <c r="T1952" s="278"/>
      <c r="U1952" s="279"/>
      <c r="V1952" s="279" t="s">
        <v>1824</v>
      </c>
      <c r="W1952" s="280">
        <v>44518.0</v>
      </c>
      <c r="X1952" s="281">
        <v>0.0020833333333333333</v>
      </c>
      <c r="Y1952" s="279" t="s">
        <v>1693</v>
      </c>
      <c r="Z1952" s="282" t="s">
        <v>53</v>
      </c>
      <c r="AA1952" s="282">
        <v>7091756.0</v>
      </c>
      <c r="AB1952" s="283">
        <v>44517.0</v>
      </c>
      <c r="AC1952" s="284"/>
      <c r="AD1952" s="284"/>
    </row>
    <row r="1953" ht="14.25" customHeight="1">
      <c r="A1953" s="265">
        <v>44511.0</v>
      </c>
      <c r="B1953" s="266" t="s">
        <v>1500</v>
      </c>
      <c r="C1953" s="266" t="s">
        <v>2179</v>
      </c>
      <c r="D1953" s="266" t="s">
        <v>1543</v>
      </c>
      <c r="E1953" s="292"/>
      <c r="F1953" s="291" t="s">
        <v>5870</v>
      </c>
      <c r="G1953" s="268" t="s">
        <v>1463</v>
      </c>
      <c r="H1953" s="270">
        <v>0.0020370370370370373</v>
      </c>
      <c r="I1953" s="271">
        <v>44524.57916666667</v>
      </c>
      <c r="J1953" s="268"/>
      <c r="K1953" s="271">
        <v>44524.968206018515</v>
      </c>
      <c r="L1953" s="288"/>
      <c r="M1953" s="278" t="s">
        <v>5871</v>
      </c>
      <c r="N1953" s="290"/>
      <c r="O1953" s="276"/>
      <c r="P1953" s="276"/>
      <c r="Q1953" s="276"/>
      <c r="R1953" s="278"/>
      <c r="S1953" s="278"/>
      <c r="T1953" s="278"/>
      <c r="U1953" s="279"/>
      <c r="V1953" s="279" t="s">
        <v>1824</v>
      </c>
      <c r="W1953" s="280">
        <v>44536.0</v>
      </c>
      <c r="X1953" s="281">
        <v>0.004861111111111111</v>
      </c>
      <c r="Y1953" s="279" t="s">
        <v>3636</v>
      </c>
      <c r="Z1953" s="282" t="s">
        <v>53</v>
      </c>
      <c r="AA1953" s="282">
        <v>7145784.0</v>
      </c>
      <c r="AB1953" s="283">
        <v>44530.0</v>
      </c>
      <c r="AC1953" s="284"/>
      <c r="AD1953" s="284"/>
    </row>
    <row r="1954" ht="14.25" customHeight="1">
      <c r="A1954" s="265">
        <v>44511.0</v>
      </c>
      <c r="B1954" s="266" t="s">
        <v>1733</v>
      </c>
      <c r="C1954" s="266" t="s">
        <v>2158</v>
      </c>
      <c r="D1954" s="266" t="s">
        <v>1450</v>
      </c>
      <c r="E1954" s="292"/>
      <c r="F1954" s="286" t="s">
        <v>5872</v>
      </c>
      <c r="G1954" s="268" t="s">
        <v>3742</v>
      </c>
      <c r="H1954" s="270" t="s">
        <v>28</v>
      </c>
      <c r="I1954" s="271" t="s">
        <v>28</v>
      </c>
      <c r="J1954" s="268"/>
      <c r="K1954" s="271" t="s">
        <v>28</v>
      </c>
      <c r="L1954" s="288"/>
      <c r="M1954" s="278" t="s">
        <v>4163</v>
      </c>
      <c r="N1954" s="290"/>
      <c r="O1954" s="276"/>
      <c r="P1954" s="276"/>
      <c r="Q1954" s="276"/>
      <c r="R1954" s="278"/>
      <c r="S1954" s="278"/>
      <c r="T1954" s="278" t="s">
        <v>3915</v>
      </c>
      <c r="U1954" s="279" t="s">
        <v>28</v>
      </c>
      <c r="V1954" s="279" t="s">
        <v>28</v>
      </c>
      <c r="W1954" s="279" t="s">
        <v>28</v>
      </c>
      <c r="X1954" s="279" t="s">
        <v>28</v>
      </c>
      <c r="Y1954" s="279" t="s">
        <v>28</v>
      </c>
      <c r="Z1954" s="282" t="s">
        <v>28</v>
      </c>
      <c r="AA1954" s="282" t="s">
        <v>28</v>
      </c>
      <c r="AB1954" s="283" t="s">
        <v>28</v>
      </c>
      <c r="AC1954" s="284"/>
      <c r="AD1954" s="284"/>
    </row>
    <row r="1955" ht="14.25" customHeight="1">
      <c r="A1955" s="265">
        <v>44511.0</v>
      </c>
      <c r="B1955" s="266" t="s">
        <v>1733</v>
      </c>
      <c r="C1955" s="266"/>
      <c r="D1955" s="266" t="s">
        <v>1450</v>
      </c>
      <c r="E1955" s="292"/>
      <c r="F1955" s="358" t="s">
        <v>5873</v>
      </c>
      <c r="G1955" s="268" t="s">
        <v>2085</v>
      </c>
      <c r="H1955" s="270">
        <v>0.09824074074074074</v>
      </c>
      <c r="I1955" s="271">
        <v>44511.67986111111</v>
      </c>
      <c r="J1955" s="268"/>
      <c r="K1955" s="271">
        <v>44511.8819212963</v>
      </c>
      <c r="L1955" s="288"/>
      <c r="M1955" s="278"/>
      <c r="N1955" s="290"/>
      <c r="O1955" s="276"/>
      <c r="P1955" s="276"/>
      <c r="Q1955" s="276"/>
      <c r="R1955" s="278"/>
      <c r="S1955" s="278"/>
      <c r="T1955" s="278"/>
      <c r="U1955" s="279"/>
      <c r="V1955" s="279" t="s">
        <v>1733</v>
      </c>
      <c r="W1955" s="279" t="s">
        <v>5874</v>
      </c>
      <c r="X1955" s="281">
        <v>0.25</v>
      </c>
      <c r="Y1955" s="279" t="s">
        <v>1693</v>
      </c>
      <c r="Z1955" s="282" t="s">
        <v>53</v>
      </c>
      <c r="AA1955" s="282" t="s">
        <v>5873</v>
      </c>
      <c r="AB1955" s="283">
        <v>44512.0</v>
      </c>
      <c r="AC1955" s="284"/>
      <c r="AD1955" s="284"/>
    </row>
    <row r="1956" ht="14.25" customHeight="1">
      <c r="A1956" s="265">
        <v>44511.0</v>
      </c>
      <c r="B1956" s="266" t="s">
        <v>1733</v>
      </c>
      <c r="C1956" s="266"/>
      <c r="D1956" s="266" t="s">
        <v>1452</v>
      </c>
      <c r="E1956" s="292"/>
      <c r="F1956" s="358" t="s">
        <v>5875</v>
      </c>
      <c r="G1956" s="268" t="s">
        <v>2085</v>
      </c>
      <c r="H1956" s="270">
        <v>9.837962962962964E-4</v>
      </c>
      <c r="I1956" s="271">
        <v>44511.65288194444</v>
      </c>
      <c r="J1956" s="268"/>
      <c r="K1956" s="271">
        <v>44511.663298611114</v>
      </c>
      <c r="L1956" s="288"/>
      <c r="M1956" s="278"/>
      <c r="N1956" s="290"/>
      <c r="O1956" s="276"/>
      <c r="P1956" s="276"/>
      <c r="Q1956" s="276"/>
      <c r="R1956" s="278"/>
      <c r="S1956" s="278"/>
      <c r="T1956" s="278"/>
      <c r="U1956" s="279"/>
      <c r="V1956" s="279" t="s">
        <v>1733</v>
      </c>
      <c r="W1956" s="280">
        <v>44511.0</v>
      </c>
      <c r="X1956" s="281">
        <v>0.006944444444444444</v>
      </c>
      <c r="Y1956" s="279" t="s">
        <v>1693</v>
      </c>
      <c r="Z1956" s="282" t="s">
        <v>53</v>
      </c>
      <c r="AA1956" s="282" t="s">
        <v>5875</v>
      </c>
      <c r="AB1956" s="283">
        <v>44512.0</v>
      </c>
      <c r="AC1956" s="284"/>
      <c r="AD1956" s="284"/>
    </row>
    <row r="1957" ht="14.25" customHeight="1">
      <c r="A1957" s="265">
        <v>44511.0</v>
      </c>
      <c r="B1957" s="266" t="s">
        <v>1824</v>
      </c>
      <c r="C1957" s="266"/>
      <c r="D1957" s="266" t="s">
        <v>1686</v>
      </c>
      <c r="E1957" s="292"/>
      <c r="F1957" s="358" t="s">
        <v>5876</v>
      </c>
      <c r="G1957" s="268" t="s">
        <v>2085</v>
      </c>
      <c r="H1957" s="270">
        <v>0.03662037037037037</v>
      </c>
      <c r="I1957" s="271">
        <v>44511.58888888889</v>
      </c>
      <c r="J1957" s="268"/>
      <c r="K1957" s="268"/>
      <c r="L1957" s="288"/>
      <c r="M1957" s="278"/>
      <c r="N1957" s="290"/>
      <c r="O1957" s="276"/>
      <c r="P1957" s="276"/>
      <c r="Q1957" s="276"/>
      <c r="R1957" s="278"/>
      <c r="S1957" s="278"/>
      <c r="T1957" s="278"/>
      <c r="U1957" s="279"/>
      <c r="V1957" s="279" t="s">
        <v>1824</v>
      </c>
      <c r="W1957" s="279" t="s">
        <v>5877</v>
      </c>
      <c r="X1957" s="281">
        <v>0.13541666666666666</v>
      </c>
      <c r="Y1957" s="279" t="s">
        <v>3636</v>
      </c>
      <c r="Z1957" s="282" t="s">
        <v>53</v>
      </c>
      <c r="AA1957" s="282" t="s">
        <v>5876</v>
      </c>
      <c r="AB1957" s="283">
        <v>44512.0</v>
      </c>
      <c r="AC1957" s="284"/>
      <c r="AD1957" s="284"/>
    </row>
    <row r="1958" ht="14.25" customHeight="1">
      <c r="A1958" s="265">
        <v>44511.0</v>
      </c>
      <c r="B1958" s="266" t="s">
        <v>3677</v>
      </c>
      <c r="C1958" s="266"/>
      <c r="D1958" s="266" t="s">
        <v>1455</v>
      </c>
      <c r="E1958" s="292"/>
      <c r="F1958" s="358" t="s">
        <v>5878</v>
      </c>
      <c r="G1958" s="268" t="s">
        <v>2085</v>
      </c>
      <c r="H1958" s="270">
        <v>0.020763888888888887</v>
      </c>
      <c r="I1958" s="271">
        <v>44511.850694444445</v>
      </c>
      <c r="J1958" s="268"/>
      <c r="K1958" s="271">
        <v>44511.866261574076</v>
      </c>
      <c r="L1958" s="288"/>
      <c r="M1958" s="278"/>
      <c r="N1958" s="290"/>
      <c r="O1958" s="276"/>
      <c r="P1958" s="276"/>
      <c r="Q1958" s="276"/>
      <c r="R1958" s="278"/>
      <c r="S1958" s="278"/>
      <c r="T1958" s="278"/>
      <c r="U1958" s="279" t="s">
        <v>1500</v>
      </c>
      <c r="V1958" s="279" t="s">
        <v>1500</v>
      </c>
      <c r="W1958" s="280">
        <v>44512.0</v>
      </c>
      <c r="X1958" s="279"/>
      <c r="Y1958" s="279" t="s">
        <v>1693</v>
      </c>
      <c r="Z1958" s="282" t="s">
        <v>53</v>
      </c>
      <c r="AA1958" s="282" t="s">
        <v>5878</v>
      </c>
      <c r="AB1958" s="283">
        <v>44512.0</v>
      </c>
      <c r="AC1958" s="284"/>
      <c r="AD1958" s="284"/>
    </row>
    <row r="1959" ht="14.25" customHeight="1">
      <c r="A1959" s="265">
        <v>44512.0</v>
      </c>
      <c r="B1959" s="266" t="s">
        <v>1738</v>
      </c>
      <c r="C1959" s="266" t="s">
        <v>2158</v>
      </c>
      <c r="D1959" s="266" t="s">
        <v>1450</v>
      </c>
      <c r="E1959" s="292"/>
      <c r="F1959" s="286" t="s">
        <v>5879</v>
      </c>
      <c r="G1959" s="268" t="s">
        <v>5880</v>
      </c>
      <c r="H1959" s="270" t="s">
        <v>28</v>
      </c>
      <c r="I1959" s="271" t="s">
        <v>28</v>
      </c>
      <c r="J1959" s="268"/>
      <c r="K1959" s="271" t="s">
        <v>28</v>
      </c>
      <c r="L1959" s="288"/>
      <c r="M1959" s="278"/>
      <c r="N1959" s="290"/>
      <c r="O1959" s="276"/>
      <c r="P1959" s="276"/>
      <c r="Q1959" s="276"/>
      <c r="R1959" s="278"/>
      <c r="S1959" s="278"/>
      <c r="T1959" s="278"/>
      <c r="U1959" s="279" t="s">
        <v>28</v>
      </c>
      <c r="V1959" s="279" t="s">
        <v>28</v>
      </c>
      <c r="W1959" s="279" t="s">
        <v>28</v>
      </c>
      <c r="X1959" s="279" t="s">
        <v>28</v>
      </c>
      <c r="Y1959" s="279" t="s">
        <v>28</v>
      </c>
      <c r="Z1959" s="282" t="s">
        <v>28</v>
      </c>
      <c r="AA1959" s="282" t="s">
        <v>28</v>
      </c>
      <c r="AB1959" s="282"/>
      <c r="AC1959" s="284"/>
      <c r="AD1959" s="284"/>
    </row>
    <row r="1960" ht="14.25" customHeight="1">
      <c r="A1960" s="265">
        <v>44512.0</v>
      </c>
      <c r="B1960" s="266" t="s">
        <v>1738</v>
      </c>
      <c r="C1960" s="266" t="s">
        <v>2158</v>
      </c>
      <c r="D1960" s="266" t="s">
        <v>1450</v>
      </c>
      <c r="E1960" s="292"/>
      <c r="F1960" s="286" t="s">
        <v>5881</v>
      </c>
      <c r="G1960" s="268" t="s">
        <v>5880</v>
      </c>
      <c r="H1960" s="270" t="s">
        <v>28</v>
      </c>
      <c r="I1960" s="271" t="s">
        <v>28</v>
      </c>
      <c r="J1960" s="268"/>
      <c r="K1960" s="271" t="s">
        <v>28</v>
      </c>
      <c r="L1960" s="288"/>
      <c r="M1960" s="278"/>
      <c r="N1960" s="290"/>
      <c r="O1960" s="276"/>
      <c r="P1960" s="276"/>
      <c r="Q1960" s="276"/>
      <c r="R1960" s="278"/>
      <c r="S1960" s="278"/>
      <c r="T1960" s="278"/>
      <c r="U1960" s="279" t="s">
        <v>28</v>
      </c>
      <c r="V1960" s="279" t="s">
        <v>28</v>
      </c>
      <c r="W1960" s="279" t="s">
        <v>28</v>
      </c>
      <c r="X1960" s="279" t="s">
        <v>28</v>
      </c>
      <c r="Y1960" s="279" t="s">
        <v>28</v>
      </c>
      <c r="Z1960" s="282" t="s">
        <v>28</v>
      </c>
      <c r="AA1960" s="282" t="s">
        <v>28</v>
      </c>
      <c r="AB1960" s="282"/>
      <c r="AC1960" s="284"/>
      <c r="AD1960" s="284"/>
    </row>
    <row r="1961" ht="14.25" customHeight="1">
      <c r="A1961" s="265">
        <v>44512.0</v>
      </c>
      <c r="B1961" s="266" t="s">
        <v>1733</v>
      </c>
      <c r="C1961" s="266"/>
      <c r="D1961" s="266" t="s">
        <v>1450</v>
      </c>
      <c r="E1961" s="292"/>
      <c r="F1961" s="358" t="s">
        <v>5882</v>
      </c>
      <c r="G1961" s="268" t="s">
        <v>2085</v>
      </c>
      <c r="H1961" s="270">
        <v>0.09833333333333333</v>
      </c>
      <c r="I1961" s="271">
        <v>44513.34444444445</v>
      </c>
      <c r="J1961" s="268"/>
      <c r="K1961" s="271">
        <v>44513.395370370374</v>
      </c>
      <c r="L1961" s="288"/>
      <c r="M1961" s="278"/>
      <c r="N1961" s="290"/>
      <c r="O1961" s="276"/>
      <c r="P1961" s="276"/>
      <c r="Q1961" s="276"/>
      <c r="R1961" s="278"/>
      <c r="S1961" s="278"/>
      <c r="T1961" s="278"/>
      <c r="U1961" s="279"/>
      <c r="V1961" s="279" t="s">
        <v>1738</v>
      </c>
      <c r="W1961" s="280">
        <v>44516.0</v>
      </c>
      <c r="X1961" s="281">
        <v>0.25</v>
      </c>
      <c r="Y1961" s="279" t="s">
        <v>3636</v>
      </c>
      <c r="Z1961" s="282" t="s">
        <v>53</v>
      </c>
      <c r="AA1961" s="282" t="s">
        <v>5882</v>
      </c>
      <c r="AB1961" s="283">
        <v>44517.0</v>
      </c>
      <c r="AC1961" s="284"/>
      <c r="AD1961" s="284"/>
    </row>
    <row r="1962" ht="14.25" customHeight="1">
      <c r="A1962" s="265">
        <v>44512.0</v>
      </c>
      <c r="B1962" s="266" t="s">
        <v>1733</v>
      </c>
      <c r="C1962" s="266"/>
      <c r="D1962" s="266" t="s">
        <v>1452</v>
      </c>
      <c r="E1962" s="292"/>
      <c r="F1962" s="358" t="s">
        <v>5883</v>
      </c>
      <c r="G1962" s="268" t="s">
        <v>2085</v>
      </c>
      <c r="H1962" s="270">
        <v>0.0028587962962962963</v>
      </c>
      <c r="I1962" s="271">
        <v>44513.356944444444</v>
      </c>
      <c r="J1962" s="268"/>
      <c r="K1962" s="271">
        <v>44513.38041666667</v>
      </c>
      <c r="L1962" s="288"/>
      <c r="M1962" s="278"/>
      <c r="N1962" s="290"/>
      <c r="O1962" s="276"/>
      <c r="P1962" s="276"/>
      <c r="Q1962" s="276"/>
      <c r="R1962" s="278"/>
      <c r="S1962" s="278"/>
      <c r="T1962" s="278"/>
      <c r="U1962" s="279"/>
      <c r="V1962" s="279" t="s">
        <v>1733</v>
      </c>
      <c r="W1962" s="280">
        <v>44513.0</v>
      </c>
      <c r="X1962" s="281">
        <v>0.008333333333333333</v>
      </c>
      <c r="Y1962" s="279" t="s">
        <v>1693</v>
      </c>
      <c r="Z1962" s="282" t="s">
        <v>53</v>
      </c>
      <c r="AA1962" s="282" t="s">
        <v>5883</v>
      </c>
      <c r="AB1962" s="283">
        <v>44517.0</v>
      </c>
      <c r="AC1962" s="284"/>
      <c r="AD1962" s="284"/>
    </row>
    <row r="1963" ht="14.25" customHeight="1">
      <c r="A1963" s="265">
        <v>44512.0</v>
      </c>
      <c r="B1963" s="266" t="s">
        <v>1824</v>
      </c>
      <c r="C1963" s="266"/>
      <c r="D1963" s="266" t="s">
        <v>1686</v>
      </c>
      <c r="E1963" s="292"/>
      <c r="F1963" s="358" t="s">
        <v>5884</v>
      </c>
      <c r="G1963" s="268" t="s">
        <v>2085</v>
      </c>
      <c r="H1963" s="270">
        <v>0.03670138888888889</v>
      </c>
      <c r="I1963" s="271">
        <v>44512.59027777778</v>
      </c>
      <c r="J1963" s="268"/>
      <c r="K1963" s="271">
        <v>44512.95591435185</v>
      </c>
      <c r="L1963" s="288"/>
      <c r="M1963" s="278"/>
      <c r="N1963" s="290"/>
      <c r="O1963" s="276"/>
      <c r="P1963" s="276"/>
      <c r="Q1963" s="276"/>
      <c r="R1963" s="278"/>
      <c r="S1963" s="278"/>
      <c r="T1963" s="278"/>
      <c r="U1963" s="279"/>
      <c r="V1963" s="279" t="s">
        <v>1733</v>
      </c>
      <c r="W1963" s="280">
        <v>44515.0</v>
      </c>
      <c r="X1963" s="281">
        <v>0.09166666666666667</v>
      </c>
      <c r="Y1963" s="279" t="s">
        <v>1693</v>
      </c>
      <c r="Z1963" s="282" t="s">
        <v>53</v>
      </c>
      <c r="AA1963" s="282" t="s">
        <v>5884</v>
      </c>
      <c r="AB1963" s="283">
        <v>44517.0</v>
      </c>
      <c r="AC1963" s="284"/>
      <c r="AD1963" s="284"/>
    </row>
    <row r="1964" ht="14.25" customHeight="1">
      <c r="A1964" s="265">
        <v>44512.0</v>
      </c>
      <c r="B1964" s="266" t="s">
        <v>3677</v>
      </c>
      <c r="C1964" s="266"/>
      <c r="D1964" s="266" t="s">
        <v>1455</v>
      </c>
      <c r="E1964" s="292"/>
      <c r="F1964" s="358" t="s">
        <v>5885</v>
      </c>
      <c r="G1964" s="268" t="s">
        <v>2085</v>
      </c>
      <c r="H1964" s="270">
        <v>0.020162037037037037</v>
      </c>
      <c r="I1964" s="271">
        <v>44512.865277777775</v>
      </c>
      <c r="J1964" s="268"/>
      <c r="K1964" s="432">
        <v>44512.90221064815</v>
      </c>
      <c r="L1964" s="288"/>
      <c r="M1964" s="278"/>
      <c r="N1964" s="290"/>
      <c r="O1964" s="276"/>
      <c r="P1964" s="276"/>
      <c r="Q1964" s="276"/>
      <c r="R1964" s="278"/>
      <c r="S1964" s="278"/>
      <c r="T1964" s="278"/>
      <c r="U1964" s="279"/>
      <c r="V1964" s="279" t="s">
        <v>1824</v>
      </c>
      <c r="W1964" s="280">
        <v>44517.0</v>
      </c>
      <c r="X1964" s="281">
        <v>0.0763888888888889</v>
      </c>
      <c r="Y1964" s="279" t="s">
        <v>3636</v>
      </c>
      <c r="Z1964" s="282" t="s">
        <v>53</v>
      </c>
      <c r="AA1964" s="282" t="s">
        <v>5885</v>
      </c>
      <c r="AB1964" s="283">
        <v>44517.0</v>
      </c>
      <c r="AC1964" s="284"/>
      <c r="AD1964" s="284"/>
    </row>
    <row r="1965" ht="14.25" customHeight="1">
      <c r="A1965" s="265">
        <v>44513.0</v>
      </c>
      <c r="B1965" s="266" t="s">
        <v>2030</v>
      </c>
      <c r="C1965" s="266" t="s">
        <v>1686</v>
      </c>
      <c r="D1965" s="266" t="s">
        <v>1543</v>
      </c>
      <c r="E1965" s="292"/>
      <c r="F1965" s="269" t="s">
        <v>5886</v>
      </c>
      <c r="G1965" s="268" t="s">
        <v>1463</v>
      </c>
      <c r="H1965" s="270">
        <v>0.0028819444444444444</v>
      </c>
      <c r="I1965" s="271">
        <v>44517.354166666664</v>
      </c>
      <c r="J1965" s="268"/>
      <c r="K1965" s="271">
        <v>44517.35763888889</v>
      </c>
      <c r="L1965" s="288"/>
      <c r="M1965" s="278" t="s">
        <v>5887</v>
      </c>
      <c r="N1965" s="290"/>
      <c r="O1965" s="276"/>
      <c r="P1965" s="276"/>
      <c r="Q1965" s="276"/>
      <c r="R1965" s="278"/>
      <c r="S1965" s="278"/>
      <c r="T1965" s="278"/>
      <c r="U1965" s="279"/>
      <c r="V1965" s="279" t="s">
        <v>1824</v>
      </c>
      <c r="W1965" s="280">
        <v>44519.0</v>
      </c>
      <c r="X1965" s="281">
        <v>0.004861111111111111</v>
      </c>
      <c r="Y1965" s="279" t="s">
        <v>1693</v>
      </c>
      <c r="Z1965" s="282" t="s">
        <v>53</v>
      </c>
      <c r="AA1965" s="282">
        <v>7098851.0</v>
      </c>
      <c r="AB1965" s="283">
        <v>44518.0</v>
      </c>
      <c r="AC1965" s="284"/>
      <c r="AD1965" s="284"/>
    </row>
    <row r="1966" ht="14.25" customHeight="1">
      <c r="A1966" s="265">
        <v>44513.0</v>
      </c>
      <c r="B1966" s="266" t="s">
        <v>1500</v>
      </c>
      <c r="C1966" s="266"/>
      <c r="D1966" s="266" t="s">
        <v>1686</v>
      </c>
      <c r="E1966" s="292"/>
      <c r="F1966" s="358" t="s">
        <v>5888</v>
      </c>
      <c r="G1966" s="268" t="s">
        <v>2085</v>
      </c>
      <c r="H1966" s="270">
        <v>0.038425925925925926</v>
      </c>
      <c r="I1966" s="271">
        <v>44513.72638888889</v>
      </c>
      <c r="J1966" s="268"/>
      <c r="K1966" s="271">
        <v>44514.09087962963</v>
      </c>
      <c r="L1966" s="288"/>
      <c r="M1966" s="278"/>
      <c r="N1966" s="290"/>
      <c r="O1966" s="276"/>
      <c r="P1966" s="276"/>
      <c r="Q1966" s="276"/>
      <c r="R1966" s="278"/>
      <c r="S1966" s="278"/>
      <c r="T1966" s="278"/>
      <c r="U1966" s="279"/>
      <c r="V1966" s="279" t="s">
        <v>1733</v>
      </c>
      <c r="W1966" s="280">
        <v>44516.0</v>
      </c>
      <c r="X1966" s="281">
        <v>0.09236111111111112</v>
      </c>
      <c r="Y1966" s="279" t="s">
        <v>3636</v>
      </c>
      <c r="Z1966" s="282" t="s">
        <v>53</v>
      </c>
      <c r="AA1966" s="282" t="s">
        <v>5888</v>
      </c>
      <c r="AB1966" s="283">
        <v>44517.0</v>
      </c>
      <c r="AC1966" s="284"/>
      <c r="AD1966" s="284"/>
    </row>
    <row r="1967" ht="14.25" customHeight="1">
      <c r="A1967" s="265">
        <v>44513.0</v>
      </c>
      <c r="B1967" s="266" t="s">
        <v>1733</v>
      </c>
      <c r="C1967" s="266"/>
      <c r="D1967" s="266" t="s">
        <v>1455</v>
      </c>
      <c r="E1967" s="292"/>
      <c r="F1967" s="358" t="s">
        <v>5889</v>
      </c>
      <c r="G1967" s="268" t="s">
        <v>2085</v>
      </c>
      <c r="H1967" s="270">
        <v>0.017407407407407406</v>
      </c>
      <c r="I1967" s="271">
        <v>44514.782638888886</v>
      </c>
      <c r="J1967" s="268"/>
      <c r="K1967" s="271">
        <v>44514.795902777776</v>
      </c>
      <c r="L1967" s="288"/>
      <c r="M1967" s="278"/>
      <c r="N1967" s="290"/>
      <c r="O1967" s="276"/>
      <c r="P1967" s="276"/>
      <c r="Q1967" s="276"/>
      <c r="R1967" s="278"/>
      <c r="S1967" s="278"/>
      <c r="T1967" s="278"/>
      <c r="U1967" s="279"/>
      <c r="V1967" s="279" t="s">
        <v>1824</v>
      </c>
      <c r="W1967" s="280">
        <v>44517.0</v>
      </c>
      <c r="X1967" s="281">
        <v>0.0625</v>
      </c>
      <c r="Y1967" s="279" t="s">
        <v>1693</v>
      </c>
      <c r="Z1967" s="282" t="s">
        <v>53</v>
      </c>
      <c r="AA1967" s="282" t="s">
        <v>5889</v>
      </c>
      <c r="AB1967" s="283">
        <v>44517.0</v>
      </c>
      <c r="AC1967" s="284"/>
      <c r="AD1967" s="284"/>
    </row>
    <row r="1968" ht="14.25" customHeight="1">
      <c r="A1968" s="265">
        <v>44514.0</v>
      </c>
      <c r="B1968" s="266" t="s">
        <v>1733</v>
      </c>
      <c r="C1968" s="266"/>
      <c r="D1968" s="266" t="s">
        <v>3509</v>
      </c>
      <c r="E1968" s="292"/>
      <c r="F1968" s="358">
        <v>6971938.0</v>
      </c>
      <c r="G1968" s="268" t="s">
        <v>3839</v>
      </c>
      <c r="H1968" s="270">
        <v>0.04126157407407407</v>
      </c>
      <c r="I1968" s="271">
        <v>44514.743055555555</v>
      </c>
      <c r="J1968" s="268"/>
      <c r="K1968" s="271">
        <v>44514.77108796296</v>
      </c>
      <c r="L1968" s="288"/>
      <c r="M1968" s="272" t="s">
        <v>5890</v>
      </c>
      <c r="N1968" s="273"/>
      <c r="O1968" s="276"/>
      <c r="P1968" s="276"/>
      <c r="Q1968" s="276"/>
      <c r="R1968" s="278"/>
      <c r="S1968" s="278"/>
      <c r="T1968" s="278"/>
      <c r="U1968" s="279" t="s">
        <v>28</v>
      </c>
      <c r="V1968" s="279" t="s">
        <v>28</v>
      </c>
      <c r="W1968" s="279" t="s">
        <v>28</v>
      </c>
      <c r="X1968" s="279" t="s">
        <v>28</v>
      </c>
      <c r="Y1968" s="279" t="s">
        <v>28</v>
      </c>
      <c r="Z1968" s="282" t="s">
        <v>5891</v>
      </c>
      <c r="AA1968" s="282">
        <v>6971938.0</v>
      </c>
      <c r="AB1968" s="283">
        <v>44514.0</v>
      </c>
      <c r="AC1968" s="284"/>
      <c r="AD1968" s="284"/>
    </row>
    <row r="1969" ht="14.25" customHeight="1">
      <c r="A1969" s="265">
        <v>44514.0</v>
      </c>
      <c r="B1969" s="266" t="s">
        <v>1500</v>
      </c>
      <c r="C1969" s="266" t="s">
        <v>1450</v>
      </c>
      <c r="D1969" s="266" t="s">
        <v>1543</v>
      </c>
      <c r="E1969" s="292"/>
      <c r="F1969" s="269" t="s">
        <v>5892</v>
      </c>
      <c r="G1969" s="268" t="s">
        <v>1463</v>
      </c>
      <c r="H1969" s="270">
        <v>0.001736111111111111</v>
      </c>
      <c r="I1969" s="271">
        <v>44524.57916666667</v>
      </c>
      <c r="J1969" s="268"/>
      <c r="K1969" s="271">
        <v>44524.962847222225</v>
      </c>
      <c r="L1969" s="288"/>
      <c r="M1969" s="278" t="s">
        <v>5893</v>
      </c>
      <c r="N1969" s="290"/>
      <c r="O1969" s="276"/>
      <c r="P1969" s="276"/>
      <c r="Q1969" s="276"/>
      <c r="R1969" s="278"/>
      <c r="S1969" s="278"/>
      <c r="T1969" s="278"/>
      <c r="U1969" s="279"/>
      <c r="V1969" s="279" t="s">
        <v>1824</v>
      </c>
      <c r="W1969" s="280">
        <v>44536.0</v>
      </c>
      <c r="X1969" s="281">
        <v>0.002777777777777778</v>
      </c>
      <c r="Y1969" s="279" t="s">
        <v>1693</v>
      </c>
      <c r="Z1969" s="282" t="s">
        <v>53</v>
      </c>
      <c r="AA1969" s="282">
        <v>7145785.0</v>
      </c>
      <c r="AB1969" s="283">
        <v>44530.0</v>
      </c>
      <c r="AC1969" s="284"/>
      <c r="AD1969" s="284"/>
    </row>
    <row r="1970" ht="14.25" customHeight="1">
      <c r="A1970" s="265">
        <v>44514.0</v>
      </c>
      <c r="B1970" s="266" t="s">
        <v>1500</v>
      </c>
      <c r="C1970" s="266" t="s">
        <v>1450</v>
      </c>
      <c r="D1970" s="266" t="s">
        <v>1543</v>
      </c>
      <c r="E1970" s="292"/>
      <c r="F1970" s="269" t="s">
        <v>5894</v>
      </c>
      <c r="G1970" s="268" t="s">
        <v>1463</v>
      </c>
      <c r="H1970" s="270">
        <v>7.523148148148147E-4</v>
      </c>
      <c r="I1970" s="271">
        <v>44524.57916666667</v>
      </c>
      <c r="J1970" s="268"/>
      <c r="K1970" s="271">
        <v>44524.950590277775</v>
      </c>
      <c r="L1970" s="288"/>
      <c r="M1970" s="278" t="s">
        <v>5895</v>
      </c>
      <c r="N1970" s="290"/>
      <c r="O1970" s="276"/>
      <c r="P1970" s="276"/>
      <c r="Q1970" s="276"/>
      <c r="R1970" s="278"/>
      <c r="S1970" s="278"/>
      <c r="T1970" s="278"/>
      <c r="U1970" s="279"/>
      <c r="V1970" s="279" t="s">
        <v>1824</v>
      </c>
      <c r="W1970" s="280">
        <v>44537.0</v>
      </c>
      <c r="X1970" s="281">
        <v>0.004166666666666667</v>
      </c>
      <c r="Y1970" s="279" t="s">
        <v>1693</v>
      </c>
      <c r="Z1970" s="282" t="s">
        <v>53</v>
      </c>
      <c r="AA1970" s="282">
        <v>7145786.0</v>
      </c>
      <c r="AB1970" s="283">
        <v>44530.0</v>
      </c>
      <c r="AC1970" s="284"/>
      <c r="AD1970" s="284"/>
    </row>
    <row r="1971" ht="14.25" customHeight="1">
      <c r="A1971" s="265">
        <v>44514.0</v>
      </c>
      <c r="B1971" s="266" t="s">
        <v>1733</v>
      </c>
      <c r="C1971" s="266"/>
      <c r="D1971" s="266" t="s">
        <v>1457</v>
      </c>
      <c r="E1971" s="292"/>
      <c r="F1971" s="358" t="s">
        <v>5896</v>
      </c>
      <c r="G1971" s="268" t="s">
        <v>2085</v>
      </c>
      <c r="H1971" s="268" t="s">
        <v>5897</v>
      </c>
      <c r="I1971" s="271">
        <v>44515.73263888889</v>
      </c>
      <c r="J1971" s="268"/>
      <c r="K1971" s="271">
        <v>44515.749074074076</v>
      </c>
      <c r="L1971" s="288"/>
      <c r="M1971" s="278"/>
      <c r="N1971" s="290"/>
      <c r="O1971" s="276"/>
      <c r="P1971" s="276"/>
      <c r="Q1971" s="276"/>
      <c r="R1971" s="278"/>
      <c r="S1971" s="278"/>
      <c r="T1971" s="278"/>
      <c r="U1971" s="279"/>
      <c r="V1971" s="279" t="s">
        <v>1824</v>
      </c>
      <c r="W1971" s="280">
        <v>44516.0</v>
      </c>
      <c r="X1971" s="281">
        <v>0.03819444444444444</v>
      </c>
      <c r="Y1971" s="279" t="s">
        <v>1693</v>
      </c>
      <c r="Z1971" s="282" t="s">
        <v>53</v>
      </c>
      <c r="AA1971" s="443" t="s">
        <v>5896</v>
      </c>
      <c r="AB1971" s="283">
        <v>44517.0</v>
      </c>
      <c r="AC1971" s="284"/>
      <c r="AD1971" s="284"/>
    </row>
    <row r="1972" ht="14.25" customHeight="1">
      <c r="A1972" s="265">
        <v>44514.0</v>
      </c>
      <c r="B1972" s="266" t="s">
        <v>1733</v>
      </c>
      <c r="C1972" s="266"/>
      <c r="D1972" s="266" t="s">
        <v>2829</v>
      </c>
      <c r="E1972" s="292"/>
      <c r="F1972" s="358" t="s">
        <v>5898</v>
      </c>
      <c r="G1972" s="268" t="s">
        <v>2085</v>
      </c>
      <c r="H1972" s="270">
        <v>0.01871527777777778</v>
      </c>
      <c r="I1972" s="271">
        <v>44514.76388888889</v>
      </c>
      <c r="J1972" s="268"/>
      <c r="K1972" s="268"/>
      <c r="L1972" s="288"/>
      <c r="M1972" s="307" t="s">
        <v>3482</v>
      </c>
      <c r="N1972" s="273">
        <v>44514.78472222222</v>
      </c>
      <c r="O1972" s="276" t="s">
        <v>5899</v>
      </c>
      <c r="P1972" s="276" t="s">
        <v>1463</v>
      </c>
      <c r="Q1972" s="276" t="s">
        <v>1819</v>
      </c>
      <c r="R1972" s="277">
        <v>44514.77912037037</v>
      </c>
      <c r="S1972" s="278"/>
      <c r="T1972" s="278" t="s">
        <v>5900</v>
      </c>
      <c r="U1972" s="279" t="s">
        <v>28</v>
      </c>
      <c r="V1972" s="279" t="s">
        <v>28</v>
      </c>
      <c r="W1972" s="279" t="s">
        <v>28</v>
      </c>
      <c r="X1972" s="279" t="s">
        <v>28</v>
      </c>
      <c r="Y1972" s="279" t="s">
        <v>28</v>
      </c>
      <c r="Z1972" s="282" t="s">
        <v>53</v>
      </c>
      <c r="AA1972" s="443" t="s">
        <v>5898</v>
      </c>
      <c r="AB1972" s="283">
        <v>44517.0</v>
      </c>
      <c r="AC1972" s="284"/>
      <c r="AD1972" s="284"/>
    </row>
    <row r="1973" ht="14.25" customHeight="1">
      <c r="A1973" s="265">
        <v>44515.0</v>
      </c>
      <c r="B1973" s="266" t="s">
        <v>1686</v>
      </c>
      <c r="C1973" s="266" t="s">
        <v>1686</v>
      </c>
      <c r="D1973" s="266" t="s">
        <v>1543</v>
      </c>
      <c r="E1973" s="292"/>
      <c r="F1973" s="269" t="s">
        <v>5901</v>
      </c>
      <c r="G1973" s="268" t="s">
        <v>1463</v>
      </c>
      <c r="H1973" s="270">
        <v>0.002824074074074074</v>
      </c>
      <c r="I1973" s="271">
        <v>44524.57916666667</v>
      </c>
      <c r="J1973" s="268"/>
      <c r="K1973" s="271">
        <v>44527.4308912037</v>
      </c>
      <c r="L1973" s="288"/>
      <c r="M1973" s="272" t="s">
        <v>5902</v>
      </c>
      <c r="N1973" s="273"/>
      <c r="O1973" s="276"/>
      <c r="P1973" s="276"/>
      <c r="Q1973" s="276"/>
      <c r="R1973" s="278"/>
      <c r="S1973" s="278"/>
      <c r="T1973" s="278"/>
      <c r="U1973" s="279"/>
      <c r="V1973" s="279" t="s">
        <v>1824</v>
      </c>
      <c r="W1973" s="280">
        <v>44537.0</v>
      </c>
      <c r="X1973" s="281">
        <v>0.013888888888888888</v>
      </c>
      <c r="Y1973" s="279" t="s">
        <v>1693</v>
      </c>
      <c r="Z1973" s="282" t="s">
        <v>53</v>
      </c>
      <c r="AA1973" s="443">
        <v>7145787.0</v>
      </c>
      <c r="AB1973" s="283">
        <v>44530.0</v>
      </c>
      <c r="AC1973" s="284"/>
      <c r="AD1973" s="284"/>
    </row>
    <row r="1974" ht="14.25" customHeight="1">
      <c r="A1974" s="265">
        <v>44515.0</v>
      </c>
      <c r="B1974" s="266" t="s">
        <v>2030</v>
      </c>
      <c r="C1974" s="266"/>
      <c r="D1974" s="266" t="s">
        <v>1450</v>
      </c>
      <c r="E1974" s="292"/>
      <c r="F1974" s="358" t="s">
        <v>5903</v>
      </c>
      <c r="G1974" s="268" t="s">
        <v>2085</v>
      </c>
      <c r="H1974" s="270">
        <v>0.09855324074074075</v>
      </c>
      <c r="I1974" s="271">
        <v>44515.486805555556</v>
      </c>
      <c r="J1974" s="268"/>
      <c r="K1974" s="271">
        <v>44515.52916666667</v>
      </c>
      <c r="L1974" s="288"/>
      <c r="M1974" s="278"/>
      <c r="N1974" s="290"/>
      <c r="O1974" s="276"/>
      <c r="P1974" s="276"/>
      <c r="Q1974" s="276"/>
      <c r="R1974" s="278"/>
      <c r="S1974" s="278"/>
      <c r="T1974" s="278"/>
      <c r="U1974" s="279"/>
      <c r="V1974" s="279" t="s">
        <v>1738</v>
      </c>
      <c r="W1974" s="280">
        <v>44517.0</v>
      </c>
      <c r="X1974" s="281">
        <v>0.25</v>
      </c>
      <c r="Y1974" s="279" t="s">
        <v>1693</v>
      </c>
      <c r="Z1974" s="282" t="s">
        <v>53</v>
      </c>
      <c r="AA1974" s="443" t="s">
        <v>5903</v>
      </c>
      <c r="AB1974" s="283">
        <v>44517.0</v>
      </c>
      <c r="AC1974" s="284"/>
      <c r="AD1974" s="284"/>
    </row>
    <row r="1975" ht="14.25" customHeight="1">
      <c r="A1975" s="265">
        <v>44515.0</v>
      </c>
      <c r="B1975" s="266" t="s">
        <v>2030</v>
      </c>
      <c r="C1975" s="266"/>
      <c r="D1975" s="266" t="s">
        <v>1452</v>
      </c>
      <c r="E1975" s="292"/>
      <c r="F1975" s="358" t="s">
        <v>5904</v>
      </c>
      <c r="G1975" s="268" t="s">
        <v>2085</v>
      </c>
      <c r="H1975" s="270">
        <v>0.0069097222222222225</v>
      </c>
      <c r="I1975" s="271">
        <v>44515.51458333333</v>
      </c>
      <c r="J1975" s="268"/>
      <c r="K1975" s="268"/>
      <c r="L1975" s="288"/>
      <c r="M1975" s="307" t="s">
        <v>3482</v>
      </c>
      <c r="N1975" s="290"/>
      <c r="O1975" s="276" t="s">
        <v>5905</v>
      </c>
      <c r="P1975" s="276" t="s">
        <v>1463</v>
      </c>
      <c r="Q1975" s="276" t="s">
        <v>1819</v>
      </c>
      <c r="R1975" s="413" t="s">
        <v>5906</v>
      </c>
      <c r="S1975" s="278"/>
      <c r="T1975" s="278" t="s">
        <v>5907</v>
      </c>
      <c r="U1975" s="279"/>
      <c r="V1975" s="279" t="s">
        <v>1824</v>
      </c>
      <c r="W1975" s="280">
        <v>44516.0</v>
      </c>
      <c r="X1975" s="281">
        <v>0.012499999999999999</v>
      </c>
      <c r="Y1975" s="279" t="s">
        <v>1693</v>
      </c>
      <c r="Z1975" s="282" t="s">
        <v>53</v>
      </c>
      <c r="AA1975" s="443" t="s">
        <v>5904</v>
      </c>
      <c r="AB1975" s="283">
        <v>44517.0</v>
      </c>
      <c r="AC1975" s="284"/>
      <c r="AD1975" s="284"/>
    </row>
    <row r="1976" ht="14.25" customHeight="1">
      <c r="A1976" s="265">
        <v>44515.0</v>
      </c>
      <c r="B1976" s="266" t="s">
        <v>1783</v>
      </c>
      <c r="C1976" s="266"/>
      <c r="D1976" s="266" t="s">
        <v>1686</v>
      </c>
      <c r="E1976" s="292"/>
      <c r="F1976" s="358" t="s">
        <v>5908</v>
      </c>
      <c r="G1976" s="268" t="s">
        <v>2085</v>
      </c>
      <c r="H1976" s="270">
        <v>0.03706018518518519</v>
      </c>
      <c r="I1976" s="271">
        <v>44515.62708333333</v>
      </c>
      <c r="J1976" s="268"/>
      <c r="K1976" s="271">
        <v>44515.653703703705</v>
      </c>
      <c r="L1976" s="288"/>
      <c r="M1976" s="278"/>
      <c r="N1976" s="290"/>
      <c r="O1976" s="276"/>
      <c r="P1976" s="276"/>
      <c r="Q1976" s="276"/>
      <c r="R1976" s="278"/>
      <c r="S1976" s="278"/>
      <c r="T1976" s="278"/>
      <c r="U1976" s="279"/>
      <c r="V1976" s="279" t="s">
        <v>1733</v>
      </c>
      <c r="W1976" s="280">
        <v>44516.0</v>
      </c>
      <c r="X1976" s="281">
        <v>0.125</v>
      </c>
      <c r="Y1976" s="279" t="s">
        <v>1693</v>
      </c>
      <c r="Z1976" s="282" t="s">
        <v>53</v>
      </c>
      <c r="AA1976" s="443" t="s">
        <v>5908</v>
      </c>
      <c r="AB1976" s="283">
        <v>44517.0</v>
      </c>
      <c r="AC1976" s="284"/>
      <c r="AD1976" s="284"/>
    </row>
    <row r="1977" ht="14.25" customHeight="1">
      <c r="A1977" s="265">
        <v>44515.0</v>
      </c>
      <c r="B1977" s="266" t="s">
        <v>3677</v>
      </c>
      <c r="C1977" s="266"/>
      <c r="D1977" s="266" t="s">
        <v>1455</v>
      </c>
      <c r="E1977" s="292"/>
      <c r="F1977" s="358" t="s">
        <v>5909</v>
      </c>
      <c r="G1977" s="268" t="s">
        <v>2085</v>
      </c>
      <c r="H1977" s="270">
        <v>0.02148148148148148</v>
      </c>
      <c r="I1977" s="271">
        <v>44515.864583333336</v>
      </c>
      <c r="J1977" s="268"/>
      <c r="K1977" s="271">
        <v>44515.88452546296</v>
      </c>
      <c r="L1977" s="288"/>
      <c r="M1977" s="278"/>
      <c r="N1977" s="290"/>
      <c r="O1977" s="276"/>
      <c r="P1977" s="276"/>
      <c r="Q1977" s="276"/>
      <c r="R1977" s="278"/>
      <c r="S1977" s="278"/>
      <c r="T1977" s="278"/>
      <c r="U1977" s="279"/>
      <c r="V1977" s="279" t="s">
        <v>1824</v>
      </c>
      <c r="W1977" s="280">
        <v>44518.0</v>
      </c>
      <c r="X1977" s="281">
        <v>0.07291666666666667</v>
      </c>
      <c r="Y1977" s="279" t="s">
        <v>1693</v>
      </c>
      <c r="Z1977" s="282" t="s">
        <v>53</v>
      </c>
      <c r="AA1977" s="443" t="s">
        <v>5909</v>
      </c>
      <c r="AB1977" s="283">
        <v>44517.0</v>
      </c>
      <c r="AC1977" s="284"/>
      <c r="AD1977" s="284"/>
    </row>
    <row r="1978" ht="14.25" customHeight="1">
      <c r="A1978" s="265">
        <v>44516.0</v>
      </c>
      <c r="B1978" s="266" t="s">
        <v>2030</v>
      </c>
      <c r="C1978" s="266" t="s">
        <v>1455</v>
      </c>
      <c r="D1978" s="266" t="s">
        <v>1543</v>
      </c>
      <c r="E1978" s="292"/>
      <c r="F1978" s="291" t="s">
        <v>5910</v>
      </c>
      <c r="G1978" s="268" t="s">
        <v>1463</v>
      </c>
      <c r="H1978" s="270">
        <v>0.0021064814814814813</v>
      </c>
      <c r="I1978" s="271">
        <v>44523.513194444444</v>
      </c>
      <c r="J1978" s="268"/>
      <c r="K1978" s="271">
        <v>44523.51736111111</v>
      </c>
      <c r="L1978" s="288"/>
      <c r="M1978" s="278" t="s">
        <v>5911</v>
      </c>
      <c r="N1978" s="290"/>
      <c r="O1978" s="276"/>
      <c r="P1978" s="276"/>
      <c r="Q1978" s="276"/>
      <c r="R1978" s="278"/>
      <c r="S1978" s="278"/>
      <c r="T1978" s="278"/>
      <c r="U1978" s="279"/>
      <c r="V1978" s="279" t="s">
        <v>1824</v>
      </c>
      <c r="W1978" s="280">
        <v>44537.0</v>
      </c>
      <c r="X1978" s="281">
        <v>0.004861111111111111</v>
      </c>
      <c r="Y1978" s="279" t="s">
        <v>1693</v>
      </c>
      <c r="Z1978" s="282" t="s">
        <v>53</v>
      </c>
      <c r="AA1978" s="443">
        <v>7120476.0</v>
      </c>
      <c r="AB1978" s="283">
        <v>44524.0</v>
      </c>
      <c r="AC1978" s="284"/>
      <c r="AD1978" s="284"/>
    </row>
    <row r="1979" ht="14.25" customHeight="1">
      <c r="A1979" s="265">
        <v>44516.0</v>
      </c>
      <c r="B1979" s="266" t="s">
        <v>1738</v>
      </c>
      <c r="C1979" s="266"/>
      <c r="D1979" s="266" t="s">
        <v>1450</v>
      </c>
      <c r="E1979" s="292"/>
      <c r="F1979" s="358" t="s">
        <v>5912</v>
      </c>
      <c r="G1979" s="268" t="s">
        <v>2085</v>
      </c>
      <c r="H1979" s="270">
        <v>0.09876157407407408</v>
      </c>
      <c r="I1979" s="271">
        <v>44516.518055555556</v>
      </c>
      <c r="J1979" s="268"/>
      <c r="K1979" s="271">
        <v>44516.718773148146</v>
      </c>
      <c r="L1979" s="288"/>
      <c r="M1979" s="278"/>
      <c r="N1979" s="290"/>
      <c r="O1979" s="276"/>
      <c r="P1979" s="276"/>
      <c r="Q1979" s="276"/>
      <c r="R1979" s="278"/>
      <c r="S1979" s="278"/>
      <c r="T1979" s="278"/>
      <c r="U1979" s="279"/>
      <c r="V1979" s="279" t="s">
        <v>1738</v>
      </c>
      <c r="W1979" s="280">
        <v>44518.0</v>
      </c>
      <c r="X1979" s="281">
        <v>0.25</v>
      </c>
      <c r="Y1979" s="279" t="s">
        <v>1693</v>
      </c>
      <c r="Z1979" s="282" t="s">
        <v>53</v>
      </c>
      <c r="AA1979" s="443" t="s">
        <v>5912</v>
      </c>
      <c r="AB1979" s="283">
        <v>44517.0</v>
      </c>
      <c r="AC1979" s="284"/>
      <c r="AD1979" s="284"/>
    </row>
    <row r="1980" ht="14.25" customHeight="1">
      <c r="A1980" s="265">
        <v>44516.0</v>
      </c>
      <c r="B1980" s="266" t="s">
        <v>1824</v>
      </c>
      <c r="C1980" s="266"/>
      <c r="D1980" s="266" t="s">
        <v>1452</v>
      </c>
      <c r="E1980" s="292"/>
      <c r="F1980" s="291" t="s">
        <v>5913</v>
      </c>
      <c r="G1980" s="268" t="s">
        <v>2085</v>
      </c>
      <c r="H1980" s="270">
        <v>0.004131944444444444</v>
      </c>
      <c r="I1980" s="271">
        <v>44516.45208333333</v>
      </c>
      <c r="J1980" s="268"/>
      <c r="K1980" s="268"/>
      <c r="L1980" s="288"/>
      <c r="M1980" s="278"/>
      <c r="N1980" s="290"/>
      <c r="O1980" s="276"/>
      <c r="P1980" s="276"/>
      <c r="Q1980" s="276"/>
      <c r="R1980" s="278"/>
      <c r="S1980" s="278"/>
      <c r="T1980" s="278"/>
      <c r="U1980" s="279"/>
      <c r="V1980" s="279" t="s">
        <v>1824</v>
      </c>
      <c r="W1980" s="280">
        <v>44516.0</v>
      </c>
      <c r="X1980" s="281">
        <v>0.013888888888888888</v>
      </c>
      <c r="Y1980" s="279" t="s">
        <v>1693</v>
      </c>
      <c r="Z1980" s="282" t="s">
        <v>53</v>
      </c>
      <c r="AA1980" s="443" t="s">
        <v>5913</v>
      </c>
      <c r="AB1980" s="283">
        <v>44517.0</v>
      </c>
      <c r="AC1980" s="284"/>
      <c r="AD1980" s="284"/>
    </row>
    <row r="1981" ht="14.25" customHeight="1">
      <c r="A1981" s="265">
        <v>44516.0</v>
      </c>
      <c r="B1981" s="266" t="s">
        <v>1733</v>
      </c>
      <c r="C1981" s="266"/>
      <c r="D1981" s="266" t="s">
        <v>1686</v>
      </c>
      <c r="E1981" s="292"/>
      <c r="F1981" s="358" t="s">
        <v>5914</v>
      </c>
      <c r="G1981" s="268" t="s">
        <v>2085</v>
      </c>
      <c r="H1981" s="270">
        <v>0.036377314814814814</v>
      </c>
      <c r="I1981" s="271">
        <v>44516.59930555556</v>
      </c>
      <c r="J1981" s="268"/>
      <c r="K1981" s="271">
        <v>44516.67166666667</v>
      </c>
      <c r="L1981" s="288"/>
      <c r="M1981" s="278"/>
      <c r="N1981" s="290"/>
      <c r="O1981" s="276"/>
      <c r="P1981" s="276"/>
      <c r="Q1981" s="276"/>
      <c r="R1981" s="278"/>
      <c r="S1981" s="278"/>
      <c r="T1981" s="278"/>
      <c r="U1981" s="279"/>
      <c r="V1981" s="279" t="s">
        <v>1733</v>
      </c>
      <c r="W1981" s="280">
        <v>44517.0</v>
      </c>
      <c r="X1981" s="281">
        <v>0.125</v>
      </c>
      <c r="Y1981" s="279" t="s">
        <v>1693</v>
      </c>
      <c r="Z1981" s="282" t="s">
        <v>53</v>
      </c>
      <c r="AA1981" s="443" t="s">
        <v>5914</v>
      </c>
      <c r="AB1981" s="283">
        <v>44517.0</v>
      </c>
      <c r="AC1981" s="284"/>
      <c r="AD1981" s="284"/>
    </row>
    <row r="1982" ht="14.25" customHeight="1">
      <c r="A1982" s="265">
        <v>44516.0</v>
      </c>
      <c r="B1982" s="266" t="s">
        <v>3677</v>
      </c>
      <c r="C1982" s="266"/>
      <c r="D1982" s="266" t="s">
        <v>1455</v>
      </c>
      <c r="E1982" s="292"/>
      <c r="F1982" s="291" t="s">
        <v>5915</v>
      </c>
      <c r="G1982" s="268" t="s">
        <v>2085</v>
      </c>
      <c r="H1982" s="270">
        <v>0.015162037037037036</v>
      </c>
      <c r="I1982" s="271">
        <v>44516.708333333336</v>
      </c>
      <c r="J1982" s="268"/>
      <c r="K1982" s="271">
        <v>44517.72106481482</v>
      </c>
      <c r="L1982" s="288"/>
      <c r="M1982" s="278"/>
      <c r="N1982" s="290"/>
      <c r="O1982" s="276"/>
      <c r="P1982" s="276"/>
      <c r="Q1982" s="276"/>
      <c r="R1982" s="278"/>
      <c r="S1982" s="278"/>
      <c r="T1982" s="278"/>
      <c r="U1982" s="279"/>
      <c r="V1982" s="279" t="s">
        <v>1824</v>
      </c>
      <c r="W1982" s="280">
        <v>44518.0</v>
      </c>
      <c r="X1982" s="281">
        <v>0.04861111111111111</v>
      </c>
      <c r="Y1982" s="279" t="s">
        <v>1693</v>
      </c>
      <c r="Z1982" s="282" t="s">
        <v>53</v>
      </c>
      <c r="AA1982" s="443" t="s">
        <v>5915</v>
      </c>
      <c r="AB1982" s="283">
        <v>44518.0</v>
      </c>
      <c r="AC1982" s="284"/>
      <c r="AD1982" s="284"/>
    </row>
    <row r="1983" ht="14.25" customHeight="1">
      <c r="A1983" s="265">
        <v>44517.0</v>
      </c>
      <c r="B1983" s="266" t="s">
        <v>1733</v>
      </c>
      <c r="C1983" s="266" t="s">
        <v>1831</v>
      </c>
      <c r="D1983" s="266" t="s">
        <v>1686</v>
      </c>
      <c r="E1983" s="292"/>
      <c r="F1983" s="358" t="s">
        <v>5916</v>
      </c>
      <c r="G1983" s="268" t="s">
        <v>1463</v>
      </c>
      <c r="H1983" s="270">
        <v>0.0038194444444444443</v>
      </c>
      <c r="I1983" s="271">
        <v>44518.70972222222</v>
      </c>
      <c r="J1983" s="268"/>
      <c r="K1983" s="271">
        <v>44518.7153587963</v>
      </c>
      <c r="L1983" s="288"/>
      <c r="M1983" s="278" t="s">
        <v>5917</v>
      </c>
      <c r="N1983" s="290"/>
      <c r="O1983" s="276"/>
      <c r="P1983" s="276"/>
      <c r="Q1983" s="276"/>
      <c r="R1983" s="278"/>
      <c r="S1983" s="278"/>
      <c r="T1983" s="278"/>
      <c r="U1983" s="279"/>
      <c r="V1983" s="279" t="s">
        <v>1733</v>
      </c>
      <c r="W1983" s="280">
        <v>44518.0</v>
      </c>
      <c r="X1983" s="281">
        <v>0.006944444444444444</v>
      </c>
      <c r="Y1983" s="279" t="s">
        <v>1693</v>
      </c>
      <c r="Z1983" s="282" t="s">
        <v>53</v>
      </c>
      <c r="AA1983" s="443">
        <v>7154346.0</v>
      </c>
      <c r="AB1983" s="283">
        <v>44532.0</v>
      </c>
      <c r="AC1983" s="284"/>
      <c r="AD1983" s="284"/>
    </row>
    <row r="1984" ht="14.25" customHeight="1">
      <c r="A1984" s="265">
        <v>44517.0</v>
      </c>
      <c r="B1984" s="266" t="s">
        <v>1738</v>
      </c>
      <c r="C1984" s="266"/>
      <c r="D1984" s="266" t="s">
        <v>1450</v>
      </c>
      <c r="E1984" s="292"/>
      <c r="F1984" s="358" t="s">
        <v>5918</v>
      </c>
      <c r="G1984" s="268" t="s">
        <v>2085</v>
      </c>
      <c r="H1984" s="270">
        <v>0.09719907407407408</v>
      </c>
      <c r="I1984" s="271">
        <v>44517.52361111111</v>
      </c>
      <c r="J1984" s="268"/>
      <c r="K1984" s="271">
        <v>44517.6112037037</v>
      </c>
      <c r="L1984" s="288"/>
      <c r="M1984" s="278"/>
      <c r="N1984" s="290"/>
      <c r="O1984" s="276"/>
      <c r="P1984" s="276"/>
      <c r="Q1984" s="276"/>
      <c r="R1984" s="278"/>
      <c r="S1984" s="278"/>
      <c r="T1984" s="278"/>
      <c r="U1984" s="279"/>
      <c r="V1984" s="279" t="s">
        <v>1733</v>
      </c>
      <c r="W1984" s="279" t="s">
        <v>5919</v>
      </c>
      <c r="X1984" s="281">
        <v>0.25</v>
      </c>
      <c r="Y1984" s="279" t="s">
        <v>1693</v>
      </c>
      <c r="Z1984" s="282" t="s">
        <v>53</v>
      </c>
      <c r="AA1984" s="443" t="s">
        <v>5918</v>
      </c>
      <c r="AB1984" s="283">
        <v>44518.0</v>
      </c>
      <c r="AC1984" s="284"/>
      <c r="AD1984" s="284"/>
    </row>
    <row r="1985" ht="14.25" customHeight="1">
      <c r="A1985" s="265">
        <v>44517.0</v>
      </c>
      <c r="B1985" s="266" t="s">
        <v>1824</v>
      </c>
      <c r="C1985" s="266"/>
      <c r="D1985" s="266" t="s">
        <v>1452</v>
      </c>
      <c r="E1985" s="292"/>
      <c r="F1985" s="291" t="s">
        <v>5920</v>
      </c>
      <c r="G1985" s="268" t="s">
        <v>2085</v>
      </c>
      <c r="H1985" s="270">
        <v>0.003043981481481482</v>
      </c>
      <c r="I1985" s="271">
        <v>44517.60486111111</v>
      </c>
      <c r="J1985" s="268"/>
      <c r="K1985" s="268"/>
      <c r="L1985" s="288"/>
      <c r="M1985" s="278"/>
      <c r="N1985" s="290"/>
      <c r="O1985" s="276"/>
      <c r="P1985" s="276"/>
      <c r="Q1985" s="276"/>
      <c r="R1985" s="278"/>
      <c r="S1985" s="278"/>
      <c r="T1985" s="278"/>
      <c r="U1985" s="279"/>
      <c r="V1985" s="279" t="s">
        <v>1824</v>
      </c>
      <c r="W1985" s="280">
        <v>44517.0</v>
      </c>
      <c r="X1985" s="281">
        <v>0.010416666666666666</v>
      </c>
      <c r="Y1985" s="279" t="s">
        <v>1693</v>
      </c>
      <c r="Z1985" s="282" t="s">
        <v>53</v>
      </c>
      <c r="AA1985" s="443" t="s">
        <v>5920</v>
      </c>
      <c r="AB1985" s="283">
        <v>44518.0</v>
      </c>
      <c r="AC1985" s="284"/>
      <c r="AD1985" s="284"/>
    </row>
    <row r="1986" ht="14.25" customHeight="1">
      <c r="A1986" s="265">
        <v>44517.0</v>
      </c>
      <c r="B1986" s="266" t="s">
        <v>1733</v>
      </c>
      <c r="C1986" s="266"/>
      <c r="D1986" s="266" t="s">
        <v>1686</v>
      </c>
      <c r="E1986" s="292"/>
      <c r="F1986" s="358" t="s">
        <v>5921</v>
      </c>
      <c r="G1986" s="268" t="s">
        <v>2085</v>
      </c>
      <c r="H1986" s="270">
        <v>0.03653935185185185</v>
      </c>
      <c r="I1986" s="271">
        <v>44517.58611111111</v>
      </c>
      <c r="J1986" s="268"/>
      <c r="K1986" s="271">
        <v>44517.60842592592</v>
      </c>
      <c r="L1986" s="288"/>
      <c r="M1986" s="278"/>
      <c r="N1986" s="290"/>
      <c r="O1986" s="276"/>
      <c r="P1986" s="276"/>
      <c r="Q1986" s="276"/>
      <c r="R1986" s="278"/>
      <c r="S1986" s="278"/>
      <c r="T1986" s="278"/>
      <c r="U1986" s="279"/>
      <c r="V1986" s="279" t="s">
        <v>1733</v>
      </c>
      <c r="W1986" s="280">
        <v>44518.0</v>
      </c>
      <c r="X1986" s="281">
        <v>0.125</v>
      </c>
      <c r="Y1986" s="279" t="s">
        <v>1693</v>
      </c>
      <c r="Z1986" s="282" t="s">
        <v>53</v>
      </c>
      <c r="AA1986" s="443" t="s">
        <v>5921</v>
      </c>
      <c r="AB1986" s="283">
        <v>44518.0</v>
      </c>
      <c r="AC1986" s="284"/>
      <c r="AD1986" s="284"/>
    </row>
    <row r="1987" ht="14.25" customHeight="1">
      <c r="A1987" s="265">
        <v>44517.0</v>
      </c>
      <c r="B1987" s="266" t="s">
        <v>3677</v>
      </c>
      <c r="C1987" s="266"/>
      <c r="D1987" s="266" t="s">
        <v>1455</v>
      </c>
      <c r="E1987" s="292"/>
      <c r="F1987" s="291" t="s">
        <v>5922</v>
      </c>
      <c r="G1987" s="268" t="s">
        <v>2085</v>
      </c>
      <c r="H1987" s="270">
        <v>0.021342592592592594</v>
      </c>
      <c r="I1987" s="271">
        <v>44517.89236111111</v>
      </c>
      <c r="J1987" s="268"/>
      <c r="K1987" s="271">
        <v>44517.906180555554</v>
      </c>
      <c r="L1987" s="288"/>
      <c r="M1987" s="278"/>
      <c r="N1987" s="290"/>
      <c r="O1987" s="276"/>
      <c r="P1987" s="276"/>
      <c r="Q1987" s="276"/>
      <c r="R1987" s="278"/>
      <c r="S1987" s="278"/>
      <c r="T1987" s="278"/>
      <c r="U1987" s="279"/>
      <c r="V1987" s="279" t="s">
        <v>1824</v>
      </c>
      <c r="W1987" s="280">
        <v>44519.0</v>
      </c>
      <c r="X1987" s="281">
        <v>0.06944444444444443</v>
      </c>
      <c r="Y1987" s="279" t="s">
        <v>1693</v>
      </c>
      <c r="Z1987" s="282" t="s">
        <v>53</v>
      </c>
      <c r="AA1987" s="443" t="s">
        <v>5922</v>
      </c>
      <c r="AB1987" s="283">
        <v>44518.0</v>
      </c>
      <c r="AC1987" s="284"/>
      <c r="AD1987" s="284"/>
    </row>
    <row r="1988" ht="14.25" customHeight="1">
      <c r="A1988" s="265">
        <v>44518.0</v>
      </c>
      <c r="B1988" s="266" t="s">
        <v>1500</v>
      </c>
      <c r="C1988" s="266" t="s">
        <v>1686</v>
      </c>
      <c r="D1988" s="266" t="s">
        <v>1543</v>
      </c>
      <c r="E1988" s="292"/>
      <c r="F1988" s="269" t="s">
        <v>5923</v>
      </c>
      <c r="G1988" s="268" t="s">
        <v>1463</v>
      </c>
      <c r="H1988" s="270">
        <v>0.0015393518518518519</v>
      </c>
      <c r="I1988" s="271">
        <v>44524.57916666667</v>
      </c>
      <c r="J1988" s="268"/>
      <c r="K1988" s="271">
        <v>44524.968136574076</v>
      </c>
      <c r="L1988" s="288"/>
      <c r="M1988" s="278" t="s">
        <v>5924</v>
      </c>
      <c r="N1988" s="290"/>
      <c r="O1988" s="276"/>
      <c r="P1988" s="276"/>
      <c r="Q1988" s="276"/>
      <c r="R1988" s="278"/>
      <c r="S1988" s="278"/>
      <c r="T1988" s="278"/>
      <c r="U1988" s="279"/>
      <c r="V1988" s="279" t="s">
        <v>1824</v>
      </c>
      <c r="W1988" s="280">
        <v>44537.0</v>
      </c>
      <c r="X1988" s="281">
        <v>0.004166666666666667</v>
      </c>
      <c r="Y1988" s="279" t="s">
        <v>1693</v>
      </c>
      <c r="Z1988" s="282" t="s">
        <v>53</v>
      </c>
      <c r="AA1988" s="443">
        <v>7145788.0</v>
      </c>
      <c r="AB1988" s="283">
        <v>44530.0</v>
      </c>
      <c r="AC1988" s="284"/>
      <c r="AD1988" s="284"/>
    </row>
    <row r="1989" ht="14.25" customHeight="1">
      <c r="A1989" s="265">
        <v>44518.0</v>
      </c>
      <c r="B1989" s="266" t="s">
        <v>1500</v>
      </c>
      <c r="C1989" s="266" t="s">
        <v>1686</v>
      </c>
      <c r="D1989" s="266" t="s">
        <v>1543</v>
      </c>
      <c r="E1989" s="292"/>
      <c r="F1989" s="269" t="s">
        <v>5925</v>
      </c>
      <c r="G1989" s="268" t="s">
        <v>1463</v>
      </c>
      <c r="H1989" s="270">
        <v>0.001412037037037037</v>
      </c>
      <c r="I1989" s="271">
        <v>44524.8</v>
      </c>
      <c r="J1989" s="268"/>
      <c r="K1989" s="271">
        <v>44525.13957175926</v>
      </c>
      <c r="L1989" s="288"/>
      <c r="M1989" s="278" t="s">
        <v>5926</v>
      </c>
      <c r="N1989" s="290"/>
      <c r="O1989" s="276"/>
      <c r="P1989" s="276"/>
      <c r="Q1989" s="276"/>
      <c r="R1989" s="278"/>
      <c r="S1989" s="278"/>
      <c r="T1989" s="278"/>
      <c r="U1989" s="279"/>
      <c r="V1989" s="279" t="s">
        <v>1824</v>
      </c>
      <c r="W1989" s="280">
        <v>44537.0</v>
      </c>
      <c r="X1989" s="281">
        <v>0.003472222222222222</v>
      </c>
      <c r="Y1989" s="279" t="s">
        <v>1693</v>
      </c>
      <c r="Z1989" s="282" t="s">
        <v>53</v>
      </c>
      <c r="AA1989" s="443">
        <v>7145789.0</v>
      </c>
      <c r="AB1989" s="283">
        <v>44530.0</v>
      </c>
      <c r="AC1989" s="284"/>
      <c r="AD1989" s="284"/>
    </row>
    <row r="1990" ht="14.25" customHeight="1">
      <c r="A1990" s="265">
        <v>44518.0</v>
      </c>
      <c r="B1990" s="266" t="s">
        <v>1733</v>
      </c>
      <c r="C1990" s="266" t="s">
        <v>1831</v>
      </c>
      <c r="D1990" s="266" t="s">
        <v>1686</v>
      </c>
      <c r="E1990" s="292"/>
      <c r="F1990" s="358" t="s">
        <v>5927</v>
      </c>
      <c r="G1990" s="268" t="s">
        <v>1463</v>
      </c>
      <c r="H1990" s="270">
        <v>0.0034953703703703705</v>
      </c>
      <c r="I1990" s="271">
        <v>44522.49375</v>
      </c>
      <c r="J1990" s="268"/>
      <c r="K1990" s="271">
        <v>44522.49716435185</v>
      </c>
      <c r="L1990" s="288"/>
      <c r="M1990" s="278" t="s">
        <v>5928</v>
      </c>
      <c r="N1990" s="290"/>
      <c r="O1990" s="276"/>
      <c r="P1990" s="276"/>
      <c r="Q1990" s="276"/>
      <c r="R1990" s="278"/>
      <c r="S1990" s="278"/>
      <c r="T1990" s="278"/>
      <c r="U1990" s="279"/>
      <c r="V1990" s="279" t="s">
        <v>1733</v>
      </c>
      <c r="W1990" s="280">
        <v>44522.0</v>
      </c>
      <c r="X1990" s="281">
        <v>0.006944444444444444</v>
      </c>
      <c r="Y1990" s="279" t="s">
        <v>1693</v>
      </c>
      <c r="Z1990" s="282" t="s">
        <v>53</v>
      </c>
      <c r="AA1990" s="282">
        <v>7154347.0</v>
      </c>
      <c r="AB1990" s="283">
        <v>44532.0</v>
      </c>
      <c r="AC1990" s="284"/>
      <c r="AD1990" s="284"/>
    </row>
    <row r="1991" ht="14.25" customHeight="1">
      <c r="A1991" s="265">
        <v>44518.0</v>
      </c>
      <c r="B1991" s="266" t="s">
        <v>1733</v>
      </c>
      <c r="C1991" s="266" t="s">
        <v>2158</v>
      </c>
      <c r="D1991" s="266" t="s">
        <v>1450</v>
      </c>
      <c r="E1991" s="292"/>
      <c r="F1991" s="286" t="s">
        <v>5929</v>
      </c>
      <c r="G1991" s="268" t="s">
        <v>4162</v>
      </c>
      <c r="H1991" s="270" t="s">
        <v>28</v>
      </c>
      <c r="I1991" s="271" t="s">
        <v>28</v>
      </c>
      <c r="J1991" s="268"/>
      <c r="K1991" s="271" t="s">
        <v>28</v>
      </c>
      <c r="L1991" s="288"/>
      <c r="M1991" s="278" t="s">
        <v>3915</v>
      </c>
      <c r="N1991" s="290" t="s">
        <v>28</v>
      </c>
      <c r="O1991" s="276" t="s">
        <v>28</v>
      </c>
      <c r="P1991" s="276" t="s">
        <v>28</v>
      </c>
      <c r="Q1991" s="276" t="s">
        <v>28</v>
      </c>
      <c r="R1991" s="278" t="s">
        <v>28</v>
      </c>
      <c r="S1991" s="278" t="s">
        <v>28</v>
      </c>
      <c r="T1991" s="278" t="s">
        <v>3915</v>
      </c>
      <c r="U1991" s="279"/>
      <c r="V1991" s="279" t="s">
        <v>28</v>
      </c>
      <c r="W1991" s="279" t="s">
        <v>28</v>
      </c>
      <c r="X1991" s="279" t="s">
        <v>28</v>
      </c>
      <c r="Y1991" s="279" t="s">
        <v>28</v>
      </c>
      <c r="Z1991" s="282" t="s">
        <v>28</v>
      </c>
      <c r="AA1991" s="282" t="s">
        <v>28</v>
      </c>
      <c r="AB1991" s="283" t="s">
        <v>28</v>
      </c>
      <c r="AC1991" s="284"/>
      <c r="AD1991" s="284"/>
    </row>
    <row r="1992" ht="14.25" customHeight="1">
      <c r="A1992" s="265">
        <v>44518.0</v>
      </c>
      <c r="B1992" s="266" t="s">
        <v>1824</v>
      </c>
      <c r="C1992" s="266" t="s">
        <v>3472</v>
      </c>
      <c r="D1992" s="266" t="s">
        <v>1455</v>
      </c>
      <c r="E1992" s="292"/>
      <c r="F1992" s="286" t="s">
        <v>5930</v>
      </c>
      <c r="G1992" s="268" t="s">
        <v>4162</v>
      </c>
      <c r="H1992" s="270"/>
      <c r="I1992" s="271" t="s">
        <v>28</v>
      </c>
      <c r="J1992" s="268"/>
      <c r="K1992" s="271" t="s">
        <v>28</v>
      </c>
      <c r="L1992" s="288"/>
      <c r="M1992" s="278" t="s">
        <v>3915</v>
      </c>
      <c r="N1992" s="290"/>
      <c r="O1992" s="276"/>
      <c r="P1992" s="276"/>
      <c r="Q1992" s="276"/>
      <c r="R1992" s="278"/>
      <c r="S1992" s="278"/>
      <c r="T1992" s="278" t="s">
        <v>3915</v>
      </c>
      <c r="U1992" s="279"/>
      <c r="V1992" s="279" t="s">
        <v>28</v>
      </c>
      <c r="W1992" s="280" t="s">
        <v>28</v>
      </c>
      <c r="X1992" s="281" t="s">
        <v>28</v>
      </c>
      <c r="Y1992" s="279" t="s">
        <v>28</v>
      </c>
      <c r="Z1992" s="282" t="s">
        <v>28</v>
      </c>
      <c r="AA1992" s="282" t="s">
        <v>28</v>
      </c>
      <c r="AB1992" s="283" t="s">
        <v>28</v>
      </c>
      <c r="AC1992" s="284"/>
      <c r="AD1992" s="284"/>
    </row>
    <row r="1993" ht="14.25" customHeight="1">
      <c r="A1993" s="265">
        <v>44518.0</v>
      </c>
      <c r="B1993" s="266" t="s">
        <v>1738</v>
      </c>
      <c r="C1993" s="266"/>
      <c r="D1993" s="266" t="s">
        <v>1450</v>
      </c>
      <c r="E1993" s="292"/>
      <c r="F1993" s="358" t="s">
        <v>5931</v>
      </c>
      <c r="G1993" s="268" t="s">
        <v>2085</v>
      </c>
      <c r="H1993" s="270">
        <v>0.09782407407407408</v>
      </c>
      <c r="I1993" s="271">
        <v>44518.47361111111</v>
      </c>
      <c r="J1993" s="268"/>
      <c r="K1993" s="271">
        <v>44518.59444444445</v>
      </c>
      <c r="L1993" s="288"/>
      <c r="M1993" s="278"/>
      <c r="N1993" s="290"/>
      <c r="O1993" s="276"/>
      <c r="P1993" s="276"/>
      <c r="Q1993" s="276"/>
      <c r="R1993" s="278"/>
      <c r="S1993" s="278"/>
      <c r="T1993" s="278"/>
      <c r="U1993" s="279"/>
      <c r="V1993" s="279" t="s">
        <v>1733</v>
      </c>
      <c r="W1993" s="279" t="s">
        <v>5932</v>
      </c>
      <c r="X1993" s="281">
        <v>0.25</v>
      </c>
      <c r="Y1993" s="279" t="s">
        <v>1693</v>
      </c>
      <c r="Z1993" s="282" t="s">
        <v>53</v>
      </c>
      <c r="AA1993" s="282" t="s">
        <v>5931</v>
      </c>
      <c r="AB1993" s="283">
        <v>44519.0</v>
      </c>
      <c r="AC1993" s="284"/>
      <c r="AD1993" s="284"/>
    </row>
    <row r="1994" ht="14.25" customHeight="1">
      <c r="A1994" s="265">
        <v>44518.0</v>
      </c>
      <c r="B1994" s="266" t="s">
        <v>1824</v>
      </c>
      <c r="C1994" s="266"/>
      <c r="D1994" s="266" t="s">
        <v>1452</v>
      </c>
      <c r="E1994" s="292"/>
      <c r="F1994" s="291" t="s">
        <v>5933</v>
      </c>
      <c r="G1994" s="268" t="s">
        <v>2085</v>
      </c>
      <c r="H1994" s="270">
        <v>0.003344907407407407</v>
      </c>
      <c r="I1994" s="271">
        <v>44518.51597222222</v>
      </c>
      <c r="J1994" s="268"/>
      <c r="K1994" s="268"/>
      <c r="L1994" s="288"/>
      <c r="M1994" s="278"/>
      <c r="N1994" s="290"/>
      <c r="O1994" s="276"/>
      <c r="P1994" s="276"/>
      <c r="Q1994" s="276"/>
      <c r="R1994" s="278"/>
      <c r="S1994" s="278"/>
      <c r="T1994" s="278"/>
      <c r="U1994" s="279"/>
      <c r="V1994" s="279" t="s">
        <v>1824</v>
      </c>
      <c r="W1994" s="280">
        <v>44518.0</v>
      </c>
      <c r="X1994" s="281">
        <v>0.006944444444444444</v>
      </c>
      <c r="Y1994" s="279" t="s">
        <v>1693</v>
      </c>
      <c r="Z1994" s="282" t="s">
        <v>53</v>
      </c>
      <c r="AA1994" s="282" t="s">
        <v>5933</v>
      </c>
      <c r="AB1994" s="283">
        <v>44519.0</v>
      </c>
      <c r="AC1994" s="284"/>
      <c r="AD1994" s="284"/>
    </row>
    <row r="1995" ht="14.25" customHeight="1">
      <c r="A1995" s="265">
        <v>44518.0</v>
      </c>
      <c r="B1995" s="266" t="s">
        <v>1733</v>
      </c>
      <c r="C1995" s="266"/>
      <c r="D1995" s="266" t="s">
        <v>1686</v>
      </c>
      <c r="E1995" s="292"/>
      <c r="F1995" s="358" t="s">
        <v>5934</v>
      </c>
      <c r="G1995" s="268" t="s">
        <v>2085</v>
      </c>
      <c r="H1995" s="270">
        <v>0.037083333333333336</v>
      </c>
      <c r="I1995" s="271">
        <v>44518.6</v>
      </c>
      <c r="J1995" s="268"/>
      <c r="K1995" s="271">
        <v>44518.663668981484</v>
      </c>
      <c r="L1995" s="288"/>
      <c r="M1995" s="278"/>
      <c r="N1995" s="290"/>
      <c r="O1995" s="276"/>
      <c r="P1995" s="276"/>
      <c r="Q1995" s="276"/>
      <c r="R1995" s="278"/>
      <c r="S1995" s="278"/>
      <c r="T1995" s="278"/>
      <c r="U1995" s="279"/>
      <c r="V1995" s="279" t="s">
        <v>1733</v>
      </c>
      <c r="W1995" s="279" t="s">
        <v>5935</v>
      </c>
      <c r="X1995" s="281">
        <v>0.125</v>
      </c>
      <c r="Y1995" s="279" t="s">
        <v>1693</v>
      </c>
      <c r="Z1995" s="282" t="s">
        <v>53</v>
      </c>
      <c r="AA1995" s="282" t="s">
        <v>5934</v>
      </c>
      <c r="AB1995" s="283">
        <v>44519.0</v>
      </c>
      <c r="AC1995" s="284"/>
      <c r="AD1995" s="284"/>
    </row>
    <row r="1996" ht="14.25" customHeight="1">
      <c r="A1996" s="265">
        <v>44518.0</v>
      </c>
      <c r="B1996" s="266" t="s">
        <v>3677</v>
      </c>
      <c r="C1996" s="266"/>
      <c r="D1996" s="266" t="s">
        <v>1455</v>
      </c>
      <c r="E1996" s="292"/>
      <c r="F1996" s="291" t="s">
        <v>5936</v>
      </c>
      <c r="G1996" s="268" t="s">
        <v>2085</v>
      </c>
      <c r="H1996" s="270">
        <v>0.021284722222222222</v>
      </c>
      <c r="I1996" s="271">
        <v>44518.92361111111</v>
      </c>
      <c r="J1996" s="268"/>
      <c r="K1996" s="271">
        <v>44518.93708333333</v>
      </c>
      <c r="L1996" s="288"/>
      <c r="M1996" s="278"/>
      <c r="N1996" s="290"/>
      <c r="O1996" s="276"/>
      <c r="P1996" s="276"/>
      <c r="Q1996" s="276"/>
      <c r="R1996" s="278"/>
      <c r="S1996" s="278"/>
      <c r="T1996" s="278"/>
      <c r="U1996" s="279"/>
      <c r="V1996" s="279" t="s">
        <v>1824</v>
      </c>
      <c r="W1996" s="280">
        <v>44519.0</v>
      </c>
      <c r="X1996" s="281">
        <v>0.06944444444444443</v>
      </c>
      <c r="Y1996" s="279" t="s">
        <v>1693</v>
      </c>
      <c r="Z1996" s="282" t="s">
        <v>53</v>
      </c>
      <c r="AA1996" s="282" t="s">
        <v>5936</v>
      </c>
      <c r="AB1996" s="283">
        <v>44519.0</v>
      </c>
      <c r="AC1996" s="284"/>
      <c r="AD1996" s="284"/>
    </row>
    <row r="1997" ht="14.25" customHeight="1">
      <c r="A1997" s="265">
        <v>44519.0</v>
      </c>
      <c r="B1997" s="266" t="s">
        <v>1733</v>
      </c>
      <c r="C1997" s="266" t="s">
        <v>2158</v>
      </c>
      <c r="D1997" s="266" t="s">
        <v>1450</v>
      </c>
      <c r="E1997" s="292"/>
      <c r="F1997" s="358" t="s">
        <v>5937</v>
      </c>
      <c r="G1997" s="268" t="s">
        <v>1463</v>
      </c>
      <c r="H1997" s="270">
        <v>0.005358796296296296</v>
      </c>
      <c r="I1997" s="271">
        <v>44525.686111111114</v>
      </c>
      <c r="J1997" s="268"/>
      <c r="K1997" s="271">
        <v>44525.68898148148</v>
      </c>
      <c r="L1997" s="288"/>
      <c r="M1997" s="278" t="s">
        <v>5938</v>
      </c>
      <c r="N1997" s="290"/>
      <c r="O1997" s="276"/>
      <c r="P1997" s="276"/>
      <c r="Q1997" s="276"/>
      <c r="R1997" s="278"/>
      <c r="S1997" s="278"/>
      <c r="T1997" s="278"/>
      <c r="U1997" s="279"/>
      <c r="V1997" s="279" t="s">
        <v>1733</v>
      </c>
      <c r="W1997" s="280">
        <v>44525.0</v>
      </c>
      <c r="X1997" s="281">
        <v>0.006944444444444444</v>
      </c>
      <c r="Y1997" s="279" t="s">
        <v>1693</v>
      </c>
      <c r="Z1997" s="282" t="s">
        <v>53</v>
      </c>
      <c r="AA1997" s="282">
        <v>7132602.0</v>
      </c>
      <c r="AB1997" s="283">
        <v>44527.0</v>
      </c>
      <c r="AC1997" s="284"/>
      <c r="AD1997" s="284"/>
    </row>
    <row r="1998" ht="14.25" customHeight="1">
      <c r="A1998" s="265">
        <v>44519.0</v>
      </c>
      <c r="B1998" s="266" t="s">
        <v>1824</v>
      </c>
      <c r="C1998" s="266" t="s">
        <v>1831</v>
      </c>
      <c r="D1998" s="266" t="s">
        <v>1686</v>
      </c>
      <c r="E1998" s="292"/>
      <c r="F1998" s="269" t="s">
        <v>5939</v>
      </c>
      <c r="G1998" s="268" t="s">
        <v>1463</v>
      </c>
      <c r="H1998" s="270">
        <v>0.003344907407407407</v>
      </c>
      <c r="I1998" s="271">
        <v>44521.67083333333</v>
      </c>
      <c r="J1998" s="268"/>
      <c r="K1998" s="271" t="s">
        <v>5940</v>
      </c>
      <c r="L1998" s="288"/>
      <c r="M1998" s="278" t="s">
        <v>5941</v>
      </c>
      <c r="N1998" s="290"/>
      <c r="O1998" s="276"/>
      <c r="P1998" s="276"/>
      <c r="Q1998" s="276"/>
      <c r="R1998" s="278"/>
      <c r="S1998" s="278"/>
      <c r="T1998" s="278"/>
      <c r="U1998" s="279"/>
      <c r="V1998" s="279" t="s">
        <v>1824</v>
      </c>
      <c r="W1998" s="280">
        <v>44524.0</v>
      </c>
      <c r="X1998" s="281">
        <v>0.001388888888888889</v>
      </c>
      <c r="Y1998" s="279" t="s">
        <v>1693</v>
      </c>
      <c r="Z1998" s="282" t="s">
        <v>53</v>
      </c>
      <c r="AA1998" s="282">
        <v>7132603.0</v>
      </c>
      <c r="AB1998" s="283">
        <v>44527.0</v>
      </c>
      <c r="AC1998" s="284"/>
      <c r="AD1998" s="284"/>
    </row>
    <row r="1999" ht="14.25" customHeight="1">
      <c r="A1999" s="265">
        <v>44519.0</v>
      </c>
      <c r="B1999" s="266" t="s">
        <v>2030</v>
      </c>
      <c r="C1999" s="266" t="s">
        <v>1686</v>
      </c>
      <c r="D1999" s="266" t="s">
        <v>1543</v>
      </c>
      <c r="E1999" s="292"/>
      <c r="F1999" s="291" t="s">
        <v>5942</v>
      </c>
      <c r="G1999" s="268" t="s">
        <v>1463</v>
      </c>
      <c r="H1999" s="270">
        <v>0.001550925925925926</v>
      </c>
      <c r="I1999" s="271">
        <v>44525.30138888889</v>
      </c>
      <c r="J1999" s="268"/>
      <c r="K1999" s="271">
        <v>44525.30347222222</v>
      </c>
      <c r="L1999" s="288"/>
      <c r="M1999" s="278" t="s">
        <v>5943</v>
      </c>
      <c r="N1999" s="290"/>
      <c r="O1999" s="276"/>
      <c r="P1999" s="276"/>
      <c r="Q1999" s="276"/>
      <c r="R1999" s="278"/>
      <c r="S1999" s="278"/>
      <c r="T1999" s="278"/>
      <c r="U1999" s="279"/>
      <c r="V1999" s="279" t="s">
        <v>1824</v>
      </c>
      <c r="W1999" s="280">
        <v>44537.0</v>
      </c>
      <c r="X1999" s="281">
        <v>0.007638888888888889</v>
      </c>
      <c r="Y1999" s="279" t="s">
        <v>1693</v>
      </c>
      <c r="Z1999" s="282" t="s">
        <v>53</v>
      </c>
      <c r="AA1999" s="282">
        <v>7132604.0</v>
      </c>
      <c r="AB1999" s="283">
        <v>44527.0</v>
      </c>
      <c r="AC1999" s="284"/>
      <c r="AD1999" s="284"/>
    </row>
    <row r="2000" ht="14.25" customHeight="1">
      <c r="A2000" s="265">
        <v>44519.0</v>
      </c>
      <c r="B2000" s="266" t="s">
        <v>2030</v>
      </c>
      <c r="C2000" s="266" t="s">
        <v>1686</v>
      </c>
      <c r="D2000" s="266" t="s">
        <v>1543</v>
      </c>
      <c r="E2000" s="292"/>
      <c r="F2000" s="291" t="s">
        <v>5944</v>
      </c>
      <c r="G2000" s="268" t="s">
        <v>1463</v>
      </c>
      <c r="H2000" s="270">
        <v>0.0037268518518518514</v>
      </c>
      <c r="I2000" s="271">
        <v>44525.50347222222</v>
      </c>
      <c r="J2000" s="268"/>
      <c r="K2000" s="271">
        <v>44525.50833333333</v>
      </c>
      <c r="L2000" s="288"/>
      <c r="M2000" s="278" t="s">
        <v>5945</v>
      </c>
      <c r="N2000" s="290"/>
      <c r="O2000" s="276"/>
      <c r="P2000" s="276"/>
      <c r="Q2000" s="276"/>
      <c r="R2000" s="278"/>
      <c r="S2000" s="278"/>
      <c r="T2000" s="278"/>
      <c r="U2000" s="279"/>
      <c r="V2000" s="279" t="s">
        <v>1824</v>
      </c>
      <c r="W2000" s="280">
        <v>44537.0</v>
      </c>
      <c r="X2000" s="281">
        <v>0.005555555555555556</v>
      </c>
      <c r="Y2000" s="279" t="s">
        <v>1693</v>
      </c>
      <c r="Z2000" s="282" t="s">
        <v>53</v>
      </c>
      <c r="AA2000" s="282">
        <v>7132605.0</v>
      </c>
      <c r="AB2000" s="283">
        <v>44527.0</v>
      </c>
      <c r="AC2000" s="284"/>
      <c r="AD2000" s="284"/>
    </row>
    <row r="2001" ht="14.25" customHeight="1">
      <c r="A2001" s="265">
        <v>44519.0</v>
      </c>
      <c r="B2001" s="266" t="s">
        <v>1738</v>
      </c>
      <c r="C2001" s="266"/>
      <c r="D2001" s="266" t="s">
        <v>1450</v>
      </c>
      <c r="E2001" s="292"/>
      <c r="F2001" s="358" t="s">
        <v>5946</v>
      </c>
      <c r="G2001" s="268" t="s">
        <v>2085</v>
      </c>
      <c r="H2001" s="270">
        <v>0.09770833333333333</v>
      </c>
      <c r="I2001" s="271">
        <v>44519.56597222222</v>
      </c>
      <c r="J2001" s="268"/>
      <c r="K2001" s="271">
        <v>44519.64097222222</v>
      </c>
      <c r="L2001" s="288"/>
      <c r="M2001" s="278"/>
      <c r="N2001" s="290"/>
      <c r="O2001" s="276"/>
      <c r="P2001" s="276"/>
      <c r="Q2001" s="276"/>
      <c r="R2001" s="278"/>
      <c r="S2001" s="278"/>
      <c r="T2001" s="278"/>
      <c r="U2001" s="279"/>
      <c r="V2001" s="279" t="s">
        <v>1733</v>
      </c>
      <c r="W2001" s="279" t="s">
        <v>5947</v>
      </c>
      <c r="X2001" s="281">
        <v>0.25</v>
      </c>
      <c r="Y2001" s="279" t="s">
        <v>1693</v>
      </c>
      <c r="Z2001" s="282" t="s">
        <v>53</v>
      </c>
      <c r="AA2001" s="282" t="s">
        <v>5946</v>
      </c>
      <c r="AB2001" s="283">
        <v>44521.0</v>
      </c>
      <c r="AC2001" s="284"/>
      <c r="AD2001" s="284"/>
    </row>
    <row r="2002" ht="14.25" customHeight="1">
      <c r="A2002" s="265">
        <v>44519.0</v>
      </c>
      <c r="B2002" s="266" t="s">
        <v>1824</v>
      </c>
      <c r="C2002" s="266"/>
      <c r="D2002" s="266" t="s">
        <v>1452</v>
      </c>
      <c r="E2002" s="292"/>
      <c r="F2002" s="291" t="s">
        <v>5948</v>
      </c>
      <c r="G2002" s="268" t="s">
        <v>2085</v>
      </c>
      <c r="H2002" s="270">
        <v>0.0052662037037037035</v>
      </c>
      <c r="I2002" s="271">
        <v>44519.518055555556</v>
      </c>
      <c r="J2002" s="268"/>
      <c r="K2002" s="268"/>
      <c r="L2002" s="288"/>
      <c r="M2002" s="278"/>
      <c r="N2002" s="290"/>
      <c r="O2002" s="276"/>
      <c r="P2002" s="276"/>
      <c r="Q2002" s="276"/>
      <c r="R2002" s="278"/>
      <c r="S2002" s="278"/>
      <c r="T2002" s="278"/>
      <c r="U2002" s="279"/>
      <c r="V2002" s="279" t="s">
        <v>1824</v>
      </c>
      <c r="W2002" s="280">
        <v>44519.0</v>
      </c>
      <c r="X2002" s="281">
        <v>0.010416666666666666</v>
      </c>
      <c r="Y2002" s="279" t="s">
        <v>1693</v>
      </c>
      <c r="Z2002" s="282" t="s">
        <v>53</v>
      </c>
      <c r="AA2002" s="282" t="s">
        <v>5948</v>
      </c>
      <c r="AB2002" s="283">
        <v>44521.0</v>
      </c>
      <c r="AC2002" s="284"/>
      <c r="AD2002" s="284"/>
    </row>
    <row r="2003" ht="14.25" customHeight="1">
      <c r="A2003" s="265">
        <v>44519.0</v>
      </c>
      <c r="B2003" s="266" t="s">
        <v>1733</v>
      </c>
      <c r="C2003" s="266"/>
      <c r="D2003" s="266" t="s">
        <v>1686</v>
      </c>
      <c r="E2003" s="292"/>
      <c r="F2003" s="358" t="s">
        <v>5949</v>
      </c>
      <c r="G2003" s="268" t="s">
        <v>2085</v>
      </c>
      <c r="H2003" s="270">
        <v>0.03665509259259259</v>
      </c>
      <c r="I2003" s="271">
        <v>44519.82083333333</v>
      </c>
      <c r="J2003" s="268"/>
      <c r="K2003" s="271">
        <v>44519.84045138889</v>
      </c>
      <c r="L2003" s="288"/>
      <c r="M2003" s="278"/>
      <c r="N2003" s="290"/>
      <c r="O2003" s="276"/>
      <c r="P2003" s="276"/>
      <c r="Q2003" s="276"/>
      <c r="R2003" s="278"/>
      <c r="S2003" s="278"/>
      <c r="T2003" s="278"/>
      <c r="U2003" s="279"/>
      <c r="V2003" s="279" t="s">
        <v>1824</v>
      </c>
      <c r="W2003" s="280">
        <v>44523.0</v>
      </c>
      <c r="X2003" s="281">
        <v>0.11597222222222221</v>
      </c>
      <c r="Y2003" s="279" t="s">
        <v>1693</v>
      </c>
      <c r="Z2003" s="282" t="s">
        <v>53</v>
      </c>
      <c r="AA2003" s="282" t="s">
        <v>5949</v>
      </c>
      <c r="AB2003" s="283">
        <v>44521.0</v>
      </c>
      <c r="AC2003" s="284"/>
      <c r="AD2003" s="284"/>
    </row>
    <row r="2004" ht="14.25" customHeight="1">
      <c r="A2004" s="265">
        <v>44519.0</v>
      </c>
      <c r="B2004" s="266" t="s">
        <v>3677</v>
      </c>
      <c r="C2004" s="266"/>
      <c r="D2004" s="266" t="s">
        <v>1455</v>
      </c>
      <c r="E2004" s="292"/>
      <c r="F2004" s="358" t="s">
        <v>5950</v>
      </c>
      <c r="G2004" s="268" t="s">
        <v>2085</v>
      </c>
      <c r="H2004" s="270">
        <v>0.020358796296296295</v>
      </c>
      <c r="I2004" s="271">
        <v>44519.87986111111</v>
      </c>
      <c r="J2004" s="268"/>
      <c r="K2004" s="271">
        <v>44519.90744212963</v>
      </c>
      <c r="L2004" s="288"/>
      <c r="M2004" s="278"/>
      <c r="N2004" s="290"/>
      <c r="O2004" s="276"/>
      <c r="P2004" s="276"/>
      <c r="Q2004" s="276"/>
      <c r="R2004" s="278"/>
      <c r="S2004" s="278"/>
      <c r="T2004" s="278"/>
      <c r="U2004" s="279"/>
      <c r="V2004" s="279" t="s">
        <v>1500</v>
      </c>
      <c r="W2004" s="280">
        <v>44523.0</v>
      </c>
      <c r="X2004" s="281">
        <v>0.08333333333333333</v>
      </c>
      <c r="Y2004" s="279" t="s">
        <v>1693</v>
      </c>
      <c r="Z2004" s="282" t="s">
        <v>53</v>
      </c>
      <c r="AA2004" s="282" t="s">
        <v>5950</v>
      </c>
      <c r="AB2004" s="283">
        <v>44521.0</v>
      </c>
      <c r="AC2004" s="284"/>
      <c r="AD2004" s="284"/>
    </row>
    <row r="2005" ht="14.25" customHeight="1">
      <c r="A2005" s="265">
        <v>44520.0</v>
      </c>
      <c r="B2005" s="266" t="s">
        <v>1500</v>
      </c>
      <c r="C2005" s="266" t="s">
        <v>3472</v>
      </c>
      <c r="D2005" s="266" t="s">
        <v>1455</v>
      </c>
      <c r="E2005" s="292"/>
      <c r="F2005" s="291" t="s">
        <v>5951</v>
      </c>
      <c r="G2005" s="268" t="s">
        <v>1463</v>
      </c>
      <c r="H2005" s="270">
        <v>0.0022800925925925927</v>
      </c>
      <c r="I2005" s="271">
        <v>44525.73888888889</v>
      </c>
      <c r="J2005" s="268"/>
      <c r="K2005" s="271">
        <v>44525.757314814815</v>
      </c>
      <c r="L2005" s="288"/>
      <c r="M2005" s="278" t="s">
        <v>5952</v>
      </c>
      <c r="N2005" s="290"/>
      <c r="O2005" s="276"/>
      <c r="P2005" s="276"/>
      <c r="Q2005" s="276"/>
      <c r="R2005" s="278"/>
      <c r="S2005" s="278"/>
      <c r="T2005" s="278"/>
      <c r="U2005" s="279"/>
      <c r="V2005" s="279" t="s">
        <v>1500</v>
      </c>
      <c r="W2005" s="280">
        <v>44525.0</v>
      </c>
      <c r="X2005" s="281">
        <v>0.013888888888888888</v>
      </c>
      <c r="Y2005" s="279"/>
      <c r="Z2005" s="282" t="s">
        <v>53</v>
      </c>
      <c r="AA2005" s="282">
        <v>7132606.0</v>
      </c>
      <c r="AB2005" s="283">
        <v>44527.0</v>
      </c>
      <c r="AC2005" s="284"/>
      <c r="AD2005" s="284"/>
    </row>
    <row r="2006" ht="14.25" customHeight="1">
      <c r="A2006" s="265">
        <v>44520.0</v>
      </c>
      <c r="B2006" s="266" t="s">
        <v>1500</v>
      </c>
      <c r="C2006" s="266" t="s">
        <v>3472</v>
      </c>
      <c r="D2006" s="266" t="s">
        <v>1455</v>
      </c>
      <c r="E2006" s="292"/>
      <c r="F2006" s="291" t="s">
        <v>5953</v>
      </c>
      <c r="G2006" s="268" t="s">
        <v>1463</v>
      </c>
      <c r="H2006" s="270">
        <v>0.004270833333333334</v>
      </c>
      <c r="I2006" s="271">
        <v>44525.770833333336</v>
      </c>
      <c r="J2006" s="268"/>
      <c r="K2006" s="271">
        <v>44525.77511574074</v>
      </c>
      <c r="L2006" s="288"/>
      <c r="M2006" s="278" t="s">
        <v>5954</v>
      </c>
      <c r="N2006" s="290"/>
      <c r="O2006" s="276"/>
      <c r="P2006" s="276"/>
      <c r="Q2006" s="276"/>
      <c r="R2006" s="278"/>
      <c r="S2006" s="278"/>
      <c r="T2006" s="278"/>
      <c r="U2006" s="279"/>
      <c r="V2006" s="279" t="s">
        <v>1500</v>
      </c>
      <c r="W2006" s="280">
        <v>44525.0</v>
      </c>
      <c r="X2006" s="281">
        <v>0.013888888888888888</v>
      </c>
      <c r="Y2006" s="279"/>
      <c r="Z2006" s="282" t="s">
        <v>53</v>
      </c>
      <c r="AA2006" s="282">
        <v>7132607.0</v>
      </c>
      <c r="AB2006" s="283">
        <v>44527.0</v>
      </c>
      <c r="AC2006" s="284"/>
      <c r="AD2006" s="284"/>
    </row>
    <row r="2007" ht="14.25" customHeight="1">
      <c r="A2007" s="265">
        <v>44520.0</v>
      </c>
      <c r="B2007" s="266" t="s">
        <v>2030</v>
      </c>
      <c r="C2007" s="266" t="s">
        <v>1686</v>
      </c>
      <c r="D2007" s="266" t="s">
        <v>1543</v>
      </c>
      <c r="E2007" s="292"/>
      <c r="F2007" s="291" t="s">
        <v>5955</v>
      </c>
      <c r="G2007" s="268" t="s">
        <v>1463</v>
      </c>
      <c r="H2007" s="270">
        <v>0.004953703703703704</v>
      </c>
      <c r="I2007" s="271">
        <v>44526.444444444445</v>
      </c>
      <c r="J2007" s="268"/>
      <c r="K2007" s="271"/>
      <c r="L2007" s="288"/>
      <c r="M2007" s="278" t="s">
        <v>3915</v>
      </c>
      <c r="N2007" s="273">
        <v>44526.518055555556</v>
      </c>
      <c r="O2007" s="276" t="s">
        <v>5956</v>
      </c>
      <c r="P2007" s="276" t="s">
        <v>1463</v>
      </c>
      <c r="Q2007" s="276"/>
      <c r="R2007" s="277">
        <v>44526.52569444444</v>
      </c>
      <c r="S2007" s="278"/>
      <c r="T2007" s="278" t="s">
        <v>5957</v>
      </c>
      <c r="U2007" s="279"/>
      <c r="V2007" s="279" t="s">
        <v>1824</v>
      </c>
      <c r="W2007" s="280">
        <v>44537.0</v>
      </c>
      <c r="X2007" s="281">
        <v>0.012499999999999999</v>
      </c>
      <c r="Y2007" s="279" t="s">
        <v>1693</v>
      </c>
      <c r="Z2007" s="282" t="s">
        <v>53</v>
      </c>
      <c r="AA2007" s="282">
        <v>7132608.0</v>
      </c>
      <c r="AB2007" s="283">
        <v>44527.0</v>
      </c>
      <c r="AC2007" s="284"/>
      <c r="AD2007" s="284"/>
    </row>
    <row r="2008" ht="14.25" customHeight="1">
      <c r="A2008" s="265">
        <v>44520.0</v>
      </c>
      <c r="B2008" s="266" t="s">
        <v>1824</v>
      </c>
      <c r="C2008" s="266" t="s">
        <v>1831</v>
      </c>
      <c r="D2008" s="266" t="s">
        <v>1686</v>
      </c>
      <c r="E2008" s="292"/>
      <c r="F2008" s="286" t="s">
        <v>5958</v>
      </c>
      <c r="G2008" s="268" t="s">
        <v>4162</v>
      </c>
      <c r="H2008" s="270"/>
      <c r="I2008" s="271"/>
      <c r="J2008" s="268"/>
      <c r="K2008" s="268"/>
      <c r="L2008" s="288"/>
      <c r="M2008" s="278" t="s">
        <v>3915</v>
      </c>
      <c r="N2008" s="290"/>
      <c r="O2008" s="276"/>
      <c r="P2008" s="276"/>
      <c r="Q2008" s="276"/>
      <c r="R2008" s="278"/>
      <c r="S2008" s="278"/>
      <c r="T2008" s="278" t="s">
        <v>3915</v>
      </c>
      <c r="U2008" s="279"/>
      <c r="V2008" s="279" t="s">
        <v>28</v>
      </c>
      <c r="W2008" s="280" t="s">
        <v>28</v>
      </c>
      <c r="X2008" s="281" t="s">
        <v>28</v>
      </c>
      <c r="Y2008" s="279" t="s">
        <v>28</v>
      </c>
      <c r="Z2008" s="282" t="s">
        <v>28</v>
      </c>
      <c r="AA2008" s="282" t="s">
        <v>28</v>
      </c>
      <c r="AB2008" s="283" t="s">
        <v>28</v>
      </c>
      <c r="AC2008" s="284"/>
      <c r="AD2008" s="284"/>
    </row>
    <row r="2009" ht="14.25" customHeight="1">
      <c r="A2009" s="265">
        <v>44520.0</v>
      </c>
      <c r="B2009" s="266" t="s">
        <v>1783</v>
      </c>
      <c r="C2009" s="266"/>
      <c r="D2009" s="266" t="s">
        <v>1686</v>
      </c>
      <c r="E2009" s="292"/>
      <c r="F2009" s="358" t="s">
        <v>5959</v>
      </c>
      <c r="G2009" s="268" t="s">
        <v>2085</v>
      </c>
      <c r="H2009" s="270">
        <v>0.03777777777777778</v>
      </c>
      <c r="I2009" s="271">
        <v>44520.638194444444</v>
      </c>
      <c r="J2009" s="268"/>
      <c r="K2009" s="268" t="s">
        <v>5960</v>
      </c>
      <c r="L2009" s="288"/>
      <c r="M2009" s="278"/>
      <c r="N2009" s="290"/>
      <c r="O2009" s="276"/>
      <c r="P2009" s="276"/>
      <c r="Q2009" s="276"/>
      <c r="R2009" s="278"/>
      <c r="S2009" s="278"/>
      <c r="T2009" s="278"/>
      <c r="U2009" s="279"/>
      <c r="V2009" s="279" t="s">
        <v>1824</v>
      </c>
      <c r="W2009" s="280">
        <v>44524.0</v>
      </c>
      <c r="X2009" s="281">
        <v>0.125</v>
      </c>
      <c r="Y2009" s="279" t="s">
        <v>1693</v>
      </c>
      <c r="Z2009" s="282" t="s">
        <v>53</v>
      </c>
      <c r="AA2009" s="282" t="s">
        <v>5959</v>
      </c>
      <c r="AB2009" s="283">
        <v>44521.0</v>
      </c>
      <c r="AC2009" s="284"/>
      <c r="AD2009" s="284"/>
    </row>
    <row r="2010" ht="14.25" customHeight="1">
      <c r="A2010" s="265">
        <v>44520.0</v>
      </c>
      <c r="B2010" s="266" t="s">
        <v>3677</v>
      </c>
      <c r="C2010" s="266"/>
      <c r="D2010" s="266" t="s">
        <v>1455</v>
      </c>
      <c r="E2010" s="292"/>
      <c r="F2010" s="358" t="s">
        <v>5961</v>
      </c>
      <c r="G2010" s="268" t="s">
        <v>2085</v>
      </c>
      <c r="H2010" s="270">
        <v>0.01628472222222222</v>
      </c>
      <c r="I2010" s="271">
        <v>44521.78611111111</v>
      </c>
      <c r="J2010" s="268"/>
      <c r="K2010" s="271">
        <v>44521.80950231481</v>
      </c>
      <c r="L2010" s="288"/>
      <c r="M2010" s="278"/>
      <c r="N2010" s="290"/>
      <c r="O2010" s="276"/>
      <c r="P2010" s="276"/>
      <c r="Q2010" s="276"/>
      <c r="R2010" s="278"/>
      <c r="S2010" s="278"/>
      <c r="T2010" s="278"/>
      <c r="U2010" s="279"/>
      <c r="V2010" s="279" t="s">
        <v>1500</v>
      </c>
      <c r="W2010" s="280">
        <v>44525.0</v>
      </c>
      <c r="X2010" s="281">
        <v>0.08333333333333333</v>
      </c>
      <c r="Y2010" s="279" t="s">
        <v>1693</v>
      </c>
      <c r="Z2010" s="282" t="s">
        <v>53</v>
      </c>
      <c r="AA2010" s="282" t="s">
        <v>5961</v>
      </c>
      <c r="AB2010" s="283">
        <v>44523.0</v>
      </c>
      <c r="AC2010" s="284"/>
      <c r="AD2010" s="284"/>
    </row>
    <row r="2011" ht="14.25" customHeight="1">
      <c r="A2011" s="265">
        <v>44521.0</v>
      </c>
      <c r="B2011" s="266" t="s">
        <v>1733</v>
      </c>
      <c r="C2011" s="266"/>
      <c r="D2011" s="266" t="s">
        <v>3509</v>
      </c>
      <c r="E2011" s="292"/>
      <c r="F2011" s="358">
        <v>7074848.0</v>
      </c>
      <c r="G2011" s="268" t="s">
        <v>3839</v>
      </c>
      <c r="H2011" s="270">
        <v>0.03640046296296296</v>
      </c>
      <c r="I2011" s="271">
        <v>44522.35555555556</v>
      </c>
      <c r="J2011" s="268"/>
      <c r="K2011" s="271">
        <v>44522.35487268519</v>
      </c>
      <c r="L2011" s="288"/>
      <c r="M2011" s="278" t="s">
        <v>5962</v>
      </c>
      <c r="N2011" s="290"/>
      <c r="O2011" s="276"/>
      <c r="P2011" s="276"/>
      <c r="Q2011" s="276"/>
      <c r="R2011" s="278"/>
      <c r="S2011" s="278"/>
      <c r="T2011" s="278"/>
      <c r="U2011" s="279" t="s">
        <v>28</v>
      </c>
      <c r="V2011" s="279" t="s">
        <v>28</v>
      </c>
      <c r="W2011" s="279" t="s">
        <v>28</v>
      </c>
      <c r="X2011" s="281" t="s">
        <v>28</v>
      </c>
      <c r="Y2011" s="279" t="s">
        <v>28</v>
      </c>
      <c r="Z2011" s="282" t="s">
        <v>5963</v>
      </c>
      <c r="AA2011" s="282">
        <v>7074848.0</v>
      </c>
      <c r="AB2011" s="283">
        <v>44522.0</v>
      </c>
      <c r="AC2011" s="284"/>
      <c r="AD2011" s="284"/>
    </row>
    <row r="2012" ht="14.25" customHeight="1">
      <c r="A2012" s="265">
        <v>44521.0</v>
      </c>
      <c r="B2012" s="266" t="s">
        <v>2030</v>
      </c>
      <c r="C2012" s="266" t="s">
        <v>1457</v>
      </c>
      <c r="D2012" s="266" t="s">
        <v>1543</v>
      </c>
      <c r="E2012" s="292"/>
      <c r="F2012" s="269" t="s">
        <v>5964</v>
      </c>
      <c r="G2012" s="268" t="s">
        <v>1463</v>
      </c>
      <c r="H2012" s="270">
        <v>0.005462962962962964</v>
      </c>
      <c r="I2012" s="271">
        <v>44526.40277777778</v>
      </c>
      <c r="J2012" s="268"/>
      <c r="K2012" s="271">
        <v>44526.407638888886</v>
      </c>
      <c r="L2012" s="288"/>
      <c r="M2012" s="278" t="s">
        <v>5965</v>
      </c>
      <c r="N2012" s="290"/>
      <c r="O2012" s="276"/>
      <c r="P2012" s="276"/>
      <c r="Q2012" s="276"/>
      <c r="R2012" s="278"/>
      <c r="S2012" s="278"/>
      <c r="T2012" s="278"/>
      <c r="U2012" s="279"/>
      <c r="V2012" s="279" t="s">
        <v>1824</v>
      </c>
      <c r="W2012" s="280">
        <v>44537.0</v>
      </c>
      <c r="X2012" s="281">
        <v>0.004861111111111111</v>
      </c>
      <c r="Y2012" s="279" t="s">
        <v>1693</v>
      </c>
      <c r="Z2012" s="282" t="s">
        <v>53</v>
      </c>
      <c r="AA2012" s="282">
        <v>7132609.0</v>
      </c>
      <c r="AB2012" s="283">
        <v>44527.0</v>
      </c>
      <c r="AC2012" s="284"/>
      <c r="AD2012" s="284"/>
    </row>
    <row r="2013" ht="14.25" customHeight="1">
      <c r="A2013" s="265">
        <v>44521.0</v>
      </c>
      <c r="B2013" s="266" t="s">
        <v>1500</v>
      </c>
      <c r="C2013" s="266" t="s">
        <v>1686</v>
      </c>
      <c r="D2013" s="266" t="s">
        <v>1543</v>
      </c>
      <c r="E2013" s="292"/>
      <c r="F2013" s="269" t="s">
        <v>5966</v>
      </c>
      <c r="G2013" s="268" t="s">
        <v>1463</v>
      </c>
      <c r="H2013" s="270">
        <v>0.003275462962962963</v>
      </c>
      <c r="I2013" s="271">
        <v>44524.8</v>
      </c>
      <c r="J2013" s="268"/>
      <c r="K2013" s="271">
        <v>44525.14028935185</v>
      </c>
      <c r="L2013" s="288"/>
      <c r="M2013" s="278" t="s">
        <v>5967</v>
      </c>
      <c r="N2013" s="290"/>
      <c r="O2013" s="276"/>
      <c r="P2013" s="276"/>
      <c r="Q2013" s="276"/>
      <c r="R2013" s="278"/>
      <c r="S2013" s="278"/>
      <c r="T2013" s="278"/>
      <c r="U2013" s="279"/>
      <c r="V2013" s="279" t="s">
        <v>1824</v>
      </c>
      <c r="W2013" s="280">
        <v>44537.0</v>
      </c>
      <c r="X2013" s="281">
        <v>0.004861111111111111</v>
      </c>
      <c r="Y2013" s="279" t="s">
        <v>1693</v>
      </c>
      <c r="Z2013" s="282" t="s">
        <v>53</v>
      </c>
      <c r="AA2013" s="282">
        <v>7145790.0</v>
      </c>
      <c r="AB2013" s="283">
        <v>44530.0</v>
      </c>
      <c r="AC2013" s="284"/>
      <c r="AD2013" s="284"/>
    </row>
    <row r="2014" ht="14.25" customHeight="1">
      <c r="A2014" s="265">
        <v>44521.0</v>
      </c>
      <c r="B2014" s="266" t="s">
        <v>1733</v>
      </c>
      <c r="C2014" s="266"/>
      <c r="D2014" s="266" t="s">
        <v>1457</v>
      </c>
      <c r="E2014" s="292"/>
      <c r="F2014" s="358" t="s">
        <v>5968</v>
      </c>
      <c r="G2014" s="268" t="s">
        <v>2085</v>
      </c>
      <c r="H2014" s="270">
        <v>0.017569444444444447</v>
      </c>
      <c r="I2014" s="271">
        <v>44522.40277777778</v>
      </c>
      <c r="J2014" s="268"/>
      <c r="K2014" s="271">
        <v>44523.65987268519</v>
      </c>
      <c r="L2014" s="288"/>
      <c r="M2014" s="278"/>
      <c r="N2014" s="290"/>
      <c r="O2014" s="276"/>
      <c r="P2014" s="276"/>
      <c r="Q2014" s="276"/>
      <c r="R2014" s="278"/>
      <c r="S2014" s="278"/>
      <c r="T2014" s="278"/>
      <c r="U2014" s="279"/>
      <c r="V2014" s="279" t="s">
        <v>1824</v>
      </c>
      <c r="W2014" s="280">
        <v>44523.0</v>
      </c>
      <c r="X2014" s="281">
        <v>0.041666666666666664</v>
      </c>
      <c r="Y2014" s="279" t="s">
        <v>1693</v>
      </c>
      <c r="Z2014" s="282" t="s">
        <v>53</v>
      </c>
      <c r="AA2014" s="282" t="s">
        <v>5968</v>
      </c>
      <c r="AB2014" s="283">
        <v>44523.0</v>
      </c>
      <c r="AC2014" s="284"/>
      <c r="AD2014" s="284"/>
    </row>
    <row r="2015" ht="14.25" customHeight="1">
      <c r="A2015" s="265">
        <v>44521.0</v>
      </c>
      <c r="B2015" s="266" t="s">
        <v>1733</v>
      </c>
      <c r="C2015" s="266"/>
      <c r="D2015" s="266" t="s">
        <v>2829</v>
      </c>
      <c r="E2015" s="292"/>
      <c r="F2015" s="358" t="s">
        <v>5969</v>
      </c>
      <c r="G2015" s="268" t="s">
        <v>2085</v>
      </c>
      <c r="H2015" s="270">
        <v>0.018645833333333334</v>
      </c>
      <c r="I2015" s="271">
        <v>44522.365277777775</v>
      </c>
      <c r="J2015" s="268"/>
      <c r="K2015" s="268"/>
      <c r="L2015" s="288"/>
      <c r="M2015" s="307" t="s">
        <v>3482</v>
      </c>
      <c r="N2015" s="273">
        <v>44522.368055555555</v>
      </c>
      <c r="O2015" s="276" t="s">
        <v>5970</v>
      </c>
      <c r="P2015" s="276" t="s">
        <v>1463</v>
      </c>
      <c r="Q2015" s="276" t="s">
        <v>1819</v>
      </c>
      <c r="R2015" s="277">
        <v>44522.378900462965</v>
      </c>
      <c r="S2015" s="278"/>
      <c r="T2015" s="278" t="s">
        <v>5971</v>
      </c>
      <c r="U2015" s="279" t="s">
        <v>28</v>
      </c>
      <c r="V2015" s="279" t="s">
        <v>28</v>
      </c>
      <c r="W2015" s="279" t="s">
        <v>28</v>
      </c>
      <c r="X2015" s="279" t="s">
        <v>28</v>
      </c>
      <c r="Y2015" s="279" t="s">
        <v>28</v>
      </c>
      <c r="Z2015" s="282" t="s">
        <v>53</v>
      </c>
      <c r="AA2015" s="282" t="s">
        <v>5969</v>
      </c>
      <c r="AB2015" s="283">
        <v>44523.0</v>
      </c>
      <c r="AC2015" s="284"/>
      <c r="AD2015" s="284"/>
    </row>
    <row r="2016" ht="14.25" customHeight="1">
      <c r="A2016" s="265">
        <v>44522.0</v>
      </c>
      <c r="B2016" s="266" t="s">
        <v>2030</v>
      </c>
      <c r="C2016" s="266" t="s">
        <v>1686</v>
      </c>
      <c r="D2016" s="266" t="s">
        <v>1543</v>
      </c>
      <c r="E2016" s="292"/>
      <c r="F2016" s="291" t="s">
        <v>5972</v>
      </c>
      <c r="G2016" s="268" t="s">
        <v>1463</v>
      </c>
      <c r="H2016" s="270">
        <v>0.0022569444444444447</v>
      </c>
      <c r="I2016" s="271">
        <v>44526.51458333333</v>
      </c>
      <c r="J2016" s="268"/>
      <c r="K2016" s="271">
        <v>44526.52013888889</v>
      </c>
      <c r="L2016" s="288"/>
      <c r="M2016" s="278" t="s">
        <v>5973</v>
      </c>
      <c r="N2016" s="290"/>
      <c r="O2016" s="276"/>
      <c r="P2016" s="276"/>
      <c r="Q2016" s="276"/>
      <c r="R2016" s="278"/>
      <c r="S2016" s="278"/>
      <c r="T2016" s="278"/>
      <c r="U2016" s="279"/>
      <c r="V2016" s="279" t="s">
        <v>1824</v>
      </c>
      <c r="W2016" s="280">
        <v>44538.0</v>
      </c>
      <c r="X2016" s="281">
        <v>0.008333333333333333</v>
      </c>
      <c r="Y2016" s="279" t="s">
        <v>1693</v>
      </c>
      <c r="Z2016" s="282" t="s">
        <v>53</v>
      </c>
      <c r="AA2016" s="282">
        <v>7132610.0</v>
      </c>
      <c r="AB2016" s="283">
        <v>44527.0</v>
      </c>
      <c r="AC2016" s="284"/>
      <c r="AD2016" s="284"/>
    </row>
    <row r="2017" ht="14.25" customHeight="1">
      <c r="A2017" s="265">
        <v>44522.0</v>
      </c>
      <c r="B2017" s="266" t="s">
        <v>1500</v>
      </c>
      <c r="C2017" s="266" t="s">
        <v>1686</v>
      </c>
      <c r="D2017" s="266" t="s">
        <v>1543</v>
      </c>
      <c r="E2017" s="292"/>
      <c r="F2017" s="291" t="s">
        <v>5974</v>
      </c>
      <c r="G2017" s="268" t="s">
        <v>1463</v>
      </c>
      <c r="H2017" s="270">
        <v>0.0016666666666666668</v>
      </c>
      <c r="I2017" s="271">
        <v>44524.8</v>
      </c>
      <c r="J2017" s="268"/>
      <c r="K2017" s="271">
        <v>44525.1406712963</v>
      </c>
      <c r="L2017" s="288"/>
      <c r="M2017" s="278" t="s">
        <v>5975</v>
      </c>
      <c r="N2017" s="290"/>
      <c r="O2017" s="276"/>
      <c r="P2017" s="276"/>
      <c r="Q2017" s="276"/>
      <c r="R2017" s="278"/>
      <c r="S2017" s="278"/>
      <c r="T2017" s="278"/>
      <c r="U2017" s="279"/>
      <c r="V2017" s="279" t="s">
        <v>1824</v>
      </c>
      <c r="W2017" s="280">
        <v>44538.0</v>
      </c>
      <c r="X2017" s="281">
        <v>0.010416666666666666</v>
      </c>
      <c r="Y2017" s="279" t="s">
        <v>1693</v>
      </c>
      <c r="Z2017" s="282" t="s">
        <v>53</v>
      </c>
      <c r="AA2017" s="282">
        <v>7145791.0</v>
      </c>
      <c r="AB2017" s="283">
        <v>44530.0</v>
      </c>
      <c r="AC2017" s="284"/>
      <c r="AD2017" s="284"/>
    </row>
    <row r="2018" ht="14.25" customHeight="1">
      <c r="A2018" s="265">
        <v>44522.0</v>
      </c>
      <c r="B2018" s="266" t="s">
        <v>2030</v>
      </c>
      <c r="C2018" s="266" t="s">
        <v>1686</v>
      </c>
      <c r="D2018" s="266" t="s">
        <v>1543</v>
      </c>
      <c r="E2018" s="292"/>
      <c r="F2018" s="291" t="s">
        <v>5976</v>
      </c>
      <c r="G2018" s="268" t="s">
        <v>1463</v>
      </c>
      <c r="H2018" s="270">
        <v>8.449074074074075E-4</v>
      </c>
      <c r="I2018" s="271">
        <v>44530.36111111111</v>
      </c>
      <c r="J2018" s="268"/>
      <c r="K2018" s="271">
        <v>44530.361805555556</v>
      </c>
      <c r="L2018" s="288"/>
      <c r="M2018" s="278" t="s">
        <v>5977</v>
      </c>
      <c r="N2018" s="290"/>
      <c r="O2018" s="276"/>
      <c r="P2018" s="276"/>
      <c r="Q2018" s="276"/>
      <c r="R2018" s="278"/>
      <c r="S2018" s="278"/>
      <c r="T2018" s="278"/>
      <c r="U2018" s="279"/>
      <c r="V2018" s="279" t="s">
        <v>1824</v>
      </c>
      <c r="W2018" s="280">
        <v>44538.0</v>
      </c>
      <c r="X2018" s="281">
        <v>0.005555555555555556</v>
      </c>
      <c r="Y2018" s="279" t="s">
        <v>1693</v>
      </c>
      <c r="Z2018" s="282" t="s">
        <v>53</v>
      </c>
      <c r="AA2018" s="282">
        <v>7149664.0</v>
      </c>
      <c r="AB2018" s="283">
        <v>44531.0</v>
      </c>
      <c r="AC2018" s="284"/>
      <c r="AD2018" s="284"/>
    </row>
    <row r="2019" ht="14.25" customHeight="1">
      <c r="A2019" s="265">
        <v>44522.0</v>
      </c>
      <c r="B2019" s="266" t="s">
        <v>2030</v>
      </c>
      <c r="C2019" s="266" t="s">
        <v>1686</v>
      </c>
      <c r="D2019" s="266" t="s">
        <v>1543</v>
      </c>
      <c r="E2019" s="292"/>
      <c r="F2019" s="291" t="s">
        <v>5978</v>
      </c>
      <c r="G2019" s="268" t="s">
        <v>1463</v>
      </c>
      <c r="H2019" s="270">
        <v>0.0021296296296296298</v>
      </c>
      <c r="I2019" s="271">
        <v>44530.375</v>
      </c>
      <c r="J2019" s="268"/>
      <c r="K2019" s="271">
        <v>44530.379166666666</v>
      </c>
      <c r="L2019" s="288"/>
      <c r="M2019" s="278" t="s">
        <v>5979</v>
      </c>
      <c r="N2019" s="290"/>
      <c r="O2019" s="276"/>
      <c r="P2019" s="276"/>
      <c r="Q2019" s="276"/>
      <c r="R2019" s="278"/>
      <c r="S2019" s="278"/>
      <c r="T2019" s="278"/>
      <c r="U2019" s="279"/>
      <c r="V2019" s="279" t="s">
        <v>1824</v>
      </c>
      <c r="W2019" s="280">
        <v>44538.0</v>
      </c>
      <c r="X2019" s="281">
        <v>0.0062499999999999995</v>
      </c>
      <c r="Y2019" s="279" t="s">
        <v>1693</v>
      </c>
      <c r="Z2019" s="282" t="s">
        <v>53</v>
      </c>
      <c r="AA2019" s="282">
        <v>7149665.0</v>
      </c>
      <c r="AB2019" s="283">
        <v>44531.0</v>
      </c>
      <c r="AC2019" s="284"/>
      <c r="AD2019" s="284"/>
    </row>
    <row r="2020" ht="14.25" customHeight="1">
      <c r="A2020" s="265">
        <v>44522.0</v>
      </c>
      <c r="B2020" s="266" t="s">
        <v>2030</v>
      </c>
      <c r="C2020" s="266" t="s">
        <v>1450</v>
      </c>
      <c r="D2020" s="266" t="s">
        <v>1543</v>
      </c>
      <c r="E2020" s="292"/>
      <c r="F2020" s="291" t="s">
        <v>5980</v>
      </c>
      <c r="G2020" s="268" t="s">
        <v>1463</v>
      </c>
      <c r="H2020" s="270">
        <v>0.011377314814814814</v>
      </c>
      <c r="I2020" s="271">
        <v>44531.48055555556</v>
      </c>
      <c r="J2020" s="268"/>
      <c r="K2020" s="271"/>
      <c r="L2020" s="288"/>
      <c r="M2020" s="278"/>
      <c r="N2020" s="273">
        <v>44897.3375</v>
      </c>
      <c r="O2020" s="276" t="s">
        <v>5981</v>
      </c>
      <c r="P2020" s="276" t="s">
        <v>1463</v>
      </c>
      <c r="Q2020" s="276"/>
      <c r="R2020" s="277">
        <v>44532.34861111111</v>
      </c>
      <c r="S2020" s="278"/>
      <c r="T2020" s="278" t="s">
        <v>5982</v>
      </c>
      <c r="U2020" s="279"/>
      <c r="V2020" s="279" t="s">
        <v>1824</v>
      </c>
      <c r="W2020" s="280">
        <v>44538.0</v>
      </c>
      <c r="X2020" s="281">
        <v>0.034722222222222224</v>
      </c>
      <c r="Y2020" s="279" t="s">
        <v>1693</v>
      </c>
      <c r="Z2020" s="282" t="s">
        <v>53</v>
      </c>
      <c r="AA2020" s="282">
        <v>7157889.0</v>
      </c>
      <c r="AB2020" s="283">
        <v>44533.0</v>
      </c>
      <c r="AC2020" s="284"/>
      <c r="AD2020" s="284"/>
    </row>
    <row r="2021" ht="14.25" customHeight="1">
      <c r="A2021" s="265">
        <v>44522.0</v>
      </c>
      <c r="B2021" s="266" t="s">
        <v>1500</v>
      </c>
      <c r="C2021" s="266" t="s">
        <v>1696</v>
      </c>
      <c r="D2021" s="266" t="s">
        <v>1543</v>
      </c>
      <c r="E2021" s="292"/>
      <c r="F2021" s="291" t="s">
        <v>5983</v>
      </c>
      <c r="G2021" s="268" t="s">
        <v>1463</v>
      </c>
      <c r="H2021" s="270">
        <v>0.0035069444444444445</v>
      </c>
      <c r="I2021" s="271">
        <v>44531.52663194444</v>
      </c>
      <c r="J2021" s="268"/>
      <c r="K2021" s="271">
        <v>44531.86238425926</v>
      </c>
      <c r="L2021" s="288"/>
      <c r="M2021" s="278" t="s">
        <v>5984</v>
      </c>
      <c r="N2021" s="273"/>
      <c r="O2021" s="276"/>
      <c r="P2021" s="276"/>
      <c r="Q2021" s="276"/>
      <c r="R2021" s="277"/>
      <c r="S2021" s="278"/>
      <c r="T2021" s="278"/>
      <c r="U2021" s="279"/>
      <c r="V2021" s="279" t="s">
        <v>1824</v>
      </c>
      <c r="W2021" s="280">
        <v>44539.0</v>
      </c>
      <c r="X2021" s="281">
        <v>0.005555555555555556</v>
      </c>
      <c r="Y2021" s="279" t="s">
        <v>1693</v>
      </c>
      <c r="Z2021" s="282" t="s">
        <v>53</v>
      </c>
      <c r="AA2021" s="282">
        <v>7162523.0</v>
      </c>
      <c r="AB2021" s="283">
        <v>44536.0</v>
      </c>
      <c r="AC2021" s="284"/>
      <c r="AD2021" s="284"/>
    </row>
    <row r="2022" ht="14.25" customHeight="1">
      <c r="A2022" s="265">
        <v>44522.0</v>
      </c>
      <c r="B2022" s="266" t="s">
        <v>1500</v>
      </c>
      <c r="C2022" s="266" t="s">
        <v>1455</v>
      </c>
      <c r="D2022" s="266" t="s">
        <v>1543</v>
      </c>
      <c r="E2022" s="292"/>
      <c r="F2022" s="291" t="s">
        <v>5985</v>
      </c>
      <c r="G2022" s="268" t="s">
        <v>1463</v>
      </c>
      <c r="H2022" s="270">
        <v>0.0016782407407407406</v>
      </c>
      <c r="I2022" s="271">
        <v>44531.51268518518</v>
      </c>
      <c r="J2022" s="268"/>
      <c r="K2022" s="271">
        <v>44531.84777777778</v>
      </c>
      <c r="L2022" s="288"/>
      <c r="M2022" s="278" t="s">
        <v>5986</v>
      </c>
      <c r="N2022" s="273"/>
      <c r="O2022" s="276"/>
      <c r="P2022" s="276"/>
      <c r="Q2022" s="276"/>
      <c r="R2022" s="277"/>
      <c r="S2022" s="278"/>
      <c r="T2022" s="278"/>
      <c r="U2022" s="279"/>
      <c r="V2022" s="279" t="s">
        <v>1824</v>
      </c>
      <c r="W2022" s="280">
        <v>44539.0</v>
      </c>
      <c r="X2022" s="281">
        <v>0.0062499999999999995</v>
      </c>
      <c r="Y2022" s="279" t="s">
        <v>1693</v>
      </c>
      <c r="Z2022" s="282" t="s">
        <v>53</v>
      </c>
      <c r="AA2022" s="282">
        <v>7162524.0</v>
      </c>
      <c r="AB2022" s="283">
        <v>44536.0</v>
      </c>
      <c r="AC2022" s="284"/>
      <c r="AD2022" s="284"/>
    </row>
    <row r="2023" ht="14.25" customHeight="1">
      <c r="A2023" s="265">
        <v>44522.0</v>
      </c>
      <c r="B2023" s="266" t="s">
        <v>1733</v>
      </c>
      <c r="C2023" s="266"/>
      <c r="D2023" s="266" t="s">
        <v>1450</v>
      </c>
      <c r="E2023" s="292"/>
      <c r="F2023" s="358" t="s">
        <v>5987</v>
      </c>
      <c r="G2023" s="268" t="s">
        <v>2085</v>
      </c>
      <c r="H2023" s="270">
        <v>0.09766203703703703</v>
      </c>
      <c r="I2023" s="271">
        <v>44522.58888888889</v>
      </c>
      <c r="J2023" s="268"/>
      <c r="K2023" s="271">
        <v>44522.65861111111</v>
      </c>
      <c r="L2023" s="288"/>
      <c r="M2023" s="278"/>
      <c r="N2023" s="290"/>
      <c r="O2023" s="276"/>
      <c r="P2023" s="276"/>
      <c r="Q2023" s="276"/>
      <c r="R2023" s="278"/>
      <c r="S2023" s="278"/>
      <c r="T2023" s="278"/>
      <c r="U2023" s="279"/>
      <c r="V2023" s="279" t="s">
        <v>1733</v>
      </c>
      <c r="W2023" s="279" t="s">
        <v>5988</v>
      </c>
      <c r="X2023" s="281">
        <v>0.2708333333333333</v>
      </c>
      <c r="Y2023" s="279" t="s">
        <v>1693</v>
      </c>
      <c r="Z2023" s="282" t="s">
        <v>53</v>
      </c>
      <c r="AA2023" s="282" t="s">
        <v>5987</v>
      </c>
      <c r="AB2023" s="283">
        <v>44523.0</v>
      </c>
      <c r="AC2023" s="284"/>
      <c r="AD2023" s="284"/>
    </row>
    <row r="2024" ht="14.25" customHeight="1">
      <c r="A2024" s="265">
        <v>44522.0</v>
      </c>
      <c r="B2024" s="266" t="s">
        <v>1824</v>
      </c>
      <c r="C2024" s="266"/>
      <c r="D2024" s="266" t="s">
        <v>1452</v>
      </c>
      <c r="E2024" s="292"/>
      <c r="F2024" s="358" t="s">
        <v>5989</v>
      </c>
      <c r="G2024" s="268" t="s">
        <v>2085</v>
      </c>
      <c r="H2024" s="270">
        <v>0.006030092592592593</v>
      </c>
      <c r="I2024" s="271">
        <v>44522.50069444445</v>
      </c>
      <c r="J2024" s="268"/>
      <c r="K2024" s="268"/>
      <c r="L2024" s="288"/>
      <c r="M2024" s="278"/>
      <c r="N2024" s="290"/>
      <c r="O2024" s="276"/>
      <c r="P2024" s="276"/>
      <c r="Q2024" s="276"/>
      <c r="R2024" s="278"/>
      <c r="S2024" s="278"/>
      <c r="T2024" s="278"/>
      <c r="U2024" s="279"/>
      <c r="V2024" s="279" t="s">
        <v>1824</v>
      </c>
      <c r="W2024" s="280">
        <v>44522.0</v>
      </c>
      <c r="X2024" s="281">
        <v>0.01875</v>
      </c>
      <c r="Y2024" s="279" t="s">
        <v>1693</v>
      </c>
      <c r="Z2024" s="282" t="s">
        <v>53</v>
      </c>
      <c r="AA2024" s="282" t="s">
        <v>5989</v>
      </c>
      <c r="AB2024" s="283">
        <v>44523.0</v>
      </c>
      <c r="AC2024" s="284"/>
      <c r="AD2024" s="284"/>
    </row>
    <row r="2025" ht="14.25" customHeight="1">
      <c r="A2025" s="265">
        <v>44522.0</v>
      </c>
      <c r="B2025" s="266" t="s">
        <v>1824</v>
      </c>
      <c r="C2025" s="266"/>
      <c r="D2025" s="266" t="s">
        <v>1686</v>
      </c>
      <c r="E2025" s="292"/>
      <c r="F2025" s="358" t="s">
        <v>5990</v>
      </c>
      <c r="G2025" s="268" t="s">
        <v>2085</v>
      </c>
      <c r="H2025" s="270">
        <v>0.03715277777777778</v>
      </c>
      <c r="I2025" s="271">
        <v>44522.63055555556</v>
      </c>
      <c r="J2025" s="268"/>
      <c r="K2025" s="268"/>
      <c r="L2025" s="288"/>
      <c r="M2025" s="278"/>
      <c r="N2025" s="290"/>
      <c r="O2025" s="276"/>
      <c r="P2025" s="276"/>
      <c r="Q2025" s="276"/>
      <c r="R2025" s="278"/>
      <c r="S2025" s="278"/>
      <c r="T2025" s="278"/>
      <c r="U2025" s="279"/>
      <c r="V2025" s="279" t="s">
        <v>1824</v>
      </c>
      <c r="W2025" s="280" t="s">
        <v>5991</v>
      </c>
      <c r="X2025" s="281">
        <v>0.11805555555555557</v>
      </c>
      <c r="Y2025" s="279" t="s">
        <v>1693</v>
      </c>
      <c r="Z2025" s="282" t="s">
        <v>53</v>
      </c>
      <c r="AA2025" s="282" t="s">
        <v>5990</v>
      </c>
      <c r="AB2025" s="283">
        <v>44523.0</v>
      </c>
      <c r="AC2025" s="284"/>
      <c r="AD2025" s="284"/>
    </row>
    <row r="2026" ht="14.25" customHeight="1">
      <c r="A2026" s="265">
        <v>44522.0</v>
      </c>
      <c r="B2026" s="266" t="s">
        <v>3677</v>
      </c>
      <c r="C2026" s="266"/>
      <c r="D2026" s="266" t="s">
        <v>1455</v>
      </c>
      <c r="E2026" s="292"/>
      <c r="F2026" s="358" t="s">
        <v>5992</v>
      </c>
      <c r="G2026" s="268" t="s">
        <v>2085</v>
      </c>
      <c r="H2026" s="270">
        <v>0.02107638888888889</v>
      </c>
      <c r="I2026" s="271">
        <v>44522.888194444444</v>
      </c>
      <c r="J2026" s="268"/>
      <c r="K2026" s="271">
        <v>44522.9302662037</v>
      </c>
      <c r="L2026" s="288"/>
      <c r="M2026" s="278"/>
      <c r="N2026" s="290"/>
      <c r="O2026" s="276"/>
      <c r="P2026" s="276"/>
      <c r="Q2026" s="276"/>
      <c r="R2026" s="278"/>
      <c r="S2026" s="278"/>
      <c r="T2026" s="278"/>
      <c r="U2026" s="279"/>
      <c r="V2026" s="279" t="s">
        <v>1738</v>
      </c>
      <c r="W2026" s="280">
        <v>44530.0</v>
      </c>
      <c r="X2026" s="281">
        <v>0.08333333333333333</v>
      </c>
      <c r="Y2026" s="279" t="s">
        <v>1693</v>
      </c>
      <c r="Z2026" s="282" t="s">
        <v>53</v>
      </c>
      <c r="AA2026" s="282" t="s">
        <v>5992</v>
      </c>
      <c r="AB2026" s="283">
        <v>44523.0</v>
      </c>
      <c r="AC2026" s="284"/>
      <c r="AD2026" s="284"/>
    </row>
    <row r="2027" ht="14.25" customHeight="1">
      <c r="A2027" s="265">
        <v>44523.0</v>
      </c>
      <c r="B2027" s="266" t="s">
        <v>1733</v>
      </c>
      <c r="C2027" s="266"/>
      <c r="D2027" s="266" t="s">
        <v>1450</v>
      </c>
      <c r="E2027" s="292"/>
      <c r="F2027" s="358" t="s">
        <v>5993</v>
      </c>
      <c r="G2027" s="268" t="s">
        <v>2085</v>
      </c>
      <c r="H2027" s="270">
        <v>0.09758101851851853</v>
      </c>
      <c r="I2027" s="271">
        <v>44523.60277777778</v>
      </c>
      <c r="J2027" s="268"/>
      <c r="K2027" s="271">
        <v>44523.66798611111</v>
      </c>
      <c r="L2027" s="288"/>
      <c r="M2027" s="278"/>
      <c r="N2027" s="290"/>
      <c r="O2027" s="276"/>
      <c r="P2027" s="276"/>
      <c r="Q2027" s="276"/>
      <c r="R2027" s="278"/>
      <c r="S2027" s="278"/>
      <c r="T2027" s="278"/>
      <c r="U2027" s="279"/>
      <c r="V2027" s="279" t="s">
        <v>1746</v>
      </c>
      <c r="W2027" s="279" t="s">
        <v>5994</v>
      </c>
      <c r="X2027" s="281">
        <v>0.3333333333333333</v>
      </c>
      <c r="Y2027" s="279" t="s">
        <v>1693</v>
      </c>
      <c r="Z2027" s="282" t="s">
        <v>53</v>
      </c>
      <c r="AA2027" s="282" t="s">
        <v>5993</v>
      </c>
      <c r="AB2027" s="283">
        <v>44524.0</v>
      </c>
      <c r="AC2027" s="284"/>
      <c r="AD2027" s="284"/>
    </row>
    <row r="2028" ht="14.25" customHeight="1">
      <c r="A2028" s="265">
        <v>44523.0</v>
      </c>
      <c r="B2028" s="266" t="s">
        <v>1824</v>
      </c>
      <c r="C2028" s="266"/>
      <c r="D2028" s="266" t="s">
        <v>1452</v>
      </c>
      <c r="E2028" s="292"/>
      <c r="F2028" s="358" t="s">
        <v>5995</v>
      </c>
      <c r="G2028" s="268" t="s">
        <v>2085</v>
      </c>
      <c r="H2028" s="270">
        <v>0.0038541666666666668</v>
      </c>
      <c r="I2028" s="271">
        <v>44523.54027777778</v>
      </c>
      <c r="J2028" s="268"/>
      <c r="K2028" s="268"/>
      <c r="L2028" s="288"/>
      <c r="M2028" s="278"/>
      <c r="N2028" s="290"/>
      <c r="O2028" s="276"/>
      <c r="P2028" s="276"/>
      <c r="Q2028" s="276"/>
      <c r="R2028" s="278"/>
      <c r="S2028" s="278"/>
      <c r="T2028" s="278"/>
      <c r="U2028" s="279"/>
      <c r="V2028" s="279" t="s">
        <v>1824</v>
      </c>
      <c r="W2028" s="280">
        <v>44523.0</v>
      </c>
      <c r="X2028" s="281">
        <v>0.006944444444444444</v>
      </c>
      <c r="Y2028" s="279" t="s">
        <v>1693</v>
      </c>
      <c r="Z2028" s="282" t="s">
        <v>53</v>
      </c>
      <c r="AA2028" s="282" t="s">
        <v>5995</v>
      </c>
      <c r="AB2028" s="283">
        <v>44524.0</v>
      </c>
      <c r="AC2028" s="284"/>
      <c r="AD2028" s="284"/>
    </row>
    <row r="2029" ht="14.25" customHeight="1">
      <c r="A2029" s="265">
        <v>44523.0</v>
      </c>
      <c r="B2029" s="266" t="s">
        <v>1824</v>
      </c>
      <c r="C2029" s="266"/>
      <c r="D2029" s="266" t="s">
        <v>1686</v>
      </c>
      <c r="E2029" s="292"/>
      <c r="F2029" s="358" t="s">
        <v>5996</v>
      </c>
      <c r="G2029" s="268" t="s">
        <v>2085</v>
      </c>
      <c r="H2029" s="270">
        <v>0.03726851851851851</v>
      </c>
      <c r="I2029" s="271">
        <v>44523.58819444444</v>
      </c>
      <c r="J2029" s="268"/>
      <c r="K2029" s="268"/>
      <c r="L2029" s="288"/>
      <c r="M2029" s="278"/>
      <c r="N2029" s="290"/>
      <c r="O2029" s="276"/>
      <c r="P2029" s="276"/>
      <c r="Q2029" s="276"/>
      <c r="R2029" s="278"/>
      <c r="S2029" s="278"/>
      <c r="T2029" s="278"/>
      <c r="U2029" s="279"/>
      <c r="V2029" s="279" t="s">
        <v>1824</v>
      </c>
      <c r="W2029" s="280" t="s">
        <v>5997</v>
      </c>
      <c r="X2029" s="281">
        <v>0.14583333333333334</v>
      </c>
      <c r="Y2029" s="279" t="s">
        <v>1693</v>
      </c>
      <c r="Z2029" s="282" t="s">
        <v>53</v>
      </c>
      <c r="AA2029" s="282" t="s">
        <v>5996</v>
      </c>
      <c r="AB2029" s="283">
        <v>44524.0</v>
      </c>
      <c r="AC2029" s="284"/>
      <c r="AD2029" s="284"/>
    </row>
    <row r="2030" ht="14.25" customHeight="1">
      <c r="A2030" s="265">
        <v>44523.0</v>
      </c>
      <c r="B2030" s="266" t="s">
        <v>3677</v>
      </c>
      <c r="C2030" s="266"/>
      <c r="D2030" s="266" t="s">
        <v>1455</v>
      </c>
      <c r="E2030" s="292"/>
      <c r="F2030" s="358" t="s">
        <v>5998</v>
      </c>
      <c r="G2030" s="268" t="s">
        <v>2085</v>
      </c>
      <c r="H2030" s="270">
        <v>0.021145833333333332</v>
      </c>
      <c r="I2030" s="271">
        <v>44523.89236111111</v>
      </c>
      <c r="J2030" s="268"/>
      <c r="K2030" s="271">
        <v>44523.905798611115</v>
      </c>
      <c r="L2030" s="288"/>
      <c r="M2030" s="278"/>
      <c r="N2030" s="290"/>
      <c r="O2030" s="276"/>
      <c r="P2030" s="276"/>
      <c r="Q2030" s="276"/>
      <c r="R2030" s="278"/>
      <c r="S2030" s="278"/>
      <c r="T2030" s="278"/>
      <c r="U2030" s="279"/>
      <c r="V2030" s="279" t="s">
        <v>1738</v>
      </c>
      <c r="W2030" s="280">
        <v>44530.0</v>
      </c>
      <c r="X2030" s="281">
        <v>0.08333333333333333</v>
      </c>
      <c r="Y2030" s="279" t="s">
        <v>1693</v>
      </c>
      <c r="Z2030" s="282" t="s">
        <v>53</v>
      </c>
      <c r="AA2030" s="282" t="s">
        <v>5998</v>
      </c>
      <c r="AB2030" s="283">
        <v>44524.0</v>
      </c>
      <c r="AC2030" s="284"/>
      <c r="AD2030" s="284"/>
    </row>
    <row r="2031" ht="14.25" customHeight="1">
      <c r="A2031" s="265">
        <v>44523.0</v>
      </c>
      <c r="B2031" s="266" t="s">
        <v>1500</v>
      </c>
      <c r="C2031" s="266" t="s">
        <v>5999</v>
      </c>
      <c r="D2031" s="266" t="s">
        <v>1543</v>
      </c>
      <c r="E2031" s="292"/>
      <c r="F2031" s="269" t="s">
        <v>6000</v>
      </c>
      <c r="G2031" s="268" t="s">
        <v>1463</v>
      </c>
      <c r="H2031" s="270">
        <v>0.002002314814814815</v>
      </c>
      <c r="I2031" s="271">
        <v>44573.46123842592</v>
      </c>
      <c r="J2031" s="268"/>
      <c r="K2031" s="271">
        <v>44573.79584490741</v>
      </c>
      <c r="L2031" s="288"/>
      <c r="M2031" s="278" t="s">
        <v>6001</v>
      </c>
      <c r="N2031" s="290"/>
      <c r="O2031" s="276"/>
      <c r="P2031" s="276"/>
      <c r="Q2031" s="276"/>
      <c r="R2031" s="278"/>
      <c r="S2031" s="278"/>
      <c r="T2031" s="278"/>
      <c r="U2031" s="279"/>
      <c r="V2031" s="279" t="s">
        <v>1824</v>
      </c>
      <c r="W2031" s="280">
        <v>44579.0</v>
      </c>
      <c r="X2031" s="281">
        <v>0.004166666666666667</v>
      </c>
      <c r="Y2031" s="279" t="s">
        <v>1693</v>
      </c>
      <c r="Z2031" s="282" t="s">
        <v>53</v>
      </c>
      <c r="AA2031" s="282">
        <v>7323882.0</v>
      </c>
      <c r="AB2031" s="283">
        <v>44574.0</v>
      </c>
      <c r="AC2031" s="284"/>
      <c r="AD2031" s="284"/>
    </row>
    <row r="2032" ht="14.25" customHeight="1">
      <c r="A2032" s="265">
        <v>44523.0</v>
      </c>
      <c r="B2032" s="266" t="s">
        <v>1500</v>
      </c>
      <c r="C2032" s="266" t="s">
        <v>5999</v>
      </c>
      <c r="D2032" s="266" t="s">
        <v>1543</v>
      </c>
      <c r="E2032" s="292"/>
      <c r="F2032" s="269" t="s">
        <v>6002</v>
      </c>
      <c r="G2032" s="268" t="s">
        <v>1463</v>
      </c>
      <c r="H2032" s="270">
        <v>0.002025462962962963</v>
      </c>
      <c r="I2032" s="271">
        <v>44574.350694444445</v>
      </c>
      <c r="J2032" s="268"/>
      <c r="K2032" s="271">
        <v>44574.35905092592</v>
      </c>
      <c r="L2032" s="288"/>
      <c r="M2032" s="278" t="s">
        <v>6003</v>
      </c>
      <c r="N2032" s="290"/>
      <c r="O2032" s="276"/>
      <c r="P2032" s="276"/>
      <c r="Q2032" s="276"/>
      <c r="R2032" s="278"/>
      <c r="S2032" s="278"/>
      <c r="T2032" s="278"/>
      <c r="U2032" s="279"/>
      <c r="V2032" s="279" t="s">
        <v>1824</v>
      </c>
      <c r="W2032" s="280">
        <v>44579.0</v>
      </c>
      <c r="X2032" s="281">
        <v>0.027777777777777776</v>
      </c>
      <c r="Y2032" s="279" t="s">
        <v>1693</v>
      </c>
      <c r="Z2032" s="282" t="s">
        <v>53</v>
      </c>
      <c r="AA2032" s="282">
        <v>7325761.0</v>
      </c>
      <c r="AB2032" s="283">
        <v>44574.0</v>
      </c>
      <c r="AC2032" s="284"/>
      <c r="AD2032" s="284"/>
    </row>
    <row r="2033" ht="14.25" customHeight="1">
      <c r="A2033" s="265">
        <v>44524.0</v>
      </c>
      <c r="B2033" s="266" t="s">
        <v>2030</v>
      </c>
      <c r="C2033" s="266" t="s">
        <v>1686</v>
      </c>
      <c r="D2033" s="266" t="s">
        <v>1543</v>
      </c>
      <c r="E2033" s="292"/>
      <c r="F2033" s="269" t="s">
        <v>6004</v>
      </c>
      <c r="G2033" s="268" t="s">
        <v>1463</v>
      </c>
      <c r="H2033" s="270">
        <v>0.0037500000000000003</v>
      </c>
      <c r="I2033" s="271">
        <v>44531.34722222222</v>
      </c>
      <c r="J2033" s="268"/>
      <c r="K2033" s="271">
        <v>44531.35208333333</v>
      </c>
      <c r="L2033" s="288"/>
      <c r="M2033" s="278" t="s">
        <v>6005</v>
      </c>
      <c r="N2033" s="290"/>
      <c r="O2033" s="276"/>
      <c r="P2033" s="276"/>
      <c r="Q2033" s="276"/>
      <c r="R2033" s="278"/>
      <c r="S2033" s="278"/>
      <c r="T2033" s="278"/>
      <c r="U2033" s="279"/>
      <c r="V2033" s="279" t="s">
        <v>1824</v>
      </c>
      <c r="W2033" s="280">
        <v>44537.0</v>
      </c>
      <c r="X2033" s="281">
        <v>0.005555555555555556</v>
      </c>
      <c r="Y2033" s="279" t="s">
        <v>1693</v>
      </c>
      <c r="Z2033" s="282" t="s">
        <v>53</v>
      </c>
      <c r="AA2033" s="282">
        <v>7153262.0</v>
      </c>
      <c r="AB2033" s="283">
        <v>44532.0</v>
      </c>
      <c r="AC2033" s="284"/>
      <c r="AD2033" s="284"/>
    </row>
    <row r="2034" ht="14.25" customHeight="1">
      <c r="A2034" s="265">
        <v>44524.0</v>
      </c>
      <c r="B2034" s="266" t="s">
        <v>2030</v>
      </c>
      <c r="C2034" s="266" t="s">
        <v>1450</v>
      </c>
      <c r="D2034" s="266" t="s">
        <v>1543</v>
      </c>
      <c r="E2034" s="292"/>
      <c r="F2034" s="269" t="s">
        <v>6006</v>
      </c>
      <c r="G2034" s="268" t="s">
        <v>1463</v>
      </c>
      <c r="H2034" s="270">
        <v>0.001423611111111111</v>
      </c>
      <c r="I2034" s="271">
        <v>44532.37847222222</v>
      </c>
      <c r="J2034" s="268"/>
      <c r="K2034" s="271">
        <v>44532.38055555556</v>
      </c>
      <c r="L2034" s="288"/>
      <c r="M2034" s="278" t="s">
        <v>6007</v>
      </c>
      <c r="N2034" s="290"/>
      <c r="O2034" s="276"/>
      <c r="P2034" s="276"/>
      <c r="Q2034" s="276"/>
      <c r="R2034" s="278"/>
      <c r="S2034" s="278"/>
      <c r="T2034" s="278"/>
      <c r="U2034" s="279"/>
      <c r="V2034" s="279" t="s">
        <v>1824</v>
      </c>
      <c r="W2034" s="280">
        <v>44537.0</v>
      </c>
      <c r="X2034" s="281">
        <v>0.005555555555555556</v>
      </c>
      <c r="Y2034" s="279" t="s">
        <v>1693</v>
      </c>
      <c r="Z2034" s="282" t="s">
        <v>53</v>
      </c>
      <c r="AA2034" s="282">
        <v>7157890.0</v>
      </c>
      <c r="AB2034" s="283">
        <v>44533.0</v>
      </c>
      <c r="AC2034" s="284"/>
      <c r="AD2034" s="284"/>
    </row>
    <row r="2035" ht="14.25" customHeight="1">
      <c r="A2035" s="265">
        <v>44524.0</v>
      </c>
      <c r="B2035" s="266" t="s">
        <v>1733</v>
      </c>
      <c r="C2035" s="266"/>
      <c r="D2035" s="266" t="s">
        <v>1450</v>
      </c>
      <c r="E2035" s="292"/>
      <c r="F2035" s="358" t="s">
        <v>6008</v>
      </c>
      <c r="G2035" s="268" t="s">
        <v>2085</v>
      </c>
      <c r="H2035" s="270">
        <v>0.09783564814814816</v>
      </c>
      <c r="I2035" s="271">
        <v>44524.549305555556</v>
      </c>
      <c r="J2035" s="268"/>
      <c r="K2035" s="268"/>
      <c r="L2035" s="288"/>
      <c r="M2035" s="307" t="s">
        <v>3482</v>
      </c>
      <c r="N2035" s="273">
        <v>44524.56319444445</v>
      </c>
      <c r="O2035" s="276" t="s">
        <v>6009</v>
      </c>
      <c r="P2035" s="276" t="s">
        <v>1463</v>
      </c>
      <c r="Q2035" s="276" t="s">
        <v>3940</v>
      </c>
      <c r="R2035" s="277">
        <v>44524.613703703704</v>
      </c>
      <c r="S2035" s="278"/>
      <c r="T2035" s="278" t="s">
        <v>6010</v>
      </c>
      <c r="U2035" s="279"/>
      <c r="V2035" s="279" t="s">
        <v>1733</v>
      </c>
      <c r="W2035" s="280">
        <v>44560.0</v>
      </c>
      <c r="X2035" s="281">
        <v>0.2847222222222222</v>
      </c>
      <c r="Y2035" s="279" t="s">
        <v>1693</v>
      </c>
      <c r="Z2035" s="282" t="s">
        <v>53</v>
      </c>
      <c r="AA2035" s="282" t="s">
        <v>6008</v>
      </c>
      <c r="AB2035" s="283">
        <v>44527.0</v>
      </c>
      <c r="AC2035" s="284"/>
      <c r="AD2035" s="284"/>
    </row>
    <row r="2036" ht="14.25" customHeight="1">
      <c r="A2036" s="265">
        <v>44524.0</v>
      </c>
      <c r="B2036" s="266" t="s">
        <v>1824</v>
      </c>
      <c r="C2036" s="266"/>
      <c r="D2036" s="266" t="s">
        <v>1452</v>
      </c>
      <c r="E2036" s="292"/>
      <c r="F2036" s="358" t="s">
        <v>6011</v>
      </c>
      <c r="G2036" s="268" t="s">
        <v>2085</v>
      </c>
      <c r="H2036" s="270">
        <v>0.002025462962962963</v>
      </c>
      <c r="I2036" s="271">
        <v>44524.472916666666</v>
      </c>
      <c r="J2036" s="268"/>
      <c r="K2036" s="268"/>
      <c r="L2036" s="288"/>
      <c r="M2036" s="278"/>
      <c r="N2036" s="290"/>
      <c r="O2036" s="276"/>
      <c r="P2036" s="276"/>
      <c r="Q2036" s="276"/>
      <c r="R2036" s="278"/>
      <c r="S2036" s="278"/>
      <c r="T2036" s="278"/>
      <c r="U2036" s="279"/>
      <c r="V2036" s="279" t="s">
        <v>1824</v>
      </c>
      <c r="W2036" s="280">
        <v>44524.0</v>
      </c>
      <c r="X2036" s="281">
        <v>0.011111111111111112</v>
      </c>
      <c r="Y2036" s="279" t="s">
        <v>1693</v>
      </c>
      <c r="Z2036" s="282" t="s">
        <v>53</v>
      </c>
      <c r="AA2036" s="282" t="s">
        <v>6011</v>
      </c>
      <c r="AB2036" s="283">
        <v>44527.0</v>
      </c>
      <c r="AC2036" s="284"/>
      <c r="AD2036" s="284"/>
    </row>
    <row r="2037" ht="14.25" customHeight="1">
      <c r="A2037" s="265">
        <v>44524.0</v>
      </c>
      <c r="B2037" s="266" t="s">
        <v>1824</v>
      </c>
      <c r="C2037" s="266"/>
      <c r="D2037" s="266" t="s">
        <v>1686</v>
      </c>
      <c r="E2037" s="292"/>
      <c r="F2037" s="358" t="s">
        <v>6012</v>
      </c>
      <c r="G2037" s="268" t="s">
        <v>2085</v>
      </c>
      <c r="H2037" s="270">
        <v>0.03809027777777778</v>
      </c>
      <c r="I2037" s="271">
        <v>44524.686111111114</v>
      </c>
      <c r="J2037" s="268"/>
      <c r="K2037" s="268"/>
      <c r="L2037" s="288"/>
      <c r="M2037" s="278"/>
      <c r="N2037" s="290"/>
      <c r="O2037" s="276"/>
      <c r="P2037" s="276"/>
      <c r="Q2037" s="276"/>
      <c r="R2037" s="278"/>
      <c r="S2037" s="278"/>
      <c r="T2037" s="278"/>
      <c r="U2037" s="279"/>
      <c r="V2037" s="279" t="s">
        <v>1824</v>
      </c>
      <c r="W2037" s="280">
        <v>44526.0</v>
      </c>
      <c r="X2037" s="281">
        <v>0.13194444444444445</v>
      </c>
      <c r="Y2037" s="279" t="s">
        <v>1693</v>
      </c>
      <c r="Z2037" s="282" t="s">
        <v>53</v>
      </c>
      <c r="AA2037" s="282" t="s">
        <v>6012</v>
      </c>
      <c r="AB2037" s="283">
        <v>44527.0</v>
      </c>
      <c r="AC2037" s="284"/>
      <c r="AD2037" s="284"/>
    </row>
    <row r="2038" ht="14.25" customHeight="1">
      <c r="A2038" s="265">
        <v>44524.0</v>
      </c>
      <c r="B2038" s="266" t="s">
        <v>3677</v>
      </c>
      <c r="C2038" s="266"/>
      <c r="D2038" s="266" t="s">
        <v>1455</v>
      </c>
      <c r="E2038" s="292"/>
      <c r="F2038" s="358" t="s">
        <v>6013</v>
      </c>
      <c r="G2038" s="268" t="s">
        <v>2085</v>
      </c>
      <c r="H2038" s="270">
        <v>0.019733796296296298</v>
      </c>
      <c r="I2038" s="271">
        <v>44524.88055555556</v>
      </c>
      <c r="J2038" s="268"/>
      <c r="K2038" s="271">
        <v>44524.89409722222</v>
      </c>
      <c r="L2038" s="288"/>
      <c r="M2038" s="278"/>
      <c r="N2038" s="290"/>
      <c r="O2038" s="276"/>
      <c r="P2038" s="276"/>
      <c r="Q2038" s="276"/>
      <c r="R2038" s="278"/>
      <c r="S2038" s="278"/>
      <c r="T2038" s="278"/>
      <c r="U2038" s="279"/>
      <c r="V2038" s="279" t="s">
        <v>1738</v>
      </c>
      <c r="W2038" s="280">
        <v>44531.0</v>
      </c>
      <c r="X2038" s="281">
        <v>0.08333333333333333</v>
      </c>
      <c r="Y2038" s="279" t="s">
        <v>1693</v>
      </c>
      <c r="Z2038" s="282" t="s">
        <v>53</v>
      </c>
      <c r="AA2038" s="282" t="s">
        <v>6013</v>
      </c>
      <c r="AB2038" s="283">
        <v>44527.0</v>
      </c>
      <c r="AC2038" s="284"/>
      <c r="AD2038" s="284"/>
    </row>
    <row r="2039" ht="14.25" customHeight="1">
      <c r="A2039" s="265">
        <v>44525.0</v>
      </c>
      <c r="B2039" s="266" t="s">
        <v>1500</v>
      </c>
      <c r="C2039" s="266" t="s">
        <v>2083</v>
      </c>
      <c r="D2039" s="266" t="s">
        <v>1543</v>
      </c>
      <c r="E2039" s="292"/>
      <c r="F2039" s="269" t="s">
        <v>6014</v>
      </c>
      <c r="G2039" s="268" t="s">
        <v>1463</v>
      </c>
      <c r="H2039" s="270">
        <v>0.0016666666666666668</v>
      </c>
      <c r="I2039" s="271">
        <v>44529.48611111111</v>
      </c>
      <c r="J2039" s="268"/>
      <c r="K2039" s="271">
        <v>44529.835231481484</v>
      </c>
      <c r="L2039" s="288"/>
      <c r="M2039" s="278" t="s">
        <v>6015</v>
      </c>
      <c r="N2039" s="290"/>
      <c r="O2039" s="276"/>
      <c r="P2039" s="276"/>
      <c r="Q2039" s="276"/>
      <c r="R2039" s="278"/>
      <c r="S2039" s="278"/>
      <c r="T2039" s="278"/>
      <c r="U2039" s="279"/>
      <c r="V2039" s="279" t="s">
        <v>1824</v>
      </c>
      <c r="W2039" s="280">
        <v>44537.0</v>
      </c>
      <c r="X2039" s="281">
        <v>0.004166666666666667</v>
      </c>
      <c r="Y2039" s="279" t="s">
        <v>1693</v>
      </c>
      <c r="Z2039" s="282" t="s">
        <v>53</v>
      </c>
      <c r="AA2039" s="282">
        <v>7153263.0</v>
      </c>
      <c r="AB2039" s="283">
        <v>44532.0</v>
      </c>
      <c r="AC2039" s="284"/>
      <c r="AD2039" s="284"/>
    </row>
    <row r="2040" ht="14.25" customHeight="1">
      <c r="A2040" s="265">
        <v>44525.0</v>
      </c>
      <c r="B2040" s="266" t="s">
        <v>2030</v>
      </c>
      <c r="C2040" s="266" t="s">
        <v>1686</v>
      </c>
      <c r="D2040" s="266" t="s">
        <v>1543</v>
      </c>
      <c r="E2040" s="292"/>
      <c r="F2040" s="269" t="s">
        <v>6016</v>
      </c>
      <c r="G2040" s="268" t="s">
        <v>1463</v>
      </c>
      <c r="H2040" s="270">
        <v>0.004872685185185186</v>
      </c>
      <c r="I2040" s="271">
        <v>44532.3375</v>
      </c>
      <c r="J2040" s="268"/>
      <c r="K2040" s="271">
        <v>44532.34375</v>
      </c>
      <c r="L2040" s="288"/>
      <c r="M2040" s="278" t="s">
        <v>6017</v>
      </c>
      <c r="N2040" s="290"/>
      <c r="O2040" s="276"/>
      <c r="P2040" s="276"/>
      <c r="Q2040" s="276"/>
      <c r="R2040" s="278"/>
      <c r="S2040" s="278"/>
      <c r="T2040" s="278"/>
      <c r="U2040" s="279"/>
      <c r="V2040" s="279" t="s">
        <v>1824</v>
      </c>
      <c r="W2040" s="280">
        <v>44537.0</v>
      </c>
      <c r="X2040" s="281">
        <v>0.008333333333333333</v>
      </c>
      <c r="Y2040" s="279" t="s">
        <v>1693</v>
      </c>
      <c r="Z2040" s="282" t="s">
        <v>53</v>
      </c>
      <c r="AA2040" s="282">
        <v>7157891.0</v>
      </c>
      <c r="AB2040" s="283">
        <v>44533.0</v>
      </c>
      <c r="AC2040" s="284"/>
      <c r="AD2040" s="284"/>
    </row>
    <row r="2041" ht="14.25" customHeight="1">
      <c r="A2041" s="265">
        <v>44525.0</v>
      </c>
      <c r="B2041" s="266" t="s">
        <v>1500</v>
      </c>
      <c r="C2041" s="266" t="s">
        <v>1686</v>
      </c>
      <c r="D2041" s="266" t="s">
        <v>1543</v>
      </c>
      <c r="E2041" s="292"/>
      <c r="F2041" s="269" t="s">
        <v>6018</v>
      </c>
      <c r="G2041" s="268" t="s">
        <v>1463</v>
      </c>
      <c r="H2041" s="270">
        <v>0.003414351851851852</v>
      </c>
      <c r="I2041" s="271">
        <v>44531.57763888889</v>
      </c>
      <c r="J2041" s="268"/>
      <c r="K2041" s="271">
        <v>44531.943449074075</v>
      </c>
      <c r="L2041" s="288"/>
      <c r="M2041" s="278" t="s">
        <v>6019</v>
      </c>
      <c r="N2041" s="290"/>
      <c r="O2041" s="276"/>
      <c r="P2041" s="276"/>
      <c r="Q2041" s="276"/>
      <c r="R2041" s="278"/>
      <c r="S2041" s="278"/>
      <c r="T2041" s="278"/>
      <c r="U2041" s="279"/>
      <c r="V2041" s="279" t="s">
        <v>1824</v>
      </c>
      <c r="W2041" s="280">
        <v>44540.0</v>
      </c>
      <c r="X2041" s="281">
        <v>0.004861111111111111</v>
      </c>
      <c r="Y2041" s="279" t="s">
        <v>1693</v>
      </c>
      <c r="Z2041" s="282" t="s">
        <v>53</v>
      </c>
      <c r="AA2041" s="282">
        <v>7162525.0</v>
      </c>
      <c r="AB2041" s="283">
        <v>44536.0</v>
      </c>
      <c r="AC2041" s="284"/>
      <c r="AD2041" s="284"/>
    </row>
    <row r="2042" ht="14.25" customHeight="1">
      <c r="A2042" s="265">
        <v>44525.0</v>
      </c>
      <c r="B2042" s="266" t="s">
        <v>1733</v>
      </c>
      <c r="C2042" s="266" t="s">
        <v>2158</v>
      </c>
      <c r="D2042" s="266" t="s">
        <v>1450</v>
      </c>
      <c r="E2042" s="292"/>
      <c r="F2042" s="358" t="s">
        <v>6020</v>
      </c>
      <c r="G2042" s="268" t="s">
        <v>6021</v>
      </c>
      <c r="H2042" s="270" t="s">
        <v>28</v>
      </c>
      <c r="I2042" s="271" t="s">
        <v>28</v>
      </c>
      <c r="J2042" s="268"/>
      <c r="K2042" s="271" t="s">
        <v>28</v>
      </c>
      <c r="L2042" s="288"/>
      <c r="M2042" s="278" t="s">
        <v>4380</v>
      </c>
      <c r="N2042" s="290" t="s">
        <v>28</v>
      </c>
      <c r="O2042" s="275" t="s">
        <v>28</v>
      </c>
      <c r="P2042" s="275" t="s">
        <v>28</v>
      </c>
      <c r="Q2042" s="276"/>
      <c r="R2042" s="278"/>
      <c r="S2042" s="278"/>
      <c r="T2042" s="278" t="s">
        <v>4380</v>
      </c>
      <c r="U2042" s="279" t="s">
        <v>28</v>
      </c>
      <c r="V2042" s="279" t="s">
        <v>28</v>
      </c>
      <c r="W2042" s="280" t="s">
        <v>28</v>
      </c>
      <c r="X2042" s="279" t="s">
        <v>28</v>
      </c>
      <c r="Y2042" s="279" t="s">
        <v>28</v>
      </c>
      <c r="Z2042" s="282" t="s">
        <v>28</v>
      </c>
      <c r="AA2042" s="282" t="s">
        <v>28</v>
      </c>
      <c r="AB2042" s="283" t="s">
        <v>28</v>
      </c>
      <c r="AC2042" s="284"/>
      <c r="AD2042" s="284"/>
    </row>
    <row r="2043" ht="14.25" customHeight="1">
      <c r="A2043" s="265">
        <v>44525.0</v>
      </c>
      <c r="B2043" s="266" t="s">
        <v>1733</v>
      </c>
      <c r="C2043" s="266" t="s">
        <v>2158</v>
      </c>
      <c r="D2043" s="266" t="s">
        <v>1450</v>
      </c>
      <c r="E2043" s="292"/>
      <c r="F2043" s="358" t="s">
        <v>6022</v>
      </c>
      <c r="G2043" s="268" t="s">
        <v>6021</v>
      </c>
      <c r="H2043" s="270" t="s">
        <v>28</v>
      </c>
      <c r="I2043" s="271" t="s">
        <v>28</v>
      </c>
      <c r="J2043" s="268"/>
      <c r="K2043" s="271" t="s">
        <v>28</v>
      </c>
      <c r="L2043" s="288"/>
      <c r="M2043" s="278" t="s">
        <v>4380</v>
      </c>
      <c r="N2043" s="290" t="s">
        <v>28</v>
      </c>
      <c r="O2043" s="275" t="s">
        <v>28</v>
      </c>
      <c r="P2043" s="275" t="s">
        <v>28</v>
      </c>
      <c r="Q2043" s="276"/>
      <c r="R2043" s="278"/>
      <c r="S2043" s="278"/>
      <c r="T2043" s="278" t="s">
        <v>4380</v>
      </c>
      <c r="U2043" s="279" t="s">
        <v>28</v>
      </c>
      <c r="V2043" s="279" t="s">
        <v>28</v>
      </c>
      <c r="W2043" s="280" t="s">
        <v>28</v>
      </c>
      <c r="X2043" s="279" t="s">
        <v>28</v>
      </c>
      <c r="Y2043" s="279" t="s">
        <v>28</v>
      </c>
      <c r="Z2043" s="282" t="s">
        <v>28</v>
      </c>
      <c r="AA2043" s="282" t="s">
        <v>28</v>
      </c>
      <c r="AB2043" s="283" t="s">
        <v>28</v>
      </c>
      <c r="AC2043" s="284"/>
      <c r="AD2043" s="284"/>
    </row>
    <row r="2044" ht="14.25" customHeight="1">
      <c r="A2044" s="265">
        <v>44525.0</v>
      </c>
      <c r="B2044" s="266" t="s">
        <v>1733</v>
      </c>
      <c r="C2044" s="266"/>
      <c r="D2044" s="266" t="s">
        <v>1450</v>
      </c>
      <c r="E2044" s="292"/>
      <c r="F2044" s="358" t="s">
        <v>6023</v>
      </c>
      <c r="G2044" s="268" t="s">
        <v>2085</v>
      </c>
      <c r="H2044" s="270">
        <v>0.09802083333333333</v>
      </c>
      <c r="I2044" s="271">
        <v>44525.54583333333</v>
      </c>
      <c r="J2044" s="268"/>
      <c r="K2044" s="271">
        <v>44525.61950231482</v>
      </c>
      <c r="L2044" s="288"/>
      <c r="M2044" s="278"/>
      <c r="N2044" s="290"/>
      <c r="O2044" s="276"/>
      <c r="P2044" s="276"/>
      <c r="Q2044" s="276"/>
      <c r="R2044" s="278"/>
      <c r="S2044" s="278"/>
      <c r="T2044" s="278"/>
      <c r="U2044" s="279"/>
      <c r="V2044" s="279" t="s">
        <v>1733</v>
      </c>
      <c r="W2044" s="280">
        <v>44531.0</v>
      </c>
      <c r="X2044" s="281">
        <v>0.2916666666666667</v>
      </c>
      <c r="Y2044" s="279" t="s">
        <v>1693</v>
      </c>
      <c r="Z2044" s="282" t="s">
        <v>53</v>
      </c>
      <c r="AA2044" s="282" t="s">
        <v>6023</v>
      </c>
      <c r="AB2044" s="283">
        <v>44527.0</v>
      </c>
      <c r="AC2044" s="284"/>
      <c r="AD2044" s="284"/>
    </row>
    <row r="2045" ht="14.25" customHeight="1">
      <c r="A2045" s="265">
        <v>44525.0</v>
      </c>
      <c r="B2045" s="266" t="s">
        <v>1824</v>
      </c>
      <c r="C2045" s="266"/>
      <c r="D2045" s="266" t="s">
        <v>1452</v>
      </c>
      <c r="E2045" s="292"/>
      <c r="F2045" s="358" t="s">
        <v>6024</v>
      </c>
      <c r="G2045" s="268" t="s">
        <v>2085</v>
      </c>
      <c r="H2045" s="270">
        <v>3.7037037037037035E-4</v>
      </c>
      <c r="I2045" s="271">
        <v>44525.441666666666</v>
      </c>
      <c r="J2045" s="268"/>
      <c r="K2045" s="268"/>
      <c r="L2045" s="288"/>
      <c r="M2045" s="278"/>
      <c r="N2045" s="290"/>
      <c r="O2045" s="276"/>
      <c r="P2045" s="276"/>
      <c r="Q2045" s="276"/>
      <c r="R2045" s="278"/>
      <c r="S2045" s="278"/>
      <c r="T2045" s="278"/>
      <c r="U2045" s="279"/>
      <c r="V2045" s="279" t="s">
        <v>1824</v>
      </c>
      <c r="W2045" s="280">
        <v>44524.0</v>
      </c>
      <c r="X2045" s="281">
        <v>6.944444444444445E-4</v>
      </c>
      <c r="Y2045" s="279" t="s">
        <v>1693</v>
      </c>
      <c r="Z2045" s="282" t="s">
        <v>53</v>
      </c>
      <c r="AA2045" s="282" t="s">
        <v>6024</v>
      </c>
      <c r="AB2045" s="283">
        <v>44527.0</v>
      </c>
      <c r="AC2045" s="284"/>
      <c r="AD2045" s="284"/>
    </row>
    <row r="2046" ht="14.25" customHeight="1">
      <c r="A2046" s="265">
        <v>44525.0</v>
      </c>
      <c r="B2046" s="266" t="s">
        <v>1824</v>
      </c>
      <c r="C2046" s="266"/>
      <c r="D2046" s="266" t="s">
        <v>1686</v>
      </c>
      <c r="E2046" s="292"/>
      <c r="F2046" s="358" t="s">
        <v>6025</v>
      </c>
      <c r="G2046" s="268" t="s">
        <v>2085</v>
      </c>
      <c r="H2046" s="270">
        <v>0.03711805555555556</v>
      </c>
      <c r="I2046" s="271">
        <v>44525.68958333333</v>
      </c>
      <c r="J2046" s="268"/>
      <c r="K2046" s="268"/>
      <c r="L2046" s="288"/>
      <c r="M2046" s="278"/>
      <c r="N2046" s="290"/>
      <c r="O2046" s="276"/>
      <c r="P2046" s="276"/>
      <c r="Q2046" s="276"/>
      <c r="R2046" s="278"/>
      <c r="S2046" s="278"/>
      <c r="T2046" s="278"/>
      <c r="U2046" s="279"/>
      <c r="V2046" s="279" t="s">
        <v>1824</v>
      </c>
      <c r="W2046" s="280">
        <v>44529.0</v>
      </c>
      <c r="X2046" s="281">
        <v>0.11805555555555557</v>
      </c>
      <c r="Y2046" s="279" t="s">
        <v>1693</v>
      </c>
      <c r="Z2046" s="282" t="s">
        <v>53</v>
      </c>
      <c r="AA2046" s="282" t="s">
        <v>6025</v>
      </c>
      <c r="AB2046" s="283">
        <v>44527.0</v>
      </c>
      <c r="AC2046" s="284"/>
      <c r="AD2046" s="284"/>
    </row>
    <row r="2047" ht="14.25" customHeight="1">
      <c r="A2047" s="265">
        <v>44525.0</v>
      </c>
      <c r="B2047" s="266" t="s">
        <v>3677</v>
      </c>
      <c r="C2047" s="266"/>
      <c r="D2047" s="266" t="s">
        <v>1455</v>
      </c>
      <c r="E2047" s="292"/>
      <c r="F2047" s="358" t="s">
        <v>6026</v>
      </c>
      <c r="G2047" s="268" t="s">
        <v>2085</v>
      </c>
      <c r="H2047" s="270">
        <v>0.01934027777777778</v>
      </c>
      <c r="I2047" s="271">
        <v>44525.89861111111</v>
      </c>
      <c r="J2047" s="268"/>
      <c r="K2047" s="271">
        <v>44525.91755787037</v>
      </c>
      <c r="L2047" s="288"/>
      <c r="M2047" s="278"/>
      <c r="N2047" s="290"/>
      <c r="O2047" s="276"/>
      <c r="P2047" s="276"/>
      <c r="Q2047" s="276"/>
      <c r="R2047" s="278"/>
      <c r="S2047" s="278"/>
      <c r="T2047" s="278"/>
      <c r="U2047" s="279"/>
      <c r="V2047" s="279" t="s">
        <v>1738</v>
      </c>
      <c r="W2047" s="280">
        <v>44531.0</v>
      </c>
      <c r="X2047" s="281">
        <v>0.08333333333333333</v>
      </c>
      <c r="Y2047" s="279" t="s">
        <v>1693</v>
      </c>
      <c r="Z2047" s="282" t="s">
        <v>53</v>
      </c>
      <c r="AA2047" s="282" t="s">
        <v>6026</v>
      </c>
      <c r="AB2047" s="283">
        <v>44527.0</v>
      </c>
      <c r="AC2047" s="284"/>
      <c r="AD2047" s="284"/>
    </row>
    <row r="2048" ht="14.25" customHeight="1">
      <c r="A2048" s="265">
        <v>44526.0</v>
      </c>
      <c r="B2048" s="266" t="s">
        <v>1500</v>
      </c>
      <c r="C2048" s="266" t="s">
        <v>2888</v>
      </c>
      <c r="D2048" s="266" t="s">
        <v>1543</v>
      </c>
      <c r="E2048" s="292"/>
      <c r="F2048" s="269" t="s">
        <v>6027</v>
      </c>
      <c r="G2048" s="268" t="s">
        <v>1463</v>
      </c>
      <c r="H2048" s="270">
        <v>0.002002314814814815</v>
      </c>
      <c r="I2048" s="271">
        <v>44529.48611111111</v>
      </c>
      <c r="J2048" s="268"/>
      <c r="K2048" s="271">
        <v>44529.83703703704</v>
      </c>
      <c r="L2048" s="288"/>
      <c r="M2048" s="278" t="s">
        <v>6028</v>
      </c>
      <c r="N2048" s="290"/>
      <c r="O2048" s="276"/>
      <c r="P2048" s="276"/>
      <c r="Q2048" s="276"/>
      <c r="R2048" s="278"/>
      <c r="S2048" s="278"/>
      <c r="T2048" s="278"/>
      <c r="U2048" s="279"/>
      <c r="V2048" s="279" t="s">
        <v>1824</v>
      </c>
      <c r="W2048" s="280">
        <v>44537.0</v>
      </c>
      <c r="X2048" s="281">
        <v>0.004166666666666667</v>
      </c>
      <c r="Y2048" s="279" t="s">
        <v>1693</v>
      </c>
      <c r="Z2048" s="282" t="s">
        <v>53</v>
      </c>
      <c r="AA2048" s="282">
        <v>7153264.0</v>
      </c>
      <c r="AB2048" s="283">
        <v>44532.0</v>
      </c>
      <c r="AC2048" s="284"/>
      <c r="AD2048" s="284"/>
    </row>
    <row r="2049" ht="14.25" customHeight="1">
      <c r="A2049" s="265">
        <v>44526.0</v>
      </c>
      <c r="B2049" s="266" t="s">
        <v>1733</v>
      </c>
      <c r="C2049" s="266" t="s">
        <v>2158</v>
      </c>
      <c r="D2049" s="266" t="s">
        <v>1450</v>
      </c>
      <c r="E2049" s="292"/>
      <c r="F2049" s="358" t="s">
        <v>6029</v>
      </c>
      <c r="G2049" s="268" t="s">
        <v>1463</v>
      </c>
      <c r="H2049" s="270">
        <v>0.005509259259259259</v>
      </c>
      <c r="I2049" s="271">
        <v>44532.47638888889</v>
      </c>
      <c r="J2049" s="268"/>
      <c r="K2049" s="271">
        <v>44532.479791666665</v>
      </c>
      <c r="L2049" s="288"/>
      <c r="M2049" s="278" t="s">
        <v>6030</v>
      </c>
      <c r="N2049" s="290"/>
      <c r="O2049" s="276"/>
      <c r="P2049" s="276"/>
      <c r="Q2049" s="276"/>
      <c r="R2049" s="278"/>
      <c r="S2049" s="278"/>
      <c r="T2049" s="278"/>
      <c r="U2049" s="279"/>
      <c r="V2049" s="279" t="s">
        <v>1733</v>
      </c>
      <c r="W2049" s="280">
        <v>44532.0</v>
      </c>
      <c r="X2049" s="281">
        <v>0.006944444444444444</v>
      </c>
      <c r="Y2049" s="279" t="s">
        <v>1693</v>
      </c>
      <c r="Z2049" s="282" t="s">
        <v>53</v>
      </c>
      <c r="AA2049" s="282">
        <v>7157892.0</v>
      </c>
      <c r="AB2049" s="283">
        <v>44533.0</v>
      </c>
      <c r="AC2049" s="284"/>
      <c r="AD2049" s="284"/>
    </row>
    <row r="2050" ht="14.25" customHeight="1">
      <c r="A2050" s="265">
        <v>44526.0</v>
      </c>
      <c r="B2050" s="266" t="s">
        <v>1733</v>
      </c>
      <c r="C2050" s="266" t="s">
        <v>2158</v>
      </c>
      <c r="D2050" s="266" t="s">
        <v>1450</v>
      </c>
      <c r="E2050" s="292"/>
      <c r="F2050" s="286" t="s">
        <v>6031</v>
      </c>
      <c r="G2050" s="268" t="s">
        <v>4162</v>
      </c>
      <c r="H2050" s="270" t="s">
        <v>28</v>
      </c>
      <c r="I2050" s="271" t="s">
        <v>28</v>
      </c>
      <c r="J2050" s="268"/>
      <c r="K2050" s="271" t="s">
        <v>28</v>
      </c>
      <c r="L2050" s="288"/>
      <c r="M2050" s="278" t="s">
        <v>4380</v>
      </c>
      <c r="N2050" s="290" t="s">
        <v>28</v>
      </c>
      <c r="O2050" s="275" t="s">
        <v>28</v>
      </c>
      <c r="P2050" s="275" t="s">
        <v>28</v>
      </c>
      <c r="Q2050" s="276"/>
      <c r="R2050" s="278"/>
      <c r="S2050" s="278"/>
      <c r="T2050" s="278" t="s">
        <v>4380</v>
      </c>
      <c r="U2050" s="279" t="s">
        <v>28</v>
      </c>
      <c r="V2050" s="279" t="s">
        <v>28</v>
      </c>
      <c r="W2050" s="280" t="s">
        <v>28</v>
      </c>
      <c r="X2050" s="281" t="s">
        <v>28</v>
      </c>
      <c r="Y2050" s="279" t="s">
        <v>28</v>
      </c>
      <c r="Z2050" s="282" t="s">
        <v>28</v>
      </c>
      <c r="AA2050" s="282" t="s">
        <v>28</v>
      </c>
      <c r="AB2050" s="283" t="s">
        <v>28</v>
      </c>
      <c r="AC2050" s="284"/>
      <c r="AD2050" s="284"/>
    </row>
    <row r="2051" ht="14.25" customHeight="1">
      <c r="A2051" s="265">
        <v>44526.0</v>
      </c>
      <c r="B2051" s="266" t="s">
        <v>1500</v>
      </c>
      <c r="C2051" s="266"/>
      <c r="D2051" s="266" t="s">
        <v>1450</v>
      </c>
      <c r="E2051" s="292"/>
      <c r="F2051" s="358" t="s">
        <v>6032</v>
      </c>
      <c r="G2051" s="268" t="s">
        <v>2085</v>
      </c>
      <c r="H2051" s="270">
        <v>0.09819444444444443</v>
      </c>
      <c r="I2051" s="271">
        <v>44527.65277777778</v>
      </c>
      <c r="J2051" s="268"/>
      <c r="K2051" s="268"/>
      <c r="L2051" s="288"/>
      <c r="M2051" s="278"/>
      <c r="N2051" s="290"/>
      <c r="O2051" s="276"/>
      <c r="P2051" s="276"/>
      <c r="Q2051" s="276"/>
      <c r="R2051" s="278"/>
      <c r="S2051" s="278"/>
      <c r="T2051" s="278"/>
      <c r="U2051" s="279"/>
      <c r="V2051" s="279" t="s">
        <v>1733</v>
      </c>
      <c r="W2051" s="280">
        <v>44532.0</v>
      </c>
      <c r="X2051" s="281">
        <v>0.25</v>
      </c>
      <c r="Y2051" s="279" t="s">
        <v>1693</v>
      </c>
      <c r="Z2051" s="282" t="s">
        <v>53</v>
      </c>
      <c r="AA2051" s="282" t="s">
        <v>6032</v>
      </c>
      <c r="AB2051" s="283">
        <v>44530.0</v>
      </c>
      <c r="AC2051" s="284"/>
      <c r="AD2051" s="284"/>
    </row>
    <row r="2052" ht="14.25" customHeight="1">
      <c r="A2052" s="265">
        <v>44526.0</v>
      </c>
      <c r="B2052" s="266" t="s">
        <v>1824</v>
      </c>
      <c r="C2052" s="266"/>
      <c r="D2052" s="266" t="s">
        <v>1452</v>
      </c>
      <c r="E2052" s="292"/>
      <c r="F2052" s="358" t="s">
        <v>6033</v>
      </c>
      <c r="G2052" s="268" t="s">
        <v>2085</v>
      </c>
      <c r="H2052" s="270">
        <v>0.0020486111111111113</v>
      </c>
      <c r="I2052" s="271">
        <v>44526.44513888889</v>
      </c>
      <c r="J2052" s="268"/>
      <c r="K2052" s="268"/>
      <c r="L2052" s="288"/>
      <c r="M2052" s="278"/>
      <c r="N2052" s="290"/>
      <c r="O2052" s="276"/>
      <c r="P2052" s="276"/>
      <c r="Q2052" s="276"/>
      <c r="R2052" s="278"/>
      <c r="S2052" s="278"/>
      <c r="T2052" s="278"/>
      <c r="U2052" s="279"/>
      <c r="V2052" s="279" t="s">
        <v>1824</v>
      </c>
      <c r="W2052" s="280">
        <v>44526.0</v>
      </c>
      <c r="X2052" s="281">
        <v>0.0020833333333333333</v>
      </c>
      <c r="Y2052" s="279" t="s">
        <v>1693</v>
      </c>
      <c r="Z2052" s="282" t="s">
        <v>53</v>
      </c>
      <c r="AA2052" s="282" t="s">
        <v>6033</v>
      </c>
      <c r="AB2052" s="283">
        <v>44527.0</v>
      </c>
      <c r="AC2052" s="284"/>
      <c r="AD2052" s="284"/>
    </row>
    <row r="2053" ht="14.25" customHeight="1">
      <c r="A2053" s="265">
        <v>44526.0</v>
      </c>
      <c r="B2053" s="266" t="s">
        <v>1824</v>
      </c>
      <c r="C2053" s="266"/>
      <c r="D2053" s="266" t="s">
        <v>1686</v>
      </c>
      <c r="E2053" s="292"/>
      <c r="F2053" s="358" t="s">
        <v>6034</v>
      </c>
      <c r="G2053" s="268" t="s">
        <v>2085</v>
      </c>
      <c r="H2053" s="270">
        <v>0.03629629629629629</v>
      </c>
      <c r="I2053" s="271">
        <v>44526.59305555555</v>
      </c>
      <c r="J2053" s="268"/>
      <c r="K2053" s="268"/>
      <c r="L2053" s="288"/>
      <c r="M2053" s="278"/>
      <c r="N2053" s="290"/>
      <c r="O2053" s="276"/>
      <c r="P2053" s="276"/>
      <c r="Q2053" s="276"/>
      <c r="R2053" s="278"/>
      <c r="S2053" s="278"/>
      <c r="T2053" s="278"/>
      <c r="U2053" s="279"/>
      <c r="V2053" s="279" t="s">
        <v>1824</v>
      </c>
      <c r="W2053" s="280" t="s">
        <v>6035</v>
      </c>
      <c r="X2053" s="281">
        <v>0.12152777777777778</v>
      </c>
      <c r="Y2053" s="279" t="s">
        <v>1693</v>
      </c>
      <c r="Z2053" s="282" t="s">
        <v>53</v>
      </c>
      <c r="AA2053" s="282" t="s">
        <v>6034</v>
      </c>
      <c r="AB2053" s="326">
        <v>44531.0</v>
      </c>
      <c r="AC2053" s="284"/>
      <c r="AD2053" s="284"/>
    </row>
    <row r="2054" ht="14.25" customHeight="1">
      <c r="A2054" s="265">
        <v>44526.0</v>
      </c>
      <c r="B2054" s="266" t="s">
        <v>1746</v>
      </c>
      <c r="C2054" s="266"/>
      <c r="D2054" s="266" t="s">
        <v>1455</v>
      </c>
      <c r="E2054" s="292"/>
      <c r="F2054" s="358" t="s">
        <v>6036</v>
      </c>
      <c r="G2054" s="268" t="s">
        <v>2085</v>
      </c>
      <c r="H2054" s="270">
        <v>0.022164351851851852</v>
      </c>
      <c r="I2054" s="271">
        <v>44526.927777777775</v>
      </c>
      <c r="J2054" s="268"/>
      <c r="K2054" s="271">
        <v>44526.989583333336</v>
      </c>
      <c r="L2054" s="288"/>
      <c r="M2054" s="278"/>
      <c r="N2054" s="290"/>
      <c r="O2054" s="276"/>
      <c r="P2054" s="276"/>
      <c r="Q2054" s="276"/>
      <c r="R2054" s="278"/>
      <c r="S2054" s="278"/>
      <c r="T2054" s="278"/>
      <c r="U2054" s="279"/>
      <c r="V2054" s="279" t="s">
        <v>1738</v>
      </c>
      <c r="W2054" s="280">
        <v>44532.0</v>
      </c>
      <c r="X2054" s="281">
        <v>0.08333333333333333</v>
      </c>
      <c r="Y2054" s="279" t="s">
        <v>1693</v>
      </c>
      <c r="Z2054" s="282" t="s">
        <v>53</v>
      </c>
      <c r="AA2054" s="282" t="s">
        <v>6036</v>
      </c>
      <c r="AB2054" s="283">
        <v>44527.0</v>
      </c>
      <c r="AC2054" s="284"/>
      <c r="AD2054" s="284"/>
    </row>
    <row r="2055" ht="14.25" customHeight="1">
      <c r="A2055" s="265">
        <v>44527.0</v>
      </c>
      <c r="B2055" s="266" t="s">
        <v>1500</v>
      </c>
      <c r="C2055" s="266"/>
      <c r="D2055" s="266" t="s">
        <v>5999</v>
      </c>
      <c r="E2055" s="292"/>
      <c r="F2055" s="427" t="s">
        <v>6037</v>
      </c>
      <c r="G2055" s="268" t="s">
        <v>6038</v>
      </c>
      <c r="H2055" s="270">
        <v>0.02774305555555556</v>
      </c>
      <c r="I2055" s="271">
        <v>44546.40284722222</v>
      </c>
      <c r="J2055" s="268"/>
      <c r="K2055" s="271">
        <v>44546.45993055555</v>
      </c>
      <c r="L2055" s="288"/>
      <c r="M2055" s="278" t="s">
        <v>6039</v>
      </c>
      <c r="N2055" s="290"/>
      <c r="O2055" s="276"/>
      <c r="P2055" s="276"/>
      <c r="Q2055" s="276"/>
      <c r="R2055" s="278"/>
      <c r="S2055" s="278"/>
      <c r="T2055" s="278"/>
      <c r="U2055" s="279"/>
      <c r="V2055" s="279" t="s">
        <v>1746</v>
      </c>
      <c r="W2055" s="280">
        <v>44557.0</v>
      </c>
      <c r="X2055" s="281">
        <v>0.09027777777777778</v>
      </c>
      <c r="Y2055" s="279"/>
      <c r="Z2055" s="282" t="s">
        <v>53</v>
      </c>
      <c r="AA2055" s="282">
        <v>7228127.0</v>
      </c>
      <c r="AB2055" s="283">
        <v>44550.0</v>
      </c>
      <c r="AC2055" s="284"/>
      <c r="AD2055" s="284"/>
    </row>
    <row r="2056" ht="14.25" customHeight="1">
      <c r="A2056" s="265">
        <v>44527.0</v>
      </c>
      <c r="B2056" s="266" t="s">
        <v>1500</v>
      </c>
      <c r="C2056" s="266" t="s">
        <v>5999</v>
      </c>
      <c r="D2056" s="266" t="s">
        <v>1543</v>
      </c>
      <c r="E2056" s="292"/>
      <c r="F2056" s="427" t="s">
        <v>6040</v>
      </c>
      <c r="G2056" s="268" t="s">
        <v>1463</v>
      </c>
      <c r="H2056" s="270">
        <v>0.003206018518518519</v>
      </c>
      <c r="I2056" s="271">
        <v>44546.401712962965</v>
      </c>
      <c r="J2056" s="268"/>
      <c r="K2056" s="271">
        <v>44546.7365625</v>
      </c>
      <c r="L2056" s="288"/>
      <c r="M2056" s="278" t="s">
        <v>6041</v>
      </c>
      <c r="N2056" s="290"/>
      <c r="O2056" s="276"/>
      <c r="P2056" s="276"/>
      <c r="Q2056" s="276"/>
      <c r="R2056" s="278"/>
      <c r="S2056" s="278"/>
      <c r="T2056" s="278"/>
      <c r="U2056" s="279"/>
      <c r="V2056" s="279" t="s">
        <v>1824</v>
      </c>
      <c r="W2056" s="280">
        <v>44557.0</v>
      </c>
      <c r="X2056" s="281">
        <v>0.006944444444444444</v>
      </c>
      <c r="Y2056" s="279" t="s">
        <v>1693</v>
      </c>
      <c r="Z2056" s="282" t="s">
        <v>53</v>
      </c>
      <c r="AA2056" s="282">
        <v>7228128.0</v>
      </c>
      <c r="AB2056" s="283">
        <v>44550.0</v>
      </c>
      <c r="AC2056" s="284"/>
      <c r="AD2056" s="284"/>
    </row>
    <row r="2057" ht="14.25" customHeight="1">
      <c r="A2057" s="265">
        <v>44527.0</v>
      </c>
      <c r="B2057" s="266" t="s">
        <v>1500</v>
      </c>
      <c r="C2057" s="266" t="s">
        <v>5999</v>
      </c>
      <c r="D2057" s="266" t="s">
        <v>1543</v>
      </c>
      <c r="E2057" s="292"/>
      <c r="F2057" s="427" t="s">
        <v>6042</v>
      </c>
      <c r="G2057" s="268" t="s">
        <v>1463</v>
      </c>
      <c r="H2057" s="270">
        <v>7.291666666666667E-4</v>
      </c>
      <c r="I2057" s="271">
        <v>44547.459027777775</v>
      </c>
      <c r="J2057" s="268"/>
      <c r="K2057" s="271">
        <v>44547.46296296296</v>
      </c>
      <c r="L2057" s="288"/>
      <c r="M2057" s="278" t="s">
        <v>6043</v>
      </c>
      <c r="N2057" s="290"/>
      <c r="O2057" s="276"/>
      <c r="P2057" s="276"/>
      <c r="Q2057" s="276"/>
      <c r="R2057" s="278"/>
      <c r="S2057" s="278"/>
      <c r="T2057" s="278"/>
      <c r="U2057" s="279"/>
      <c r="V2057" s="279" t="s">
        <v>1824</v>
      </c>
      <c r="W2057" s="280">
        <v>44557.0</v>
      </c>
      <c r="X2057" s="281">
        <v>0.002777777777777778</v>
      </c>
      <c r="Y2057" s="279" t="s">
        <v>1693</v>
      </c>
      <c r="Z2057" s="282" t="s">
        <v>1570</v>
      </c>
      <c r="AA2057" s="282">
        <v>7230758.0</v>
      </c>
      <c r="AB2057" s="283">
        <v>44550.0</v>
      </c>
      <c r="AC2057" s="284"/>
      <c r="AD2057" s="284"/>
    </row>
    <row r="2058" ht="14.25" customHeight="1">
      <c r="A2058" s="265">
        <v>44527.0</v>
      </c>
      <c r="B2058" s="266" t="s">
        <v>1738</v>
      </c>
      <c r="C2058" s="266" t="s">
        <v>3472</v>
      </c>
      <c r="D2058" s="266" t="s">
        <v>1455</v>
      </c>
      <c r="E2058" s="292"/>
      <c r="F2058" s="286" t="s">
        <v>6044</v>
      </c>
      <c r="G2058" s="268" t="s">
        <v>4162</v>
      </c>
      <c r="H2058" s="270" t="s">
        <v>28</v>
      </c>
      <c r="I2058" s="271" t="s">
        <v>28</v>
      </c>
      <c r="J2058" s="268"/>
      <c r="K2058" s="271" t="s">
        <v>28</v>
      </c>
      <c r="L2058" s="288"/>
      <c r="M2058" s="278"/>
      <c r="N2058" s="290"/>
      <c r="O2058" s="276"/>
      <c r="P2058" s="276"/>
      <c r="Q2058" s="276"/>
      <c r="R2058" s="278"/>
      <c r="S2058" s="278"/>
      <c r="T2058" s="278"/>
      <c r="U2058" s="279"/>
      <c r="V2058" s="279" t="s">
        <v>28</v>
      </c>
      <c r="W2058" s="279" t="s">
        <v>28</v>
      </c>
      <c r="X2058" s="279" t="s">
        <v>28</v>
      </c>
      <c r="Y2058" s="279" t="s">
        <v>28</v>
      </c>
      <c r="Z2058" s="282" t="s">
        <v>28</v>
      </c>
      <c r="AA2058" s="282" t="s">
        <v>28</v>
      </c>
      <c r="AB2058" s="283" t="s">
        <v>28</v>
      </c>
      <c r="AC2058" s="284"/>
      <c r="AD2058" s="284"/>
    </row>
    <row r="2059" ht="14.25" customHeight="1">
      <c r="A2059" s="265">
        <v>44527.0</v>
      </c>
      <c r="B2059" s="266" t="s">
        <v>1738</v>
      </c>
      <c r="C2059" s="266" t="s">
        <v>3472</v>
      </c>
      <c r="D2059" s="266" t="s">
        <v>1455</v>
      </c>
      <c r="E2059" s="292"/>
      <c r="F2059" s="286" t="s">
        <v>6045</v>
      </c>
      <c r="G2059" s="268" t="s">
        <v>4162</v>
      </c>
      <c r="H2059" s="270" t="s">
        <v>28</v>
      </c>
      <c r="I2059" s="271" t="s">
        <v>28</v>
      </c>
      <c r="J2059" s="268"/>
      <c r="K2059" s="271" t="s">
        <v>28</v>
      </c>
      <c r="L2059" s="288"/>
      <c r="M2059" s="278"/>
      <c r="N2059" s="290"/>
      <c r="O2059" s="276"/>
      <c r="P2059" s="276"/>
      <c r="Q2059" s="276"/>
      <c r="R2059" s="278"/>
      <c r="S2059" s="278"/>
      <c r="T2059" s="278"/>
      <c r="U2059" s="279"/>
      <c r="V2059" s="279" t="s">
        <v>28</v>
      </c>
      <c r="W2059" s="279" t="s">
        <v>28</v>
      </c>
      <c r="X2059" s="279" t="s">
        <v>28</v>
      </c>
      <c r="Y2059" s="279" t="s">
        <v>28</v>
      </c>
      <c r="Z2059" s="282" t="s">
        <v>28</v>
      </c>
      <c r="AA2059" s="282" t="s">
        <v>28</v>
      </c>
      <c r="AB2059" s="283" t="s">
        <v>28</v>
      </c>
      <c r="AC2059" s="284"/>
      <c r="AD2059" s="284"/>
    </row>
    <row r="2060" ht="14.25" customHeight="1">
      <c r="A2060" s="265">
        <v>44527.0</v>
      </c>
      <c r="B2060" s="266" t="s">
        <v>1738</v>
      </c>
      <c r="C2060" s="266"/>
      <c r="D2060" s="266" t="s">
        <v>1686</v>
      </c>
      <c r="E2060" s="292"/>
      <c r="F2060" s="358" t="s">
        <v>6034</v>
      </c>
      <c r="G2060" s="268" t="s">
        <v>2085</v>
      </c>
      <c r="H2060" s="270">
        <v>0.03758101851851852</v>
      </c>
      <c r="I2060" s="271">
        <v>44527.61111111111</v>
      </c>
      <c r="J2060" s="268"/>
      <c r="K2060" s="271">
        <v>44527.64722222222</v>
      </c>
      <c r="L2060" s="288"/>
      <c r="M2060" s="278"/>
      <c r="N2060" s="290"/>
      <c r="O2060" s="276"/>
      <c r="P2060" s="276"/>
      <c r="Q2060" s="276"/>
      <c r="R2060" s="278"/>
      <c r="S2060" s="278"/>
      <c r="T2060" s="278"/>
      <c r="U2060" s="279"/>
      <c r="V2060" s="279" t="s">
        <v>1824</v>
      </c>
      <c r="W2060" s="280">
        <v>44530.0</v>
      </c>
      <c r="X2060" s="281">
        <v>0.10416666666666667</v>
      </c>
      <c r="Y2060" s="279" t="s">
        <v>1693</v>
      </c>
      <c r="Z2060" s="282" t="s">
        <v>53</v>
      </c>
      <c r="AA2060" s="282" t="s">
        <v>6046</v>
      </c>
      <c r="AB2060" s="326">
        <v>44530.0</v>
      </c>
      <c r="AC2060" s="284"/>
      <c r="AD2060" s="284"/>
    </row>
    <row r="2061" ht="14.25" customHeight="1">
      <c r="A2061" s="265">
        <v>44527.0</v>
      </c>
      <c r="B2061" s="266" t="s">
        <v>1746</v>
      </c>
      <c r="C2061" s="266"/>
      <c r="D2061" s="266" t="s">
        <v>1455</v>
      </c>
      <c r="E2061" s="292"/>
      <c r="F2061" s="358" t="s">
        <v>6047</v>
      </c>
      <c r="G2061" s="268" t="s">
        <v>2085</v>
      </c>
      <c r="H2061" s="270">
        <v>0.028182870370370372</v>
      </c>
      <c r="I2061" s="271">
        <v>44528.01944444444</v>
      </c>
      <c r="J2061" s="268"/>
      <c r="K2061" s="271">
        <v>44528.04305555556</v>
      </c>
      <c r="L2061" s="288"/>
      <c r="M2061" s="278"/>
      <c r="N2061" s="290"/>
      <c r="O2061" s="276"/>
      <c r="P2061" s="276"/>
      <c r="Q2061" s="276"/>
      <c r="R2061" s="278"/>
      <c r="S2061" s="278"/>
      <c r="T2061" s="278"/>
      <c r="U2061" s="279"/>
      <c r="V2061" s="279" t="s">
        <v>1738</v>
      </c>
      <c r="W2061" s="280">
        <v>44533.0</v>
      </c>
      <c r="X2061" s="281">
        <v>0.08333333333333333</v>
      </c>
      <c r="Y2061" s="279" t="s">
        <v>1693</v>
      </c>
      <c r="Z2061" s="282" t="s">
        <v>53</v>
      </c>
      <c r="AA2061" s="282" t="s">
        <v>6047</v>
      </c>
      <c r="AB2061" s="283">
        <v>44530.0</v>
      </c>
      <c r="AC2061" s="284"/>
      <c r="AD2061" s="284"/>
    </row>
    <row r="2062" ht="14.25" customHeight="1">
      <c r="A2062" s="265">
        <v>44528.0</v>
      </c>
      <c r="B2062" s="266" t="s">
        <v>1733</v>
      </c>
      <c r="C2062" s="266"/>
      <c r="D2062" s="266" t="s">
        <v>3509</v>
      </c>
      <c r="E2062" s="292"/>
      <c r="F2062" s="358">
        <v>7102960.0</v>
      </c>
      <c r="G2062" s="268" t="s">
        <v>3839</v>
      </c>
      <c r="H2062" s="270">
        <v>0.04322916666666667</v>
      </c>
      <c r="I2062" s="271">
        <v>44529.35555555556</v>
      </c>
      <c r="J2062" s="268"/>
      <c r="K2062" s="268" t="s">
        <v>6048</v>
      </c>
      <c r="L2062" s="288"/>
      <c r="M2062" s="272" t="s">
        <v>6049</v>
      </c>
      <c r="N2062" s="273"/>
      <c r="O2062" s="276"/>
      <c r="P2062" s="276"/>
      <c r="Q2062" s="276"/>
      <c r="R2062" s="278"/>
      <c r="S2062" s="278"/>
      <c r="T2062" s="278"/>
      <c r="U2062" s="279" t="s">
        <v>28</v>
      </c>
      <c r="V2062" s="279" t="s">
        <v>28</v>
      </c>
      <c r="W2062" s="279" t="s">
        <v>28</v>
      </c>
      <c r="X2062" s="279" t="s">
        <v>28</v>
      </c>
      <c r="Y2062" s="279" t="s">
        <v>28</v>
      </c>
      <c r="Z2062" s="282" t="s">
        <v>101</v>
      </c>
      <c r="AA2062" s="282">
        <v>7102960.0</v>
      </c>
      <c r="AB2062" s="283">
        <v>44529.0</v>
      </c>
      <c r="AC2062" s="284"/>
      <c r="AD2062" s="284"/>
    </row>
    <row r="2063" ht="14.25" customHeight="1">
      <c r="A2063" s="265">
        <v>44528.0</v>
      </c>
      <c r="B2063" s="266" t="s">
        <v>1500</v>
      </c>
      <c r="C2063" s="266" t="s">
        <v>1686</v>
      </c>
      <c r="D2063" s="266" t="s">
        <v>1543</v>
      </c>
      <c r="E2063" s="292"/>
      <c r="F2063" s="269" t="s">
        <v>6050</v>
      </c>
      <c r="G2063" s="268" t="s">
        <v>1463</v>
      </c>
      <c r="H2063" s="270">
        <v>0.003356481481481481</v>
      </c>
      <c r="I2063" s="271">
        <v>44533.49524305556</v>
      </c>
      <c r="J2063" s="268"/>
      <c r="K2063" s="271">
        <v>44533.497152777774</v>
      </c>
      <c r="L2063" s="288"/>
      <c r="M2063" s="272" t="s">
        <v>6051</v>
      </c>
      <c r="N2063" s="273"/>
      <c r="O2063" s="276"/>
      <c r="P2063" s="276"/>
      <c r="Q2063" s="276"/>
      <c r="R2063" s="278"/>
      <c r="S2063" s="278"/>
      <c r="T2063" s="278"/>
      <c r="U2063" s="279"/>
      <c r="V2063" s="279" t="s">
        <v>1824</v>
      </c>
      <c r="W2063" s="280">
        <v>44537.0</v>
      </c>
      <c r="X2063" s="281">
        <v>0.003472222222222222</v>
      </c>
      <c r="Y2063" s="279" t="s">
        <v>1693</v>
      </c>
      <c r="Z2063" s="282" t="s">
        <v>53</v>
      </c>
      <c r="AA2063" s="282">
        <v>7162526.0</v>
      </c>
      <c r="AB2063" s="283">
        <v>44536.0</v>
      </c>
      <c r="AC2063" s="284"/>
      <c r="AD2063" s="284"/>
    </row>
    <row r="2064" ht="14.25" customHeight="1">
      <c r="A2064" s="265">
        <v>44528.0</v>
      </c>
      <c r="B2064" s="266" t="s">
        <v>1733</v>
      </c>
      <c r="C2064" s="266"/>
      <c r="D2064" s="266" t="s">
        <v>1457</v>
      </c>
      <c r="E2064" s="292"/>
      <c r="F2064" s="358" t="s">
        <v>6052</v>
      </c>
      <c r="G2064" s="268" t="s">
        <v>2085</v>
      </c>
      <c r="H2064" s="270">
        <v>0.017719907407407406</v>
      </c>
      <c r="I2064" s="271">
        <v>44529.43402777778</v>
      </c>
      <c r="J2064" s="268"/>
      <c r="K2064" s="271">
        <v>44529.45092592593</v>
      </c>
      <c r="L2064" s="288"/>
      <c r="M2064" s="278"/>
      <c r="N2064" s="290"/>
      <c r="O2064" s="276"/>
      <c r="P2064" s="276"/>
      <c r="Q2064" s="276"/>
      <c r="R2064" s="278"/>
      <c r="S2064" s="278"/>
      <c r="T2064" s="278"/>
      <c r="U2064" s="279"/>
      <c r="V2064" s="279" t="s">
        <v>1824</v>
      </c>
      <c r="W2064" s="280">
        <v>44532.0</v>
      </c>
      <c r="X2064" s="281">
        <v>0.03819444444444444</v>
      </c>
      <c r="Y2064" s="279" t="s">
        <v>1693</v>
      </c>
      <c r="Z2064" s="282" t="s">
        <v>53</v>
      </c>
      <c r="AA2064" s="282" t="s">
        <v>6052</v>
      </c>
      <c r="AB2064" s="283">
        <v>44530.0</v>
      </c>
      <c r="AC2064" s="284"/>
      <c r="AD2064" s="284"/>
    </row>
    <row r="2065" ht="14.25" customHeight="1">
      <c r="A2065" s="265">
        <v>44528.0</v>
      </c>
      <c r="B2065" s="266" t="s">
        <v>1733</v>
      </c>
      <c r="C2065" s="266"/>
      <c r="D2065" s="266" t="s">
        <v>2829</v>
      </c>
      <c r="E2065" s="292"/>
      <c r="F2065" s="358" t="s">
        <v>6053</v>
      </c>
      <c r="G2065" s="268" t="s">
        <v>2085</v>
      </c>
      <c r="H2065" s="270">
        <v>0.01877314814814815</v>
      </c>
      <c r="I2065" s="271">
        <v>44529.333333333336</v>
      </c>
      <c r="J2065" s="268"/>
      <c r="K2065" s="268"/>
      <c r="L2065" s="288"/>
      <c r="M2065" s="307" t="s">
        <v>3482</v>
      </c>
      <c r="N2065" s="273">
        <v>44529.336805555555</v>
      </c>
      <c r="O2065" s="276" t="s">
        <v>6054</v>
      </c>
      <c r="P2065" s="276" t="s">
        <v>1463</v>
      </c>
      <c r="Q2065" s="276" t="s">
        <v>1819</v>
      </c>
      <c r="R2065" s="277">
        <v>44529.347719907404</v>
      </c>
      <c r="S2065" s="278"/>
      <c r="T2065" s="278" t="s">
        <v>6055</v>
      </c>
      <c r="U2065" s="279" t="s">
        <v>28</v>
      </c>
      <c r="V2065" s="279" t="s">
        <v>28</v>
      </c>
      <c r="W2065" s="279" t="s">
        <v>28</v>
      </c>
      <c r="X2065" s="279" t="s">
        <v>28</v>
      </c>
      <c r="Y2065" s="279" t="s">
        <v>28</v>
      </c>
      <c r="Z2065" s="282" t="s">
        <v>53</v>
      </c>
      <c r="AA2065" s="282" t="s">
        <v>6053</v>
      </c>
      <c r="AB2065" s="283">
        <v>44530.0</v>
      </c>
      <c r="AC2065" s="284"/>
      <c r="AD2065" s="284"/>
    </row>
    <row r="2066" ht="14.25" customHeight="1">
      <c r="A2066" s="265">
        <v>44529.0</v>
      </c>
      <c r="B2066" s="266" t="s">
        <v>1500</v>
      </c>
      <c r="C2066" s="266" t="s">
        <v>1450</v>
      </c>
      <c r="D2066" s="266" t="s">
        <v>1543</v>
      </c>
      <c r="E2066" s="292"/>
      <c r="F2066" s="291" t="s">
        <v>6056</v>
      </c>
      <c r="G2066" s="268" t="s">
        <v>1463</v>
      </c>
      <c r="H2066" s="270">
        <v>9.143518518518518E-4</v>
      </c>
      <c r="I2066" s="271">
        <v>44529.48611111111</v>
      </c>
      <c r="J2066" s="268"/>
      <c r="K2066" s="271">
        <v>44531.506689814814</v>
      </c>
      <c r="L2066" s="288"/>
      <c r="M2066" s="278" t="s">
        <v>6057</v>
      </c>
      <c r="N2066" s="290"/>
      <c r="O2066" s="276"/>
      <c r="P2066" s="276"/>
      <c r="Q2066" s="276"/>
      <c r="R2066" s="278"/>
      <c r="S2066" s="278"/>
      <c r="T2066" s="278"/>
      <c r="U2066" s="279"/>
      <c r="V2066" s="279" t="s">
        <v>1824</v>
      </c>
      <c r="W2066" s="280">
        <v>44539.0</v>
      </c>
      <c r="X2066" s="281">
        <v>0.004166666666666667</v>
      </c>
      <c r="Y2066" s="279" t="s">
        <v>1693</v>
      </c>
      <c r="Z2066" s="282" t="s">
        <v>53</v>
      </c>
      <c r="AA2066" s="282">
        <v>7153265.0</v>
      </c>
      <c r="AB2066" s="283">
        <v>44532.0</v>
      </c>
      <c r="AC2066" s="284"/>
      <c r="AD2066" s="284"/>
    </row>
    <row r="2067" ht="14.25" customHeight="1">
      <c r="A2067" s="265">
        <v>44529.0</v>
      </c>
      <c r="B2067" s="266" t="s">
        <v>1500</v>
      </c>
      <c r="C2067" s="266" t="s">
        <v>2641</v>
      </c>
      <c r="D2067" s="266" t="s">
        <v>1543</v>
      </c>
      <c r="E2067" s="292"/>
      <c r="F2067" s="291" t="s">
        <v>6058</v>
      </c>
      <c r="G2067" s="268" t="s">
        <v>1463</v>
      </c>
      <c r="H2067" s="270">
        <v>0.0015624999999999999</v>
      </c>
      <c r="I2067" s="271">
        <v>44529.48611111111</v>
      </c>
      <c r="J2067" s="268"/>
      <c r="K2067" s="271">
        <v>44529.835069444445</v>
      </c>
      <c r="L2067" s="288"/>
      <c r="M2067" s="278" t="s">
        <v>6059</v>
      </c>
      <c r="N2067" s="290"/>
      <c r="O2067" s="276"/>
      <c r="P2067" s="276"/>
      <c r="Q2067" s="276"/>
      <c r="R2067" s="278"/>
      <c r="S2067" s="278"/>
      <c r="T2067" s="278"/>
      <c r="U2067" s="279"/>
      <c r="V2067" s="279" t="s">
        <v>1824</v>
      </c>
      <c r="W2067" s="280">
        <v>44540.0</v>
      </c>
      <c r="X2067" s="281">
        <v>0.003472222222222222</v>
      </c>
      <c r="Y2067" s="279" t="s">
        <v>1693</v>
      </c>
      <c r="Z2067" s="282" t="s">
        <v>53</v>
      </c>
      <c r="AA2067" s="282">
        <v>7153266.0</v>
      </c>
      <c r="AB2067" s="283">
        <v>44532.0</v>
      </c>
      <c r="AC2067" s="284"/>
      <c r="AD2067" s="284"/>
    </row>
    <row r="2068" ht="14.25" customHeight="1">
      <c r="A2068" s="265">
        <v>44529.0</v>
      </c>
      <c r="B2068" s="266" t="s">
        <v>2030</v>
      </c>
      <c r="C2068" s="266" t="s">
        <v>1686</v>
      </c>
      <c r="D2068" s="266" t="s">
        <v>1543</v>
      </c>
      <c r="E2068" s="292"/>
      <c r="F2068" s="291" t="s">
        <v>6060</v>
      </c>
      <c r="G2068" s="268" t="s">
        <v>1463</v>
      </c>
      <c r="H2068" s="270">
        <v>8.101851851851852E-4</v>
      </c>
      <c r="I2068" s="271">
        <v>44502.407638888886</v>
      </c>
      <c r="J2068" s="268"/>
      <c r="K2068" s="271">
        <v>44532.40902777778</v>
      </c>
      <c r="L2068" s="288"/>
      <c r="M2068" s="278" t="s">
        <v>6061</v>
      </c>
      <c r="N2068" s="290"/>
      <c r="O2068" s="276"/>
      <c r="P2068" s="276"/>
      <c r="Q2068" s="276"/>
      <c r="R2068" s="278"/>
      <c r="S2068" s="278"/>
      <c r="T2068" s="278"/>
      <c r="U2068" s="279"/>
      <c r="V2068" s="279" t="s">
        <v>1824</v>
      </c>
      <c r="W2068" s="280">
        <v>44540.0</v>
      </c>
      <c r="X2068" s="281">
        <v>0.002777777777777778</v>
      </c>
      <c r="Y2068" s="279" t="s">
        <v>1693</v>
      </c>
      <c r="Z2068" s="282" t="s">
        <v>53</v>
      </c>
      <c r="AA2068" s="282">
        <v>7157893.0</v>
      </c>
      <c r="AB2068" s="283">
        <v>44533.0</v>
      </c>
      <c r="AC2068" s="284"/>
      <c r="AD2068" s="284"/>
    </row>
    <row r="2069" ht="14.25" customHeight="1">
      <c r="A2069" s="265">
        <v>44529.0</v>
      </c>
      <c r="B2069" s="266" t="s">
        <v>1500</v>
      </c>
      <c r="C2069" s="266" t="s">
        <v>1696</v>
      </c>
      <c r="D2069" s="266" t="s">
        <v>1543</v>
      </c>
      <c r="E2069" s="292"/>
      <c r="F2069" s="291" t="s">
        <v>6062</v>
      </c>
      <c r="G2069" s="268" t="s">
        <v>1463</v>
      </c>
      <c r="H2069" s="270">
        <v>0.0016550925925925926</v>
      </c>
      <c r="I2069" s="271">
        <v>44536.5</v>
      </c>
      <c r="J2069" s="268"/>
      <c r="K2069" s="271">
        <v>44537.46015046296</v>
      </c>
      <c r="L2069" s="288"/>
      <c r="M2069" s="278" t="s">
        <v>6063</v>
      </c>
      <c r="N2069" s="290"/>
      <c r="O2069" s="276"/>
      <c r="P2069" s="276"/>
      <c r="Q2069" s="276"/>
      <c r="R2069" s="278"/>
      <c r="S2069" s="278"/>
      <c r="T2069" s="278"/>
      <c r="U2069" s="279"/>
      <c r="V2069" s="279" t="s">
        <v>1824</v>
      </c>
      <c r="W2069" s="280">
        <v>44540.0</v>
      </c>
      <c r="X2069" s="281">
        <v>0.004166666666666667</v>
      </c>
      <c r="Y2069" s="279" t="s">
        <v>1693</v>
      </c>
      <c r="Z2069" s="282" t="s">
        <v>53</v>
      </c>
      <c r="AA2069" s="282">
        <v>7189828.0</v>
      </c>
      <c r="AB2069" s="283">
        <v>44540.0</v>
      </c>
      <c r="AC2069" s="284"/>
      <c r="AD2069" s="284"/>
    </row>
    <row r="2070" ht="14.25" customHeight="1">
      <c r="A2070" s="265">
        <v>44529.0</v>
      </c>
      <c r="B2070" s="266" t="s">
        <v>1824</v>
      </c>
      <c r="C2070" s="266"/>
      <c r="D2070" s="266" t="s">
        <v>1452</v>
      </c>
      <c r="E2070" s="292"/>
      <c r="F2070" s="358" t="s">
        <v>4036</v>
      </c>
      <c r="G2070" s="268" t="s">
        <v>28</v>
      </c>
      <c r="H2070" s="268" t="s">
        <v>28</v>
      </c>
      <c r="I2070" s="268" t="s">
        <v>28</v>
      </c>
      <c r="J2070" s="268"/>
      <c r="K2070" s="268" t="s">
        <v>28</v>
      </c>
      <c r="L2070" s="288"/>
      <c r="M2070" s="278" t="s">
        <v>3915</v>
      </c>
      <c r="N2070" s="290"/>
      <c r="O2070" s="276"/>
      <c r="P2070" s="276"/>
      <c r="Q2070" s="276"/>
      <c r="R2070" s="278"/>
      <c r="S2070" s="278"/>
      <c r="T2070" s="278" t="s">
        <v>3915</v>
      </c>
      <c r="U2070" s="279"/>
      <c r="V2070" s="279" t="s">
        <v>28</v>
      </c>
      <c r="W2070" s="279" t="s">
        <v>28</v>
      </c>
      <c r="X2070" s="279" t="s">
        <v>28</v>
      </c>
      <c r="Y2070" s="279" t="s">
        <v>28</v>
      </c>
      <c r="Z2070" s="282" t="s">
        <v>28</v>
      </c>
      <c r="AA2070" s="282" t="s">
        <v>28</v>
      </c>
      <c r="AB2070" s="282" t="s">
        <v>28</v>
      </c>
      <c r="AC2070" s="284"/>
      <c r="AD2070" s="284"/>
    </row>
    <row r="2071" ht="14.25" customHeight="1">
      <c r="A2071" s="265">
        <v>44529.0</v>
      </c>
      <c r="B2071" s="266" t="s">
        <v>1733</v>
      </c>
      <c r="C2071" s="266"/>
      <c r="D2071" s="266" t="s">
        <v>1450</v>
      </c>
      <c r="E2071" s="292"/>
      <c r="F2071" s="358" t="s">
        <v>6064</v>
      </c>
      <c r="G2071" s="268" t="s">
        <v>2085</v>
      </c>
      <c r="H2071" s="270">
        <v>0.09814814814814815</v>
      </c>
      <c r="I2071" s="271">
        <v>44529.49097222222</v>
      </c>
      <c r="J2071" s="268"/>
      <c r="K2071" s="271">
        <v>44529.566516203704</v>
      </c>
      <c r="L2071" s="288"/>
      <c r="M2071" s="278"/>
      <c r="N2071" s="290"/>
      <c r="O2071" s="276"/>
      <c r="P2071" s="276"/>
      <c r="Q2071" s="276"/>
      <c r="R2071" s="278"/>
      <c r="S2071" s="278"/>
      <c r="T2071" s="278"/>
      <c r="U2071" s="279"/>
      <c r="V2071" s="279" t="s">
        <v>1733</v>
      </c>
      <c r="W2071" s="279" t="s">
        <v>6065</v>
      </c>
      <c r="X2071" s="281">
        <v>0.2708333333333333</v>
      </c>
      <c r="Y2071" s="279" t="s">
        <v>1693</v>
      </c>
      <c r="Z2071" s="282" t="s">
        <v>53</v>
      </c>
      <c r="AA2071" s="282" t="s">
        <v>6064</v>
      </c>
      <c r="AB2071" s="283">
        <v>44530.0</v>
      </c>
      <c r="AC2071" s="284"/>
      <c r="AD2071" s="284"/>
    </row>
    <row r="2072" ht="14.25" customHeight="1">
      <c r="A2072" s="265">
        <v>44529.0</v>
      </c>
      <c r="B2072" s="266" t="s">
        <v>1824</v>
      </c>
      <c r="C2072" s="266"/>
      <c r="D2072" s="266" t="s">
        <v>1686</v>
      </c>
      <c r="E2072" s="292"/>
      <c r="F2072" s="358" t="s">
        <v>6066</v>
      </c>
      <c r="G2072" s="268" t="s">
        <v>2085</v>
      </c>
      <c r="H2072" s="270">
        <v>0.037696759259259256</v>
      </c>
      <c r="I2072" s="271">
        <v>44529.600694444445</v>
      </c>
      <c r="J2072" s="268"/>
      <c r="K2072" s="268"/>
      <c r="L2072" s="288"/>
      <c r="M2072" s="278"/>
      <c r="N2072" s="290"/>
      <c r="O2072" s="276"/>
      <c r="P2072" s="276"/>
      <c r="Q2072" s="276"/>
      <c r="R2072" s="278"/>
      <c r="S2072" s="278"/>
      <c r="T2072" s="278"/>
      <c r="U2072" s="279"/>
      <c r="V2072" s="279" t="s">
        <v>1824</v>
      </c>
      <c r="W2072" s="280">
        <v>44531.0</v>
      </c>
      <c r="X2072" s="281">
        <v>0.125</v>
      </c>
      <c r="Y2072" s="279" t="s">
        <v>1693</v>
      </c>
      <c r="Z2072" s="282" t="s">
        <v>53</v>
      </c>
      <c r="AA2072" s="282" t="s">
        <v>6066</v>
      </c>
      <c r="AB2072" s="283">
        <v>44530.0</v>
      </c>
      <c r="AC2072" s="284"/>
      <c r="AD2072" s="284"/>
    </row>
    <row r="2073" ht="14.25" customHeight="1">
      <c r="A2073" s="265">
        <v>44529.0</v>
      </c>
      <c r="B2073" s="266" t="s">
        <v>3677</v>
      </c>
      <c r="C2073" s="266"/>
      <c r="D2073" s="266" t="s">
        <v>1455</v>
      </c>
      <c r="E2073" s="292"/>
      <c r="F2073" s="358" t="s">
        <v>6067</v>
      </c>
      <c r="G2073" s="268" t="s">
        <v>2085</v>
      </c>
      <c r="H2073" s="270">
        <v>0.02008101851851852</v>
      </c>
      <c r="I2073" s="271">
        <v>44529.90972222222</v>
      </c>
      <c r="J2073" s="268"/>
      <c r="K2073" s="271">
        <v>44529.92152777778</v>
      </c>
      <c r="L2073" s="288"/>
      <c r="M2073" s="278"/>
      <c r="N2073" s="290"/>
      <c r="O2073" s="276"/>
      <c r="P2073" s="276"/>
      <c r="Q2073" s="276"/>
      <c r="R2073" s="278"/>
      <c r="S2073" s="278"/>
      <c r="T2073" s="278"/>
      <c r="U2073" s="279"/>
      <c r="V2073" s="279" t="s">
        <v>1738</v>
      </c>
      <c r="W2073" s="280">
        <v>44533.0</v>
      </c>
      <c r="X2073" s="281">
        <v>0.08333333333333333</v>
      </c>
      <c r="Y2073" s="279" t="s">
        <v>1693</v>
      </c>
      <c r="Z2073" s="282" t="s">
        <v>53</v>
      </c>
      <c r="AA2073" s="282" t="s">
        <v>6067</v>
      </c>
      <c r="AB2073" s="283">
        <v>44530.0</v>
      </c>
      <c r="AC2073" s="284"/>
      <c r="AD2073" s="284"/>
    </row>
    <row r="2074" ht="14.25" customHeight="1">
      <c r="A2074" s="265">
        <v>44530.0</v>
      </c>
      <c r="B2074" s="266" t="s">
        <v>1733</v>
      </c>
      <c r="C2074" s="266"/>
      <c r="D2074" s="266" t="s">
        <v>1450</v>
      </c>
      <c r="E2074" s="292"/>
      <c r="F2074" s="358" t="s">
        <v>6068</v>
      </c>
      <c r="G2074" s="268" t="s">
        <v>2085</v>
      </c>
      <c r="H2074" s="270">
        <v>0.09858796296296296</v>
      </c>
      <c r="I2074" s="271">
        <v>44530.674305555556</v>
      </c>
      <c r="J2074" s="268"/>
      <c r="K2074" s="271">
        <v>44531.082604166666</v>
      </c>
      <c r="L2074" s="288"/>
      <c r="M2074" s="278"/>
      <c r="N2074" s="290"/>
      <c r="O2074" s="276"/>
      <c r="P2074" s="276"/>
      <c r="Q2074" s="276"/>
      <c r="R2074" s="278"/>
      <c r="S2074" s="278"/>
      <c r="T2074" s="278"/>
      <c r="U2074" s="279"/>
      <c r="V2074" s="279" t="s">
        <v>2030</v>
      </c>
      <c r="W2074" s="280">
        <v>44536.0</v>
      </c>
      <c r="X2074" s="281">
        <v>0.20833333333333334</v>
      </c>
      <c r="Y2074" s="279" t="s">
        <v>3978</v>
      </c>
      <c r="Z2074" s="282" t="s">
        <v>53</v>
      </c>
      <c r="AA2074" s="282" t="s">
        <v>6068</v>
      </c>
      <c r="AB2074" s="283">
        <v>44531.0</v>
      </c>
      <c r="AC2074" s="284"/>
      <c r="AD2074" s="284"/>
    </row>
    <row r="2075" ht="14.25" customHeight="1">
      <c r="A2075" s="265">
        <v>44530.0</v>
      </c>
      <c r="B2075" s="266" t="s">
        <v>1824</v>
      </c>
      <c r="C2075" s="266"/>
      <c r="D2075" s="266" t="s">
        <v>1452</v>
      </c>
      <c r="E2075" s="292"/>
      <c r="F2075" s="358" t="s">
        <v>6069</v>
      </c>
      <c r="G2075" s="268" t="s">
        <v>2085</v>
      </c>
      <c r="H2075" s="270">
        <v>0.0024652777777777776</v>
      </c>
      <c r="I2075" s="271">
        <v>44530.44930555556</v>
      </c>
      <c r="J2075" s="268"/>
      <c r="K2075" s="271">
        <v>44530.786678240744</v>
      </c>
      <c r="L2075" s="288"/>
      <c r="M2075" s="278"/>
      <c r="N2075" s="290"/>
      <c r="O2075" s="276"/>
      <c r="P2075" s="276"/>
      <c r="Q2075" s="276"/>
      <c r="R2075" s="278"/>
      <c r="S2075" s="278"/>
      <c r="T2075" s="278"/>
      <c r="U2075" s="279"/>
      <c r="V2075" s="279" t="s">
        <v>1824</v>
      </c>
      <c r="W2075" s="280">
        <v>44530.0</v>
      </c>
      <c r="X2075" s="281">
        <v>0.004861111111111111</v>
      </c>
      <c r="Y2075" s="279" t="s">
        <v>1693</v>
      </c>
      <c r="Z2075" s="282" t="s">
        <v>53</v>
      </c>
      <c r="AA2075" s="282" t="s">
        <v>6069</v>
      </c>
      <c r="AB2075" s="283">
        <v>44531.0</v>
      </c>
      <c r="AC2075" s="284"/>
      <c r="AD2075" s="284"/>
    </row>
    <row r="2076" ht="14.25" customHeight="1">
      <c r="A2076" s="265">
        <v>44530.0</v>
      </c>
      <c r="B2076" s="266" t="s">
        <v>1824</v>
      </c>
      <c r="C2076" s="266"/>
      <c r="D2076" s="266" t="s">
        <v>1686</v>
      </c>
      <c r="E2076" s="292"/>
      <c r="F2076" s="358" t="s">
        <v>6070</v>
      </c>
      <c r="G2076" s="268" t="s">
        <v>2085</v>
      </c>
      <c r="H2076" s="270">
        <v>0.0370949074074074</v>
      </c>
      <c r="I2076" s="271">
        <v>44530.65347222222</v>
      </c>
      <c r="J2076" s="268"/>
      <c r="K2076" s="271">
        <v>44531.03811342592</v>
      </c>
      <c r="L2076" s="288"/>
      <c r="M2076" s="278"/>
      <c r="N2076" s="290"/>
      <c r="O2076" s="276"/>
      <c r="P2076" s="276"/>
      <c r="Q2076" s="276"/>
      <c r="R2076" s="278"/>
      <c r="S2076" s="278"/>
      <c r="T2076" s="278"/>
      <c r="U2076" s="279"/>
      <c r="V2076" s="279" t="s">
        <v>1824</v>
      </c>
      <c r="W2076" s="280" t="s">
        <v>6071</v>
      </c>
      <c r="X2076" s="281">
        <v>0.0020833333333333333</v>
      </c>
      <c r="Y2076" s="279" t="s">
        <v>1693</v>
      </c>
      <c r="Z2076" s="282" t="s">
        <v>53</v>
      </c>
      <c r="AA2076" s="282" t="s">
        <v>6070</v>
      </c>
      <c r="AB2076" s="283">
        <v>44531.0</v>
      </c>
      <c r="AC2076" s="284"/>
      <c r="AD2076" s="284"/>
    </row>
    <row r="2077" ht="14.25" customHeight="1">
      <c r="A2077" s="265">
        <v>44530.0</v>
      </c>
      <c r="B2077" s="266" t="s">
        <v>3677</v>
      </c>
      <c r="C2077" s="266"/>
      <c r="D2077" s="266" t="s">
        <v>1455</v>
      </c>
      <c r="E2077" s="292"/>
      <c r="F2077" s="358" t="s">
        <v>6072</v>
      </c>
      <c r="G2077" s="268" t="s">
        <v>2085</v>
      </c>
      <c r="H2077" s="270">
        <v>0.02162037037037037</v>
      </c>
      <c r="I2077" s="271">
        <v>44530.86388888889</v>
      </c>
      <c r="J2077" s="268"/>
      <c r="K2077" s="271">
        <v>44530.881689814814</v>
      </c>
      <c r="L2077" s="288"/>
      <c r="M2077" s="278"/>
      <c r="N2077" s="290"/>
      <c r="O2077" s="276"/>
      <c r="P2077" s="276"/>
      <c r="Q2077" s="276"/>
      <c r="R2077" s="278"/>
      <c r="S2077" s="278"/>
      <c r="T2077" s="278"/>
      <c r="U2077" s="279"/>
      <c r="V2077" s="279" t="s">
        <v>1570</v>
      </c>
      <c r="W2077" s="280">
        <v>44536.0</v>
      </c>
      <c r="X2077" s="281">
        <v>0.08333333333333333</v>
      </c>
      <c r="Y2077" s="279" t="s">
        <v>1693</v>
      </c>
      <c r="Z2077" s="282" t="s">
        <v>53</v>
      </c>
      <c r="AA2077" s="282" t="s">
        <v>6072</v>
      </c>
      <c r="AB2077" s="283">
        <v>44531.0</v>
      </c>
      <c r="AC2077" s="284"/>
      <c r="AD2077" s="284"/>
    </row>
    <row r="2078" ht="14.25" customHeight="1">
      <c r="A2078" s="265">
        <v>44531.0</v>
      </c>
      <c r="B2078" s="266" t="s">
        <v>1500</v>
      </c>
      <c r="C2078" s="266" t="s">
        <v>1696</v>
      </c>
      <c r="D2078" s="266" t="s">
        <v>1543</v>
      </c>
      <c r="E2078" s="292"/>
      <c r="F2078" s="269" t="s">
        <v>6073</v>
      </c>
      <c r="G2078" s="268" t="s">
        <v>1463</v>
      </c>
      <c r="H2078" s="270">
        <v>0.0017708333333333332</v>
      </c>
      <c r="I2078" s="271">
        <v>44536.5</v>
      </c>
      <c r="J2078" s="268"/>
      <c r="K2078" s="271">
        <v>44537.07121527778</v>
      </c>
      <c r="L2078" s="288"/>
      <c r="M2078" s="330" t="s">
        <v>6074</v>
      </c>
      <c r="N2078" s="273"/>
      <c r="O2078" s="276"/>
      <c r="P2078" s="276"/>
      <c r="Q2078" s="276"/>
      <c r="R2078" s="277"/>
      <c r="S2078" s="278"/>
      <c r="T2078" s="278"/>
      <c r="U2078" s="279"/>
      <c r="V2078" s="279" t="s">
        <v>1824</v>
      </c>
      <c r="W2078" s="280">
        <v>44539.0</v>
      </c>
      <c r="X2078" s="281">
        <v>0.005555555555555556</v>
      </c>
      <c r="Y2078" s="279" t="s">
        <v>1693</v>
      </c>
      <c r="Z2078" s="282" t="s">
        <v>53</v>
      </c>
      <c r="AA2078" s="282">
        <v>7172933.0</v>
      </c>
      <c r="AB2078" s="283">
        <v>44537.0</v>
      </c>
      <c r="AC2078" s="284"/>
      <c r="AD2078" s="284"/>
    </row>
    <row r="2079" ht="14.25" customHeight="1">
      <c r="A2079" s="265">
        <v>44531.0</v>
      </c>
      <c r="B2079" s="266" t="s">
        <v>1500</v>
      </c>
      <c r="C2079" s="266" t="s">
        <v>1686</v>
      </c>
      <c r="D2079" s="266" t="s">
        <v>1543</v>
      </c>
      <c r="E2079" s="292"/>
      <c r="F2079" s="269" t="s">
        <v>6075</v>
      </c>
      <c r="G2079" s="268" t="s">
        <v>1463</v>
      </c>
      <c r="H2079" s="270">
        <v>9.953703703703704E-4</v>
      </c>
      <c r="I2079" s="271">
        <v>44545.43796296296</v>
      </c>
      <c r="J2079" s="268"/>
      <c r="K2079" s="271">
        <v>44545.44236111111</v>
      </c>
      <c r="L2079" s="288"/>
      <c r="M2079" s="330" t="s">
        <v>6076</v>
      </c>
      <c r="N2079" s="273"/>
      <c r="O2079" s="276"/>
      <c r="P2079" s="276"/>
      <c r="Q2079" s="276"/>
      <c r="R2079" s="277"/>
      <c r="S2079" s="278"/>
      <c r="T2079" s="278"/>
      <c r="U2079" s="279"/>
      <c r="V2079" s="279" t="s">
        <v>1824</v>
      </c>
      <c r="W2079" s="280">
        <v>44547.0</v>
      </c>
      <c r="X2079" s="281">
        <v>0.002777777777777778</v>
      </c>
      <c r="Y2079" s="279" t="s">
        <v>1693</v>
      </c>
      <c r="Z2079" s="282" t="s">
        <v>53</v>
      </c>
      <c r="AA2079" s="282">
        <v>7212844.0</v>
      </c>
      <c r="AB2079" s="283">
        <v>44547.0</v>
      </c>
      <c r="AC2079" s="284"/>
      <c r="AD2079" s="284"/>
    </row>
    <row r="2080" ht="14.25" customHeight="1">
      <c r="A2080" s="265">
        <v>44531.0</v>
      </c>
      <c r="B2080" s="266" t="s">
        <v>1733</v>
      </c>
      <c r="C2080" s="266"/>
      <c r="D2080" s="266" t="s">
        <v>1450</v>
      </c>
      <c r="E2080" s="292"/>
      <c r="F2080" s="358" t="s">
        <v>6077</v>
      </c>
      <c r="G2080" s="268" t="s">
        <v>2085</v>
      </c>
      <c r="H2080" s="270">
        <v>0.09912037037037037</v>
      </c>
      <c r="I2080" s="271">
        <v>44531.5625</v>
      </c>
      <c r="J2080" s="268"/>
      <c r="K2080" s="271">
        <v>44531.63680555556</v>
      </c>
      <c r="L2080" s="288"/>
      <c r="M2080" s="278"/>
      <c r="N2080" s="290"/>
      <c r="O2080" s="276"/>
      <c r="P2080" s="276"/>
      <c r="Q2080" s="276"/>
      <c r="R2080" s="278"/>
      <c r="S2080" s="278"/>
      <c r="T2080" s="278"/>
      <c r="U2080" s="279"/>
      <c r="V2080" s="279" t="s">
        <v>2030</v>
      </c>
      <c r="W2080" s="280">
        <v>44536.0</v>
      </c>
      <c r="X2080" s="281">
        <v>0.20833333333333334</v>
      </c>
      <c r="Y2080" s="279" t="s">
        <v>1693</v>
      </c>
      <c r="Z2080" s="282" t="s">
        <v>53</v>
      </c>
      <c r="AA2080" s="282" t="s">
        <v>6077</v>
      </c>
      <c r="AB2080" s="283">
        <v>44532.0</v>
      </c>
      <c r="AC2080" s="284"/>
      <c r="AD2080" s="284"/>
    </row>
    <row r="2081" ht="14.25" customHeight="1">
      <c r="A2081" s="265">
        <v>44531.0</v>
      </c>
      <c r="B2081" s="266" t="s">
        <v>1824</v>
      </c>
      <c r="C2081" s="266"/>
      <c r="D2081" s="266" t="s">
        <v>1452</v>
      </c>
      <c r="E2081" s="292"/>
      <c r="F2081" s="358" t="s">
        <v>6078</v>
      </c>
      <c r="G2081" s="268" t="s">
        <v>2085</v>
      </c>
      <c r="H2081" s="270">
        <v>0.0015046296296296294</v>
      </c>
      <c r="I2081" s="271">
        <v>44531.464583333334</v>
      </c>
      <c r="J2081" s="268"/>
      <c r="K2081" s="271">
        <v>44531.474953703706</v>
      </c>
      <c r="L2081" s="288"/>
      <c r="M2081" s="278"/>
      <c r="N2081" s="290"/>
      <c r="O2081" s="276"/>
      <c r="P2081" s="276"/>
      <c r="Q2081" s="276"/>
      <c r="R2081" s="278"/>
      <c r="S2081" s="278"/>
      <c r="T2081" s="278"/>
      <c r="U2081" s="279"/>
      <c r="V2081" s="279" t="s">
        <v>1824</v>
      </c>
      <c r="W2081" s="280">
        <v>44531.0</v>
      </c>
      <c r="X2081" s="281">
        <v>0.004861111111111111</v>
      </c>
      <c r="Y2081" s="279" t="s">
        <v>1693</v>
      </c>
      <c r="Z2081" s="282" t="s">
        <v>53</v>
      </c>
      <c r="AA2081" s="282" t="s">
        <v>6078</v>
      </c>
      <c r="AB2081" s="283">
        <v>44532.0</v>
      </c>
      <c r="AC2081" s="284"/>
      <c r="AD2081" s="284"/>
    </row>
    <row r="2082" ht="14.25" customHeight="1">
      <c r="A2082" s="265">
        <v>44531.0</v>
      </c>
      <c r="B2082" s="266" t="s">
        <v>1824</v>
      </c>
      <c r="C2082" s="266"/>
      <c r="D2082" s="266" t="s">
        <v>1686</v>
      </c>
      <c r="E2082" s="292"/>
      <c r="F2082" s="444" t="s">
        <v>6079</v>
      </c>
      <c r="G2082" s="268" t="s">
        <v>2085</v>
      </c>
      <c r="H2082" s="270">
        <v>0.038125</v>
      </c>
      <c r="I2082" s="271">
        <v>44531.663194444445</v>
      </c>
      <c r="J2082" s="268"/>
      <c r="K2082" s="268"/>
      <c r="L2082" s="288"/>
      <c r="M2082" s="307" t="s">
        <v>2808</v>
      </c>
      <c r="N2082" s="273">
        <v>44532.552777777775</v>
      </c>
      <c r="O2082" s="276" t="s">
        <v>6080</v>
      </c>
      <c r="P2082" s="276" t="s">
        <v>1463</v>
      </c>
      <c r="Q2082" s="276"/>
      <c r="R2082" s="278"/>
      <c r="S2082" s="278"/>
      <c r="T2082" s="278"/>
      <c r="U2082" s="279"/>
      <c r="V2082" s="279" t="s">
        <v>1824</v>
      </c>
      <c r="W2082" s="280">
        <v>44533.0</v>
      </c>
      <c r="X2082" s="281">
        <v>0.0020833333333333333</v>
      </c>
      <c r="Y2082" s="279" t="s">
        <v>1693</v>
      </c>
      <c r="Z2082" s="282" t="s">
        <v>53</v>
      </c>
      <c r="AA2082" s="282" t="s">
        <v>6079</v>
      </c>
      <c r="AB2082" s="283">
        <v>44533.0</v>
      </c>
      <c r="AC2082" s="284"/>
      <c r="AD2082" s="284"/>
    </row>
    <row r="2083" ht="14.25" customHeight="1">
      <c r="A2083" s="265">
        <v>44531.0</v>
      </c>
      <c r="B2083" s="266" t="s">
        <v>3677</v>
      </c>
      <c r="C2083" s="266"/>
      <c r="D2083" s="266" t="s">
        <v>1455</v>
      </c>
      <c r="E2083" s="292"/>
      <c r="F2083" s="445" t="s">
        <v>6081</v>
      </c>
      <c r="G2083" s="268" t="s">
        <v>2085</v>
      </c>
      <c r="H2083" s="270">
        <v>0.020682870370370372</v>
      </c>
      <c r="I2083" s="271">
        <v>44531.85208333333</v>
      </c>
      <c r="J2083" s="268"/>
      <c r="K2083" s="268"/>
      <c r="L2083" s="288"/>
      <c r="M2083" s="307" t="s">
        <v>2808</v>
      </c>
      <c r="N2083" s="273">
        <v>44533.645833333336</v>
      </c>
      <c r="O2083" s="276" t="s">
        <v>6082</v>
      </c>
      <c r="P2083" s="276" t="s">
        <v>1463</v>
      </c>
      <c r="Q2083" s="276" t="s">
        <v>1819</v>
      </c>
      <c r="R2083" s="277">
        <v>44533.667395833334</v>
      </c>
      <c r="S2083" s="278"/>
      <c r="T2083" s="278" t="s">
        <v>6083</v>
      </c>
      <c r="U2083" s="279"/>
      <c r="V2083" s="279" t="s">
        <v>1570</v>
      </c>
      <c r="W2083" s="280">
        <v>44536.0</v>
      </c>
      <c r="X2083" s="281">
        <v>0.08333333333333333</v>
      </c>
      <c r="Y2083" s="279" t="s">
        <v>1693</v>
      </c>
      <c r="Z2083" s="282" t="s">
        <v>53</v>
      </c>
      <c r="AA2083" s="282" t="s">
        <v>6081</v>
      </c>
      <c r="AB2083" s="283">
        <v>44534.0</v>
      </c>
      <c r="AC2083" s="284"/>
      <c r="AD2083" s="284"/>
    </row>
    <row r="2084" ht="14.25" customHeight="1">
      <c r="A2084" s="265">
        <v>44532.0</v>
      </c>
      <c r="B2084" s="266" t="s">
        <v>1500</v>
      </c>
      <c r="C2084" s="266" t="s">
        <v>2083</v>
      </c>
      <c r="D2084" s="266" t="s">
        <v>1543</v>
      </c>
      <c r="E2084" s="292"/>
      <c r="F2084" s="446" t="s">
        <v>6084</v>
      </c>
      <c r="G2084" s="268" t="s">
        <v>1463</v>
      </c>
      <c r="H2084" s="270">
        <v>0.0020370370370370373</v>
      </c>
      <c r="I2084" s="271">
        <v>44545.443333333336</v>
      </c>
      <c r="J2084" s="268"/>
      <c r="K2084" s="271">
        <v>44545.443333333336</v>
      </c>
      <c r="L2084" s="288"/>
      <c r="M2084" s="278" t="s">
        <v>6085</v>
      </c>
      <c r="N2084" s="290"/>
      <c r="O2084" s="276"/>
      <c r="P2084" s="276"/>
      <c r="Q2084" s="276"/>
      <c r="R2084" s="278"/>
      <c r="S2084" s="278"/>
      <c r="T2084" s="278"/>
      <c r="U2084" s="279"/>
      <c r="V2084" s="279" t="s">
        <v>1824</v>
      </c>
      <c r="W2084" s="280">
        <v>44547.0</v>
      </c>
      <c r="X2084" s="281">
        <v>0.004166666666666667</v>
      </c>
      <c r="Y2084" s="279" t="s">
        <v>1693</v>
      </c>
      <c r="Z2084" s="282" t="s">
        <v>53</v>
      </c>
      <c r="AA2084" s="434">
        <v>7212845.0</v>
      </c>
      <c r="AB2084" s="283">
        <v>44547.0</v>
      </c>
      <c r="AC2084" s="284"/>
      <c r="AD2084" s="284"/>
    </row>
    <row r="2085" ht="14.25" customHeight="1">
      <c r="A2085" s="265">
        <v>44532.0</v>
      </c>
      <c r="B2085" s="266" t="s">
        <v>1733</v>
      </c>
      <c r="C2085" s="266"/>
      <c r="D2085" s="266" t="s">
        <v>1450</v>
      </c>
      <c r="E2085" s="292"/>
      <c r="F2085" s="358" t="s">
        <v>6086</v>
      </c>
      <c r="G2085" s="268" t="s">
        <v>2085</v>
      </c>
      <c r="H2085" s="270">
        <v>0.09962962962962962</v>
      </c>
      <c r="I2085" s="271">
        <v>44532.50208333333</v>
      </c>
      <c r="J2085" s="268"/>
      <c r="K2085" s="268" t="s">
        <v>6087</v>
      </c>
      <c r="L2085" s="288"/>
      <c r="M2085" s="278"/>
      <c r="N2085" s="290"/>
      <c r="O2085" s="276"/>
      <c r="P2085" s="276"/>
      <c r="Q2085" s="276"/>
      <c r="R2085" s="278"/>
      <c r="S2085" s="278"/>
      <c r="T2085" s="278"/>
      <c r="U2085" s="279"/>
      <c r="V2085" s="279" t="s">
        <v>2030</v>
      </c>
      <c r="W2085" s="280" t="s">
        <v>6088</v>
      </c>
      <c r="X2085" s="281">
        <v>0.20833333333333334</v>
      </c>
      <c r="Y2085" s="279" t="s">
        <v>1693</v>
      </c>
      <c r="Z2085" s="435" t="s">
        <v>53</v>
      </c>
      <c r="AA2085" s="443" t="s">
        <v>6086</v>
      </c>
      <c r="AB2085" s="438">
        <v>44533.0</v>
      </c>
      <c r="AC2085" s="284"/>
      <c r="AD2085" s="284"/>
    </row>
    <row r="2086" ht="14.25" customHeight="1">
      <c r="A2086" s="265">
        <v>44532.0</v>
      </c>
      <c r="B2086" s="266" t="s">
        <v>1824</v>
      </c>
      <c r="C2086" s="266"/>
      <c r="D2086" s="266" t="s">
        <v>1452</v>
      </c>
      <c r="E2086" s="292"/>
      <c r="F2086" s="406" t="s">
        <v>6089</v>
      </c>
      <c r="G2086" s="268" t="s">
        <v>2085</v>
      </c>
      <c r="H2086" s="270">
        <v>0.00431712962962963</v>
      </c>
      <c r="I2086" s="271">
        <v>44532.51527777778</v>
      </c>
      <c r="J2086" s="268"/>
      <c r="K2086" s="271">
        <v>44532.85555555556</v>
      </c>
      <c r="L2086" s="288"/>
      <c r="M2086" s="278"/>
      <c r="N2086" s="290"/>
      <c r="O2086" s="276"/>
      <c r="P2086" s="276"/>
      <c r="Q2086" s="276"/>
      <c r="R2086" s="278"/>
      <c r="S2086" s="278"/>
      <c r="T2086" s="278"/>
      <c r="U2086" s="279"/>
      <c r="V2086" s="279" t="s">
        <v>1824</v>
      </c>
      <c r="W2086" s="280">
        <v>44532.0</v>
      </c>
      <c r="X2086" s="281">
        <v>0.013888888888888888</v>
      </c>
      <c r="Y2086" s="279" t="s">
        <v>1693</v>
      </c>
      <c r="Z2086" s="435" t="s">
        <v>53</v>
      </c>
      <c r="AA2086" s="443" t="s">
        <v>6089</v>
      </c>
      <c r="AB2086" s="438">
        <v>44533.0</v>
      </c>
      <c r="AC2086" s="284"/>
      <c r="AD2086" s="284"/>
    </row>
    <row r="2087" ht="14.25" customHeight="1">
      <c r="A2087" s="265">
        <v>44532.0</v>
      </c>
      <c r="B2087" s="266" t="s">
        <v>1824</v>
      </c>
      <c r="C2087" s="266"/>
      <c r="D2087" s="266" t="s">
        <v>1686</v>
      </c>
      <c r="E2087" s="292"/>
      <c r="F2087" s="406" t="s">
        <v>6090</v>
      </c>
      <c r="G2087" s="268" t="s">
        <v>2085</v>
      </c>
      <c r="H2087" s="270">
        <v>0.03778935185185185</v>
      </c>
      <c r="I2087" s="271">
        <v>44532.558333333334</v>
      </c>
      <c r="J2087" s="268"/>
      <c r="K2087" s="271">
        <v>44532.94695601852</v>
      </c>
      <c r="L2087" s="288"/>
      <c r="M2087" s="278"/>
      <c r="N2087" s="290"/>
      <c r="O2087" s="276"/>
      <c r="P2087" s="276"/>
      <c r="Q2087" s="276"/>
      <c r="R2087" s="278"/>
      <c r="S2087" s="278"/>
      <c r="T2087" s="278"/>
      <c r="U2087" s="279"/>
      <c r="V2087" s="279" t="s">
        <v>1570</v>
      </c>
      <c r="W2087" s="280">
        <v>44537.0</v>
      </c>
      <c r="X2087" s="281">
        <v>0.125</v>
      </c>
      <c r="Y2087" s="279" t="s">
        <v>1693</v>
      </c>
      <c r="Z2087" s="435" t="s">
        <v>53</v>
      </c>
      <c r="AA2087" s="443" t="s">
        <v>6090</v>
      </c>
      <c r="AB2087" s="438">
        <v>44533.0</v>
      </c>
      <c r="AC2087" s="284"/>
      <c r="AD2087" s="284"/>
    </row>
    <row r="2088" ht="14.25" customHeight="1">
      <c r="A2088" s="265">
        <v>44532.0</v>
      </c>
      <c r="B2088" s="266" t="s">
        <v>3677</v>
      </c>
      <c r="C2088" s="266"/>
      <c r="D2088" s="266" t="s">
        <v>1455</v>
      </c>
      <c r="E2088" s="292"/>
      <c r="F2088" s="406" t="s">
        <v>6091</v>
      </c>
      <c r="G2088" s="268" t="s">
        <v>2085</v>
      </c>
      <c r="H2088" s="270">
        <v>0.02170138888888889</v>
      </c>
      <c r="I2088" s="271">
        <v>44532.90555555555</v>
      </c>
      <c r="J2088" s="268"/>
      <c r="K2088" s="271">
        <v>44533.31502314815</v>
      </c>
      <c r="L2088" s="288"/>
      <c r="M2088" s="278"/>
      <c r="N2088" s="290"/>
      <c r="O2088" s="276"/>
      <c r="P2088" s="276"/>
      <c r="Q2088" s="276"/>
      <c r="R2088" s="278"/>
      <c r="S2088" s="278"/>
      <c r="T2088" s="278"/>
      <c r="U2088" s="279"/>
      <c r="V2088" s="279" t="s">
        <v>1570</v>
      </c>
      <c r="W2088" s="280">
        <v>44537.0</v>
      </c>
      <c r="X2088" s="281">
        <v>0.08333333333333333</v>
      </c>
      <c r="Y2088" s="279" t="s">
        <v>1693</v>
      </c>
      <c r="Z2088" s="435" t="s">
        <v>53</v>
      </c>
      <c r="AA2088" s="443" t="s">
        <v>6091</v>
      </c>
      <c r="AB2088" s="438">
        <v>44533.0</v>
      </c>
      <c r="AC2088" s="284"/>
      <c r="AD2088" s="284"/>
    </row>
    <row r="2089" ht="14.25" customHeight="1">
      <c r="A2089" s="265">
        <v>44533.0</v>
      </c>
      <c r="B2089" s="266" t="s">
        <v>1500</v>
      </c>
      <c r="C2089" s="266" t="s">
        <v>1696</v>
      </c>
      <c r="D2089" s="266" t="s">
        <v>1543</v>
      </c>
      <c r="E2089" s="292"/>
      <c r="F2089" s="363" t="s">
        <v>6092</v>
      </c>
      <c r="G2089" s="268" t="s">
        <v>1463</v>
      </c>
      <c r="H2089" s="270">
        <v>0.0027546296296296294</v>
      </c>
      <c r="I2089" s="271">
        <v>44537.525</v>
      </c>
      <c r="J2089" s="268"/>
      <c r="K2089" s="271">
        <v>44537.86324074074</v>
      </c>
      <c r="L2089" s="288"/>
      <c r="M2089" s="278" t="s">
        <v>6093</v>
      </c>
      <c r="N2089" s="290"/>
      <c r="O2089" s="276"/>
      <c r="P2089" s="276"/>
      <c r="Q2089" s="276"/>
      <c r="R2089" s="278"/>
      <c r="S2089" s="278"/>
      <c r="T2089" s="278"/>
      <c r="U2089" s="279"/>
      <c r="V2089" s="279" t="s">
        <v>1824</v>
      </c>
      <c r="W2089" s="280">
        <v>44547.0</v>
      </c>
      <c r="X2089" s="281">
        <v>0.004166666666666667</v>
      </c>
      <c r="Y2089" s="279" t="s">
        <v>1693</v>
      </c>
      <c r="Z2089" s="435" t="s">
        <v>53</v>
      </c>
      <c r="AA2089" s="443">
        <v>7212846.0</v>
      </c>
      <c r="AB2089" s="438">
        <v>44547.0</v>
      </c>
      <c r="AC2089" s="284"/>
      <c r="AD2089" s="284"/>
    </row>
    <row r="2090" ht="14.25" customHeight="1">
      <c r="A2090" s="265">
        <v>44533.0</v>
      </c>
      <c r="B2090" s="266" t="s">
        <v>1733</v>
      </c>
      <c r="C2090" s="266"/>
      <c r="D2090" s="266" t="s">
        <v>1450</v>
      </c>
      <c r="E2090" s="292"/>
      <c r="F2090" s="406" t="s">
        <v>6094</v>
      </c>
      <c r="G2090" s="268" t="s">
        <v>2085</v>
      </c>
      <c r="H2090" s="270">
        <v>0.09781250000000001</v>
      </c>
      <c r="I2090" s="271">
        <v>44533.59861111111</v>
      </c>
      <c r="J2090" s="268"/>
      <c r="K2090" s="271">
        <v>44533.664513888885</v>
      </c>
      <c r="L2090" s="288"/>
      <c r="M2090" s="278"/>
      <c r="N2090" s="290"/>
      <c r="O2090" s="276"/>
      <c r="P2090" s="276"/>
      <c r="Q2090" s="276"/>
      <c r="R2090" s="278"/>
      <c r="S2090" s="278"/>
      <c r="T2090" s="278"/>
      <c r="U2090" s="279"/>
      <c r="V2090" s="279" t="s">
        <v>2030</v>
      </c>
      <c r="W2090" s="280">
        <v>44538.0</v>
      </c>
      <c r="X2090" s="281">
        <v>0.003472222222222222</v>
      </c>
      <c r="Y2090" s="279" t="s">
        <v>1693</v>
      </c>
      <c r="Z2090" s="435" t="s">
        <v>53</v>
      </c>
      <c r="AA2090" s="443" t="s">
        <v>6094</v>
      </c>
      <c r="AB2090" s="438">
        <v>44534.0</v>
      </c>
      <c r="AC2090" s="284"/>
      <c r="AD2090" s="284"/>
    </row>
    <row r="2091" ht="14.25" customHeight="1">
      <c r="A2091" s="265">
        <v>44533.0</v>
      </c>
      <c r="B2091" s="266" t="s">
        <v>1824</v>
      </c>
      <c r="C2091" s="266"/>
      <c r="D2091" s="266" t="s">
        <v>1452</v>
      </c>
      <c r="E2091" s="292"/>
      <c r="F2091" s="406" t="s">
        <v>6095</v>
      </c>
      <c r="G2091" s="268" t="s">
        <v>2085</v>
      </c>
      <c r="H2091" s="270">
        <v>0.0020949074074074073</v>
      </c>
      <c r="I2091" s="271">
        <v>44533.47708333333</v>
      </c>
      <c r="J2091" s="268"/>
      <c r="K2091" s="271">
        <v>44533.81458333333</v>
      </c>
      <c r="L2091" s="288"/>
      <c r="M2091" s="278"/>
      <c r="N2091" s="290"/>
      <c r="O2091" s="276"/>
      <c r="P2091" s="276"/>
      <c r="Q2091" s="276"/>
      <c r="R2091" s="278"/>
      <c r="S2091" s="278"/>
      <c r="T2091" s="278"/>
      <c r="U2091" s="279"/>
      <c r="V2091" s="279" t="s">
        <v>1824</v>
      </c>
      <c r="W2091" s="280">
        <v>44533.0</v>
      </c>
      <c r="X2091" s="281">
        <v>0.006944444444444444</v>
      </c>
      <c r="Y2091" s="279" t="s">
        <v>1693</v>
      </c>
      <c r="Z2091" s="435" t="s">
        <v>53</v>
      </c>
      <c r="AA2091" s="443" t="s">
        <v>6095</v>
      </c>
      <c r="AB2091" s="438">
        <v>44534.0</v>
      </c>
      <c r="AC2091" s="284"/>
      <c r="AD2091" s="284"/>
    </row>
    <row r="2092" ht="14.25" customHeight="1">
      <c r="A2092" s="265">
        <v>44533.0</v>
      </c>
      <c r="B2092" s="266" t="s">
        <v>1824</v>
      </c>
      <c r="C2092" s="266"/>
      <c r="D2092" s="266" t="s">
        <v>1686</v>
      </c>
      <c r="E2092" s="292"/>
      <c r="F2092" s="406" t="s">
        <v>6096</v>
      </c>
      <c r="G2092" s="268" t="s">
        <v>2085</v>
      </c>
      <c r="H2092" s="270">
        <v>0.036770833333333336</v>
      </c>
      <c r="I2092" s="271">
        <v>44533.60555555556</v>
      </c>
      <c r="J2092" s="268"/>
      <c r="K2092" s="271">
        <v>44534.00865740741</v>
      </c>
      <c r="L2092" s="288"/>
      <c r="M2092" s="278"/>
      <c r="N2092" s="290"/>
      <c r="O2092" s="276"/>
      <c r="P2092" s="276"/>
      <c r="Q2092" s="276"/>
      <c r="R2092" s="278"/>
      <c r="S2092" s="278"/>
      <c r="T2092" s="278"/>
      <c r="U2092" s="279"/>
      <c r="V2092" s="279" t="s">
        <v>1570</v>
      </c>
      <c r="W2092" s="280">
        <v>44536.0</v>
      </c>
      <c r="X2092" s="281">
        <v>0.125</v>
      </c>
      <c r="Y2092" s="279" t="s">
        <v>1693</v>
      </c>
      <c r="Z2092" s="435" t="s">
        <v>53</v>
      </c>
      <c r="AA2092" s="443" t="s">
        <v>6096</v>
      </c>
      <c r="AB2092" s="438">
        <v>44534.0</v>
      </c>
      <c r="AC2092" s="284"/>
      <c r="AD2092" s="284"/>
    </row>
    <row r="2093" ht="14.25" customHeight="1">
      <c r="A2093" s="265">
        <v>44533.0</v>
      </c>
      <c r="B2093" s="266" t="s">
        <v>1733</v>
      </c>
      <c r="C2093" s="266"/>
      <c r="D2093" s="266" t="s">
        <v>1455</v>
      </c>
      <c r="E2093" s="292"/>
      <c r="F2093" s="406" t="s">
        <v>6097</v>
      </c>
      <c r="G2093" s="268" t="s">
        <v>2085</v>
      </c>
      <c r="H2093" s="270">
        <v>0.02119212962962963</v>
      </c>
      <c r="I2093" s="271">
        <v>44533.91357638889</v>
      </c>
      <c r="J2093" s="268"/>
      <c r="K2093" s="271">
        <v>44534.31597222222</v>
      </c>
      <c r="L2093" s="288"/>
      <c r="M2093" s="278"/>
      <c r="N2093" s="290"/>
      <c r="O2093" s="276"/>
      <c r="P2093" s="276"/>
      <c r="Q2093" s="276"/>
      <c r="R2093" s="278"/>
      <c r="S2093" s="278"/>
      <c r="T2093" s="278"/>
      <c r="U2093" s="279"/>
      <c r="V2093" s="279" t="s">
        <v>1570</v>
      </c>
      <c r="W2093" s="280">
        <v>44537.0</v>
      </c>
      <c r="X2093" s="281">
        <v>0.08333333333333333</v>
      </c>
      <c r="Y2093" s="279" t="s">
        <v>1693</v>
      </c>
      <c r="Z2093" s="435" t="s">
        <v>53</v>
      </c>
      <c r="AA2093" s="443" t="s">
        <v>6097</v>
      </c>
      <c r="AB2093" s="438">
        <v>44534.0</v>
      </c>
      <c r="AC2093" s="284"/>
      <c r="AD2093" s="284"/>
    </row>
    <row r="2094" ht="14.25" customHeight="1">
      <c r="A2094" s="265">
        <v>44534.0</v>
      </c>
      <c r="B2094" s="266" t="s">
        <v>1500</v>
      </c>
      <c r="C2094" s="266" t="s">
        <v>2179</v>
      </c>
      <c r="D2094" s="266" t="s">
        <v>1543</v>
      </c>
      <c r="E2094" s="292"/>
      <c r="F2094" s="363" t="s">
        <v>6098</v>
      </c>
      <c r="G2094" s="268" t="s">
        <v>1463</v>
      </c>
      <c r="H2094" s="270">
        <v>0.001412037037037037</v>
      </c>
      <c r="I2094" s="271">
        <v>44536.5</v>
      </c>
      <c r="J2094" s="268"/>
      <c r="K2094" s="271">
        <v>44537.06736111111</v>
      </c>
      <c r="L2094" s="288"/>
      <c r="M2094" s="278" t="s">
        <v>6099</v>
      </c>
      <c r="N2094" s="290"/>
      <c r="O2094" s="276"/>
      <c r="P2094" s="276"/>
      <c r="Q2094" s="276"/>
      <c r="R2094" s="278"/>
      <c r="S2094" s="278"/>
      <c r="T2094" s="278"/>
      <c r="U2094" s="279"/>
      <c r="V2094" s="279" t="s">
        <v>1824</v>
      </c>
      <c r="W2094" s="280">
        <v>44539.0</v>
      </c>
      <c r="X2094" s="281">
        <v>0.004166666666666667</v>
      </c>
      <c r="Y2094" s="279" t="s">
        <v>1693</v>
      </c>
      <c r="Z2094" s="435" t="s">
        <v>53</v>
      </c>
      <c r="AA2094" s="443">
        <v>7172934.0</v>
      </c>
      <c r="AB2094" s="438">
        <v>44537.0</v>
      </c>
      <c r="AC2094" s="284"/>
      <c r="AD2094" s="284"/>
    </row>
    <row r="2095" ht="14.25" customHeight="1">
      <c r="A2095" s="265">
        <v>44534.0</v>
      </c>
      <c r="B2095" s="266" t="s">
        <v>1500</v>
      </c>
      <c r="C2095" s="266"/>
      <c r="D2095" s="266" t="s">
        <v>5999</v>
      </c>
      <c r="E2095" s="292"/>
      <c r="F2095" s="363" t="s">
        <v>6100</v>
      </c>
      <c r="G2095" s="268" t="s">
        <v>1661</v>
      </c>
      <c r="H2095" s="270">
        <v>0.029143518518518517</v>
      </c>
      <c r="I2095" s="271">
        <v>44557.509675925925</v>
      </c>
      <c r="J2095" s="268"/>
      <c r="K2095" s="271">
        <v>44557.52291666667</v>
      </c>
      <c r="L2095" s="288"/>
      <c r="M2095" s="278" t="s">
        <v>6101</v>
      </c>
      <c r="N2095" s="290"/>
      <c r="O2095" s="276"/>
      <c r="P2095" s="276"/>
      <c r="Q2095" s="276"/>
      <c r="R2095" s="278"/>
      <c r="S2095" s="278"/>
      <c r="T2095" s="278"/>
      <c r="U2095" s="279"/>
      <c r="V2095" s="279" t="s">
        <v>1746</v>
      </c>
      <c r="W2095" s="280">
        <v>44557.0</v>
      </c>
      <c r="X2095" s="281">
        <v>0.08333333333333333</v>
      </c>
      <c r="Y2095" s="279"/>
      <c r="Z2095" s="435" t="s">
        <v>53</v>
      </c>
      <c r="AA2095" s="443">
        <v>7259349.0</v>
      </c>
      <c r="AB2095" s="438">
        <v>44559.0</v>
      </c>
      <c r="AC2095" s="284"/>
      <c r="AD2095" s="284"/>
    </row>
    <row r="2096" ht="14.25" customHeight="1">
      <c r="A2096" s="265">
        <v>44534.0</v>
      </c>
      <c r="B2096" s="266" t="s">
        <v>2030</v>
      </c>
      <c r="C2096" s="266"/>
      <c r="D2096" s="266" t="s">
        <v>1686</v>
      </c>
      <c r="E2096" s="292"/>
      <c r="F2096" s="406" t="s">
        <v>6102</v>
      </c>
      <c r="G2096" s="268" t="s">
        <v>2085</v>
      </c>
      <c r="H2096" s="270">
        <v>0.03944444444444444</v>
      </c>
      <c r="I2096" s="271">
        <v>44534.60833333333</v>
      </c>
      <c r="J2096" s="268"/>
      <c r="K2096" s="271">
        <v>44534.62291666667</v>
      </c>
      <c r="L2096" s="288"/>
      <c r="M2096" s="278"/>
      <c r="N2096" s="290"/>
      <c r="O2096" s="276"/>
      <c r="P2096" s="276"/>
      <c r="Q2096" s="276"/>
      <c r="R2096" s="278"/>
      <c r="S2096" s="278"/>
      <c r="T2096" s="278"/>
      <c r="U2096" s="279"/>
      <c r="V2096" s="279" t="s">
        <v>1570</v>
      </c>
      <c r="W2096" s="280">
        <v>44538.0</v>
      </c>
      <c r="X2096" s="281">
        <v>0.125</v>
      </c>
      <c r="Y2096" s="279" t="s">
        <v>1693</v>
      </c>
      <c r="Z2096" s="435" t="s">
        <v>53</v>
      </c>
      <c r="AA2096" s="443" t="s">
        <v>6102</v>
      </c>
      <c r="AB2096" s="438">
        <v>44536.0</v>
      </c>
      <c r="AC2096" s="284"/>
      <c r="AD2096" s="284"/>
    </row>
    <row r="2097" ht="14.25" customHeight="1">
      <c r="A2097" s="265">
        <v>44534.0</v>
      </c>
      <c r="B2097" s="266" t="s">
        <v>1733</v>
      </c>
      <c r="C2097" s="266"/>
      <c r="D2097" s="266" t="s">
        <v>1455</v>
      </c>
      <c r="E2097" s="292"/>
      <c r="F2097" s="406" t="s">
        <v>6103</v>
      </c>
      <c r="G2097" s="268" t="s">
        <v>2085</v>
      </c>
      <c r="H2097" s="270">
        <v>0.017037037037037038</v>
      </c>
      <c r="I2097" s="271">
        <v>44535.50069444445</v>
      </c>
      <c r="J2097" s="268"/>
      <c r="K2097" s="271">
        <v>44535.51429398148</v>
      </c>
      <c r="L2097" s="288"/>
      <c r="M2097" s="278"/>
      <c r="N2097" s="290"/>
      <c r="O2097" s="276"/>
      <c r="P2097" s="276"/>
      <c r="Q2097" s="276"/>
      <c r="R2097" s="278"/>
      <c r="S2097" s="278"/>
      <c r="T2097" s="278"/>
      <c r="U2097" s="279"/>
      <c r="V2097" s="279" t="s">
        <v>1570</v>
      </c>
      <c r="W2097" s="280">
        <v>44538.0</v>
      </c>
      <c r="X2097" s="281">
        <v>0.08333333333333333</v>
      </c>
      <c r="Y2097" s="279" t="s">
        <v>1693</v>
      </c>
      <c r="Z2097" s="435" t="s">
        <v>53</v>
      </c>
      <c r="AA2097" s="443" t="s">
        <v>6103</v>
      </c>
      <c r="AB2097" s="438">
        <v>44536.0</v>
      </c>
      <c r="AC2097" s="284"/>
      <c r="AD2097" s="284"/>
    </row>
    <row r="2098" ht="14.25" customHeight="1">
      <c r="A2098" s="265">
        <v>44535.0</v>
      </c>
      <c r="B2098" s="266" t="s">
        <v>1733</v>
      </c>
      <c r="C2098" s="266"/>
      <c r="D2098" s="266" t="s">
        <v>3509</v>
      </c>
      <c r="E2098" s="292"/>
      <c r="F2098" s="406">
        <v>7128942.0</v>
      </c>
      <c r="G2098" s="268" t="s">
        <v>3839</v>
      </c>
      <c r="H2098" s="270">
        <v>0.035196759259259254</v>
      </c>
      <c r="I2098" s="271">
        <v>44535.615277777775</v>
      </c>
      <c r="J2098" s="268"/>
      <c r="K2098" s="271">
        <v>44535.62184027778</v>
      </c>
      <c r="L2098" s="288"/>
      <c r="M2098" s="272" t="s">
        <v>6104</v>
      </c>
      <c r="N2098" s="273"/>
      <c r="O2098" s="276"/>
      <c r="P2098" s="276"/>
      <c r="Q2098" s="276"/>
      <c r="R2098" s="277"/>
      <c r="S2098" s="278"/>
      <c r="T2098" s="278"/>
      <c r="U2098" s="279" t="s">
        <v>28</v>
      </c>
      <c r="V2098" s="279" t="s">
        <v>28</v>
      </c>
      <c r="W2098" s="279" t="s">
        <v>28</v>
      </c>
      <c r="X2098" s="279" t="s">
        <v>28</v>
      </c>
      <c r="Y2098" s="279" t="s">
        <v>28</v>
      </c>
      <c r="Z2098" s="435" t="s">
        <v>5784</v>
      </c>
      <c r="AA2098" s="443">
        <v>7128942.0</v>
      </c>
      <c r="AB2098" s="438">
        <v>44536.0</v>
      </c>
      <c r="AC2098" s="284"/>
      <c r="AD2098" s="284"/>
    </row>
    <row r="2099" ht="14.25" customHeight="1">
      <c r="A2099" s="265">
        <v>44535.0</v>
      </c>
      <c r="B2099" s="266" t="s">
        <v>1500</v>
      </c>
      <c r="C2099" s="266" t="s">
        <v>2179</v>
      </c>
      <c r="D2099" s="266" t="s">
        <v>1543</v>
      </c>
      <c r="E2099" s="292"/>
      <c r="F2099" s="363" t="s">
        <v>6105</v>
      </c>
      <c r="G2099" s="268" t="s">
        <v>1463</v>
      </c>
      <c r="H2099" s="270">
        <v>0.002337962962962963</v>
      </c>
      <c r="I2099" s="271">
        <v>44536.5</v>
      </c>
      <c r="J2099" s="268"/>
      <c r="K2099" s="271">
        <v>44537.06900462963</v>
      </c>
      <c r="L2099" s="288"/>
      <c r="M2099" s="272" t="s">
        <v>6106</v>
      </c>
      <c r="N2099" s="273"/>
      <c r="O2099" s="276"/>
      <c r="P2099" s="276"/>
      <c r="Q2099" s="276"/>
      <c r="R2099" s="277"/>
      <c r="S2099" s="278"/>
      <c r="T2099" s="278"/>
      <c r="U2099" s="279"/>
      <c r="V2099" s="279" t="s">
        <v>1824</v>
      </c>
      <c r="W2099" s="280">
        <v>44539.0</v>
      </c>
      <c r="X2099" s="281">
        <v>0.004166666666666667</v>
      </c>
      <c r="Y2099" s="279" t="s">
        <v>1693</v>
      </c>
      <c r="Z2099" s="435" t="s">
        <v>53</v>
      </c>
      <c r="AA2099" s="443">
        <v>7172935.0</v>
      </c>
      <c r="AB2099" s="438">
        <v>44537.0</v>
      </c>
      <c r="AC2099" s="284"/>
      <c r="AD2099" s="284"/>
    </row>
    <row r="2100" ht="14.25" customHeight="1">
      <c r="A2100" s="265">
        <v>44535.0</v>
      </c>
      <c r="B2100" s="266" t="s">
        <v>1733</v>
      </c>
      <c r="C2100" s="266"/>
      <c r="D2100" s="266" t="s">
        <v>1457</v>
      </c>
      <c r="E2100" s="292"/>
      <c r="F2100" s="406" t="s">
        <v>6107</v>
      </c>
      <c r="G2100" s="268" t="s">
        <v>2085</v>
      </c>
      <c r="H2100" s="270">
        <v>0.01769675925925926</v>
      </c>
      <c r="I2100" s="271">
        <v>44536.73263888889</v>
      </c>
      <c r="J2100" s="268"/>
      <c r="K2100" s="271">
        <v>44536.748402777775</v>
      </c>
      <c r="L2100" s="288"/>
      <c r="M2100" s="278"/>
      <c r="N2100" s="290"/>
      <c r="O2100" s="276"/>
      <c r="P2100" s="276"/>
      <c r="Q2100" s="276"/>
      <c r="R2100" s="278"/>
      <c r="S2100" s="278"/>
      <c r="T2100" s="278"/>
      <c r="U2100" s="279"/>
      <c r="V2100" s="279" t="s">
        <v>1824</v>
      </c>
      <c r="W2100" s="280">
        <v>44540.0</v>
      </c>
      <c r="X2100" s="281">
        <v>0.03125</v>
      </c>
      <c r="Y2100" s="279" t="s">
        <v>1693</v>
      </c>
      <c r="Z2100" s="435" t="s">
        <v>53</v>
      </c>
      <c r="AA2100" s="443" t="s">
        <v>6107</v>
      </c>
      <c r="AB2100" s="438">
        <v>44537.0</v>
      </c>
      <c r="AC2100" s="284"/>
      <c r="AD2100" s="284"/>
    </row>
    <row r="2101" ht="14.25" customHeight="1">
      <c r="A2101" s="265">
        <v>44535.0</v>
      </c>
      <c r="B2101" s="266" t="s">
        <v>1733</v>
      </c>
      <c r="C2101" s="266"/>
      <c r="D2101" s="266" t="s">
        <v>2829</v>
      </c>
      <c r="E2101" s="292"/>
      <c r="F2101" s="406" t="s">
        <v>6108</v>
      </c>
      <c r="G2101" s="268" t="s">
        <v>2085</v>
      </c>
      <c r="H2101" s="270">
        <v>0.0218287037037037</v>
      </c>
      <c r="I2101" s="271">
        <v>44535.5125</v>
      </c>
      <c r="J2101" s="268"/>
      <c r="K2101" s="268"/>
      <c r="L2101" s="288"/>
      <c r="M2101" s="307" t="s">
        <v>3482</v>
      </c>
      <c r="N2101" s="273">
        <v>44535.51458333333</v>
      </c>
      <c r="O2101" s="276" t="s">
        <v>6109</v>
      </c>
      <c r="P2101" s="276" t="s">
        <v>1463</v>
      </c>
      <c r="Q2101" s="276" t="s">
        <v>1819</v>
      </c>
      <c r="R2101" s="277">
        <v>44535.52706018519</v>
      </c>
      <c r="S2101" s="278"/>
      <c r="T2101" s="278" t="s">
        <v>6110</v>
      </c>
      <c r="U2101" s="279"/>
      <c r="V2101" s="279" t="s">
        <v>28</v>
      </c>
      <c r="W2101" s="279" t="s">
        <v>28</v>
      </c>
      <c r="X2101" s="279" t="s">
        <v>28</v>
      </c>
      <c r="Y2101" s="279" t="s">
        <v>28</v>
      </c>
      <c r="Z2101" s="435" t="s">
        <v>53</v>
      </c>
      <c r="AA2101" s="443" t="s">
        <v>6108</v>
      </c>
      <c r="AB2101" s="438">
        <v>44536.0</v>
      </c>
      <c r="AC2101" s="284"/>
      <c r="AD2101" s="284"/>
    </row>
    <row r="2102" ht="14.25" customHeight="1">
      <c r="A2102" s="265">
        <v>44536.0</v>
      </c>
      <c r="B2102" s="266" t="s">
        <v>1500</v>
      </c>
      <c r="C2102" s="266" t="s">
        <v>4147</v>
      </c>
      <c r="D2102" s="266" t="s">
        <v>1543</v>
      </c>
      <c r="E2102" s="292"/>
      <c r="F2102" s="363" t="s">
        <v>6111</v>
      </c>
      <c r="G2102" s="268" t="s">
        <v>1463</v>
      </c>
      <c r="H2102" s="270">
        <v>0.005162037037037037</v>
      </c>
      <c r="I2102" s="271">
        <v>44540.53333333333</v>
      </c>
      <c r="J2102" s="268"/>
      <c r="K2102" s="271">
        <v>44545.44603009259</v>
      </c>
      <c r="L2102" s="288"/>
      <c r="M2102" s="278" t="s">
        <v>6112</v>
      </c>
      <c r="N2102" s="290"/>
      <c r="O2102" s="276"/>
      <c r="P2102" s="276"/>
      <c r="Q2102" s="276"/>
      <c r="R2102" s="278"/>
      <c r="S2102" s="278"/>
      <c r="T2102" s="278"/>
      <c r="U2102" s="279"/>
      <c r="V2102" s="279" t="s">
        <v>1824</v>
      </c>
      <c r="W2102" s="280">
        <v>44547.0</v>
      </c>
      <c r="X2102" s="281">
        <v>0.006944444444444444</v>
      </c>
      <c r="Y2102" s="279" t="s">
        <v>1693</v>
      </c>
      <c r="Z2102" s="435" t="s">
        <v>53</v>
      </c>
      <c r="AA2102" s="443">
        <v>7212847.0</v>
      </c>
      <c r="AB2102" s="438">
        <v>44547.0</v>
      </c>
      <c r="AC2102" s="284"/>
      <c r="AD2102" s="284"/>
    </row>
    <row r="2103" ht="14.25" customHeight="1">
      <c r="A2103" s="265">
        <v>44536.0</v>
      </c>
      <c r="B2103" s="266" t="s">
        <v>1500</v>
      </c>
      <c r="C2103" s="266" t="s">
        <v>1455</v>
      </c>
      <c r="D2103" s="266" t="s">
        <v>1543</v>
      </c>
      <c r="E2103" s="292"/>
      <c r="F2103" s="363" t="s">
        <v>6113</v>
      </c>
      <c r="G2103" s="268" t="s">
        <v>1463</v>
      </c>
      <c r="H2103" s="270">
        <v>0.001550925925925926</v>
      </c>
      <c r="I2103" s="271">
        <v>44544.537314814814</v>
      </c>
      <c r="J2103" s="268"/>
      <c r="K2103" s="271">
        <v>44544.88563657407</v>
      </c>
      <c r="L2103" s="288"/>
      <c r="M2103" s="278" t="s">
        <v>6114</v>
      </c>
      <c r="N2103" s="290"/>
      <c r="O2103" s="276"/>
      <c r="P2103" s="276"/>
      <c r="Q2103" s="276"/>
      <c r="R2103" s="278"/>
      <c r="S2103" s="278"/>
      <c r="T2103" s="278"/>
      <c r="U2103" s="279"/>
      <c r="V2103" s="279" t="s">
        <v>1824</v>
      </c>
      <c r="W2103" s="280">
        <v>44547.0</v>
      </c>
      <c r="X2103" s="281">
        <v>0.004861111111111111</v>
      </c>
      <c r="Y2103" s="279" t="s">
        <v>1693</v>
      </c>
      <c r="Z2103" s="435" t="s">
        <v>53</v>
      </c>
      <c r="AA2103" s="443">
        <v>7212848.0</v>
      </c>
      <c r="AB2103" s="438">
        <v>44547.0</v>
      </c>
      <c r="AC2103" s="284"/>
      <c r="AD2103" s="284"/>
    </row>
    <row r="2104" ht="14.25" customHeight="1">
      <c r="A2104" s="265">
        <v>44536.0</v>
      </c>
      <c r="B2104" s="266" t="s">
        <v>1500</v>
      </c>
      <c r="C2104" s="266" t="s">
        <v>6115</v>
      </c>
      <c r="D2104" s="266" t="s">
        <v>1543</v>
      </c>
      <c r="E2104" s="292"/>
      <c r="F2104" s="363" t="s">
        <v>6116</v>
      </c>
      <c r="G2104" s="268" t="s">
        <v>1463</v>
      </c>
      <c r="H2104" s="270">
        <v>0.002002314814814815</v>
      </c>
      <c r="I2104" s="271">
        <v>44545.49652777778</v>
      </c>
      <c r="J2104" s="268"/>
      <c r="K2104" s="271">
        <v>44545.50194444445</v>
      </c>
      <c r="L2104" s="288"/>
      <c r="M2104" s="278" t="s">
        <v>6117</v>
      </c>
      <c r="N2104" s="290"/>
      <c r="O2104" s="276"/>
      <c r="P2104" s="276"/>
      <c r="Q2104" s="276"/>
      <c r="R2104" s="278"/>
      <c r="S2104" s="278"/>
      <c r="T2104" s="278"/>
      <c r="U2104" s="279"/>
      <c r="V2104" s="279" t="s">
        <v>1824</v>
      </c>
      <c r="W2104" s="280">
        <v>44557.0</v>
      </c>
      <c r="X2104" s="281">
        <v>0.003472222222222222</v>
      </c>
      <c r="Y2104" s="279" t="s">
        <v>1693</v>
      </c>
      <c r="Z2104" s="435" t="s">
        <v>1570</v>
      </c>
      <c r="AA2104" s="443">
        <v>7230759.0</v>
      </c>
      <c r="AB2104" s="438">
        <v>44550.0</v>
      </c>
      <c r="AC2104" s="284"/>
      <c r="AD2104" s="284"/>
    </row>
    <row r="2105" ht="14.25" customHeight="1">
      <c r="A2105" s="265">
        <v>44536.0</v>
      </c>
      <c r="B2105" s="266" t="s">
        <v>1733</v>
      </c>
      <c r="C2105" s="266"/>
      <c r="D2105" s="266" t="s">
        <v>1450</v>
      </c>
      <c r="E2105" s="292"/>
      <c r="F2105" s="406" t="s">
        <v>6118</v>
      </c>
      <c r="G2105" s="268" t="s">
        <v>2085</v>
      </c>
      <c r="H2105" s="270">
        <v>0.0975925925925926</v>
      </c>
      <c r="I2105" s="271">
        <v>44536.513194444444</v>
      </c>
      <c r="J2105" s="268"/>
      <c r="K2105" s="271">
        <v>44537.011712962965</v>
      </c>
      <c r="L2105" s="288"/>
      <c r="M2105" s="307"/>
      <c r="N2105" s="273"/>
      <c r="O2105" s="276"/>
      <c r="P2105" s="276"/>
      <c r="Q2105" s="276"/>
      <c r="R2105" s="278"/>
      <c r="S2105" s="278"/>
      <c r="T2105" s="278"/>
      <c r="U2105" s="279"/>
      <c r="V2105" s="279" t="s">
        <v>2030</v>
      </c>
      <c r="W2105" s="280">
        <v>44539.0</v>
      </c>
      <c r="X2105" s="281">
        <v>0.20833333333333334</v>
      </c>
      <c r="Y2105" s="279" t="s">
        <v>1693</v>
      </c>
      <c r="Z2105" s="435" t="s">
        <v>53</v>
      </c>
      <c r="AA2105" s="443" t="s">
        <v>6118</v>
      </c>
      <c r="AB2105" s="438">
        <v>44537.0</v>
      </c>
      <c r="AC2105" s="284"/>
      <c r="AD2105" s="284"/>
    </row>
    <row r="2106" ht="14.25" customHeight="1">
      <c r="A2106" s="265">
        <v>44536.0</v>
      </c>
      <c r="B2106" s="266" t="s">
        <v>2030</v>
      </c>
      <c r="C2106" s="266"/>
      <c r="D2106" s="266" t="s">
        <v>1452</v>
      </c>
      <c r="E2106" s="292"/>
      <c r="F2106" s="406" t="s">
        <v>6119</v>
      </c>
      <c r="G2106" s="268" t="s">
        <v>2085</v>
      </c>
      <c r="H2106" s="270">
        <v>0.005127314814814815</v>
      </c>
      <c r="I2106" s="271">
        <v>44536.509722222225</v>
      </c>
      <c r="J2106" s="268"/>
      <c r="K2106" s="271">
        <v>44536.828576388885</v>
      </c>
      <c r="L2106" s="288"/>
      <c r="M2106" s="307"/>
      <c r="N2106" s="273"/>
      <c r="O2106" s="276"/>
      <c r="P2106" s="276"/>
      <c r="Q2106" s="276"/>
      <c r="R2106" s="278"/>
      <c r="S2106" s="278"/>
      <c r="T2106" s="278"/>
      <c r="U2106" s="279"/>
      <c r="V2106" s="279" t="s">
        <v>2030</v>
      </c>
      <c r="W2106" s="280">
        <v>44547.0</v>
      </c>
      <c r="X2106" s="281">
        <v>0.010416666666666666</v>
      </c>
      <c r="Y2106" s="279" t="s">
        <v>1693</v>
      </c>
      <c r="Z2106" s="435" t="s">
        <v>53</v>
      </c>
      <c r="AA2106" s="443" t="s">
        <v>6119</v>
      </c>
      <c r="AB2106" s="438">
        <v>44537.0</v>
      </c>
      <c r="AC2106" s="284"/>
      <c r="AD2106" s="284"/>
    </row>
    <row r="2107" ht="14.25" customHeight="1">
      <c r="A2107" s="265">
        <v>44536.0</v>
      </c>
      <c r="B2107" s="266" t="s">
        <v>1733</v>
      </c>
      <c r="C2107" s="266"/>
      <c r="D2107" s="266" t="s">
        <v>1686</v>
      </c>
      <c r="E2107" s="292"/>
      <c r="F2107" s="406" t="s">
        <v>6120</v>
      </c>
      <c r="G2107" s="268" t="s">
        <v>2085</v>
      </c>
      <c r="H2107" s="270">
        <v>0.03850694444444445</v>
      </c>
      <c r="I2107" s="271">
        <v>44536.90555555555</v>
      </c>
      <c r="J2107" s="268"/>
      <c r="K2107" s="271">
        <v>44536.99586805556</v>
      </c>
      <c r="L2107" s="288"/>
      <c r="M2107" s="278"/>
      <c r="N2107" s="290"/>
      <c r="O2107" s="276"/>
      <c r="P2107" s="276"/>
      <c r="Q2107" s="276"/>
      <c r="R2107" s="278"/>
      <c r="S2107" s="278"/>
      <c r="T2107" s="278"/>
      <c r="U2107" s="279"/>
      <c r="V2107" s="279" t="s">
        <v>1570</v>
      </c>
      <c r="W2107" s="280">
        <v>44539.0</v>
      </c>
      <c r="X2107" s="281">
        <v>0.125</v>
      </c>
      <c r="Y2107" s="279" t="s">
        <v>1693</v>
      </c>
      <c r="Z2107" s="435" t="s">
        <v>53</v>
      </c>
      <c r="AA2107" s="443" t="s">
        <v>6120</v>
      </c>
      <c r="AB2107" s="438">
        <v>44537.0</v>
      </c>
      <c r="AC2107" s="284"/>
      <c r="AD2107" s="284"/>
    </row>
    <row r="2108" ht="14.25" customHeight="1">
      <c r="A2108" s="265">
        <v>44536.0</v>
      </c>
      <c r="B2108" s="266" t="s">
        <v>3677</v>
      </c>
      <c r="C2108" s="266"/>
      <c r="D2108" s="266" t="s">
        <v>1455</v>
      </c>
      <c r="E2108" s="292"/>
      <c r="F2108" s="406" t="s">
        <v>6121</v>
      </c>
      <c r="G2108" s="268" t="s">
        <v>2085</v>
      </c>
      <c r="H2108" s="270">
        <v>0.02070601851851852</v>
      </c>
      <c r="I2108" s="271">
        <v>44536.86388888889</v>
      </c>
      <c r="J2108" s="268"/>
      <c r="K2108" s="271">
        <v>44536.886087962965</v>
      </c>
      <c r="L2108" s="288"/>
      <c r="M2108" s="278"/>
      <c r="N2108" s="290"/>
      <c r="O2108" s="276"/>
      <c r="P2108" s="276"/>
      <c r="Q2108" s="276"/>
      <c r="R2108" s="278"/>
      <c r="S2108" s="278"/>
      <c r="T2108" s="278"/>
      <c r="U2108" s="279"/>
      <c r="V2108" s="279" t="s">
        <v>1570</v>
      </c>
      <c r="W2108" s="280">
        <v>44538.0</v>
      </c>
      <c r="X2108" s="281">
        <v>0.08333333333333333</v>
      </c>
      <c r="Y2108" s="279" t="s">
        <v>1693</v>
      </c>
      <c r="Z2108" s="435" t="s">
        <v>53</v>
      </c>
      <c r="AA2108" s="443" t="s">
        <v>6121</v>
      </c>
      <c r="AB2108" s="438">
        <v>44537.0</v>
      </c>
      <c r="AC2108" s="284"/>
      <c r="AD2108" s="284"/>
    </row>
    <row r="2109" ht="14.25" customHeight="1">
      <c r="A2109" s="265">
        <v>44537.0</v>
      </c>
      <c r="B2109" s="266" t="s">
        <v>2030</v>
      </c>
      <c r="C2109" s="266"/>
      <c r="D2109" s="266" t="s">
        <v>1450</v>
      </c>
      <c r="E2109" s="292"/>
      <c r="F2109" s="406" t="s">
        <v>6122</v>
      </c>
      <c r="G2109" s="268" t="s">
        <v>2085</v>
      </c>
      <c r="H2109" s="270">
        <v>0.0975462962962963</v>
      </c>
      <c r="I2109" s="271">
        <v>44537.49513888889</v>
      </c>
      <c r="J2109" s="268"/>
      <c r="K2109" s="268"/>
      <c r="L2109" s="288"/>
      <c r="M2109" s="307" t="s">
        <v>2808</v>
      </c>
      <c r="N2109" s="273">
        <v>44537.745833333334</v>
      </c>
      <c r="O2109" s="276" t="s">
        <v>6123</v>
      </c>
      <c r="P2109" s="276" t="s">
        <v>1463</v>
      </c>
      <c r="Q2109" s="276" t="s">
        <v>1819</v>
      </c>
      <c r="R2109" s="277">
        <v>44537.807604166665</v>
      </c>
      <c r="S2109" s="278"/>
      <c r="T2109" s="278" t="s">
        <v>6124</v>
      </c>
      <c r="U2109" s="279"/>
      <c r="V2109" s="279" t="s">
        <v>2030</v>
      </c>
      <c r="W2109" s="280">
        <v>44540.0</v>
      </c>
      <c r="X2109" s="281">
        <v>0.20833333333333334</v>
      </c>
      <c r="Y2109" s="279" t="s">
        <v>1693</v>
      </c>
      <c r="Z2109" s="435" t="s">
        <v>53</v>
      </c>
      <c r="AA2109" s="443" t="s">
        <v>6122</v>
      </c>
      <c r="AB2109" s="438">
        <v>44538.0</v>
      </c>
      <c r="AC2109" s="284"/>
      <c r="AD2109" s="284"/>
    </row>
    <row r="2110" ht="14.25" customHeight="1">
      <c r="A2110" s="265">
        <v>44537.0</v>
      </c>
      <c r="B2110" s="266" t="s">
        <v>2030</v>
      </c>
      <c r="C2110" s="266"/>
      <c r="D2110" s="266" t="s">
        <v>1452</v>
      </c>
      <c r="E2110" s="292"/>
      <c r="F2110" s="406" t="s">
        <v>6125</v>
      </c>
      <c r="G2110" s="268" t="s">
        <v>2085</v>
      </c>
      <c r="H2110" s="270">
        <v>0.002673611111111111</v>
      </c>
      <c r="I2110" s="271">
        <v>44537.51111111111</v>
      </c>
      <c r="J2110" s="268"/>
      <c r="K2110" s="271">
        <v>44537.51388888889</v>
      </c>
      <c r="L2110" s="288"/>
      <c r="M2110" s="278"/>
      <c r="N2110" s="290"/>
      <c r="O2110" s="276"/>
      <c r="P2110" s="276"/>
      <c r="Q2110" s="276"/>
      <c r="R2110" s="278"/>
      <c r="S2110" s="278"/>
      <c r="T2110" s="278"/>
      <c r="U2110" s="279"/>
      <c r="V2110" s="279" t="s">
        <v>2030</v>
      </c>
      <c r="W2110" s="280">
        <v>44548.0</v>
      </c>
      <c r="X2110" s="281">
        <v>0.005555555555555556</v>
      </c>
      <c r="Y2110" s="279" t="s">
        <v>1693</v>
      </c>
      <c r="Z2110" s="435" t="s">
        <v>53</v>
      </c>
      <c r="AA2110" s="443" t="s">
        <v>6125</v>
      </c>
      <c r="AB2110" s="438">
        <v>44538.0</v>
      </c>
      <c r="AC2110" s="284"/>
      <c r="AD2110" s="284"/>
    </row>
    <row r="2111" ht="14.25" customHeight="1">
      <c r="A2111" s="265">
        <v>44537.0</v>
      </c>
      <c r="B2111" s="266" t="s">
        <v>5577</v>
      </c>
      <c r="C2111" s="266"/>
      <c r="D2111" s="266" t="s">
        <v>1686</v>
      </c>
      <c r="E2111" s="292"/>
      <c r="F2111" s="406" t="s">
        <v>6126</v>
      </c>
      <c r="G2111" s="268" t="s">
        <v>2085</v>
      </c>
      <c r="H2111" s="270">
        <v>0.03674768518518518</v>
      </c>
      <c r="I2111" s="271">
        <v>44537.63680555556</v>
      </c>
      <c r="J2111" s="268"/>
      <c r="K2111" s="268"/>
      <c r="L2111" s="288"/>
      <c r="M2111" s="307" t="s">
        <v>2808</v>
      </c>
      <c r="N2111" s="273">
        <v>44537.645833333336</v>
      </c>
      <c r="O2111" s="291" t="s">
        <v>6127</v>
      </c>
      <c r="P2111" s="276" t="s">
        <v>1463</v>
      </c>
      <c r="Q2111" s="276" t="s">
        <v>1819</v>
      </c>
      <c r="R2111" s="277">
        <v>44537.67130787037</v>
      </c>
      <c r="S2111" s="278"/>
      <c r="T2111" s="278" t="s">
        <v>6128</v>
      </c>
      <c r="U2111" s="279"/>
      <c r="V2111" s="279" t="s">
        <v>1570</v>
      </c>
      <c r="W2111" s="280">
        <v>44540.0</v>
      </c>
      <c r="X2111" s="281">
        <v>0.125</v>
      </c>
      <c r="Y2111" s="279" t="s">
        <v>1693</v>
      </c>
      <c r="Z2111" s="435" t="s">
        <v>53</v>
      </c>
      <c r="AA2111" s="443" t="s">
        <v>6126</v>
      </c>
      <c r="AB2111" s="438">
        <v>44538.0</v>
      </c>
      <c r="AC2111" s="284"/>
      <c r="AD2111" s="284"/>
    </row>
    <row r="2112" ht="14.25" customHeight="1">
      <c r="A2112" s="265">
        <v>44537.0</v>
      </c>
      <c r="B2112" s="266" t="s">
        <v>3677</v>
      </c>
      <c r="C2112" s="266"/>
      <c r="D2112" s="266" t="s">
        <v>1455</v>
      </c>
      <c r="E2112" s="292"/>
      <c r="F2112" s="406" t="s">
        <v>6129</v>
      </c>
      <c r="G2112" s="268" t="s">
        <v>2085</v>
      </c>
      <c r="H2112" s="270">
        <v>0.02207175925925926</v>
      </c>
      <c r="I2112" s="271">
        <v>44537.89444444444</v>
      </c>
      <c r="J2112" s="268"/>
      <c r="K2112" s="271">
        <v>44537.90886574074</v>
      </c>
      <c r="L2112" s="288"/>
      <c r="M2112" s="278"/>
      <c r="N2112" s="290"/>
      <c r="O2112" s="276"/>
      <c r="P2112" s="276"/>
      <c r="Q2112" s="276"/>
      <c r="R2112" s="278"/>
      <c r="S2112" s="278"/>
      <c r="T2112" s="278"/>
      <c r="U2112" s="279"/>
      <c r="V2112" s="279" t="s">
        <v>1570</v>
      </c>
      <c r="W2112" s="280">
        <v>44539.0</v>
      </c>
      <c r="X2112" s="281">
        <v>0.08333333333333333</v>
      </c>
      <c r="Y2112" s="279" t="s">
        <v>1693</v>
      </c>
      <c r="Z2112" s="435" t="s">
        <v>53</v>
      </c>
      <c r="AA2112" s="443" t="s">
        <v>6129</v>
      </c>
      <c r="AB2112" s="438">
        <v>44538.0</v>
      </c>
      <c r="AC2112" s="284"/>
      <c r="AD2112" s="284"/>
    </row>
    <row r="2113" ht="14.25" customHeight="1">
      <c r="A2113" s="265">
        <v>44538.0</v>
      </c>
      <c r="B2113" s="266" t="s">
        <v>1500</v>
      </c>
      <c r="C2113" s="266" t="s">
        <v>2179</v>
      </c>
      <c r="D2113" s="266" t="s">
        <v>1543</v>
      </c>
      <c r="E2113" s="292"/>
      <c r="F2113" s="363" t="s">
        <v>6130</v>
      </c>
      <c r="G2113" s="268" t="s">
        <v>1463</v>
      </c>
      <c r="H2113" s="270">
        <v>0.0011226851851851851</v>
      </c>
      <c r="I2113" s="271">
        <v>44544.53732638889</v>
      </c>
      <c r="J2113" s="268"/>
      <c r="K2113" s="271">
        <v>44544.88564814815</v>
      </c>
      <c r="L2113" s="288"/>
      <c r="M2113" s="278" t="s">
        <v>6131</v>
      </c>
      <c r="N2113" s="290"/>
      <c r="O2113" s="276"/>
      <c r="P2113" s="276"/>
      <c r="Q2113" s="276"/>
      <c r="R2113" s="278"/>
      <c r="S2113" s="278"/>
      <c r="T2113" s="278"/>
      <c r="U2113" s="279"/>
      <c r="V2113" s="279" t="s">
        <v>1824</v>
      </c>
      <c r="W2113" s="280">
        <v>44547.0</v>
      </c>
      <c r="X2113" s="281">
        <v>0.004861111111111111</v>
      </c>
      <c r="Y2113" s="279" t="s">
        <v>1693</v>
      </c>
      <c r="Z2113" s="435" t="s">
        <v>53</v>
      </c>
      <c r="AA2113" s="443">
        <v>7213940.0</v>
      </c>
      <c r="AB2113" s="438">
        <v>44547.0</v>
      </c>
      <c r="AC2113" s="284"/>
      <c r="AD2113" s="284"/>
    </row>
    <row r="2114" ht="14.25" customHeight="1">
      <c r="A2114" s="265">
        <v>44538.0</v>
      </c>
      <c r="B2114" s="266" t="s">
        <v>1500</v>
      </c>
      <c r="C2114" s="266" t="s">
        <v>1455</v>
      </c>
      <c r="D2114" s="266" t="s">
        <v>1543</v>
      </c>
      <c r="E2114" s="292"/>
      <c r="F2114" s="363" t="s">
        <v>6132</v>
      </c>
      <c r="G2114" s="268" t="s">
        <v>1463</v>
      </c>
      <c r="H2114" s="270">
        <v>0.005381944444444445</v>
      </c>
      <c r="I2114" s="271">
        <v>44547.459027777775</v>
      </c>
      <c r="J2114" s="268"/>
      <c r="K2114" s="271">
        <v>44547.46708333334</v>
      </c>
      <c r="L2114" s="288"/>
      <c r="M2114" s="278" t="s">
        <v>6133</v>
      </c>
      <c r="N2114" s="290"/>
      <c r="O2114" s="276"/>
      <c r="P2114" s="276"/>
      <c r="Q2114" s="276"/>
      <c r="R2114" s="278"/>
      <c r="S2114" s="278"/>
      <c r="T2114" s="278"/>
      <c r="U2114" s="279"/>
      <c r="V2114" s="279" t="s">
        <v>1824</v>
      </c>
      <c r="W2114" s="280">
        <v>44557.0</v>
      </c>
      <c r="X2114" s="281">
        <v>0.012499999999999999</v>
      </c>
      <c r="Y2114" s="279" t="s">
        <v>1693</v>
      </c>
      <c r="Z2114" s="435" t="s">
        <v>1570</v>
      </c>
      <c r="AA2114" s="443">
        <v>7230804.0</v>
      </c>
      <c r="AB2114" s="438">
        <v>44550.0</v>
      </c>
      <c r="AC2114" s="284"/>
      <c r="AD2114" s="284"/>
    </row>
    <row r="2115" ht="14.25" customHeight="1">
      <c r="A2115" s="265">
        <v>44538.0</v>
      </c>
      <c r="B2115" s="266" t="s">
        <v>2030</v>
      </c>
      <c r="C2115" s="266"/>
      <c r="D2115" s="266" t="s">
        <v>1450</v>
      </c>
      <c r="E2115" s="292"/>
      <c r="F2115" s="406" t="s">
        <v>6134</v>
      </c>
      <c r="G2115" s="268" t="s">
        <v>2085</v>
      </c>
      <c r="H2115" s="270">
        <v>0.09780092592592593</v>
      </c>
      <c r="I2115" s="271">
        <v>44538.51666666667</v>
      </c>
      <c r="J2115" s="268"/>
      <c r="K2115" s="271">
        <v>44538.59548611111</v>
      </c>
      <c r="L2115" s="288"/>
      <c r="M2115" s="278"/>
      <c r="N2115" s="290"/>
      <c r="O2115" s="276"/>
      <c r="P2115" s="276"/>
      <c r="Q2115" s="276"/>
      <c r="R2115" s="278"/>
      <c r="S2115" s="278"/>
      <c r="T2115" s="278"/>
      <c r="U2115" s="279"/>
      <c r="V2115" s="279" t="s">
        <v>2030</v>
      </c>
      <c r="W2115" s="280" t="s">
        <v>6135</v>
      </c>
      <c r="X2115" s="281">
        <v>0.20833333333333334</v>
      </c>
      <c r="Y2115" s="279" t="s">
        <v>1693</v>
      </c>
      <c r="Z2115" s="435" t="s">
        <v>53</v>
      </c>
      <c r="AA2115" s="443" t="s">
        <v>6134</v>
      </c>
      <c r="AB2115" s="438">
        <v>44539.0</v>
      </c>
      <c r="AC2115" s="284"/>
      <c r="AD2115" s="284"/>
    </row>
    <row r="2116" ht="14.25" customHeight="1">
      <c r="A2116" s="265">
        <v>44538.0</v>
      </c>
      <c r="B2116" s="266" t="s">
        <v>2030</v>
      </c>
      <c r="C2116" s="266"/>
      <c r="D2116" s="266" t="s">
        <v>1452</v>
      </c>
      <c r="E2116" s="292"/>
      <c r="F2116" s="406" t="s">
        <v>6136</v>
      </c>
      <c r="G2116" s="268" t="s">
        <v>2085</v>
      </c>
      <c r="H2116" s="270">
        <v>0.0053125</v>
      </c>
      <c r="I2116" s="271">
        <v>44538.527083333334</v>
      </c>
      <c r="J2116" s="268"/>
      <c r="K2116" s="271">
        <v>44538.542766203704</v>
      </c>
      <c r="L2116" s="288"/>
      <c r="M2116" s="278"/>
      <c r="N2116" s="290"/>
      <c r="O2116" s="276"/>
      <c r="P2116" s="276"/>
      <c r="Q2116" s="276"/>
      <c r="R2116" s="278"/>
      <c r="S2116" s="278"/>
      <c r="T2116" s="278"/>
      <c r="U2116" s="279"/>
      <c r="V2116" s="279" t="s">
        <v>2030</v>
      </c>
      <c r="W2116" s="280">
        <v>44548.0</v>
      </c>
      <c r="X2116" s="281">
        <v>0.010416666666666666</v>
      </c>
      <c r="Y2116" s="279" t="s">
        <v>1693</v>
      </c>
      <c r="Z2116" s="435" t="s">
        <v>53</v>
      </c>
      <c r="AA2116" s="443" t="s">
        <v>6136</v>
      </c>
      <c r="AB2116" s="438">
        <v>44539.0</v>
      </c>
      <c r="AC2116" s="284"/>
      <c r="AD2116" s="284"/>
    </row>
    <row r="2117" ht="14.25" customHeight="1">
      <c r="A2117" s="265">
        <v>44538.0</v>
      </c>
      <c r="B2117" s="266" t="s">
        <v>1570</v>
      </c>
      <c r="C2117" s="266"/>
      <c r="D2117" s="266" t="s">
        <v>1686</v>
      </c>
      <c r="E2117" s="292"/>
      <c r="F2117" s="406" t="s">
        <v>6137</v>
      </c>
      <c r="G2117" s="268" t="s">
        <v>2085</v>
      </c>
      <c r="H2117" s="270">
        <v>0.03841435185185185</v>
      </c>
      <c r="I2117" s="271">
        <v>44538.71041666667</v>
      </c>
      <c r="J2117" s="268"/>
      <c r="K2117" s="271">
        <v>44538.73824074074</v>
      </c>
      <c r="L2117" s="288"/>
      <c r="M2117" s="278"/>
      <c r="N2117" s="290"/>
      <c r="O2117" s="276"/>
      <c r="P2117" s="276"/>
      <c r="Q2117" s="276"/>
      <c r="R2117" s="278"/>
      <c r="S2117" s="278"/>
      <c r="T2117" s="278"/>
      <c r="U2117" s="279"/>
      <c r="V2117" s="279" t="s">
        <v>1570</v>
      </c>
      <c r="W2117" s="280">
        <v>44544.0</v>
      </c>
      <c r="X2117" s="281">
        <v>0.125</v>
      </c>
      <c r="Y2117" s="279" t="s">
        <v>1693</v>
      </c>
      <c r="Z2117" s="435" t="s">
        <v>53</v>
      </c>
      <c r="AA2117" s="443" t="s">
        <v>6137</v>
      </c>
      <c r="AB2117" s="438">
        <v>44539.0</v>
      </c>
      <c r="AC2117" s="284"/>
      <c r="AD2117" s="284"/>
    </row>
    <row r="2118" ht="14.25" customHeight="1">
      <c r="A2118" s="265">
        <v>44538.0</v>
      </c>
      <c r="B2118" s="266" t="s">
        <v>3677</v>
      </c>
      <c r="C2118" s="266"/>
      <c r="D2118" s="266" t="s">
        <v>1455</v>
      </c>
      <c r="E2118" s="292"/>
      <c r="F2118" s="406" t="s">
        <v>6138</v>
      </c>
      <c r="G2118" s="268" t="s">
        <v>2085</v>
      </c>
      <c r="H2118" s="270">
        <v>0.020995370370370373</v>
      </c>
      <c r="I2118" s="271">
        <v>44538.91111111111</v>
      </c>
      <c r="J2118" s="268"/>
      <c r="K2118" s="271">
        <v>44538.92574074074</v>
      </c>
      <c r="L2118" s="288"/>
      <c r="M2118" s="278"/>
      <c r="N2118" s="290"/>
      <c r="O2118" s="276"/>
      <c r="P2118" s="276"/>
      <c r="Q2118" s="276"/>
      <c r="R2118" s="278"/>
      <c r="S2118" s="278"/>
      <c r="T2118" s="278"/>
      <c r="U2118" s="279"/>
      <c r="V2118" s="279" t="s">
        <v>1570</v>
      </c>
      <c r="W2118" s="280">
        <v>44539.0</v>
      </c>
      <c r="X2118" s="281">
        <v>0.08333333333333333</v>
      </c>
      <c r="Y2118" s="279" t="s">
        <v>1693</v>
      </c>
      <c r="Z2118" s="435" t="s">
        <v>53</v>
      </c>
      <c r="AA2118" s="443" t="s">
        <v>6138</v>
      </c>
      <c r="AB2118" s="438">
        <v>44539.0</v>
      </c>
      <c r="AC2118" s="284"/>
      <c r="AD2118" s="284"/>
    </row>
    <row r="2119" ht="14.25" customHeight="1">
      <c r="A2119" s="265">
        <v>44539.0</v>
      </c>
      <c r="B2119" s="266" t="s">
        <v>1500</v>
      </c>
      <c r="C2119" s="266" t="s">
        <v>1450</v>
      </c>
      <c r="D2119" s="266" t="s">
        <v>1543</v>
      </c>
      <c r="E2119" s="292"/>
      <c r="F2119" s="363" t="s">
        <v>6139</v>
      </c>
      <c r="G2119" s="268" t="s">
        <v>1463</v>
      </c>
      <c r="H2119" s="270">
        <v>0.0014930555555555556</v>
      </c>
      <c r="I2119" s="271">
        <v>44545.49652777778</v>
      </c>
      <c r="J2119" s="268"/>
      <c r="K2119" s="271"/>
      <c r="L2119" s="288"/>
      <c r="M2119" s="307" t="s">
        <v>3482</v>
      </c>
      <c r="N2119" s="273">
        <v>44550.95208333333</v>
      </c>
      <c r="O2119" s="276" t="s">
        <v>6139</v>
      </c>
      <c r="P2119" s="276" t="s">
        <v>1463</v>
      </c>
      <c r="Q2119" s="276" t="s">
        <v>1819</v>
      </c>
      <c r="R2119" s="277">
        <v>44550.95586805556</v>
      </c>
      <c r="S2119" s="278"/>
      <c r="T2119" s="278" t="s">
        <v>6140</v>
      </c>
      <c r="U2119" s="279"/>
      <c r="V2119" s="279" t="s">
        <v>1824</v>
      </c>
      <c r="W2119" s="280">
        <v>44557.0</v>
      </c>
      <c r="X2119" s="281">
        <v>0.004861111111111111</v>
      </c>
      <c r="Y2119" s="279" t="s">
        <v>1693</v>
      </c>
      <c r="Z2119" s="435" t="s">
        <v>53</v>
      </c>
      <c r="AA2119" s="443">
        <v>7232095.0</v>
      </c>
      <c r="AB2119" s="438">
        <v>44551.0</v>
      </c>
      <c r="AC2119" s="284"/>
      <c r="AD2119" s="284"/>
    </row>
    <row r="2120" ht="14.25" customHeight="1">
      <c r="A2120" s="265">
        <v>44539.0</v>
      </c>
      <c r="B2120" s="266" t="s">
        <v>2030</v>
      </c>
      <c r="C2120" s="266"/>
      <c r="D2120" s="266" t="s">
        <v>1450</v>
      </c>
      <c r="E2120" s="292"/>
      <c r="F2120" s="406" t="s">
        <v>6141</v>
      </c>
      <c r="G2120" s="268" t="s">
        <v>2085</v>
      </c>
      <c r="H2120" s="270">
        <v>0.09805555555555556</v>
      </c>
      <c r="I2120" s="271">
        <v>44539.50277777778</v>
      </c>
      <c r="J2120" s="268"/>
      <c r="K2120" s="271">
        <v>44539.57944444445</v>
      </c>
      <c r="L2120" s="288"/>
      <c r="M2120" s="278"/>
      <c r="N2120" s="290"/>
      <c r="O2120" s="276"/>
      <c r="P2120" s="276"/>
      <c r="Q2120" s="276"/>
      <c r="R2120" s="278"/>
      <c r="S2120" s="278"/>
      <c r="T2120" s="278"/>
      <c r="U2120" s="279"/>
      <c r="V2120" s="279" t="s">
        <v>1746</v>
      </c>
      <c r="W2120" s="280" t="s">
        <v>6142</v>
      </c>
      <c r="X2120" s="281">
        <v>0.005555555555555556</v>
      </c>
      <c r="Y2120" s="279" t="s">
        <v>1693</v>
      </c>
      <c r="Z2120" s="435" t="s">
        <v>53</v>
      </c>
      <c r="AA2120" s="443" t="s">
        <v>6141</v>
      </c>
      <c r="AB2120" s="438">
        <v>44540.0</v>
      </c>
      <c r="AC2120" s="284"/>
      <c r="AD2120" s="284"/>
    </row>
    <row r="2121" ht="14.25" customHeight="1">
      <c r="A2121" s="265">
        <v>44539.0</v>
      </c>
      <c r="B2121" s="266" t="s">
        <v>2030</v>
      </c>
      <c r="C2121" s="266"/>
      <c r="D2121" s="266" t="s">
        <v>1452</v>
      </c>
      <c r="E2121" s="292"/>
      <c r="F2121" s="406" t="s">
        <v>6143</v>
      </c>
      <c r="G2121" s="268" t="s">
        <v>2085</v>
      </c>
      <c r="H2121" s="270">
        <v>7.638888888888889E-4</v>
      </c>
      <c r="I2121" s="271">
        <v>44539.509722222225</v>
      </c>
      <c r="J2121" s="268"/>
      <c r="K2121" s="271">
        <v>44539.51541666667</v>
      </c>
      <c r="L2121" s="288"/>
      <c r="M2121" s="278"/>
      <c r="N2121" s="290"/>
      <c r="O2121" s="276"/>
      <c r="P2121" s="276"/>
      <c r="Q2121" s="276"/>
      <c r="R2121" s="278"/>
      <c r="S2121" s="278"/>
      <c r="T2121" s="278"/>
      <c r="U2121" s="279"/>
      <c r="V2121" s="279" t="s">
        <v>2030</v>
      </c>
      <c r="W2121" s="280">
        <v>44548.0</v>
      </c>
      <c r="X2121" s="281">
        <v>0.004861111111111111</v>
      </c>
      <c r="Y2121" s="279" t="s">
        <v>1693</v>
      </c>
      <c r="Z2121" s="435" t="s">
        <v>53</v>
      </c>
      <c r="AA2121" s="443" t="s">
        <v>6143</v>
      </c>
      <c r="AB2121" s="438">
        <v>44540.0</v>
      </c>
      <c r="AC2121" s="284"/>
      <c r="AD2121" s="284"/>
    </row>
    <row r="2122" ht="14.25" customHeight="1">
      <c r="A2122" s="265">
        <v>44539.0</v>
      </c>
      <c r="B2122" s="266" t="s">
        <v>1570</v>
      </c>
      <c r="C2122" s="266"/>
      <c r="D2122" s="266" t="s">
        <v>1686</v>
      </c>
      <c r="E2122" s="292"/>
      <c r="F2122" s="406" t="s">
        <v>6144</v>
      </c>
      <c r="G2122" s="268" t="s">
        <v>2085</v>
      </c>
      <c r="H2122" s="270">
        <v>0.036944444444444446</v>
      </c>
      <c r="I2122" s="271">
        <v>44539.62430555555</v>
      </c>
      <c r="J2122" s="268"/>
      <c r="K2122" s="271">
        <v>44539.66001157407</v>
      </c>
      <c r="L2122" s="288"/>
      <c r="M2122" s="278"/>
      <c r="N2122" s="290"/>
      <c r="O2122" s="276"/>
      <c r="P2122" s="276"/>
      <c r="Q2122" s="276"/>
      <c r="R2122" s="278"/>
      <c r="S2122" s="278"/>
      <c r="T2122" s="278"/>
      <c r="U2122" s="279"/>
      <c r="V2122" s="308" t="s">
        <v>1570</v>
      </c>
      <c r="W2122" s="280">
        <v>44544.0</v>
      </c>
      <c r="X2122" s="281">
        <v>0.125</v>
      </c>
      <c r="Y2122" s="279" t="s">
        <v>1693</v>
      </c>
      <c r="Z2122" s="435" t="s">
        <v>53</v>
      </c>
      <c r="AA2122" s="443" t="s">
        <v>6144</v>
      </c>
      <c r="AB2122" s="438">
        <v>44540.0</v>
      </c>
      <c r="AC2122" s="284"/>
      <c r="AD2122" s="284"/>
    </row>
    <row r="2123" ht="14.25" customHeight="1">
      <c r="A2123" s="265">
        <v>44539.0</v>
      </c>
      <c r="B2123" s="266" t="s">
        <v>3677</v>
      </c>
      <c r="C2123" s="266"/>
      <c r="D2123" s="266" t="s">
        <v>1455</v>
      </c>
      <c r="E2123" s="292"/>
      <c r="F2123" s="406" t="s">
        <v>6145</v>
      </c>
      <c r="G2123" s="268" t="s">
        <v>2085</v>
      </c>
      <c r="H2123" s="270">
        <v>0.01806712962962963</v>
      </c>
      <c r="I2123" s="271">
        <v>44539.86944444444</v>
      </c>
      <c r="J2123" s="268"/>
      <c r="K2123" s="271">
        <v>44539.88295138889</v>
      </c>
      <c r="L2123" s="288"/>
      <c r="M2123" s="278"/>
      <c r="N2123" s="290"/>
      <c r="O2123" s="276"/>
      <c r="P2123" s="276"/>
      <c r="Q2123" s="276"/>
      <c r="R2123" s="278"/>
      <c r="S2123" s="278"/>
      <c r="T2123" s="278"/>
      <c r="U2123" s="279"/>
      <c r="V2123" s="279" t="s">
        <v>1570</v>
      </c>
      <c r="W2123" s="280">
        <v>44540.0</v>
      </c>
      <c r="X2123" s="281">
        <v>0.08333333333333333</v>
      </c>
      <c r="Y2123" s="279" t="s">
        <v>1693</v>
      </c>
      <c r="Z2123" s="435" t="s">
        <v>53</v>
      </c>
      <c r="AA2123" s="443" t="s">
        <v>6145</v>
      </c>
      <c r="AB2123" s="438">
        <v>44540.0</v>
      </c>
      <c r="AC2123" s="284"/>
      <c r="AD2123" s="284"/>
    </row>
    <row r="2124" ht="14.25" customHeight="1">
      <c r="A2124" s="265">
        <v>44540.0</v>
      </c>
      <c r="B2124" s="266" t="s">
        <v>1500</v>
      </c>
      <c r="C2124" s="266" t="s">
        <v>1696</v>
      </c>
      <c r="D2124" s="266" t="s">
        <v>1543</v>
      </c>
      <c r="E2124" s="292"/>
      <c r="F2124" s="363" t="s">
        <v>6146</v>
      </c>
      <c r="G2124" s="268" t="s">
        <v>1463</v>
      </c>
      <c r="H2124" s="270">
        <v>0.002199074074074074</v>
      </c>
      <c r="I2124" s="271">
        <v>44544.53923611111</v>
      </c>
      <c r="J2124" s="268"/>
      <c r="K2124" s="271">
        <v>44544.887777777774</v>
      </c>
      <c r="L2124" s="288"/>
      <c r="M2124" s="278" t="s">
        <v>6147</v>
      </c>
      <c r="N2124" s="290"/>
      <c r="O2124" s="276"/>
      <c r="P2124" s="276"/>
      <c r="Q2124" s="276"/>
      <c r="R2124" s="278"/>
      <c r="S2124" s="278"/>
      <c r="T2124" s="278"/>
      <c r="U2124" s="279"/>
      <c r="V2124" s="279" t="s">
        <v>1824</v>
      </c>
      <c r="W2124" s="280">
        <v>44547.0</v>
      </c>
      <c r="X2124" s="281">
        <v>0.004166666666666667</v>
      </c>
      <c r="Y2124" s="279" t="s">
        <v>1693</v>
      </c>
      <c r="Z2124" s="435" t="s">
        <v>53</v>
      </c>
      <c r="AA2124" s="443">
        <v>7213941.0</v>
      </c>
      <c r="AB2124" s="438">
        <v>44547.0</v>
      </c>
      <c r="AC2124" s="284"/>
      <c r="AD2124" s="284"/>
    </row>
    <row r="2125" ht="14.25" customHeight="1">
      <c r="A2125" s="265">
        <v>44540.0</v>
      </c>
      <c r="B2125" s="266" t="s">
        <v>2030</v>
      </c>
      <c r="C2125" s="266" t="s">
        <v>1450</v>
      </c>
      <c r="D2125" s="266" t="s">
        <v>357</v>
      </c>
      <c r="E2125" s="292"/>
      <c r="F2125" s="393" t="s">
        <v>6148</v>
      </c>
      <c r="G2125" s="268" t="s">
        <v>4162</v>
      </c>
      <c r="H2125" s="270"/>
      <c r="I2125" s="271"/>
      <c r="J2125" s="268"/>
      <c r="K2125" s="271"/>
      <c r="L2125" s="288"/>
      <c r="M2125" s="278"/>
      <c r="N2125" s="290"/>
      <c r="O2125" s="276"/>
      <c r="P2125" s="276"/>
      <c r="Q2125" s="276"/>
      <c r="R2125" s="278"/>
      <c r="S2125" s="278"/>
      <c r="T2125" s="278"/>
      <c r="U2125" s="279"/>
      <c r="V2125" s="279" t="s">
        <v>28</v>
      </c>
      <c r="W2125" s="280" t="s">
        <v>28</v>
      </c>
      <c r="X2125" s="281" t="s">
        <v>28</v>
      </c>
      <c r="Y2125" s="279" t="s">
        <v>28</v>
      </c>
      <c r="Z2125" s="435" t="s">
        <v>28</v>
      </c>
      <c r="AA2125" s="443" t="s">
        <v>28</v>
      </c>
      <c r="AB2125" s="438" t="s">
        <v>28</v>
      </c>
      <c r="AC2125" s="284"/>
      <c r="AD2125" s="284"/>
    </row>
    <row r="2126" ht="14.25" customHeight="1">
      <c r="A2126" s="265">
        <v>44540.0</v>
      </c>
      <c r="B2126" s="266" t="s">
        <v>2030</v>
      </c>
      <c r="C2126" s="266"/>
      <c r="D2126" s="266" t="s">
        <v>1450</v>
      </c>
      <c r="E2126" s="292"/>
      <c r="F2126" s="406" t="s">
        <v>6149</v>
      </c>
      <c r="G2126" s="268" t="s">
        <v>2085</v>
      </c>
      <c r="H2126" s="270">
        <v>0.09693287037037036</v>
      </c>
      <c r="I2126" s="271">
        <v>44540.46875</v>
      </c>
      <c r="J2126" s="268"/>
      <c r="K2126" s="271">
        <v>44540.54751157408</v>
      </c>
      <c r="L2126" s="288"/>
      <c r="M2126" s="278"/>
      <c r="N2126" s="290"/>
      <c r="O2126" s="276"/>
      <c r="P2126" s="276"/>
      <c r="Q2126" s="276"/>
      <c r="R2126" s="278"/>
      <c r="S2126" s="278"/>
      <c r="T2126" s="278"/>
      <c r="U2126" s="279"/>
      <c r="V2126" s="279" t="s">
        <v>2030</v>
      </c>
      <c r="W2126" s="280" t="s">
        <v>6150</v>
      </c>
      <c r="X2126" s="281">
        <v>0.20833333333333334</v>
      </c>
      <c r="Y2126" s="279" t="s">
        <v>1693</v>
      </c>
      <c r="Z2126" s="435" t="s">
        <v>53</v>
      </c>
      <c r="AA2126" s="443" t="s">
        <v>6149</v>
      </c>
      <c r="AB2126" s="438">
        <v>44543.0</v>
      </c>
      <c r="AC2126" s="284"/>
      <c r="AD2126" s="284"/>
    </row>
    <row r="2127" ht="14.25" customHeight="1">
      <c r="A2127" s="265">
        <v>44540.0</v>
      </c>
      <c r="B2127" s="266" t="s">
        <v>2030</v>
      </c>
      <c r="C2127" s="266"/>
      <c r="D2127" s="266" t="s">
        <v>1452</v>
      </c>
      <c r="E2127" s="292"/>
      <c r="F2127" s="406" t="s">
        <v>6151</v>
      </c>
      <c r="G2127" s="268" t="s">
        <v>2085</v>
      </c>
      <c r="H2127" s="270">
        <v>0.0012847222222222223</v>
      </c>
      <c r="I2127" s="271">
        <v>44540.495833333334</v>
      </c>
      <c r="J2127" s="268"/>
      <c r="K2127" s="271">
        <v>44540.81125</v>
      </c>
      <c r="L2127" s="288"/>
      <c r="M2127" s="278"/>
      <c r="N2127" s="290"/>
      <c r="O2127" s="276"/>
      <c r="P2127" s="276"/>
      <c r="Q2127" s="276"/>
      <c r="R2127" s="278"/>
      <c r="S2127" s="278"/>
      <c r="T2127" s="278"/>
      <c r="U2127" s="279"/>
      <c r="V2127" s="279" t="s">
        <v>2030</v>
      </c>
      <c r="W2127" s="280">
        <v>44548.0</v>
      </c>
      <c r="X2127" s="281">
        <v>0.005555555555555556</v>
      </c>
      <c r="Y2127" s="279" t="s">
        <v>1693</v>
      </c>
      <c r="Z2127" s="435" t="s">
        <v>53</v>
      </c>
      <c r="AA2127" s="443" t="s">
        <v>6151</v>
      </c>
      <c r="AB2127" s="438">
        <v>44543.0</v>
      </c>
      <c r="AC2127" s="284"/>
      <c r="AD2127" s="284"/>
    </row>
    <row r="2128" ht="14.25" customHeight="1">
      <c r="A2128" s="265">
        <v>44540.0</v>
      </c>
      <c r="B2128" s="266" t="s">
        <v>1570</v>
      </c>
      <c r="C2128" s="266"/>
      <c r="D2128" s="266" t="s">
        <v>1686</v>
      </c>
      <c r="E2128" s="292"/>
      <c r="F2128" s="406" t="s">
        <v>6152</v>
      </c>
      <c r="G2128" s="268" t="s">
        <v>2085</v>
      </c>
      <c r="H2128" s="270">
        <v>0.03615740740740741</v>
      </c>
      <c r="I2128" s="271">
        <v>44540.697222222225</v>
      </c>
      <c r="J2128" s="268"/>
      <c r="K2128" s="271">
        <v>44540.72487268518</v>
      </c>
      <c r="L2128" s="288"/>
      <c r="M2128" s="278"/>
      <c r="N2128" s="290"/>
      <c r="O2128" s="276"/>
      <c r="P2128" s="276"/>
      <c r="Q2128" s="276"/>
      <c r="R2128" s="278"/>
      <c r="S2128" s="278"/>
      <c r="T2128" s="278"/>
      <c r="U2128" s="279"/>
      <c r="V2128" s="279" t="s">
        <v>1824</v>
      </c>
      <c r="W2128" s="280">
        <v>44544.0</v>
      </c>
      <c r="X2128" s="281">
        <v>0.125</v>
      </c>
      <c r="Y2128" s="279" t="s">
        <v>1693</v>
      </c>
      <c r="Z2128" s="435" t="s">
        <v>53</v>
      </c>
      <c r="AA2128" s="443" t="s">
        <v>6152</v>
      </c>
      <c r="AB2128" s="438">
        <v>44543.0</v>
      </c>
      <c r="AC2128" s="284"/>
      <c r="AD2128" s="284"/>
    </row>
    <row r="2129" ht="14.25" customHeight="1">
      <c r="A2129" s="265">
        <v>44540.0</v>
      </c>
      <c r="B2129" s="266" t="s">
        <v>6153</v>
      </c>
      <c r="C2129" s="266"/>
      <c r="D2129" s="266" t="s">
        <v>1455</v>
      </c>
      <c r="E2129" s="292"/>
      <c r="F2129" s="406" t="s">
        <v>6154</v>
      </c>
      <c r="G2129" s="268" t="s">
        <v>2085</v>
      </c>
      <c r="H2129" s="270">
        <v>0.02013888888888889</v>
      </c>
      <c r="I2129" s="271">
        <v>44540.89513888889</v>
      </c>
      <c r="J2129" s="268"/>
      <c r="K2129" s="271">
        <v>44540.91056712963</v>
      </c>
      <c r="L2129" s="288"/>
      <c r="M2129" s="278"/>
      <c r="N2129" s="290"/>
      <c r="O2129" s="276"/>
      <c r="P2129" s="276"/>
      <c r="Q2129" s="276"/>
      <c r="R2129" s="278"/>
      <c r="S2129" s="278"/>
      <c r="T2129" s="278"/>
      <c r="U2129" s="279"/>
      <c r="V2129" s="279" t="s">
        <v>1570</v>
      </c>
      <c r="W2129" s="280">
        <v>44543.0</v>
      </c>
      <c r="X2129" s="281">
        <v>0.08333333333333333</v>
      </c>
      <c r="Y2129" s="279" t="s">
        <v>1693</v>
      </c>
      <c r="Z2129" s="435" t="s">
        <v>53</v>
      </c>
      <c r="AA2129" s="443" t="s">
        <v>6154</v>
      </c>
      <c r="AB2129" s="438">
        <v>44543.0</v>
      </c>
      <c r="AC2129" s="284"/>
      <c r="AD2129" s="284"/>
    </row>
    <row r="2130" ht="14.25" customHeight="1">
      <c r="A2130" s="265">
        <v>44541.0</v>
      </c>
      <c r="B2130" s="266" t="s">
        <v>1500</v>
      </c>
      <c r="C2130" s="266"/>
      <c r="D2130" s="266" t="s">
        <v>5999</v>
      </c>
      <c r="E2130" s="292"/>
      <c r="F2130" s="363" t="s">
        <v>6155</v>
      </c>
      <c r="G2130" s="268" t="s">
        <v>1661</v>
      </c>
      <c r="H2130" s="270">
        <v>0.02925925925925926</v>
      </c>
      <c r="I2130" s="271">
        <v>44557.48880787037</v>
      </c>
      <c r="J2130" s="268"/>
      <c r="K2130" s="271">
        <v>44557.49862268518</v>
      </c>
      <c r="L2130" s="288"/>
      <c r="M2130" s="278" t="s">
        <v>6156</v>
      </c>
      <c r="N2130" s="290"/>
      <c r="O2130" s="276"/>
      <c r="P2130" s="276"/>
      <c r="Q2130" s="276"/>
      <c r="R2130" s="278"/>
      <c r="S2130" s="278"/>
      <c r="T2130" s="278"/>
      <c r="U2130" s="279"/>
      <c r="V2130" s="279" t="s">
        <v>1746</v>
      </c>
      <c r="W2130" s="280">
        <v>44557.0</v>
      </c>
      <c r="X2130" s="281"/>
      <c r="Y2130" s="279"/>
      <c r="Z2130" s="435" t="s">
        <v>53</v>
      </c>
      <c r="AA2130" s="443">
        <v>7259350.0</v>
      </c>
      <c r="AB2130" s="438">
        <v>44559.0</v>
      </c>
      <c r="AC2130" s="284"/>
      <c r="AD2130" s="284"/>
    </row>
    <row r="2131" ht="14.25" customHeight="1">
      <c r="A2131" s="265">
        <v>44541.0</v>
      </c>
      <c r="B2131" s="266" t="s">
        <v>1570</v>
      </c>
      <c r="C2131" s="266"/>
      <c r="D2131" s="266" t="s">
        <v>1686</v>
      </c>
      <c r="E2131" s="292"/>
      <c r="F2131" s="406" t="s">
        <v>6157</v>
      </c>
      <c r="G2131" s="268" t="s">
        <v>2085</v>
      </c>
      <c r="H2131" s="270">
        <v>0.037986111111111116</v>
      </c>
      <c r="I2131" s="271">
        <v>44541.59375</v>
      </c>
      <c r="J2131" s="268"/>
      <c r="K2131" s="268"/>
      <c r="L2131" s="288"/>
      <c r="M2131" s="278"/>
      <c r="N2131" s="290"/>
      <c r="O2131" s="276"/>
      <c r="P2131" s="276"/>
      <c r="Q2131" s="276"/>
      <c r="R2131" s="278"/>
      <c r="S2131" s="278"/>
      <c r="T2131" s="278"/>
      <c r="U2131" s="279"/>
      <c r="V2131" s="279" t="s">
        <v>1824</v>
      </c>
      <c r="W2131" s="280">
        <v>44545.0</v>
      </c>
      <c r="X2131" s="281">
        <v>0.09027777777777778</v>
      </c>
      <c r="Y2131" s="279" t="s">
        <v>1693</v>
      </c>
      <c r="Z2131" s="435" t="s">
        <v>53</v>
      </c>
      <c r="AA2131" s="443" t="s">
        <v>6157</v>
      </c>
      <c r="AB2131" s="438">
        <v>44543.0</v>
      </c>
      <c r="AC2131" s="284"/>
      <c r="AD2131" s="284"/>
    </row>
    <row r="2132" ht="14.25" customHeight="1">
      <c r="A2132" s="265">
        <v>44541.0</v>
      </c>
      <c r="B2132" s="266" t="s">
        <v>1746</v>
      </c>
      <c r="C2132" s="266"/>
      <c r="D2132" s="266" t="s">
        <v>1455</v>
      </c>
      <c r="E2132" s="292"/>
      <c r="F2132" s="406" t="s">
        <v>6158</v>
      </c>
      <c r="G2132" s="268" t="s">
        <v>2085</v>
      </c>
      <c r="H2132" s="270">
        <v>0.018391203703703705</v>
      </c>
      <c r="I2132" s="271">
        <v>44542.84444444445</v>
      </c>
      <c r="J2132" s="268"/>
      <c r="K2132" s="271">
        <v>44542.99097222222</v>
      </c>
      <c r="L2132" s="288"/>
      <c r="M2132" s="278"/>
      <c r="N2132" s="290"/>
      <c r="O2132" s="276"/>
      <c r="P2132" s="276"/>
      <c r="Q2132" s="276"/>
      <c r="R2132" s="278"/>
      <c r="S2132" s="278"/>
      <c r="T2132" s="278"/>
      <c r="U2132" s="279"/>
      <c r="V2132" s="279" t="s">
        <v>1570</v>
      </c>
      <c r="W2132" s="280">
        <v>44543.0</v>
      </c>
      <c r="X2132" s="281">
        <v>0.08333333333333333</v>
      </c>
      <c r="Y2132" s="279" t="s">
        <v>1693</v>
      </c>
      <c r="Z2132" s="435" t="s">
        <v>53</v>
      </c>
      <c r="AA2132" s="443" t="s">
        <v>6158</v>
      </c>
      <c r="AB2132" s="438">
        <v>44543.0</v>
      </c>
      <c r="AC2132" s="284"/>
      <c r="AD2132" s="284"/>
    </row>
    <row r="2133" ht="14.25" customHeight="1">
      <c r="A2133" s="265">
        <v>44541.0</v>
      </c>
      <c r="B2133" s="266" t="s">
        <v>1500</v>
      </c>
      <c r="C2133" s="266" t="s">
        <v>2179</v>
      </c>
      <c r="D2133" s="266" t="s">
        <v>1543</v>
      </c>
      <c r="E2133" s="292"/>
      <c r="F2133" s="269" t="s">
        <v>6159</v>
      </c>
      <c r="G2133" s="268" t="s">
        <v>1463</v>
      </c>
      <c r="H2133" s="270">
        <v>0.0022106481481481478</v>
      </c>
      <c r="I2133" s="271">
        <v>44565.68431712963</v>
      </c>
      <c r="J2133" s="268"/>
      <c r="K2133" s="271">
        <v>44565.68543981481</v>
      </c>
      <c r="L2133" s="292"/>
      <c r="M2133" s="278" t="s">
        <v>6160</v>
      </c>
      <c r="N2133" s="290"/>
      <c r="O2133" s="276"/>
      <c r="P2133" s="276"/>
      <c r="Q2133" s="276"/>
      <c r="R2133" s="278"/>
      <c r="S2133" s="278"/>
      <c r="T2133" s="278"/>
      <c r="U2133" s="279"/>
      <c r="V2133" s="279" t="s">
        <v>1824</v>
      </c>
      <c r="W2133" s="280">
        <v>44568.0</v>
      </c>
      <c r="X2133" s="281">
        <v>0.004861111111111111</v>
      </c>
      <c r="Y2133" s="279" t="s">
        <v>1693</v>
      </c>
      <c r="Z2133" s="282" t="s">
        <v>53</v>
      </c>
      <c r="AA2133" s="282">
        <v>7290971.0</v>
      </c>
      <c r="AB2133" s="283">
        <v>44566.0</v>
      </c>
      <c r="AC2133" s="447"/>
      <c r="AD2133" s="284"/>
    </row>
    <row r="2134" ht="14.25" customHeight="1">
      <c r="A2134" s="265">
        <v>44542.0</v>
      </c>
      <c r="B2134" s="266" t="s">
        <v>1733</v>
      </c>
      <c r="C2134" s="266"/>
      <c r="D2134" s="266" t="s">
        <v>3509</v>
      </c>
      <c r="E2134" s="292"/>
      <c r="F2134" s="358">
        <v>7160069.0</v>
      </c>
      <c r="G2134" s="268" t="s">
        <v>3839</v>
      </c>
      <c r="H2134" s="270">
        <v>0.06086805555555556</v>
      </c>
      <c r="I2134" s="271">
        <v>44543.48263888889</v>
      </c>
      <c r="J2134" s="268"/>
      <c r="K2134" s="271">
        <v>44543.57013888889</v>
      </c>
      <c r="L2134" s="288"/>
      <c r="M2134" s="278" t="s">
        <v>6161</v>
      </c>
      <c r="N2134" s="290"/>
      <c r="O2134" s="276"/>
      <c r="P2134" s="276"/>
      <c r="Q2134" s="276"/>
      <c r="R2134" s="278"/>
      <c r="S2134" s="278"/>
      <c r="T2134" s="278"/>
      <c r="U2134" s="279" t="s">
        <v>28</v>
      </c>
      <c r="V2134" s="279" t="s">
        <v>28</v>
      </c>
      <c r="W2134" s="279" t="s">
        <v>28</v>
      </c>
      <c r="X2134" s="279" t="s">
        <v>28</v>
      </c>
      <c r="Y2134" s="279" t="s">
        <v>28</v>
      </c>
      <c r="Z2134" s="282" t="s">
        <v>5784</v>
      </c>
      <c r="AA2134" s="442">
        <v>7160069.0</v>
      </c>
      <c r="AB2134" s="283">
        <v>44543.0</v>
      </c>
      <c r="AC2134" s="284"/>
      <c r="AD2134" s="284"/>
    </row>
    <row r="2135" ht="14.25" customHeight="1">
      <c r="A2135" s="265">
        <v>44541.0</v>
      </c>
      <c r="B2135" s="266" t="s">
        <v>1500</v>
      </c>
      <c r="C2135" s="266" t="s">
        <v>2179</v>
      </c>
      <c r="D2135" s="266" t="s">
        <v>1543</v>
      </c>
      <c r="E2135" s="292"/>
      <c r="F2135" s="269" t="s">
        <v>6162</v>
      </c>
      <c r="G2135" s="268" t="s">
        <v>1463</v>
      </c>
      <c r="H2135" s="270">
        <v>0.0011458333333333333</v>
      </c>
      <c r="I2135" s="271">
        <v>44565.730104166665</v>
      </c>
      <c r="J2135" s="268"/>
      <c r="K2135" s="271">
        <v>44566.06481481482</v>
      </c>
      <c r="L2135" s="288"/>
      <c r="M2135" s="278" t="s">
        <v>6163</v>
      </c>
      <c r="N2135" s="290"/>
      <c r="O2135" s="276"/>
      <c r="P2135" s="276"/>
      <c r="Q2135" s="276"/>
      <c r="R2135" s="278"/>
      <c r="S2135" s="278"/>
      <c r="T2135" s="278"/>
      <c r="U2135" s="279"/>
      <c r="V2135" s="279" t="s">
        <v>1824</v>
      </c>
      <c r="W2135" s="280">
        <v>44579.0</v>
      </c>
      <c r="X2135" s="281">
        <v>0.004166666666666667</v>
      </c>
      <c r="Y2135" s="279" t="s">
        <v>1693</v>
      </c>
      <c r="Z2135" s="282" t="s">
        <v>53</v>
      </c>
      <c r="AA2135" s="442">
        <v>7323799.0</v>
      </c>
      <c r="AB2135" s="283">
        <v>44574.0</v>
      </c>
      <c r="AC2135" s="284"/>
      <c r="AD2135" s="284"/>
    </row>
    <row r="2136" ht="14.25" customHeight="1">
      <c r="A2136" s="419">
        <v>44542.0</v>
      </c>
      <c r="B2136" s="266" t="s">
        <v>2030</v>
      </c>
      <c r="C2136" s="266" t="s">
        <v>1457</v>
      </c>
      <c r="D2136" s="266" t="s">
        <v>1543</v>
      </c>
      <c r="E2136" s="292"/>
      <c r="F2136" s="269" t="s">
        <v>6164</v>
      </c>
      <c r="G2136" s="268" t="s">
        <v>1463</v>
      </c>
      <c r="H2136" s="270">
        <v>0.004953703703703704</v>
      </c>
      <c r="I2136" s="271">
        <v>44550.4625</v>
      </c>
      <c r="J2136" s="268"/>
      <c r="K2136" s="271">
        <v>44550.48611111111</v>
      </c>
      <c r="L2136" s="288"/>
      <c r="M2136" s="278" t="s">
        <v>6165</v>
      </c>
      <c r="N2136" s="290"/>
      <c r="O2136" s="276"/>
      <c r="P2136" s="276"/>
      <c r="Q2136" s="276"/>
      <c r="R2136" s="278"/>
      <c r="S2136" s="278"/>
      <c r="T2136" s="278"/>
      <c r="U2136" s="279"/>
      <c r="V2136" s="279" t="s">
        <v>1824</v>
      </c>
      <c r="W2136" s="280">
        <v>44557.0</v>
      </c>
      <c r="X2136" s="281">
        <v>0.004861111111111111</v>
      </c>
      <c r="Y2136" s="279" t="s">
        <v>1693</v>
      </c>
      <c r="Z2136" s="282" t="s">
        <v>53</v>
      </c>
      <c r="AA2136" s="282">
        <v>7232096.0</v>
      </c>
      <c r="AB2136" s="283">
        <v>44551.0</v>
      </c>
      <c r="AC2136" s="284"/>
      <c r="AD2136" s="284"/>
    </row>
    <row r="2137" ht="14.25" customHeight="1">
      <c r="A2137" s="419">
        <v>44542.0</v>
      </c>
      <c r="B2137" s="266" t="s">
        <v>2030</v>
      </c>
      <c r="C2137" s="266" t="s">
        <v>1450</v>
      </c>
      <c r="D2137" s="266" t="s">
        <v>1543</v>
      </c>
      <c r="E2137" s="292"/>
      <c r="F2137" s="269" t="s">
        <v>6166</v>
      </c>
      <c r="G2137" s="268" t="s">
        <v>1463</v>
      </c>
      <c r="H2137" s="270">
        <v>0.004027777777777778</v>
      </c>
      <c r="I2137" s="271">
        <v>44550.513194444444</v>
      </c>
      <c r="J2137" s="268"/>
      <c r="K2137" s="271">
        <v>44550.52222222222</v>
      </c>
      <c r="L2137" s="288"/>
      <c r="M2137" s="278" t="s">
        <v>6167</v>
      </c>
      <c r="N2137" s="290"/>
      <c r="O2137" s="276"/>
      <c r="P2137" s="276"/>
      <c r="Q2137" s="276"/>
      <c r="R2137" s="278"/>
      <c r="S2137" s="278"/>
      <c r="T2137" s="278"/>
      <c r="U2137" s="279"/>
      <c r="V2137" s="279" t="s">
        <v>1824</v>
      </c>
      <c r="W2137" s="280">
        <v>44557.0</v>
      </c>
      <c r="X2137" s="281">
        <v>0.005555555555555556</v>
      </c>
      <c r="Y2137" s="279" t="s">
        <v>1693</v>
      </c>
      <c r="Z2137" s="282" t="s">
        <v>53</v>
      </c>
      <c r="AA2137" s="282">
        <v>7232097.0</v>
      </c>
      <c r="AB2137" s="283">
        <v>44551.0</v>
      </c>
      <c r="AC2137" s="284"/>
      <c r="AD2137" s="284"/>
    </row>
    <row r="2138" ht="14.25" customHeight="1">
      <c r="A2138" s="265">
        <v>44542.0</v>
      </c>
      <c r="B2138" s="266" t="s">
        <v>1733</v>
      </c>
      <c r="C2138" s="266"/>
      <c r="D2138" s="266" t="s">
        <v>1457</v>
      </c>
      <c r="E2138" s="292"/>
      <c r="F2138" s="358" t="s">
        <v>6168</v>
      </c>
      <c r="G2138" s="268" t="s">
        <v>2085</v>
      </c>
      <c r="H2138" s="270">
        <v>0.01792824074074074</v>
      </c>
      <c r="I2138" s="271">
        <v>44543.49652777778</v>
      </c>
      <c r="J2138" s="268"/>
      <c r="K2138" s="271">
        <v>44543.51383101852</v>
      </c>
      <c r="L2138" s="288"/>
      <c r="M2138" s="278"/>
      <c r="N2138" s="290"/>
      <c r="O2138" s="276"/>
      <c r="P2138" s="276"/>
      <c r="Q2138" s="276"/>
      <c r="R2138" s="278"/>
      <c r="S2138" s="278"/>
      <c r="T2138" s="278"/>
      <c r="U2138" s="279"/>
      <c r="V2138" s="279" t="s">
        <v>1824</v>
      </c>
      <c r="W2138" s="280">
        <v>44545.0</v>
      </c>
      <c r="X2138" s="281">
        <v>0.034722222222222224</v>
      </c>
      <c r="Y2138" s="279" t="s">
        <v>1693</v>
      </c>
      <c r="Z2138" s="282" t="s">
        <v>53</v>
      </c>
      <c r="AA2138" s="282" t="s">
        <v>6168</v>
      </c>
      <c r="AB2138" s="283">
        <v>44543.0</v>
      </c>
      <c r="AC2138" s="284"/>
      <c r="AD2138" s="284"/>
    </row>
    <row r="2139" ht="14.25" customHeight="1">
      <c r="A2139" s="265">
        <v>44542.0</v>
      </c>
      <c r="B2139" s="266" t="s">
        <v>1733</v>
      </c>
      <c r="C2139" s="266"/>
      <c r="D2139" s="266" t="s">
        <v>2829</v>
      </c>
      <c r="E2139" s="292"/>
      <c r="F2139" s="358" t="s">
        <v>6169</v>
      </c>
      <c r="G2139" s="268" t="s">
        <v>2085</v>
      </c>
      <c r="H2139" s="270">
        <v>0.0218287037037037</v>
      </c>
      <c r="I2139" s="271">
        <v>44543.70486111111</v>
      </c>
      <c r="J2139" s="268"/>
      <c r="K2139" s="268"/>
      <c r="L2139" s="288"/>
      <c r="M2139" s="307" t="s">
        <v>3482</v>
      </c>
      <c r="N2139" s="273">
        <v>44543.709027777775</v>
      </c>
      <c r="O2139" s="276" t="s">
        <v>6170</v>
      </c>
      <c r="P2139" s="276" t="s">
        <v>1463</v>
      </c>
      <c r="Q2139" s="276" t="s">
        <v>1819</v>
      </c>
      <c r="R2139" s="277">
        <v>44543.722037037034</v>
      </c>
      <c r="S2139" s="278"/>
      <c r="T2139" s="278"/>
      <c r="U2139" s="279" t="s">
        <v>28</v>
      </c>
      <c r="V2139" s="279" t="s">
        <v>28</v>
      </c>
      <c r="W2139" s="279" t="s">
        <v>28</v>
      </c>
      <c r="X2139" s="279" t="s">
        <v>28</v>
      </c>
      <c r="Y2139" s="279" t="s">
        <v>28</v>
      </c>
      <c r="Z2139" s="282" t="s">
        <v>53</v>
      </c>
      <c r="AA2139" s="282" t="s">
        <v>6169</v>
      </c>
      <c r="AB2139" s="283">
        <v>44544.0</v>
      </c>
      <c r="AC2139" s="284"/>
      <c r="AD2139" s="284"/>
    </row>
    <row r="2140" ht="14.25" customHeight="1">
      <c r="A2140" s="265">
        <v>44543.0</v>
      </c>
      <c r="B2140" s="266" t="s">
        <v>2030</v>
      </c>
      <c r="C2140" s="266"/>
      <c r="D2140" s="266" t="s">
        <v>1452</v>
      </c>
      <c r="E2140" s="292"/>
      <c r="F2140" s="291" t="s">
        <v>4036</v>
      </c>
      <c r="G2140" s="268" t="s">
        <v>6171</v>
      </c>
      <c r="H2140" s="268" t="s">
        <v>6171</v>
      </c>
      <c r="I2140" s="268" t="s">
        <v>28</v>
      </c>
      <c r="J2140" s="268"/>
      <c r="K2140" s="268" t="s">
        <v>28</v>
      </c>
      <c r="L2140" s="288"/>
      <c r="M2140" s="278" t="s">
        <v>3915</v>
      </c>
      <c r="N2140" s="290"/>
      <c r="O2140" s="276"/>
      <c r="P2140" s="276"/>
      <c r="Q2140" s="276"/>
      <c r="R2140" s="278"/>
      <c r="S2140" s="278"/>
      <c r="T2140" s="278"/>
      <c r="U2140" s="279"/>
      <c r="V2140" s="279" t="s">
        <v>28</v>
      </c>
      <c r="W2140" s="279" t="s">
        <v>28</v>
      </c>
      <c r="X2140" s="279" t="s">
        <v>28</v>
      </c>
      <c r="Y2140" s="279" t="s">
        <v>28</v>
      </c>
      <c r="Z2140" s="282" t="s">
        <v>28</v>
      </c>
      <c r="AA2140" s="282" t="s">
        <v>28</v>
      </c>
      <c r="AB2140" s="282" t="s">
        <v>28</v>
      </c>
      <c r="AC2140" s="284"/>
      <c r="AD2140" s="284"/>
    </row>
    <row r="2141" ht="14.25" customHeight="1">
      <c r="A2141" s="265">
        <v>44543.0</v>
      </c>
      <c r="B2141" s="266" t="s">
        <v>2030</v>
      </c>
      <c r="C2141" s="266"/>
      <c r="D2141" s="266" t="s">
        <v>1450</v>
      </c>
      <c r="E2141" s="292"/>
      <c r="F2141" s="358" t="s">
        <v>6172</v>
      </c>
      <c r="G2141" s="268" t="s">
        <v>2085</v>
      </c>
      <c r="H2141" s="270">
        <v>0.09737268518518517</v>
      </c>
      <c r="I2141" s="271">
        <v>44543.48402777778</v>
      </c>
      <c r="J2141" s="268"/>
      <c r="K2141" s="271">
        <v>44543.58472222222</v>
      </c>
      <c r="L2141" s="288"/>
      <c r="M2141" s="278"/>
      <c r="N2141" s="290"/>
      <c r="O2141" s="276"/>
      <c r="P2141" s="276"/>
      <c r="Q2141" s="276"/>
      <c r="R2141" s="278"/>
      <c r="S2141" s="278"/>
      <c r="T2141" s="278"/>
      <c r="U2141" s="279"/>
      <c r="V2141" s="279" t="s">
        <v>2030</v>
      </c>
      <c r="W2141" s="279" t="s">
        <v>6173</v>
      </c>
      <c r="X2141" s="281">
        <v>0.20833333333333334</v>
      </c>
      <c r="Y2141" s="279" t="s">
        <v>1693</v>
      </c>
      <c r="Z2141" s="282" t="s">
        <v>53</v>
      </c>
      <c r="AA2141" s="282" t="s">
        <v>6172</v>
      </c>
      <c r="AB2141" s="283">
        <v>44544.0</v>
      </c>
      <c r="AC2141" s="284"/>
      <c r="AD2141" s="284"/>
    </row>
    <row r="2142" ht="14.25" customHeight="1">
      <c r="A2142" s="265">
        <v>44543.0</v>
      </c>
      <c r="B2142" s="266" t="s">
        <v>1570</v>
      </c>
      <c r="C2142" s="266"/>
      <c r="D2142" s="266" t="s">
        <v>1686</v>
      </c>
      <c r="E2142" s="292"/>
      <c r="F2142" s="358" t="s">
        <v>6174</v>
      </c>
      <c r="G2142" s="268" t="s">
        <v>2085</v>
      </c>
      <c r="H2142" s="270">
        <v>0.03743055555555556</v>
      </c>
      <c r="I2142" s="271">
        <v>44543.69652777778</v>
      </c>
      <c r="J2142" s="268"/>
      <c r="K2142" s="271">
        <v>44544.63960648148</v>
      </c>
      <c r="L2142" s="288"/>
      <c r="M2142" s="278"/>
      <c r="N2142" s="290"/>
      <c r="O2142" s="276"/>
      <c r="P2142" s="276"/>
      <c r="Q2142" s="276"/>
      <c r="R2142" s="278"/>
      <c r="S2142" s="278"/>
      <c r="T2142" s="278"/>
      <c r="U2142" s="279"/>
      <c r="V2142" s="279" t="s">
        <v>1570</v>
      </c>
      <c r="W2142" s="280">
        <v>44545.0</v>
      </c>
      <c r="X2142" s="281">
        <v>0.125</v>
      </c>
      <c r="Y2142" s="279" t="s">
        <v>1693</v>
      </c>
      <c r="Z2142" s="282" t="s">
        <v>53</v>
      </c>
      <c r="AA2142" s="282" t="s">
        <v>6174</v>
      </c>
      <c r="AB2142" s="283">
        <v>44544.0</v>
      </c>
      <c r="AC2142" s="284"/>
      <c r="AD2142" s="284"/>
    </row>
    <row r="2143" ht="14.25" customHeight="1">
      <c r="A2143" s="265">
        <v>44543.0</v>
      </c>
      <c r="B2143" s="266" t="s">
        <v>1570</v>
      </c>
      <c r="C2143" s="266"/>
      <c r="D2143" s="266" t="s">
        <v>1455</v>
      </c>
      <c r="E2143" s="292"/>
      <c r="F2143" s="358" t="s">
        <v>6175</v>
      </c>
      <c r="G2143" s="268" t="s">
        <v>2085</v>
      </c>
      <c r="H2143" s="270">
        <v>0.02111111111111111</v>
      </c>
      <c r="I2143" s="271">
        <v>44544.618055555555</v>
      </c>
      <c r="J2143" s="268"/>
      <c r="K2143" s="271">
        <v>44544.97087962963</v>
      </c>
      <c r="L2143" s="288"/>
      <c r="M2143" s="278"/>
      <c r="N2143" s="290"/>
      <c r="O2143" s="276"/>
      <c r="P2143" s="276"/>
      <c r="Q2143" s="276"/>
      <c r="R2143" s="278"/>
      <c r="S2143" s="278"/>
      <c r="T2143" s="278"/>
      <c r="U2143" s="279"/>
      <c r="V2143" s="279" t="s">
        <v>1570</v>
      </c>
      <c r="W2143" s="280">
        <v>44544.0</v>
      </c>
      <c r="X2143" s="281">
        <v>0.08333333333333333</v>
      </c>
      <c r="Y2143" s="279" t="s">
        <v>1693</v>
      </c>
      <c r="Z2143" s="282" t="s">
        <v>53</v>
      </c>
      <c r="AA2143" s="282" t="s">
        <v>6175</v>
      </c>
      <c r="AB2143" s="283">
        <v>44545.0</v>
      </c>
      <c r="AC2143" s="284"/>
      <c r="AD2143" s="284"/>
    </row>
    <row r="2144" ht="14.25" customHeight="1">
      <c r="A2144" s="265">
        <v>44543.0</v>
      </c>
      <c r="B2144" s="266" t="s">
        <v>1500</v>
      </c>
      <c r="C2144" s="266" t="s">
        <v>2179</v>
      </c>
      <c r="D2144" s="266" t="s">
        <v>1543</v>
      </c>
      <c r="E2144" s="292"/>
      <c r="F2144" s="269" t="s">
        <v>6176</v>
      </c>
      <c r="G2144" s="268" t="s">
        <v>1463</v>
      </c>
      <c r="H2144" s="270">
        <v>0.0016550925925925926</v>
      </c>
      <c r="I2144" s="271">
        <v>44565.68431712963</v>
      </c>
      <c r="J2144" s="268"/>
      <c r="K2144" s="271">
        <v>44565.68543981481</v>
      </c>
      <c r="L2144" s="292"/>
      <c r="M2144" s="278" t="s">
        <v>6177</v>
      </c>
      <c r="N2144" s="290"/>
      <c r="O2144" s="276"/>
      <c r="P2144" s="276"/>
      <c r="Q2144" s="276"/>
      <c r="R2144" s="278"/>
      <c r="S2144" s="278"/>
      <c r="T2144" s="278"/>
      <c r="U2144" s="279"/>
      <c r="V2144" s="279" t="s">
        <v>1824</v>
      </c>
      <c r="W2144" s="280">
        <v>44568.0</v>
      </c>
      <c r="X2144" s="281">
        <v>0.004861111111111111</v>
      </c>
      <c r="Y2144" s="279" t="s">
        <v>1693</v>
      </c>
      <c r="Z2144" s="282" t="s">
        <v>53</v>
      </c>
      <c r="AA2144" s="282">
        <v>7290972.0</v>
      </c>
      <c r="AB2144" s="283">
        <v>44566.0</v>
      </c>
      <c r="AC2144" s="447"/>
      <c r="AD2144" s="284"/>
    </row>
    <row r="2145" ht="14.25" customHeight="1">
      <c r="A2145" s="265">
        <v>44544.0</v>
      </c>
      <c r="B2145" s="266" t="s">
        <v>2030</v>
      </c>
      <c r="C2145" s="266" t="s">
        <v>1455</v>
      </c>
      <c r="D2145" s="266" t="s">
        <v>1543</v>
      </c>
      <c r="E2145" s="292"/>
      <c r="F2145" s="269" t="s">
        <v>6178</v>
      </c>
      <c r="G2145" s="268" t="s">
        <v>1463</v>
      </c>
      <c r="H2145" s="270">
        <v>0.001388888888888889</v>
      </c>
      <c r="I2145" s="271">
        <v>44552.339583333334</v>
      </c>
      <c r="J2145" s="268"/>
      <c r="K2145" s="271"/>
      <c r="L2145" s="288"/>
      <c r="M2145" s="278" t="s">
        <v>6179</v>
      </c>
      <c r="N2145" s="290"/>
      <c r="O2145" s="276"/>
      <c r="P2145" s="276"/>
      <c r="Q2145" s="276"/>
      <c r="R2145" s="278"/>
      <c r="S2145" s="278"/>
      <c r="T2145" s="278"/>
      <c r="U2145" s="279"/>
      <c r="V2145" s="279" t="s">
        <v>1824</v>
      </c>
      <c r="W2145" s="280">
        <v>44557.0</v>
      </c>
      <c r="X2145" s="281">
        <v>0.011111111111111112</v>
      </c>
      <c r="Y2145" s="279" t="s">
        <v>1693</v>
      </c>
      <c r="Z2145" s="282" t="s">
        <v>1570</v>
      </c>
      <c r="AA2145" s="282">
        <v>7242128.0</v>
      </c>
      <c r="AB2145" s="283">
        <v>44556.0</v>
      </c>
      <c r="AC2145" s="284"/>
      <c r="AD2145" s="284"/>
    </row>
    <row r="2146" ht="14.25" customHeight="1">
      <c r="A2146" s="265">
        <v>44544.0</v>
      </c>
      <c r="B2146" s="266" t="s">
        <v>2030</v>
      </c>
      <c r="C2146" s="266"/>
      <c r="D2146" s="266" t="s">
        <v>1450</v>
      </c>
      <c r="E2146" s="292"/>
      <c r="F2146" s="358" t="s">
        <v>6180</v>
      </c>
      <c r="G2146" s="268" t="s">
        <v>2085</v>
      </c>
      <c r="H2146" s="270">
        <v>0.09804398148148148</v>
      </c>
      <c r="I2146" s="271">
        <v>44544.49444444444</v>
      </c>
      <c r="J2146" s="268"/>
      <c r="K2146" s="271">
        <v>44544.62847222222</v>
      </c>
      <c r="L2146" s="288"/>
      <c r="M2146" s="278"/>
      <c r="N2146" s="290"/>
      <c r="O2146" s="276"/>
      <c r="P2146" s="276"/>
      <c r="Q2146" s="276"/>
      <c r="R2146" s="278"/>
      <c r="S2146" s="278"/>
      <c r="T2146" s="278"/>
      <c r="U2146" s="279"/>
      <c r="V2146" s="279" t="s">
        <v>2030</v>
      </c>
      <c r="W2146" s="280" t="s">
        <v>6181</v>
      </c>
      <c r="X2146" s="281">
        <v>0.20833333333333334</v>
      </c>
      <c r="Y2146" s="279" t="s">
        <v>1693</v>
      </c>
      <c r="Z2146" s="282" t="s">
        <v>53</v>
      </c>
      <c r="AA2146" s="282" t="s">
        <v>6180</v>
      </c>
      <c r="AB2146" s="283">
        <v>44545.0</v>
      </c>
      <c r="AC2146" s="284"/>
      <c r="AD2146" s="284"/>
    </row>
    <row r="2147" ht="14.25" customHeight="1">
      <c r="A2147" s="265">
        <v>44544.0</v>
      </c>
      <c r="B2147" s="266" t="s">
        <v>2030</v>
      </c>
      <c r="C2147" s="266"/>
      <c r="D2147" s="266" t="s">
        <v>1452</v>
      </c>
      <c r="E2147" s="292"/>
      <c r="F2147" s="358" t="s">
        <v>6182</v>
      </c>
      <c r="G2147" s="268" t="s">
        <v>2085</v>
      </c>
      <c r="H2147" s="270">
        <v>0.003981481481481482</v>
      </c>
      <c r="I2147" s="271">
        <v>44544.50486111111</v>
      </c>
      <c r="J2147" s="268"/>
      <c r="K2147" s="271">
        <v>44544.631944444445</v>
      </c>
      <c r="L2147" s="288"/>
      <c r="M2147" s="278"/>
      <c r="N2147" s="290"/>
      <c r="O2147" s="276"/>
      <c r="P2147" s="276"/>
      <c r="Q2147" s="276"/>
      <c r="R2147" s="278"/>
      <c r="S2147" s="278"/>
      <c r="T2147" s="278"/>
      <c r="U2147" s="279"/>
      <c r="V2147" s="279" t="s">
        <v>2030</v>
      </c>
      <c r="W2147" s="280">
        <v>44548.0</v>
      </c>
      <c r="X2147" s="281">
        <v>0.006944444444444444</v>
      </c>
      <c r="Y2147" s="279" t="s">
        <v>1693</v>
      </c>
      <c r="Z2147" s="282" t="s">
        <v>53</v>
      </c>
      <c r="AA2147" s="282" t="s">
        <v>6182</v>
      </c>
      <c r="AB2147" s="283">
        <v>44545.0</v>
      </c>
      <c r="AC2147" s="284"/>
      <c r="AD2147" s="284"/>
    </row>
    <row r="2148" ht="14.25" customHeight="1">
      <c r="A2148" s="265">
        <v>44544.0</v>
      </c>
      <c r="B2148" s="266" t="s">
        <v>1570</v>
      </c>
      <c r="C2148" s="266"/>
      <c r="D2148" s="266" t="s">
        <v>1686</v>
      </c>
      <c r="E2148" s="292"/>
      <c r="F2148" s="358" t="s">
        <v>6183</v>
      </c>
      <c r="G2148" s="268" t="s">
        <v>2085</v>
      </c>
      <c r="H2148" s="270">
        <v>0.03670138888888889</v>
      </c>
      <c r="I2148" s="271">
        <v>44544.623611111114</v>
      </c>
      <c r="J2148" s="268"/>
      <c r="K2148" s="271">
        <v>44545.69668981482</v>
      </c>
      <c r="L2148" s="288"/>
      <c r="M2148" s="278"/>
      <c r="N2148" s="290"/>
      <c r="O2148" s="276"/>
      <c r="P2148" s="276"/>
      <c r="Q2148" s="276"/>
      <c r="R2148" s="278"/>
      <c r="S2148" s="278"/>
      <c r="T2148" s="278"/>
      <c r="U2148" s="308"/>
      <c r="V2148" s="279" t="s">
        <v>1570</v>
      </c>
      <c r="W2148" s="280">
        <v>44545.0</v>
      </c>
      <c r="X2148" s="281">
        <v>0.125</v>
      </c>
      <c r="Y2148" s="279" t="s">
        <v>1693</v>
      </c>
      <c r="Z2148" s="282" t="s">
        <v>53</v>
      </c>
      <c r="AA2148" s="282" t="s">
        <v>6183</v>
      </c>
      <c r="AB2148" s="283">
        <v>44545.0</v>
      </c>
      <c r="AC2148" s="284"/>
      <c r="AD2148" s="284"/>
    </row>
    <row r="2149" ht="14.25" customHeight="1">
      <c r="A2149" s="265">
        <v>44544.0</v>
      </c>
      <c r="B2149" s="266" t="s">
        <v>3677</v>
      </c>
      <c r="C2149" s="266"/>
      <c r="D2149" s="266" t="s">
        <v>1455</v>
      </c>
      <c r="E2149" s="292"/>
      <c r="F2149" s="358" t="s">
        <v>6184</v>
      </c>
      <c r="G2149" s="268" t="s">
        <v>2085</v>
      </c>
      <c r="H2149" s="270">
        <v>0.019270833333333334</v>
      </c>
      <c r="I2149" s="271">
        <v>44544.95694444444</v>
      </c>
      <c r="J2149" s="268"/>
      <c r="K2149" s="271">
        <v>44544.97204861111</v>
      </c>
      <c r="L2149" s="288"/>
      <c r="M2149" s="278"/>
      <c r="N2149" s="290"/>
      <c r="O2149" s="276"/>
      <c r="P2149" s="276"/>
      <c r="Q2149" s="276"/>
      <c r="R2149" s="278"/>
      <c r="S2149" s="278"/>
      <c r="T2149" s="278"/>
      <c r="U2149" s="279"/>
      <c r="V2149" s="279" t="s">
        <v>1570</v>
      </c>
      <c r="W2149" s="280">
        <v>44545.0</v>
      </c>
      <c r="X2149" s="281">
        <v>0.08333333333333333</v>
      </c>
      <c r="Y2149" s="279" t="s">
        <v>1693</v>
      </c>
      <c r="Z2149" s="282" t="s">
        <v>53</v>
      </c>
      <c r="AA2149" s="282" t="s">
        <v>6184</v>
      </c>
      <c r="AB2149" s="283">
        <v>44545.0</v>
      </c>
      <c r="AC2149" s="284"/>
      <c r="AD2149" s="284"/>
    </row>
    <row r="2150" ht="14.25" customHeight="1">
      <c r="A2150" s="265">
        <v>44545.0</v>
      </c>
      <c r="B2150" s="266" t="s">
        <v>1500</v>
      </c>
      <c r="C2150" s="266" t="s">
        <v>1642</v>
      </c>
      <c r="D2150" s="266" t="s">
        <v>1543</v>
      </c>
      <c r="E2150" s="292"/>
      <c r="F2150" s="291" t="s">
        <v>1643</v>
      </c>
      <c r="G2150" s="268" t="s">
        <v>1463</v>
      </c>
      <c r="H2150" s="270">
        <v>0.01252314814814815</v>
      </c>
      <c r="I2150" s="271">
        <v>44545.85115740741</v>
      </c>
      <c r="J2150" s="268"/>
      <c r="K2150" s="271">
        <v>44547.28865740741</v>
      </c>
      <c r="L2150" s="288"/>
      <c r="M2150" s="278" t="s">
        <v>1644</v>
      </c>
      <c r="N2150" s="290"/>
      <c r="O2150" s="276"/>
      <c r="P2150" s="276"/>
      <c r="Q2150" s="276"/>
      <c r="R2150" s="278"/>
      <c r="S2150" s="278"/>
      <c r="T2150" s="278"/>
      <c r="U2150" s="279"/>
      <c r="V2150" s="279"/>
      <c r="W2150" s="280"/>
      <c r="X2150" s="281"/>
      <c r="Y2150" s="279"/>
      <c r="Z2150" s="282" t="s">
        <v>53</v>
      </c>
      <c r="AA2150" s="282">
        <v>7218075.0</v>
      </c>
      <c r="AB2150" s="283">
        <v>44550.0</v>
      </c>
      <c r="AC2150" s="284"/>
      <c r="AD2150" s="284"/>
    </row>
    <row r="2151" ht="14.25" customHeight="1">
      <c r="A2151" s="265">
        <v>44545.0</v>
      </c>
      <c r="B2151" s="266" t="s">
        <v>1500</v>
      </c>
      <c r="C2151" s="266" t="s">
        <v>1642</v>
      </c>
      <c r="D2151" s="266" t="s">
        <v>1543</v>
      </c>
      <c r="E2151" s="292"/>
      <c r="F2151" s="269" t="s">
        <v>1645</v>
      </c>
      <c r="G2151" s="268" t="s">
        <v>1463</v>
      </c>
      <c r="H2151" s="270">
        <v>0.007395833333333334</v>
      </c>
      <c r="I2151" s="271">
        <v>44545.849340277775</v>
      </c>
      <c r="J2151" s="268"/>
      <c r="K2151" s="271">
        <v>44547.28969907408</v>
      </c>
      <c r="L2151" s="288"/>
      <c r="M2151" s="278" t="s">
        <v>1646</v>
      </c>
      <c r="N2151" s="290"/>
      <c r="O2151" s="276"/>
      <c r="P2151" s="276"/>
      <c r="Q2151" s="276"/>
      <c r="R2151" s="278"/>
      <c r="S2151" s="278"/>
      <c r="T2151" s="278"/>
      <c r="U2151" s="279"/>
      <c r="V2151" s="279" t="s">
        <v>1570</v>
      </c>
      <c r="W2151" s="280">
        <v>44571.0</v>
      </c>
      <c r="X2151" s="281">
        <v>0.006944444444444444</v>
      </c>
      <c r="Y2151" s="279" t="s">
        <v>1693</v>
      </c>
      <c r="Z2151" s="282" t="s">
        <v>53</v>
      </c>
      <c r="AA2151" s="282">
        <v>7218076.0</v>
      </c>
      <c r="AB2151" s="283">
        <v>44550.0</v>
      </c>
      <c r="AC2151" s="284"/>
      <c r="AD2151" s="284"/>
    </row>
    <row r="2152" ht="14.25" customHeight="1">
      <c r="A2152" s="265">
        <v>44545.0</v>
      </c>
      <c r="B2152" s="266" t="s">
        <v>1500</v>
      </c>
      <c r="C2152" s="266" t="s">
        <v>1642</v>
      </c>
      <c r="D2152" s="266" t="s">
        <v>1543</v>
      </c>
      <c r="E2152" s="292"/>
      <c r="F2152" s="291" t="s">
        <v>1647</v>
      </c>
      <c r="G2152" s="268" t="s">
        <v>1463</v>
      </c>
      <c r="H2152" s="270">
        <v>0.004155092592592593</v>
      </c>
      <c r="I2152" s="271">
        <v>44545.84824074074</v>
      </c>
      <c r="J2152" s="268"/>
      <c r="K2152" s="271">
        <v>44547.28957175926</v>
      </c>
      <c r="L2152" s="288"/>
      <c r="M2152" s="278" t="s">
        <v>1648</v>
      </c>
      <c r="N2152" s="290"/>
      <c r="O2152" s="276"/>
      <c r="P2152" s="276"/>
      <c r="Q2152" s="276"/>
      <c r="R2152" s="278"/>
      <c r="S2152" s="278"/>
      <c r="T2152" s="278"/>
      <c r="U2152" s="279"/>
      <c r="V2152" s="279" t="s">
        <v>1570</v>
      </c>
      <c r="W2152" s="280">
        <v>44571.0</v>
      </c>
      <c r="X2152" s="281">
        <v>0.003472222222222222</v>
      </c>
      <c r="Y2152" s="279" t="s">
        <v>1693</v>
      </c>
      <c r="Z2152" s="282" t="s">
        <v>53</v>
      </c>
      <c r="AA2152" s="282">
        <v>7218077.0</v>
      </c>
      <c r="AB2152" s="283">
        <v>44550.0</v>
      </c>
      <c r="AC2152" s="284"/>
      <c r="AD2152" s="284"/>
    </row>
    <row r="2153" ht="14.25" customHeight="1">
      <c r="A2153" s="265">
        <v>44545.0</v>
      </c>
      <c r="B2153" s="266" t="s">
        <v>1500</v>
      </c>
      <c r="C2153" s="266" t="s">
        <v>1642</v>
      </c>
      <c r="D2153" s="266" t="s">
        <v>1543</v>
      </c>
      <c r="E2153" s="292"/>
      <c r="F2153" s="291" t="s">
        <v>1649</v>
      </c>
      <c r="G2153" s="268" t="s">
        <v>1463</v>
      </c>
      <c r="H2153" s="270">
        <v>0.004513888888888889</v>
      </c>
      <c r="I2153" s="271">
        <v>44545.848229166666</v>
      </c>
      <c r="J2153" s="268"/>
      <c r="K2153" s="271">
        <v>44547.29010416667</v>
      </c>
      <c r="L2153" s="288"/>
      <c r="M2153" s="278" t="s">
        <v>1650</v>
      </c>
      <c r="N2153" s="290"/>
      <c r="O2153" s="276"/>
      <c r="P2153" s="276"/>
      <c r="Q2153" s="276"/>
      <c r="R2153" s="278"/>
      <c r="S2153" s="278"/>
      <c r="T2153" s="278"/>
      <c r="U2153" s="279"/>
      <c r="V2153" s="279" t="s">
        <v>1570</v>
      </c>
      <c r="W2153" s="280">
        <v>44571.0</v>
      </c>
      <c r="X2153" s="281">
        <v>0.004861111111111111</v>
      </c>
      <c r="Y2153" s="279" t="s">
        <v>1693</v>
      </c>
      <c r="Z2153" s="282" t="s">
        <v>53</v>
      </c>
      <c r="AA2153" s="282">
        <v>7218078.0</v>
      </c>
      <c r="AB2153" s="283">
        <v>44550.0</v>
      </c>
      <c r="AC2153" s="284"/>
      <c r="AD2153" s="284"/>
    </row>
    <row r="2154" ht="14.25" customHeight="1">
      <c r="A2154" s="265">
        <v>44545.0</v>
      </c>
      <c r="B2154" s="266" t="s">
        <v>1500</v>
      </c>
      <c r="C2154" s="266" t="s">
        <v>1642</v>
      </c>
      <c r="D2154" s="266" t="s">
        <v>1543</v>
      </c>
      <c r="E2154" s="292"/>
      <c r="F2154" s="291" t="s">
        <v>1651</v>
      </c>
      <c r="G2154" s="268" t="s">
        <v>1463</v>
      </c>
      <c r="H2154" s="270">
        <v>0.0010069444444444444</v>
      </c>
      <c r="I2154" s="271">
        <v>44545.84496527778</v>
      </c>
      <c r="J2154" s="268"/>
      <c r="K2154" s="271">
        <v>44547.29053240741</v>
      </c>
      <c r="L2154" s="288"/>
      <c r="M2154" s="278" t="s">
        <v>1652</v>
      </c>
      <c r="N2154" s="290"/>
      <c r="O2154" s="276"/>
      <c r="P2154" s="276"/>
      <c r="Q2154" s="276"/>
      <c r="R2154" s="278"/>
      <c r="S2154" s="278"/>
      <c r="T2154" s="278"/>
      <c r="U2154" s="279"/>
      <c r="V2154" s="308" t="s">
        <v>1570</v>
      </c>
      <c r="W2154" s="280">
        <v>44571.0</v>
      </c>
      <c r="X2154" s="281">
        <v>0.003472222222222222</v>
      </c>
      <c r="Y2154" s="279" t="s">
        <v>1693</v>
      </c>
      <c r="Z2154" s="282" t="s">
        <v>53</v>
      </c>
      <c r="AA2154" s="282">
        <v>7218079.0</v>
      </c>
      <c r="AB2154" s="283">
        <v>44550.0</v>
      </c>
      <c r="AC2154" s="284"/>
      <c r="AD2154" s="284"/>
    </row>
    <row r="2155" ht="14.25" customHeight="1">
      <c r="A2155" s="265">
        <v>44545.0</v>
      </c>
      <c r="B2155" s="266" t="s">
        <v>1500</v>
      </c>
      <c r="C2155" s="266" t="s">
        <v>1642</v>
      </c>
      <c r="D2155" s="266" t="s">
        <v>1543</v>
      </c>
      <c r="E2155" s="292"/>
      <c r="F2155" s="291" t="s">
        <v>1653</v>
      </c>
      <c r="G2155" s="268" t="s">
        <v>1463</v>
      </c>
      <c r="H2155" s="270">
        <v>8.449074074074075E-4</v>
      </c>
      <c r="I2155" s="271">
        <v>44545.84496527778</v>
      </c>
      <c r="J2155" s="268"/>
      <c r="K2155" s="271">
        <v>44547.29659722222</v>
      </c>
      <c r="L2155" s="288"/>
      <c r="M2155" s="278" t="s">
        <v>1654</v>
      </c>
      <c r="N2155" s="290"/>
      <c r="O2155" s="276"/>
      <c r="P2155" s="276"/>
      <c r="Q2155" s="276"/>
      <c r="R2155" s="278"/>
      <c r="S2155" s="278"/>
      <c r="T2155" s="278"/>
      <c r="U2155" s="279"/>
      <c r="V2155" s="279" t="s">
        <v>1570</v>
      </c>
      <c r="W2155" s="280">
        <v>44571.0</v>
      </c>
      <c r="X2155" s="281">
        <v>0.003472222222222222</v>
      </c>
      <c r="Y2155" s="279" t="s">
        <v>1693</v>
      </c>
      <c r="Z2155" s="282" t="s">
        <v>53</v>
      </c>
      <c r="AA2155" s="282">
        <v>7218080.0</v>
      </c>
      <c r="AB2155" s="283">
        <v>44550.0</v>
      </c>
      <c r="AC2155" s="284"/>
      <c r="AD2155" s="284"/>
    </row>
    <row r="2156" ht="14.25" customHeight="1">
      <c r="A2156" s="265">
        <v>44545.0</v>
      </c>
      <c r="B2156" s="266" t="s">
        <v>1500</v>
      </c>
      <c r="C2156" s="266" t="s">
        <v>2641</v>
      </c>
      <c r="D2156" s="266" t="s">
        <v>1543</v>
      </c>
      <c r="E2156" s="292"/>
      <c r="F2156" s="291" t="s">
        <v>6185</v>
      </c>
      <c r="G2156" s="268" t="s">
        <v>1463</v>
      </c>
      <c r="H2156" s="270">
        <v>0.002627314814814815</v>
      </c>
      <c r="I2156" s="271">
        <v>44547.31186342592</v>
      </c>
      <c r="J2156" s="268"/>
      <c r="K2156" s="271">
        <v>44547.316724537035</v>
      </c>
      <c r="L2156" s="288"/>
      <c r="M2156" s="278" t="s">
        <v>6186</v>
      </c>
      <c r="N2156" s="290"/>
      <c r="O2156" s="276"/>
      <c r="P2156" s="276"/>
      <c r="Q2156" s="276"/>
      <c r="R2156" s="278"/>
      <c r="S2156" s="278"/>
      <c r="T2156" s="278"/>
      <c r="U2156" s="279"/>
      <c r="V2156" s="279" t="s">
        <v>1783</v>
      </c>
      <c r="W2156" s="280">
        <v>44557.0</v>
      </c>
      <c r="X2156" s="281">
        <v>0.004861111111111111</v>
      </c>
      <c r="Y2156" s="279" t="s">
        <v>1693</v>
      </c>
      <c r="Z2156" s="282" t="s">
        <v>53</v>
      </c>
      <c r="AA2156" s="282">
        <v>7218081.0</v>
      </c>
      <c r="AB2156" s="283">
        <v>44550.0</v>
      </c>
      <c r="AC2156" s="284"/>
      <c r="AD2156" s="284"/>
    </row>
    <row r="2157" ht="14.25" customHeight="1">
      <c r="A2157" s="265">
        <v>44545.0</v>
      </c>
      <c r="B2157" s="266" t="s">
        <v>2030</v>
      </c>
      <c r="C2157" s="266" t="s">
        <v>1686</v>
      </c>
      <c r="D2157" s="266" t="s">
        <v>1543</v>
      </c>
      <c r="E2157" s="292"/>
      <c r="F2157" s="269" t="s">
        <v>6187</v>
      </c>
      <c r="G2157" s="268" t="s">
        <v>1463</v>
      </c>
      <c r="H2157" s="270">
        <v>7.407407407407407E-4</v>
      </c>
      <c r="I2157" s="271">
        <v>44551.302083333336</v>
      </c>
      <c r="J2157" s="268"/>
      <c r="K2157" s="271">
        <v>44551.30347222222</v>
      </c>
      <c r="L2157" s="288"/>
      <c r="M2157" s="278" t="s">
        <v>6188</v>
      </c>
      <c r="N2157" s="290"/>
      <c r="O2157" s="276"/>
      <c r="P2157" s="276"/>
      <c r="Q2157" s="276"/>
      <c r="R2157" s="278"/>
      <c r="S2157" s="278"/>
      <c r="T2157" s="278"/>
      <c r="U2157" s="279"/>
      <c r="V2157" s="279" t="s">
        <v>1824</v>
      </c>
      <c r="W2157" s="280">
        <v>44557.0</v>
      </c>
      <c r="X2157" s="281">
        <v>0.004166666666666667</v>
      </c>
      <c r="Y2157" s="279" t="s">
        <v>1693</v>
      </c>
      <c r="Z2157" s="282" t="s">
        <v>1570</v>
      </c>
      <c r="AA2157" s="282">
        <v>7242129.0</v>
      </c>
      <c r="AB2157" s="283">
        <v>44556.0</v>
      </c>
      <c r="AC2157" s="284"/>
      <c r="AD2157" s="284"/>
    </row>
    <row r="2158" ht="14.25" customHeight="1">
      <c r="A2158" s="265">
        <v>44545.0</v>
      </c>
      <c r="B2158" s="266" t="s">
        <v>2030</v>
      </c>
      <c r="C2158" s="266"/>
      <c r="D2158" s="266" t="s">
        <v>1452</v>
      </c>
      <c r="E2158" s="292"/>
      <c r="F2158" s="291" t="s">
        <v>6189</v>
      </c>
      <c r="G2158" s="268" t="s">
        <v>28</v>
      </c>
      <c r="H2158" s="268" t="s">
        <v>28</v>
      </c>
      <c r="I2158" s="268" t="s">
        <v>28</v>
      </c>
      <c r="J2158" s="268"/>
      <c r="K2158" s="268" t="s">
        <v>28</v>
      </c>
      <c r="L2158" s="288"/>
      <c r="M2158" s="278"/>
      <c r="N2158" s="290"/>
      <c r="O2158" s="276"/>
      <c r="P2158" s="276"/>
      <c r="Q2158" s="276"/>
      <c r="R2158" s="278"/>
      <c r="S2158" s="278"/>
      <c r="T2158" s="278"/>
      <c r="U2158" s="279" t="s">
        <v>28</v>
      </c>
      <c r="V2158" s="279" t="s">
        <v>28</v>
      </c>
      <c r="W2158" s="279" t="s">
        <v>28</v>
      </c>
      <c r="X2158" s="279" t="s">
        <v>28</v>
      </c>
      <c r="Y2158" s="279" t="s">
        <v>28</v>
      </c>
      <c r="Z2158" s="282" t="s">
        <v>28</v>
      </c>
      <c r="AA2158" s="282" t="s">
        <v>28</v>
      </c>
      <c r="AB2158" s="282" t="s">
        <v>28</v>
      </c>
      <c r="AC2158" s="284"/>
      <c r="AD2158" s="284"/>
    </row>
    <row r="2159" ht="14.25" customHeight="1">
      <c r="A2159" s="265">
        <v>44545.0</v>
      </c>
      <c r="B2159" s="266" t="s">
        <v>2030</v>
      </c>
      <c r="C2159" s="266"/>
      <c r="D2159" s="266" t="s">
        <v>1450</v>
      </c>
      <c r="E2159" s="292"/>
      <c r="F2159" s="358" t="s">
        <v>6190</v>
      </c>
      <c r="G2159" s="268" t="s">
        <v>2085</v>
      </c>
      <c r="H2159" s="270">
        <v>0.09784722222222221</v>
      </c>
      <c r="I2159" s="271">
        <v>44545.45625</v>
      </c>
      <c r="J2159" s="268"/>
      <c r="K2159" s="271">
        <v>44545.51875</v>
      </c>
      <c r="L2159" s="288"/>
      <c r="M2159" s="278"/>
      <c r="N2159" s="290"/>
      <c r="O2159" s="276"/>
      <c r="P2159" s="276"/>
      <c r="Q2159" s="276"/>
      <c r="R2159" s="278"/>
      <c r="S2159" s="278"/>
      <c r="T2159" s="278"/>
      <c r="U2159" s="279"/>
      <c r="V2159" s="279" t="s">
        <v>2030</v>
      </c>
      <c r="W2159" s="280">
        <v>44546.0</v>
      </c>
      <c r="X2159" s="281">
        <v>0.20833333333333334</v>
      </c>
      <c r="Y2159" s="279" t="s">
        <v>1693</v>
      </c>
      <c r="Z2159" s="282" t="s">
        <v>53</v>
      </c>
      <c r="AA2159" s="282" t="s">
        <v>6190</v>
      </c>
      <c r="AB2159" s="283">
        <v>44546.0</v>
      </c>
      <c r="AC2159" s="284"/>
      <c r="AD2159" s="284"/>
    </row>
    <row r="2160" ht="14.25" customHeight="1">
      <c r="A2160" s="265">
        <v>44545.0</v>
      </c>
      <c r="B2160" s="266" t="s">
        <v>1570</v>
      </c>
      <c r="C2160" s="266"/>
      <c r="D2160" s="266" t="s">
        <v>1686</v>
      </c>
      <c r="E2160" s="378"/>
      <c r="F2160" s="358" t="s">
        <v>6191</v>
      </c>
      <c r="G2160" s="268" t="s">
        <v>2085</v>
      </c>
      <c r="H2160" s="270">
        <v>0.0384375</v>
      </c>
      <c r="I2160" s="271">
        <v>44545.604166666664</v>
      </c>
      <c r="J2160" s="268"/>
      <c r="K2160" s="271">
        <v>44546.70086805556</v>
      </c>
      <c r="L2160" s="288"/>
      <c r="M2160" s="278"/>
      <c r="N2160" s="290"/>
      <c r="O2160" s="276"/>
      <c r="P2160" s="276"/>
      <c r="Q2160" s="276"/>
      <c r="R2160" s="278"/>
      <c r="S2160" s="278"/>
      <c r="T2160" s="278"/>
      <c r="U2160" s="279"/>
      <c r="V2160" s="279" t="s">
        <v>1570</v>
      </c>
      <c r="W2160" s="280">
        <v>44546.0</v>
      </c>
      <c r="X2160" s="281">
        <v>0.125</v>
      </c>
      <c r="Y2160" s="279" t="s">
        <v>1693</v>
      </c>
      <c r="Z2160" s="282" t="s">
        <v>53</v>
      </c>
      <c r="AA2160" s="282" t="s">
        <v>6191</v>
      </c>
      <c r="AB2160" s="283">
        <v>44546.0</v>
      </c>
      <c r="AC2160" s="284"/>
      <c r="AD2160" s="284"/>
    </row>
    <row r="2161" ht="14.25" customHeight="1">
      <c r="A2161" s="265">
        <v>44545.0</v>
      </c>
      <c r="B2161" s="266" t="s">
        <v>3677</v>
      </c>
      <c r="C2161" s="266"/>
      <c r="D2161" s="266" t="s">
        <v>1455</v>
      </c>
      <c r="E2161" s="292"/>
      <c r="F2161" s="358" t="s">
        <v>6192</v>
      </c>
      <c r="G2161" s="268" t="s">
        <v>2085</v>
      </c>
      <c r="H2161" s="270">
        <v>0.019386574074074073</v>
      </c>
      <c r="I2161" s="271">
        <v>44545.96597222222</v>
      </c>
      <c r="J2161" s="268"/>
      <c r="K2161" s="271">
        <v>44545.98263888889</v>
      </c>
      <c r="L2161" s="288"/>
      <c r="M2161" s="278"/>
      <c r="N2161" s="290"/>
      <c r="O2161" s="276"/>
      <c r="P2161" s="276"/>
      <c r="Q2161" s="276"/>
      <c r="R2161" s="278"/>
      <c r="S2161" s="278"/>
      <c r="T2161" s="278"/>
      <c r="U2161" s="279"/>
      <c r="V2161" s="279" t="s">
        <v>1570</v>
      </c>
      <c r="W2161" s="280">
        <v>44546.0</v>
      </c>
      <c r="X2161" s="281">
        <v>0.08333333333333333</v>
      </c>
      <c r="Y2161" s="279" t="s">
        <v>1693</v>
      </c>
      <c r="Z2161" s="282" t="s">
        <v>53</v>
      </c>
      <c r="AA2161" s="282" t="s">
        <v>6192</v>
      </c>
      <c r="AB2161" s="283">
        <v>44546.0</v>
      </c>
      <c r="AC2161" s="284"/>
      <c r="AD2161" s="284"/>
    </row>
    <row r="2162" ht="14.25" customHeight="1">
      <c r="A2162" s="265">
        <v>44546.0</v>
      </c>
      <c r="B2162" s="266" t="s">
        <v>1500</v>
      </c>
      <c r="C2162" s="266" t="s">
        <v>1696</v>
      </c>
      <c r="D2162" s="266" t="s">
        <v>1543</v>
      </c>
      <c r="E2162" s="292"/>
      <c r="F2162" s="291" t="s">
        <v>6193</v>
      </c>
      <c r="G2162" s="268" t="s">
        <v>1463</v>
      </c>
      <c r="H2162" s="270">
        <v>0.0020833333333333333</v>
      </c>
      <c r="I2162" s="271">
        <v>44547.31731481481</v>
      </c>
      <c r="J2162" s="268"/>
      <c r="K2162" s="271">
        <v>44547.322280092594</v>
      </c>
      <c r="L2162" s="288"/>
      <c r="M2162" s="278" t="s">
        <v>6194</v>
      </c>
      <c r="N2162" s="290"/>
      <c r="O2162" s="276"/>
      <c r="P2162" s="276"/>
      <c r="Q2162" s="276"/>
      <c r="R2162" s="278"/>
      <c r="S2162" s="278"/>
      <c r="T2162" s="278"/>
      <c r="U2162" s="279"/>
      <c r="V2162" s="279" t="s">
        <v>2030</v>
      </c>
      <c r="W2162" s="280">
        <v>44558.0</v>
      </c>
      <c r="X2162" s="281">
        <v>0.006944444444444444</v>
      </c>
      <c r="Y2162" s="279" t="s">
        <v>1693</v>
      </c>
      <c r="Z2162" s="282" t="s">
        <v>53</v>
      </c>
      <c r="AA2162" s="282">
        <v>7218082.0</v>
      </c>
      <c r="AB2162" s="283">
        <v>44550.0</v>
      </c>
      <c r="AC2162" s="284"/>
      <c r="AD2162" s="284"/>
    </row>
    <row r="2163" ht="14.25" customHeight="1">
      <c r="A2163" s="265">
        <v>44546.0</v>
      </c>
      <c r="B2163" s="266" t="s">
        <v>2030</v>
      </c>
      <c r="C2163" s="266"/>
      <c r="D2163" s="266" t="s">
        <v>1450</v>
      </c>
      <c r="E2163" s="292"/>
      <c r="F2163" s="358" t="s">
        <v>6195</v>
      </c>
      <c r="G2163" s="268" t="s">
        <v>2085</v>
      </c>
      <c r="H2163" s="270">
        <v>0.09688657407407408</v>
      </c>
      <c r="I2163" s="271">
        <v>44546.4375</v>
      </c>
      <c r="J2163" s="268"/>
      <c r="K2163" s="271">
        <v>44546.51736111111</v>
      </c>
      <c r="L2163" s="288"/>
      <c r="M2163" s="278"/>
      <c r="N2163" s="290"/>
      <c r="O2163" s="276"/>
      <c r="P2163" s="276"/>
      <c r="Q2163" s="276"/>
      <c r="R2163" s="278"/>
      <c r="S2163" s="278"/>
      <c r="T2163" s="278"/>
      <c r="U2163" s="279"/>
      <c r="V2163" s="279" t="s">
        <v>2030</v>
      </c>
      <c r="W2163" s="280">
        <v>44547.0</v>
      </c>
      <c r="X2163" s="281">
        <v>0.20833333333333334</v>
      </c>
      <c r="Y2163" s="279" t="s">
        <v>1693</v>
      </c>
      <c r="Z2163" s="282" t="s">
        <v>53</v>
      </c>
      <c r="AA2163" s="282" t="s">
        <v>6195</v>
      </c>
      <c r="AB2163" s="283">
        <v>44547.0</v>
      </c>
      <c r="AC2163" s="284"/>
      <c r="AD2163" s="284"/>
    </row>
    <row r="2164" ht="14.25" customHeight="1">
      <c r="A2164" s="265">
        <v>44546.0</v>
      </c>
      <c r="B2164" s="266" t="s">
        <v>2030</v>
      </c>
      <c r="C2164" s="266"/>
      <c r="D2164" s="266" t="s">
        <v>1452</v>
      </c>
      <c r="E2164" s="292"/>
      <c r="F2164" s="358" t="s">
        <v>6196</v>
      </c>
      <c r="G2164" s="268" t="s">
        <v>2085</v>
      </c>
      <c r="H2164" s="270">
        <v>0.002002314814814815</v>
      </c>
      <c r="I2164" s="271">
        <v>44546.458333333336</v>
      </c>
      <c r="J2164" s="268"/>
      <c r="K2164" s="271">
        <v>44546.46041666667</v>
      </c>
      <c r="L2164" s="288"/>
      <c r="M2164" s="278"/>
      <c r="N2164" s="290"/>
      <c r="O2164" s="276"/>
      <c r="P2164" s="276"/>
      <c r="Q2164" s="276"/>
      <c r="R2164" s="278"/>
      <c r="S2164" s="278"/>
      <c r="T2164" s="278"/>
      <c r="U2164" s="279"/>
      <c r="V2164" s="279" t="s">
        <v>2030</v>
      </c>
      <c r="W2164" s="280">
        <v>44548.0</v>
      </c>
      <c r="X2164" s="281">
        <v>0.005555555555555556</v>
      </c>
      <c r="Y2164" s="279" t="s">
        <v>1693</v>
      </c>
      <c r="Z2164" s="282" t="s">
        <v>53</v>
      </c>
      <c r="AA2164" s="282" t="s">
        <v>6196</v>
      </c>
      <c r="AB2164" s="283">
        <v>44547.0</v>
      </c>
      <c r="AC2164" s="284"/>
      <c r="AD2164" s="284"/>
    </row>
    <row r="2165" ht="14.25" customHeight="1">
      <c r="A2165" s="265">
        <v>44546.0</v>
      </c>
      <c r="B2165" s="266" t="s">
        <v>1570</v>
      </c>
      <c r="C2165" s="266"/>
      <c r="D2165" s="266" t="s">
        <v>1686</v>
      </c>
      <c r="E2165" s="292"/>
      <c r="F2165" s="358" t="s">
        <v>6197</v>
      </c>
      <c r="G2165" s="268" t="s">
        <v>2085</v>
      </c>
      <c r="H2165" s="270">
        <v>0.037627314814814815</v>
      </c>
      <c r="I2165" s="271">
        <v>44547.48055555556</v>
      </c>
      <c r="J2165" s="268"/>
      <c r="K2165" s="271">
        <v>44547.5200462963</v>
      </c>
      <c r="L2165" s="288"/>
      <c r="M2165" s="278"/>
      <c r="N2165" s="290"/>
      <c r="O2165" s="276"/>
      <c r="P2165" s="276"/>
      <c r="Q2165" s="276"/>
      <c r="R2165" s="278"/>
      <c r="S2165" s="278"/>
      <c r="T2165" s="278"/>
      <c r="U2165" s="279"/>
      <c r="V2165" s="279" t="s">
        <v>1570</v>
      </c>
      <c r="W2165" s="280">
        <v>44547.0</v>
      </c>
      <c r="X2165" s="281">
        <v>0.125</v>
      </c>
      <c r="Y2165" s="279" t="s">
        <v>1693</v>
      </c>
      <c r="Z2165" s="282" t="s">
        <v>53</v>
      </c>
      <c r="AA2165" s="282" t="s">
        <v>6197</v>
      </c>
      <c r="AB2165" s="283">
        <v>44547.0</v>
      </c>
      <c r="AC2165" s="284"/>
      <c r="AD2165" s="284"/>
    </row>
    <row r="2166" ht="14.25" customHeight="1">
      <c r="A2166" s="265">
        <v>44546.0</v>
      </c>
      <c r="B2166" s="266" t="s">
        <v>3677</v>
      </c>
      <c r="C2166" s="266"/>
      <c r="D2166" s="266" t="s">
        <v>1455</v>
      </c>
      <c r="E2166" s="292"/>
      <c r="F2166" s="358" t="s">
        <v>6198</v>
      </c>
      <c r="G2166" s="268" t="s">
        <v>2085</v>
      </c>
      <c r="H2166" s="270">
        <v>0.021319444444444443</v>
      </c>
      <c r="I2166" s="271">
        <v>44546.936111111114</v>
      </c>
      <c r="J2166" s="268"/>
      <c r="K2166" s="271">
        <v>44546.951365740744</v>
      </c>
      <c r="L2166" s="288"/>
      <c r="M2166" s="278"/>
      <c r="N2166" s="290"/>
      <c r="O2166" s="276"/>
      <c r="P2166" s="276"/>
      <c r="Q2166" s="276"/>
      <c r="R2166" s="278"/>
      <c r="S2166" s="278"/>
      <c r="T2166" s="278"/>
      <c r="U2166" s="279"/>
      <c r="V2166" s="279" t="s">
        <v>1570</v>
      </c>
      <c r="W2166" s="280">
        <v>44547.0</v>
      </c>
      <c r="X2166" s="281">
        <v>0.08333333333333333</v>
      </c>
      <c r="Y2166" s="279" t="s">
        <v>1693</v>
      </c>
      <c r="Z2166" s="282" t="s">
        <v>53</v>
      </c>
      <c r="AA2166" s="282" t="s">
        <v>6198</v>
      </c>
      <c r="AB2166" s="283">
        <v>44547.0</v>
      </c>
      <c r="AC2166" s="284"/>
      <c r="AD2166" s="284"/>
    </row>
    <row r="2167" ht="14.25" customHeight="1">
      <c r="A2167" s="265">
        <v>44546.0</v>
      </c>
      <c r="B2167" s="266" t="s">
        <v>1500</v>
      </c>
      <c r="C2167" s="266" t="s">
        <v>1642</v>
      </c>
      <c r="D2167" s="266" t="s">
        <v>1502</v>
      </c>
      <c r="E2167" s="409"/>
      <c r="F2167" s="291" t="s">
        <v>1655</v>
      </c>
      <c r="G2167" s="268" t="s">
        <v>1463</v>
      </c>
      <c r="H2167" s="270">
        <v>0.043368055555555556</v>
      </c>
      <c r="I2167" s="271">
        <v>44550.689421296294</v>
      </c>
      <c r="J2167" s="268"/>
      <c r="K2167" s="271">
        <v>44550.868993055556</v>
      </c>
      <c r="L2167" s="288" t="str">
        <f>IFERROR(IF(OR(I2167="",K2167=""),"",K2167-I2167),"")</f>
        <v>4:18:35 AM</v>
      </c>
      <c r="M2167" s="278" t="s">
        <v>1656</v>
      </c>
      <c r="N2167" s="290"/>
      <c r="O2167" s="276"/>
      <c r="P2167" s="276"/>
      <c r="Q2167" s="276"/>
      <c r="R2167" s="278"/>
      <c r="S2167" s="278"/>
      <c r="T2167" s="278"/>
      <c r="U2167" s="279"/>
      <c r="V2167" s="279"/>
      <c r="W2167" s="279"/>
      <c r="X2167" s="279"/>
      <c r="Y2167" s="279"/>
      <c r="Z2167" s="282" t="s">
        <v>1505</v>
      </c>
      <c r="AA2167" s="282">
        <v>7214309.0</v>
      </c>
      <c r="AB2167" s="283">
        <v>44546.0</v>
      </c>
      <c r="AC2167" s="284"/>
      <c r="AD2167" s="284"/>
    </row>
    <row r="2168" ht="14.25" customHeight="1">
      <c r="A2168" s="265">
        <v>44547.0</v>
      </c>
      <c r="B2168" s="266" t="s">
        <v>2030</v>
      </c>
      <c r="C2168" s="266" t="s">
        <v>1686</v>
      </c>
      <c r="D2168" s="266" t="s">
        <v>1543</v>
      </c>
      <c r="E2168" s="292"/>
      <c r="F2168" s="269" t="s">
        <v>6199</v>
      </c>
      <c r="G2168" s="268" t="s">
        <v>1463</v>
      </c>
      <c r="H2168" s="270">
        <v>0.0018981481481481482</v>
      </c>
      <c r="I2168" s="271">
        <v>44551.495833333334</v>
      </c>
      <c r="J2168" s="268"/>
      <c r="K2168" s="271">
        <v>44551.498611111114</v>
      </c>
      <c r="L2168" s="288"/>
      <c r="M2168" s="278" t="s">
        <v>6200</v>
      </c>
      <c r="N2168" s="290"/>
      <c r="O2168" s="276"/>
      <c r="P2168" s="276"/>
      <c r="Q2168" s="276"/>
      <c r="R2168" s="278"/>
      <c r="S2168" s="278"/>
      <c r="T2168" s="278"/>
      <c r="U2168" s="279"/>
      <c r="V2168" s="279" t="s">
        <v>1824</v>
      </c>
      <c r="W2168" s="280">
        <v>44558.0</v>
      </c>
      <c r="X2168" s="281">
        <v>0.005555555555555556</v>
      </c>
      <c r="Y2168" s="279" t="s">
        <v>1693</v>
      </c>
      <c r="Z2168" s="282" t="s">
        <v>1570</v>
      </c>
      <c r="AA2168" s="282">
        <v>7242130.0</v>
      </c>
      <c r="AB2168" s="283">
        <v>44556.0</v>
      </c>
      <c r="AC2168" s="284"/>
      <c r="AD2168" s="284"/>
    </row>
    <row r="2169" ht="14.25" customHeight="1">
      <c r="A2169" s="265">
        <v>44547.0</v>
      </c>
      <c r="B2169" s="266" t="s">
        <v>1500</v>
      </c>
      <c r="C2169" s="266" t="s">
        <v>1686</v>
      </c>
      <c r="D2169" s="266" t="s">
        <v>1543</v>
      </c>
      <c r="E2169" s="292"/>
      <c r="F2169" s="269" t="s">
        <v>6201</v>
      </c>
      <c r="G2169" s="268" t="s">
        <v>1463</v>
      </c>
      <c r="H2169" s="270">
        <v>0.003483796296296296</v>
      </c>
      <c r="I2169" s="271">
        <v>44557.23611111111</v>
      </c>
      <c r="J2169" s="268"/>
      <c r="K2169" s="271">
        <v>44557.24738425926</v>
      </c>
      <c r="L2169" s="288"/>
      <c r="M2169" s="278" t="s">
        <v>6202</v>
      </c>
      <c r="N2169" s="290"/>
      <c r="O2169" s="276"/>
      <c r="P2169" s="276"/>
      <c r="Q2169" s="276"/>
      <c r="R2169" s="278"/>
      <c r="S2169" s="278"/>
      <c r="T2169" s="278"/>
      <c r="U2169" s="279"/>
      <c r="V2169" s="279" t="s">
        <v>1738</v>
      </c>
      <c r="W2169" s="280">
        <v>44562.0</v>
      </c>
      <c r="X2169" s="281">
        <v>0.006944444444444444</v>
      </c>
      <c r="Y2169" s="279" t="s">
        <v>1693</v>
      </c>
      <c r="Z2169" s="282" t="s">
        <v>53</v>
      </c>
      <c r="AA2169" s="282">
        <v>7254993.0</v>
      </c>
      <c r="AB2169" s="283">
        <v>44557.0</v>
      </c>
      <c r="AC2169" s="284"/>
      <c r="AD2169" s="284"/>
    </row>
    <row r="2170" ht="14.25" customHeight="1">
      <c r="A2170" s="265">
        <v>44547.0</v>
      </c>
      <c r="B2170" s="266" t="s">
        <v>1500</v>
      </c>
      <c r="C2170" s="266" t="s">
        <v>1455</v>
      </c>
      <c r="D2170" s="266" t="s">
        <v>1543</v>
      </c>
      <c r="E2170" s="292"/>
      <c r="F2170" s="269" t="s">
        <v>6203</v>
      </c>
      <c r="G2170" s="268" t="s">
        <v>1463</v>
      </c>
      <c r="H2170" s="270">
        <v>0.003159722222222222</v>
      </c>
      <c r="I2170" s="271">
        <v>44557.23611111111</v>
      </c>
      <c r="J2170" s="268"/>
      <c r="K2170" s="271">
        <v>44557.24611111111</v>
      </c>
      <c r="L2170" s="288"/>
      <c r="M2170" s="278" t="s">
        <v>6204</v>
      </c>
      <c r="N2170" s="290"/>
      <c r="O2170" s="276"/>
      <c r="P2170" s="276"/>
      <c r="Q2170" s="276"/>
      <c r="R2170" s="278"/>
      <c r="S2170" s="278"/>
      <c r="T2170" s="278"/>
      <c r="U2170" s="279"/>
      <c r="V2170" s="279" t="s">
        <v>1738</v>
      </c>
      <c r="W2170" s="280">
        <v>44562.0</v>
      </c>
      <c r="X2170" s="281">
        <v>0.006944444444444444</v>
      </c>
      <c r="Y2170" s="279" t="s">
        <v>1693</v>
      </c>
      <c r="Z2170" s="282" t="s">
        <v>53</v>
      </c>
      <c r="AA2170" s="282">
        <v>7254994.0</v>
      </c>
      <c r="AB2170" s="283">
        <v>44557.0</v>
      </c>
      <c r="AC2170" s="284"/>
      <c r="AD2170" s="284"/>
    </row>
    <row r="2171" ht="14.25" customHeight="1">
      <c r="A2171" s="265">
        <v>44547.0</v>
      </c>
      <c r="B2171" s="266" t="s">
        <v>2030</v>
      </c>
      <c r="C2171" s="266"/>
      <c r="D2171" s="266" t="s">
        <v>1452</v>
      </c>
      <c r="E2171" s="292"/>
      <c r="F2171" s="291" t="s">
        <v>6189</v>
      </c>
      <c r="G2171" s="268" t="s">
        <v>28</v>
      </c>
      <c r="H2171" s="268" t="s">
        <v>28</v>
      </c>
      <c r="I2171" s="268" t="s">
        <v>28</v>
      </c>
      <c r="J2171" s="268"/>
      <c r="K2171" s="268" t="s">
        <v>28</v>
      </c>
      <c r="L2171" s="288"/>
      <c r="M2171" s="278" t="s">
        <v>28</v>
      </c>
      <c r="N2171" s="290" t="s">
        <v>28</v>
      </c>
      <c r="O2171" s="276" t="s">
        <v>28</v>
      </c>
      <c r="P2171" s="276" t="s">
        <v>28</v>
      </c>
      <c r="Q2171" s="276" t="s">
        <v>28</v>
      </c>
      <c r="R2171" s="278" t="s">
        <v>28</v>
      </c>
      <c r="S2171" s="278" t="s">
        <v>28</v>
      </c>
      <c r="T2171" s="278" t="s">
        <v>28</v>
      </c>
      <c r="U2171" s="279" t="s">
        <v>28</v>
      </c>
      <c r="V2171" s="279" t="s">
        <v>28</v>
      </c>
      <c r="W2171" s="279" t="s">
        <v>28</v>
      </c>
      <c r="X2171" s="279" t="s">
        <v>28</v>
      </c>
      <c r="Y2171" s="279" t="s">
        <v>28</v>
      </c>
      <c r="Z2171" s="282" t="s">
        <v>28</v>
      </c>
      <c r="AA2171" s="282" t="s">
        <v>28</v>
      </c>
      <c r="AB2171" s="282" t="s">
        <v>28</v>
      </c>
      <c r="AC2171" s="284"/>
      <c r="AD2171" s="284"/>
    </row>
    <row r="2172" ht="14.25" customHeight="1">
      <c r="A2172" s="265">
        <v>44547.0</v>
      </c>
      <c r="B2172" s="266" t="s">
        <v>2030</v>
      </c>
      <c r="C2172" s="266"/>
      <c r="D2172" s="266" t="s">
        <v>1450</v>
      </c>
      <c r="E2172" s="292"/>
      <c r="F2172" s="358" t="s">
        <v>6205</v>
      </c>
      <c r="G2172" s="268" t="s">
        <v>2085</v>
      </c>
      <c r="H2172" s="270">
        <v>0.09531250000000001</v>
      </c>
      <c r="I2172" s="271">
        <v>44547.490277777775</v>
      </c>
      <c r="J2172" s="268"/>
      <c r="K2172" s="271">
        <v>44550.6505787037</v>
      </c>
      <c r="L2172" s="288"/>
      <c r="M2172" s="278"/>
      <c r="N2172" s="290"/>
      <c r="O2172" s="276"/>
      <c r="P2172" s="276"/>
      <c r="Q2172" s="276"/>
      <c r="R2172" s="278"/>
      <c r="S2172" s="278"/>
      <c r="T2172" s="278"/>
      <c r="U2172" s="279"/>
      <c r="V2172" s="279" t="s">
        <v>1738</v>
      </c>
      <c r="W2172" s="280">
        <v>44550.0</v>
      </c>
      <c r="X2172" s="281">
        <v>0.25</v>
      </c>
      <c r="Y2172" s="279" t="s">
        <v>1693</v>
      </c>
      <c r="Z2172" s="282" t="s">
        <v>53</v>
      </c>
      <c r="AA2172" s="282" t="s">
        <v>6205</v>
      </c>
      <c r="AB2172" s="283">
        <v>44550.0</v>
      </c>
      <c r="AC2172" s="284"/>
      <c r="AD2172" s="284"/>
    </row>
    <row r="2173" ht="14.25" customHeight="1">
      <c r="A2173" s="265">
        <v>44547.0</v>
      </c>
      <c r="B2173" s="266" t="s">
        <v>1570</v>
      </c>
      <c r="C2173" s="266"/>
      <c r="D2173" s="266" t="s">
        <v>1686</v>
      </c>
      <c r="E2173" s="292"/>
      <c r="F2173" s="358" t="s">
        <v>6206</v>
      </c>
      <c r="G2173" s="268" t="s">
        <v>2085</v>
      </c>
      <c r="H2173" s="270">
        <v>0.036828703703703704</v>
      </c>
      <c r="I2173" s="271">
        <v>44547.57708333333</v>
      </c>
      <c r="J2173" s="268"/>
      <c r="K2173" s="268"/>
      <c r="L2173" s="288"/>
      <c r="M2173" s="278"/>
      <c r="N2173" s="290"/>
      <c r="O2173" s="276"/>
      <c r="P2173" s="276"/>
      <c r="Q2173" s="276"/>
      <c r="R2173" s="278"/>
      <c r="S2173" s="278"/>
      <c r="T2173" s="278"/>
      <c r="U2173" s="279"/>
      <c r="V2173" s="279" t="s">
        <v>1824</v>
      </c>
      <c r="W2173" s="280">
        <v>44550.0</v>
      </c>
      <c r="X2173" s="281">
        <v>0.13194444444444445</v>
      </c>
      <c r="Y2173" s="279" t="s">
        <v>1693</v>
      </c>
      <c r="Z2173" s="282" t="s">
        <v>53</v>
      </c>
      <c r="AA2173" s="282" t="s">
        <v>6206</v>
      </c>
      <c r="AB2173" s="283">
        <v>44550.0</v>
      </c>
      <c r="AC2173" s="284"/>
      <c r="AD2173" s="284"/>
    </row>
    <row r="2174" ht="14.25" customHeight="1">
      <c r="A2174" s="265">
        <v>44547.0</v>
      </c>
      <c r="B2174" s="266" t="s">
        <v>3677</v>
      </c>
      <c r="C2174" s="266"/>
      <c r="D2174" s="266" t="s">
        <v>1455</v>
      </c>
      <c r="E2174" s="292"/>
      <c r="F2174" s="358" t="s">
        <v>6207</v>
      </c>
      <c r="G2174" s="268" t="s">
        <v>2085</v>
      </c>
      <c r="H2174" s="270">
        <v>0.022962962962962966</v>
      </c>
      <c r="I2174" s="271">
        <v>44547.972916666666</v>
      </c>
      <c r="J2174" s="268"/>
      <c r="K2174" s="271">
        <v>44547.989583333336</v>
      </c>
      <c r="L2174" s="288"/>
      <c r="M2174" s="278"/>
      <c r="N2174" s="290"/>
      <c r="O2174" s="276"/>
      <c r="P2174" s="276"/>
      <c r="Q2174" s="276"/>
      <c r="R2174" s="278"/>
      <c r="S2174" s="278"/>
      <c r="T2174" s="278"/>
      <c r="U2174" s="279"/>
      <c r="V2174" s="279" t="s">
        <v>1500</v>
      </c>
      <c r="W2174" s="280">
        <v>44550.0</v>
      </c>
      <c r="X2174" s="281">
        <v>0.08333333333333333</v>
      </c>
      <c r="Y2174" s="279" t="s">
        <v>1693</v>
      </c>
      <c r="Z2174" s="282" t="s">
        <v>53</v>
      </c>
      <c r="AA2174" s="282" t="s">
        <v>6207</v>
      </c>
      <c r="AB2174" s="283">
        <v>44550.0</v>
      </c>
      <c r="AC2174" s="284"/>
      <c r="AD2174" s="284"/>
    </row>
    <row r="2175" ht="14.25" customHeight="1">
      <c r="A2175" s="265">
        <v>44548.0</v>
      </c>
      <c r="B2175" s="266" t="s">
        <v>2030</v>
      </c>
      <c r="C2175" s="266" t="s">
        <v>1686</v>
      </c>
      <c r="D2175" s="266" t="s">
        <v>1543</v>
      </c>
      <c r="E2175" s="292"/>
      <c r="F2175" s="269" t="s">
        <v>6208</v>
      </c>
      <c r="G2175" s="268" t="s">
        <v>1463</v>
      </c>
      <c r="H2175" s="270">
        <v>0.00337962962962963</v>
      </c>
      <c r="I2175" s="271">
        <v>44551.385416666664</v>
      </c>
      <c r="J2175" s="268"/>
      <c r="K2175" s="271">
        <v>44551.39166666667</v>
      </c>
      <c r="L2175" s="288"/>
      <c r="M2175" s="278" t="s">
        <v>6209</v>
      </c>
      <c r="N2175" s="290"/>
      <c r="O2175" s="276"/>
      <c r="P2175" s="276"/>
      <c r="Q2175" s="276"/>
      <c r="R2175" s="278"/>
      <c r="S2175" s="278"/>
      <c r="T2175" s="278"/>
      <c r="U2175" s="279"/>
      <c r="V2175" s="279" t="s">
        <v>1824</v>
      </c>
      <c r="W2175" s="280">
        <v>44566.0</v>
      </c>
      <c r="X2175" s="281">
        <v>0.041666666666666664</v>
      </c>
      <c r="Y2175" s="279" t="s">
        <v>1693</v>
      </c>
      <c r="Z2175" s="282" t="s">
        <v>1570</v>
      </c>
      <c r="AA2175" s="282">
        <v>7242131.0</v>
      </c>
      <c r="AB2175" s="283">
        <v>44556.0</v>
      </c>
      <c r="AC2175" s="284"/>
      <c r="AD2175" s="284"/>
    </row>
    <row r="2176" ht="14.25" customHeight="1">
      <c r="A2176" s="265">
        <v>44548.0</v>
      </c>
      <c r="B2176" s="266" t="s">
        <v>6210</v>
      </c>
      <c r="C2176" s="266" t="s">
        <v>1686</v>
      </c>
      <c r="D2176" s="266" t="s">
        <v>1543</v>
      </c>
      <c r="E2176" s="292"/>
      <c r="F2176" s="269" t="s">
        <v>6211</v>
      </c>
      <c r="G2176" s="268" t="s">
        <v>1463</v>
      </c>
      <c r="H2176" s="270">
        <v>0.001736111111111111</v>
      </c>
      <c r="I2176" s="271">
        <v>44551.32847222222</v>
      </c>
      <c r="J2176" s="268"/>
      <c r="K2176" s="271">
        <v>44551.36944444444</v>
      </c>
      <c r="L2176" s="288"/>
      <c r="M2176" s="278" t="s">
        <v>6212</v>
      </c>
      <c r="N2176" s="290"/>
      <c r="O2176" s="276"/>
      <c r="P2176" s="276"/>
      <c r="Q2176" s="276"/>
      <c r="R2176" s="278"/>
      <c r="S2176" s="278"/>
      <c r="T2176" s="278"/>
      <c r="U2176" s="279"/>
      <c r="V2176" s="279" t="s">
        <v>1824</v>
      </c>
      <c r="W2176" s="280">
        <v>44558.0</v>
      </c>
      <c r="X2176" s="281">
        <v>0.004861111111111111</v>
      </c>
      <c r="Y2176" s="279" t="s">
        <v>1693</v>
      </c>
      <c r="Z2176" s="282" t="s">
        <v>1570</v>
      </c>
      <c r="AA2176" s="282">
        <v>7242132.0</v>
      </c>
      <c r="AB2176" s="283">
        <v>44556.0</v>
      </c>
      <c r="AC2176" s="284"/>
      <c r="AD2176" s="284"/>
    </row>
    <row r="2177" ht="14.25" customHeight="1">
      <c r="A2177" s="265">
        <v>44548.0</v>
      </c>
      <c r="B2177" s="266" t="s">
        <v>2030</v>
      </c>
      <c r="C2177" s="266" t="s">
        <v>1455</v>
      </c>
      <c r="D2177" s="266" t="s">
        <v>1543</v>
      </c>
      <c r="E2177" s="292"/>
      <c r="F2177" s="269" t="s">
        <v>6213</v>
      </c>
      <c r="G2177" s="268" t="s">
        <v>1463</v>
      </c>
      <c r="H2177" s="270">
        <v>0.0011111111111111111</v>
      </c>
      <c r="I2177" s="271">
        <v>44553.46944444445</v>
      </c>
      <c r="J2177" s="268"/>
      <c r="K2177" s="271">
        <v>44553.493055555555</v>
      </c>
      <c r="L2177" s="288"/>
      <c r="M2177" s="272" t="s">
        <v>6214</v>
      </c>
      <c r="N2177" s="273"/>
      <c r="O2177" s="276"/>
      <c r="P2177" s="276"/>
      <c r="Q2177" s="276"/>
      <c r="R2177" s="278"/>
      <c r="S2177" s="278"/>
      <c r="T2177" s="278"/>
      <c r="U2177" s="279"/>
      <c r="V2177" s="279" t="s">
        <v>1824</v>
      </c>
      <c r="W2177" s="280">
        <v>44558.0</v>
      </c>
      <c r="X2177" s="281">
        <v>0.004861111111111111</v>
      </c>
      <c r="Y2177" s="279" t="s">
        <v>1693</v>
      </c>
      <c r="Z2177" s="282" t="s">
        <v>1570</v>
      </c>
      <c r="AA2177" s="282">
        <v>7242134.0</v>
      </c>
      <c r="AB2177" s="283">
        <v>44556.0</v>
      </c>
      <c r="AC2177" s="284"/>
      <c r="AD2177" s="284"/>
    </row>
    <row r="2178" ht="14.25" customHeight="1">
      <c r="A2178" s="265">
        <v>44548.0</v>
      </c>
      <c r="B2178" s="266" t="s">
        <v>1500</v>
      </c>
      <c r="C2178" s="266"/>
      <c r="D2178" s="266" t="s">
        <v>5999</v>
      </c>
      <c r="E2178" s="292"/>
      <c r="F2178" s="269" t="s">
        <v>6215</v>
      </c>
      <c r="G2178" s="268" t="s">
        <v>1661</v>
      </c>
      <c r="H2178" s="270">
        <v>0.029270833333333333</v>
      </c>
      <c r="I2178" s="271">
        <v>44557.509305555555</v>
      </c>
      <c r="J2178" s="268"/>
      <c r="K2178" s="271">
        <v>44557.52291666667</v>
      </c>
      <c r="L2178" s="288"/>
      <c r="M2178" s="278" t="s">
        <v>6216</v>
      </c>
      <c r="N2178" s="290"/>
      <c r="O2178" s="276"/>
      <c r="P2178" s="276"/>
      <c r="Q2178" s="276"/>
      <c r="R2178" s="278"/>
      <c r="S2178" s="278"/>
      <c r="T2178" s="278"/>
      <c r="U2178" s="279"/>
      <c r="V2178" s="279" t="s">
        <v>1746</v>
      </c>
      <c r="W2178" s="280">
        <v>44558.0</v>
      </c>
      <c r="X2178" s="281">
        <v>0.08333333333333333</v>
      </c>
      <c r="Y2178" s="279"/>
      <c r="Z2178" s="282" t="s">
        <v>53</v>
      </c>
      <c r="AA2178" s="282">
        <v>7259351.0</v>
      </c>
      <c r="AB2178" s="283">
        <v>44559.0</v>
      </c>
      <c r="AC2178" s="284"/>
      <c r="AD2178" s="284"/>
    </row>
    <row r="2179" ht="14.25" customHeight="1">
      <c r="A2179" s="265">
        <v>44548.0</v>
      </c>
      <c r="B2179" s="266" t="s">
        <v>2030</v>
      </c>
      <c r="C2179" s="266"/>
      <c r="D2179" s="266" t="s">
        <v>1686</v>
      </c>
      <c r="E2179" s="292"/>
      <c r="F2179" s="358" t="s">
        <v>6217</v>
      </c>
      <c r="G2179" s="268" t="s">
        <v>2085</v>
      </c>
      <c r="H2179" s="270">
        <v>0.037986111111111116</v>
      </c>
      <c r="I2179" s="271">
        <v>44548.65347222222</v>
      </c>
      <c r="J2179" s="268"/>
      <c r="K2179" s="271">
        <v>44548.67986111111</v>
      </c>
      <c r="L2179" s="288"/>
      <c r="M2179" s="278"/>
      <c r="N2179" s="290"/>
      <c r="O2179" s="276"/>
      <c r="P2179" s="276"/>
      <c r="Q2179" s="276"/>
      <c r="R2179" s="278"/>
      <c r="S2179" s="278"/>
      <c r="T2179" s="278"/>
      <c r="U2179" s="279"/>
      <c r="V2179" s="279" t="s">
        <v>1824</v>
      </c>
      <c r="W2179" s="280">
        <v>44550.0</v>
      </c>
      <c r="X2179" s="281">
        <v>0.10416666666666667</v>
      </c>
      <c r="Y2179" s="279" t="s">
        <v>1693</v>
      </c>
      <c r="Z2179" s="282" t="s">
        <v>53</v>
      </c>
      <c r="AA2179" s="282" t="s">
        <v>6217</v>
      </c>
      <c r="AB2179" s="283">
        <v>44550.0</v>
      </c>
      <c r="AC2179" s="284"/>
      <c r="AD2179" s="284"/>
    </row>
    <row r="2180" ht="14.25" customHeight="1">
      <c r="A2180" s="265">
        <v>44548.0</v>
      </c>
      <c r="B2180" s="266" t="s">
        <v>1733</v>
      </c>
      <c r="C2180" s="266"/>
      <c r="D2180" s="266" t="s">
        <v>1455</v>
      </c>
      <c r="E2180" s="292"/>
      <c r="F2180" s="358" t="s">
        <v>6218</v>
      </c>
      <c r="G2180" s="268" t="s">
        <v>2085</v>
      </c>
      <c r="H2180" s="270">
        <v>0.016828703703703703</v>
      </c>
      <c r="I2180" s="271">
        <v>44549.970138888886</v>
      </c>
      <c r="J2180" s="268"/>
      <c r="K2180" s="271">
        <v>44549.992268518516</v>
      </c>
      <c r="L2180" s="288"/>
      <c r="M2180" s="278"/>
      <c r="N2180" s="290"/>
      <c r="O2180" s="276"/>
      <c r="P2180" s="276"/>
      <c r="Q2180" s="276"/>
      <c r="R2180" s="278"/>
      <c r="S2180" s="278"/>
      <c r="T2180" s="278"/>
      <c r="U2180" s="279"/>
      <c r="V2180" s="279" t="s">
        <v>1500</v>
      </c>
      <c r="W2180" s="280">
        <v>44550.0</v>
      </c>
      <c r="X2180" s="281">
        <v>0.08333333333333333</v>
      </c>
      <c r="Y2180" s="279" t="s">
        <v>1693</v>
      </c>
      <c r="Z2180" s="282" t="s">
        <v>53</v>
      </c>
      <c r="AA2180" s="282" t="s">
        <v>6218</v>
      </c>
      <c r="AB2180" s="283">
        <v>44550.0</v>
      </c>
      <c r="AC2180" s="284"/>
      <c r="AD2180" s="284"/>
    </row>
    <row r="2181" ht="14.25" customHeight="1">
      <c r="A2181" s="265">
        <v>44549.0</v>
      </c>
      <c r="B2181" s="266" t="s">
        <v>1733</v>
      </c>
      <c r="C2181" s="266"/>
      <c r="D2181" s="266" t="s">
        <v>3509</v>
      </c>
      <c r="E2181" s="292"/>
      <c r="F2181" s="358">
        <v>7198428.0</v>
      </c>
      <c r="G2181" s="268" t="s">
        <v>3839</v>
      </c>
      <c r="H2181" s="270">
        <v>0.01537037037037037</v>
      </c>
      <c r="I2181" s="271">
        <v>44550.029861111114</v>
      </c>
      <c r="J2181" s="268"/>
      <c r="K2181" s="271">
        <v>44550.02800925926</v>
      </c>
      <c r="L2181" s="288"/>
      <c r="M2181" s="307"/>
      <c r="N2181" s="273"/>
      <c r="O2181" s="276"/>
      <c r="P2181" s="276"/>
      <c r="Q2181" s="276"/>
      <c r="R2181" s="278"/>
      <c r="S2181" s="278"/>
      <c r="T2181" s="278"/>
      <c r="U2181" s="279" t="s">
        <v>28</v>
      </c>
      <c r="V2181" s="279" t="s">
        <v>28</v>
      </c>
      <c r="W2181" s="279" t="s">
        <v>28</v>
      </c>
      <c r="X2181" s="279" t="s">
        <v>28</v>
      </c>
      <c r="Y2181" s="279" t="s">
        <v>28</v>
      </c>
      <c r="Z2181" s="282" t="s">
        <v>6219</v>
      </c>
      <c r="AA2181" s="282">
        <v>7198428.0</v>
      </c>
      <c r="AB2181" s="283">
        <v>44550.0</v>
      </c>
      <c r="AC2181" s="284"/>
      <c r="AD2181" s="284"/>
    </row>
    <row r="2182" ht="14.25" customHeight="1">
      <c r="A2182" s="265">
        <v>44549.0</v>
      </c>
      <c r="B2182" s="266" t="s">
        <v>2030</v>
      </c>
      <c r="C2182" s="266" t="s">
        <v>1450</v>
      </c>
      <c r="D2182" s="266" t="s">
        <v>1543</v>
      </c>
      <c r="E2182" s="292"/>
      <c r="F2182" s="269" t="s">
        <v>6220</v>
      </c>
      <c r="G2182" s="268" t="s">
        <v>1463</v>
      </c>
      <c r="H2182" s="270">
        <v>9.259259259259259E-4</v>
      </c>
      <c r="I2182" s="271">
        <v>44552.48611111111</v>
      </c>
      <c r="J2182" s="268"/>
      <c r="K2182" s="271">
        <v>44552.49166666667</v>
      </c>
      <c r="L2182" s="288"/>
      <c r="M2182" s="272" t="s">
        <v>6221</v>
      </c>
      <c r="N2182" s="273"/>
      <c r="O2182" s="276"/>
      <c r="P2182" s="276"/>
      <c r="Q2182" s="276"/>
      <c r="R2182" s="278"/>
      <c r="S2182" s="278"/>
      <c r="T2182" s="278"/>
      <c r="U2182" s="279"/>
      <c r="V2182" s="279" t="s">
        <v>1824</v>
      </c>
      <c r="W2182" s="280">
        <v>44558.0</v>
      </c>
      <c r="X2182" s="281">
        <v>0.002777777777777778</v>
      </c>
      <c r="Y2182" s="279" t="s">
        <v>1693</v>
      </c>
      <c r="Z2182" s="282" t="s">
        <v>1570</v>
      </c>
      <c r="AA2182" s="282">
        <v>7242133.0</v>
      </c>
      <c r="AB2182" s="283">
        <v>44556.0</v>
      </c>
      <c r="AC2182" s="284"/>
      <c r="AD2182" s="284"/>
    </row>
    <row r="2183" ht="14.25" customHeight="1">
      <c r="A2183" s="265">
        <v>44549.0</v>
      </c>
      <c r="B2183" s="266" t="s">
        <v>1500</v>
      </c>
      <c r="C2183" s="266" t="s">
        <v>1450</v>
      </c>
      <c r="D2183" s="266" t="s">
        <v>1543</v>
      </c>
      <c r="E2183" s="292"/>
      <c r="F2183" s="269" t="s">
        <v>6222</v>
      </c>
      <c r="G2183" s="268" t="s">
        <v>1463</v>
      </c>
      <c r="H2183" s="270">
        <v>0.0026388888888888885</v>
      </c>
      <c r="I2183" s="271">
        <v>44557.23611111111</v>
      </c>
      <c r="J2183" s="268"/>
      <c r="K2183" s="271">
        <v>44558.24527777778</v>
      </c>
      <c r="L2183" s="288"/>
      <c r="M2183" s="272" t="s">
        <v>6223</v>
      </c>
      <c r="N2183" s="273"/>
      <c r="O2183" s="276"/>
      <c r="P2183" s="276"/>
      <c r="Q2183" s="276"/>
      <c r="R2183" s="278"/>
      <c r="S2183" s="278"/>
      <c r="T2183" s="278"/>
      <c r="U2183" s="279"/>
      <c r="V2183" s="279" t="s">
        <v>1824</v>
      </c>
      <c r="W2183" s="280">
        <v>44558.0</v>
      </c>
      <c r="X2183" s="281">
        <v>0.004166666666666667</v>
      </c>
      <c r="Y2183" s="279" t="s">
        <v>1693</v>
      </c>
      <c r="Z2183" s="282" t="s">
        <v>53</v>
      </c>
      <c r="AA2183" s="282">
        <v>7259352.0</v>
      </c>
      <c r="AB2183" s="283">
        <v>44559.0</v>
      </c>
      <c r="AC2183" s="284"/>
      <c r="AD2183" s="284"/>
    </row>
    <row r="2184" ht="14.25" customHeight="1">
      <c r="A2184" s="265">
        <v>44549.0</v>
      </c>
      <c r="B2184" s="266" t="s">
        <v>1733</v>
      </c>
      <c r="C2184" s="266"/>
      <c r="D2184" s="266" t="s">
        <v>1457</v>
      </c>
      <c r="E2184" s="292"/>
      <c r="F2184" s="358" t="s">
        <v>6224</v>
      </c>
      <c r="G2184" s="268" t="s">
        <v>2085</v>
      </c>
      <c r="H2184" s="270">
        <v>0.01783564814814815</v>
      </c>
      <c r="I2184" s="271">
        <v>44549.99375</v>
      </c>
      <c r="J2184" s="268"/>
      <c r="K2184" s="271">
        <v>44550.00402777778</v>
      </c>
      <c r="L2184" s="288"/>
      <c r="M2184" s="278"/>
      <c r="N2184" s="290"/>
      <c r="O2184" s="276"/>
      <c r="P2184" s="276"/>
      <c r="Q2184" s="276"/>
      <c r="R2184" s="278"/>
      <c r="S2184" s="278"/>
      <c r="T2184" s="278"/>
      <c r="U2184" s="279"/>
      <c r="V2184" s="279" t="s">
        <v>1824</v>
      </c>
      <c r="W2184" s="280">
        <v>44551.0</v>
      </c>
      <c r="X2184" s="281">
        <v>0.04861111111111111</v>
      </c>
      <c r="Y2184" s="279" t="s">
        <v>1693</v>
      </c>
      <c r="Z2184" s="282" t="s">
        <v>53</v>
      </c>
      <c r="AA2184" s="282" t="s">
        <v>6224</v>
      </c>
      <c r="AB2184" s="283">
        <v>44550.0</v>
      </c>
      <c r="AC2184" s="284"/>
      <c r="AD2184" s="284"/>
    </row>
    <row r="2185" ht="14.25" customHeight="1">
      <c r="A2185" s="265">
        <v>44549.0</v>
      </c>
      <c r="B2185" s="266" t="s">
        <v>1733</v>
      </c>
      <c r="C2185" s="266"/>
      <c r="D2185" s="266" t="s">
        <v>2829</v>
      </c>
      <c r="E2185" s="292"/>
      <c r="F2185" s="358" t="s">
        <v>6225</v>
      </c>
      <c r="G2185" s="268" t="s">
        <v>2085</v>
      </c>
      <c r="H2185" s="270">
        <v>0.021840277777777778</v>
      </c>
      <c r="I2185" s="271">
        <v>44550.00069444445</v>
      </c>
      <c r="J2185" s="268"/>
      <c r="K2185" s="268"/>
      <c r="L2185" s="288"/>
      <c r="M2185" s="307" t="s">
        <v>3482</v>
      </c>
      <c r="N2185" s="273">
        <v>44550.00486111111</v>
      </c>
      <c r="O2185" s="276" t="s">
        <v>6226</v>
      </c>
      <c r="P2185" s="276" t="s">
        <v>1463</v>
      </c>
      <c r="Q2185" s="276" t="s">
        <v>1819</v>
      </c>
      <c r="R2185" s="277">
        <v>44550.01940972222</v>
      </c>
      <c r="S2185" s="278"/>
      <c r="T2185" s="278" t="s">
        <v>6227</v>
      </c>
      <c r="U2185" s="279" t="s">
        <v>28</v>
      </c>
      <c r="V2185" s="279" t="s">
        <v>28</v>
      </c>
      <c r="W2185" s="279" t="s">
        <v>28</v>
      </c>
      <c r="X2185" s="279" t="s">
        <v>28</v>
      </c>
      <c r="Y2185" s="279" t="s">
        <v>28</v>
      </c>
      <c r="Z2185" s="282" t="s">
        <v>53</v>
      </c>
      <c r="AA2185" s="282" t="s">
        <v>6225</v>
      </c>
      <c r="AB2185" s="283">
        <v>44550.0</v>
      </c>
      <c r="AC2185" s="284"/>
      <c r="AD2185" s="284"/>
    </row>
    <row r="2186" ht="14.25" customHeight="1">
      <c r="A2186" s="265">
        <v>44550.0</v>
      </c>
      <c r="B2186" s="266" t="s">
        <v>1738</v>
      </c>
      <c r="C2186" s="266"/>
      <c r="D2186" s="266" t="s">
        <v>1450</v>
      </c>
      <c r="E2186" s="292"/>
      <c r="F2186" s="358" t="s">
        <v>6228</v>
      </c>
      <c r="G2186" s="268" t="s">
        <v>2085</v>
      </c>
      <c r="H2186" s="270">
        <v>0.09697916666666667</v>
      </c>
      <c r="I2186" s="271">
        <v>44550.46388888889</v>
      </c>
      <c r="J2186" s="268"/>
      <c r="K2186" s="271">
        <v>44550.532638888886</v>
      </c>
      <c r="L2186" s="288"/>
      <c r="M2186" s="278"/>
      <c r="N2186" s="290"/>
      <c r="O2186" s="276"/>
      <c r="P2186" s="276"/>
      <c r="Q2186" s="276"/>
      <c r="R2186" s="278"/>
      <c r="S2186" s="278"/>
      <c r="T2186" s="278"/>
      <c r="U2186" s="279"/>
      <c r="V2186" s="279" t="s">
        <v>1738</v>
      </c>
      <c r="W2186" s="280">
        <v>44551.0</v>
      </c>
      <c r="X2186" s="281">
        <v>0.25</v>
      </c>
      <c r="Y2186" s="279" t="s">
        <v>1693</v>
      </c>
      <c r="Z2186" s="282" t="s">
        <v>53</v>
      </c>
      <c r="AA2186" s="282" t="s">
        <v>6228</v>
      </c>
      <c r="AB2186" s="283">
        <v>44551.0</v>
      </c>
      <c r="AC2186" s="284"/>
      <c r="AD2186" s="284"/>
    </row>
    <row r="2187" ht="14.25" customHeight="1">
      <c r="A2187" s="265">
        <v>44550.0</v>
      </c>
      <c r="B2187" s="266" t="s">
        <v>1738</v>
      </c>
      <c r="C2187" s="266"/>
      <c r="D2187" s="266" t="s">
        <v>1452</v>
      </c>
      <c r="E2187" s="292"/>
      <c r="F2187" s="358" t="s">
        <v>6229</v>
      </c>
      <c r="G2187" s="268" t="s">
        <v>2085</v>
      </c>
      <c r="H2187" s="270">
        <v>0.0019444444444444442</v>
      </c>
      <c r="I2187" s="271">
        <v>44550.56041666667</v>
      </c>
      <c r="J2187" s="268"/>
      <c r="K2187" s="271">
        <v>44550.60972222222</v>
      </c>
      <c r="L2187" s="288"/>
      <c r="M2187" s="278"/>
      <c r="N2187" s="290"/>
      <c r="O2187" s="276"/>
      <c r="P2187" s="276"/>
      <c r="Q2187" s="276"/>
      <c r="R2187" s="278"/>
      <c r="S2187" s="278"/>
      <c r="T2187" s="278"/>
      <c r="U2187" s="279"/>
      <c r="V2187" s="279" t="s">
        <v>1738</v>
      </c>
      <c r="W2187" s="280">
        <v>44550.0</v>
      </c>
      <c r="X2187" s="281">
        <v>0.010416666666666666</v>
      </c>
      <c r="Y2187" s="279" t="s">
        <v>1693</v>
      </c>
      <c r="Z2187" s="282" t="s">
        <v>53</v>
      </c>
      <c r="AA2187" s="282" t="s">
        <v>6229</v>
      </c>
      <c r="AB2187" s="283">
        <v>44551.0</v>
      </c>
      <c r="AC2187" s="284"/>
      <c r="AD2187" s="284"/>
    </row>
    <row r="2188" ht="14.25" customHeight="1">
      <c r="A2188" s="265">
        <v>44550.0</v>
      </c>
      <c r="B2188" s="266" t="s">
        <v>1824</v>
      </c>
      <c r="C2188" s="266"/>
      <c r="D2188" s="266" t="s">
        <v>1686</v>
      </c>
      <c r="E2188" s="292"/>
      <c r="F2188" s="358" t="s">
        <v>6230</v>
      </c>
      <c r="G2188" s="268" t="s">
        <v>2085</v>
      </c>
      <c r="H2188" s="270">
        <v>0.03888888888888889</v>
      </c>
      <c r="I2188" s="271">
        <v>44550.69027777778</v>
      </c>
      <c r="J2188" s="268"/>
      <c r="K2188" s="271">
        <v>44550.71738425926</v>
      </c>
      <c r="L2188" s="288"/>
      <c r="M2188" s="278"/>
      <c r="N2188" s="290"/>
      <c r="O2188" s="276"/>
      <c r="P2188" s="276"/>
      <c r="Q2188" s="276"/>
      <c r="R2188" s="278"/>
      <c r="S2188" s="278"/>
      <c r="T2188" s="278"/>
      <c r="U2188" s="279"/>
      <c r="V2188" s="279" t="s">
        <v>1824</v>
      </c>
      <c r="W2188" s="280">
        <v>44551.0</v>
      </c>
      <c r="X2188" s="281">
        <v>0.13194444444444445</v>
      </c>
      <c r="Y2188" s="279" t="s">
        <v>1693</v>
      </c>
      <c r="Z2188" s="282" t="s">
        <v>53</v>
      </c>
      <c r="AA2188" s="282" t="s">
        <v>6230</v>
      </c>
      <c r="AB2188" s="283">
        <v>44551.0</v>
      </c>
      <c r="AC2188" s="284"/>
      <c r="AD2188" s="284"/>
    </row>
    <row r="2189" ht="14.25" customHeight="1">
      <c r="A2189" s="265">
        <v>44550.0</v>
      </c>
      <c r="B2189" s="266" t="s">
        <v>3677</v>
      </c>
      <c r="C2189" s="266"/>
      <c r="D2189" s="266" t="s">
        <v>1455</v>
      </c>
      <c r="E2189" s="292"/>
      <c r="F2189" s="358" t="s">
        <v>6231</v>
      </c>
      <c r="G2189" s="268" t="s">
        <v>2085</v>
      </c>
      <c r="H2189" s="270">
        <v>0.02090277777777778</v>
      </c>
      <c r="I2189" s="271">
        <v>44550.870833333334</v>
      </c>
      <c r="J2189" s="268"/>
      <c r="K2189" s="271">
        <v>44550.886608796296</v>
      </c>
      <c r="L2189" s="288"/>
      <c r="M2189" s="278"/>
      <c r="N2189" s="290"/>
      <c r="O2189" s="276"/>
      <c r="P2189" s="276"/>
      <c r="Q2189" s="276"/>
      <c r="R2189" s="278"/>
      <c r="S2189" s="278"/>
      <c r="T2189" s="278"/>
      <c r="U2189" s="279"/>
      <c r="V2189" s="279" t="s">
        <v>1500</v>
      </c>
      <c r="W2189" s="280">
        <v>44551.0</v>
      </c>
      <c r="X2189" s="281">
        <v>0.08333333333333333</v>
      </c>
      <c r="Y2189" s="279" t="s">
        <v>1693</v>
      </c>
      <c r="Z2189" s="282" t="s">
        <v>53</v>
      </c>
      <c r="AA2189" s="282" t="s">
        <v>6231</v>
      </c>
      <c r="AB2189" s="283">
        <v>44551.0</v>
      </c>
      <c r="AC2189" s="284"/>
      <c r="AD2189" s="284"/>
    </row>
    <row r="2190" ht="14.25" customHeight="1">
      <c r="A2190" s="265">
        <v>44551.0</v>
      </c>
      <c r="B2190" s="266" t="s">
        <v>2030</v>
      </c>
      <c r="C2190" s="266" t="s">
        <v>1455</v>
      </c>
      <c r="D2190" s="266" t="s">
        <v>1543</v>
      </c>
      <c r="E2190" s="292"/>
      <c r="F2190" s="269" t="s">
        <v>6232</v>
      </c>
      <c r="G2190" s="268" t="s">
        <v>1463</v>
      </c>
      <c r="H2190" s="270">
        <v>0.003194444444444444</v>
      </c>
      <c r="I2190" s="271">
        <v>44552.416666666664</v>
      </c>
      <c r="J2190" s="268"/>
      <c r="K2190" s="271" t="s">
        <v>6171</v>
      </c>
      <c r="L2190" s="288"/>
      <c r="M2190" s="307" t="s">
        <v>2808</v>
      </c>
      <c r="N2190" s="273">
        <v>44552.50347222222</v>
      </c>
      <c r="O2190" s="276" t="s">
        <v>6233</v>
      </c>
      <c r="P2190" s="276" t="s">
        <v>1463</v>
      </c>
      <c r="Q2190" s="276" t="s">
        <v>1819</v>
      </c>
      <c r="R2190" s="448">
        <v>44552.50902777778</v>
      </c>
      <c r="S2190" s="278"/>
      <c r="T2190" s="278" t="s">
        <v>6234</v>
      </c>
      <c r="U2190" s="279"/>
      <c r="V2190" s="279" t="s">
        <v>1824</v>
      </c>
      <c r="W2190" s="280">
        <v>44558.0</v>
      </c>
      <c r="X2190" s="281">
        <v>0.004861111111111111</v>
      </c>
      <c r="Y2190" s="279" t="s">
        <v>1693</v>
      </c>
      <c r="Z2190" s="282" t="s">
        <v>1570</v>
      </c>
      <c r="AA2190" s="282">
        <v>7242135.0</v>
      </c>
      <c r="AB2190" s="283">
        <v>44556.0</v>
      </c>
      <c r="AC2190" s="284"/>
      <c r="AD2190" s="284"/>
    </row>
    <row r="2191" ht="14.25" customHeight="1">
      <c r="A2191" s="265">
        <v>44551.0</v>
      </c>
      <c r="B2191" s="266" t="s">
        <v>2030</v>
      </c>
      <c r="C2191" s="266" t="s">
        <v>1455</v>
      </c>
      <c r="D2191" s="266" t="s">
        <v>1543</v>
      </c>
      <c r="E2191" s="292"/>
      <c r="F2191" s="269" t="s">
        <v>6235</v>
      </c>
      <c r="G2191" s="268" t="s">
        <v>1463</v>
      </c>
      <c r="H2191" s="270">
        <v>7.291666666666667E-4</v>
      </c>
      <c r="I2191" s="271">
        <v>44553.47777777778</v>
      </c>
      <c r="J2191" s="268"/>
      <c r="K2191" s="271">
        <v>44553.479166666664</v>
      </c>
      <c r="L2191" s="288"/>
      <c r="M2191" s="272" t="s">
        <v>6236</v>
      </c>
      <c r="N2191" s="273"/>
      <c r="O2191" s="276"/>
      <c r="P2191" s="276"/>
      <c r="Q2191" s="276"/>
      <c r="R2191" s="448"/>
      <c r="S2191" s="278"/>
      <c r="T2191" s="278"/>
      <c r="U2191" s="279"/>
      <c r="V2191" s="279" t="s">
        <v>1824</v>
      </c>
      <c r="W2191" s="280">
        <v>44558.0</v>
      </c>
      <c r="X2191" s="281">
        <v>0.005208333333333333</v>
      </c>
      <c r="Y2191" s="279" t="s">
        <v>1693</v>
      </c>
      <c r="Z2191" s="282" t="s">
        <v>1570</v>
      </c>
      <c r="AA2191" s="282">
        <v>7242136.0</v>
      </c>
      <c r="AB2191" s="283">
        <v>44556.0</v>
      </c>
      <c r="AC2191" s="284"/>
      <c r="AD2191" s="284"/>
    </row>
    <row r="2192" ht="14.25" customHeight="1">
      <c r="A2192" s="265">
        <v>44551.0</v>
      </c>
      <c r="B2192" s="266" t="s">
        <v>2030</v>
      </c>
      <c r="C2192" s="266" t="s">
        <v>1455</v>
      </c>
      <c r="D2192" s="266" t="s">
        <v>1543</v>
      </c>
      <c r="E2192" s="292"/>
      <c r="F2192" s="269" t="s">
        <v>6237</v>
      </c>
      <c r="G2192" s="268" t="s">
        <v>1463</v>
      </c>
      <c r="H2192" s="270">
        <v>0.0010532407407407407</v>
      </c>
      <c r="I2192" s="271">
        <v>44553.48888888889</v>
      </c>
      <c r="J2192" s="268"/>
      <c r="K2192" s="271">
        <v>44553.49166666667</v>
      </c>
      <c r="L2192" s="288"/>
      <c r="M2192" s="272" t="s">
        <v>6238</v>
      </c>
      <c r="N2192" s="273"/>
      <c r="O2192" s="276"/>
      <c r="P2192" s="276"/>
      <c r="Q2192" s="276"/>
      <c r="R2192" s="448"/>
      <c r="S2192" s="278"/>
      <c r="T2192" s="278"/>
      <c r="U2192" s="279"/>
      <c r="V2192" s="279" t="s">
        <v>1824</v>
      </c>
      <c r="W2192" s="280">
        <v>44557.0</v>
      </c>
      <c r="X2192" s="281">
        <v>0.004166666666666667</v>
      </c>
      <c r="Y2192" s="279" t="s">
        <v>1693</v>
      </c>
      <c r="Z2192" s="282" t="s">
        <v>1570</v>
      </c>
      <c r="AA2192" s="282">
        <v>7242137.0</v>
      </c>
      <c r="AB2192" s="283">
        <v>44556.0</v>
      </c>
      <c r="AC2192" s="284"/>
      <c r="AD2192" s="284"/>
    </row>
    <row r="2193" ht="14.25" customHeight="1">
      <c r="A2193" s="265">
        <v>44551.0</v>
      </c>
      <c r="B2193" s="266" t="s">
        <v>2030</v>
      </c>
      <c r="C2193" s="266" t="s">
        <v>1686</v>
      </c>
      <c r="D2193" s="266" t="s">
        <v>1543</v>
      </c>
      <c r="E2193" s="292"/>
      <c r="F2193" s="269" t="s">
        <v>6239</v>
      </c>
      <c r="G2193" s="268" t="s">
        <v>1463</v>
      </c>
      <c r="H2193" s="270">
        <v>0.0020601851851851853</v>
      </c>
      <c r="I2193" s="271">
        <v>44554.46111111111</v>
      </c>
      <c r="J2193" s="268"/>
      <c r="K2193" s="271">
        <v>44554.46388888889</v>
      </c>
      <c r="L2193" s="288"/>
      <c r="M2193" s="272" t="s">
        <v>6240</v>
      </c>
      <c r="N2193" s="273"/>
      <c r="O2193" s="276"/>
      <c r="P2193" s="276"/>
      <c r="Q2193" s="276"/>
      <c r="R2193" s="448"/>
      <c r="S2193" s="278"/>
      <c r="T2193" s="278"/>
      <c r="U2193" s="279"/>
      <c r="V2193" s="279" t="s">
        <v>1824</v>
      </c>
      <c r="W2193" s="280">
        <v>44557.0</v>
      </c>
      <c r="X2193" s="281">
        <v>0.003472222222222222</v>
      </c>
      <c r="Y2193" s="279" t="s">
        <v>1693</v>
      </c>
      <c r="Z2193" s="282" t="s">
        <v>1570</v>
      </c>
      <c r="AA2193" s="282">
        <v>7253371.0</v>
      </c>
      <c r="AB2193" s="283">
        <v>44556.0</v>
      </c>
      <c r="AC2193" s="284"/>
      <c r="AD2193" s="284"/>
    </row>
    <row r="2194" ht="14.25" customHeight="1">
      <c r="A2194" s="265">
        <v>44551.0</v>
      </c>
      <c r="B2194" s="266" t="s">
        <v>1500</v>
      </c>
      <c r="C2194" s="266"/>
      <c r="D2194" s="266" t="s">
        <v>1450</v>
      </c>
      <c r="E2194" s="292"/>
      <c r="F2194" s="358" t="s">
        <v>6241</v>
      </c>
      <c r="G2194" s="268" t="s">
        <v>2085</v>
      </c>
      <c r="H2194" s="270">
        <v>0.09862268518518519</v>
      </c>
      <c r="I2194" s="271">
        <v>44551.458333333336</v>
      </c>
      <c r="J2194" s="268"/>
      <c r="K2194" s="271">
        <v>44551.53324074074</v>
      </c>
      <c r="L2194" s="288"/>
      <c r="M2194" s="278"/>
      <c r="N2194" s="290"/>
      <c r="O2194" s="276"/>
      <c r="P2194" s="276"/>
      <c r="Q2194" s="276"/>
      <c r="R2194" s="278"/>
      <c r="S2194" s="278"/>
      <c r="T2194" s="278"/>
      <c r="U2194" s="279"/>
      <c r="V2194" s="279" t="s">
        <v>1733</v>
      </c>
      <c r="W2194" s="280">
        <v>44551.0</v>
      </c>
      <c r="X2194" s="281">
        <v>0.2708333333333333</v>
      </c>
      <c r="Y2194" s="279" t="s">
        <v>1693</v>
      </c>
      <c r="Z2194" s="282" t="s">
        <v>1570</v>
      </c>
      <c r="AA2194" s="282" t="s">
        <v>6241</v>
      </c>
      <c r="AB2194" s="283">
        <v>44552.0</v>
      </c>
      <c r="AC2194" s="284"/>
      <c r="AD2194" s="284"/>
    </row>
    <row r="2195" ht="14.25" customHeight="1">
      <c r="A2195" s="265">
        <v>44551.0</v>
      </c>
      <c r="B2195" s="266" t="s">
        <v>1500</v>
      </c>
      <c r="C2195" s="266"/>
      <c r="D2195" s="266" t="s">
        <v>1452</v>
      </c>
      <c r="E2195" s="292"/>
      <c r="F2195" s="358" t="s">
        <v>6242</v>
      </c>
      <c r="G2195" s="268" t="s">
        <v>2085</v>
      </c>
      <c r="H2195" s="270">
        <v>0.0024652777777777776</v>
      </c>
      <c r="I2195" s="271">
        <v>44551.461805555555</v>
      </c>
      <c r="J2195" s="268"/>
      <c r="K2195" s="271">
        <v>44551.798796296294</v>
      </c>
      <c r="L2195" s="288"/>
      <c r="M2195" s="278"/>
      <c r="N2195" s="290"/>
      <c r="O2195" s="276"/>
      <c r="P2195" s="276"/>
      <c r="Q2195" s="276"/>
      <c r="R2195" s="278"/>
      <c r="S2195" s="278"/>
      <c r="T2195" s="278"/>
      <c r="U2195" s="279"/>
      <c r="V2195" s="279" t="s">
        <v>1738</v>
      </c>
      <c r="W2195" s="280">
        <v>44551.0</v>
      </c>
      <c r="X2195" s="281">
        <v>0.010416666666666666</v>
      </c>
      <c r="Y2195" s="279" t="s">
        <v>1693</v>
      </c>
      <c r="Z2195" s="282" t="s">
        <v>1570</v>
      </c>
      <c r="AA2195" s="282" t="s">
        <v>6242</v>
      </c>
      <c r="AB2195" s="283">
        <v>44552.0</v>
      </c>
      <c r="AC2195" s="284"/>
      <c r="AD2195" s="284"/>
    </row>
    <row r="2196" ht="14.25" customHeight="1">
      <c r="A2196" s="265">
        <v>44551.0</v>
      </c>
      <c r="B2196" s="266" t="s">
        <v>1824</v>
      </c>
      <c r="C2196" s="266"/>
      <c r="D2196" s="266" t="s">
        <v>1686</v>
      </c>
      <c r="E2196" s="292"/>
      <c r="F2196" s="358" t="s">
        <v>6243</v>
      </c>
      <c r="G2196" s="268" t="s">
        <v>2085</v>
      </c>
      <c r="H2196" s="270">
        <v>0.039143518518518515</v>
      </c>
      <c r="I2196" s="271">
        <v>44551.666666666664</v>
      </c>
      <c r="J2196" s="268"/>
      <c r="K2196" s="271">
        <v>44551.71334490741</v>
      </c>
      <c r="L2196" s="288"/>
      <c r="M2196" s="278"/>
      <c r="N2196" s="290"/>
      <c r="O2196" s="276"/>
      <c r="P2196" s="276"/>
      <c r="Q2196" s="276"/>
      <c r="R2196" s="278"/>
      <c r="S2196" s="278"/>
      <c r="T2196" s="278"/>
      <c r="U2196" s="279"/>
      <c r="V2196" s="279" t="s">
        <v>1570</v>
      </c>
      <c r="W2196" s="280">
        <v>44552.0</v>
      </c>
      <c r="X2196" s="281">
        <v>0.125</v>
      </c>
      <c r="Y2196" s="279" t="s">
        <v>1693</v>
      </c>
      <c r="Z2196" s="282" t="s">
        <v>1570</v>
      </c>
      <c r="AA2196" s="282" t="s">
        <v>6243</v>
      </c>
      <c r="AB2196" s="283">
        <v>44552.0</v>
      </c>
      <c r="AC2196" s="284"/>
      <c r="AD2196" s="284"/>
    </row>
    <row r="2197" ht="14.25" customHeight="1">
      <c r="A2197" s="265">
        <v>44551.0</v>
      </c>
      <c r="B2197" s="266" t="s">
        <v>3677</v>
      </c>
      <c r="C2197" s="266"/>
      <c r="D2197" s="266" t="s">
        <v>1455</v>
      </c>
      <c r="E2197" s="292"/>
      <c r="F2197" s="358" t="s">
        <v>6244</v>
      </c>
      <c r="G2197" s="268" t="s">
        <v>2085</v>
      </c>
      <c r="H2197" s="270">
        <v>0.021342592592592594</v>
      </c>
      <c r="I2197" s="271">
        <v>44551.96666666667</v>
      </c>
      <c r="J2197" s="268"/>
      <c r="K2197" s="271">
        <v>44551.98395833333</v>
      </c>
      <c r="L2197" s="288"/>
      <c r="M2197" s="278"/>
      <c r="N2197" s="290"/>
      <c r="O2197" s="276"/>
      <c r="P2197" s="276"/>
      <c r="Q2197" s="276"/>
      <c r="R2197" s="278"/>
      <c r="S2197" s="278"/>
      <c r="T2197" s="278"/>
      <c r="U2197" s="279"/>
      <c r="V2197" s="279" t="s">
        <v>2030</v>
      </c>
      <c r="W2197" s="280" t="s">
        <v>6245</v>
      </c>
      <c r="X2197" s="281">
        <v>0.05555555555555555</v>
      </c>
      <c r="Y2197" s="279" t="s">
        <v>1693</v>
      </c>
      <c r="Z2197" s="282" t="s">
        <v>1570</v>
      </c>
      <c r="AA2197" s="282" t="s">
        <v>6244</v>
      </c>
      <c r="AB2197" s="283">
        <v>44552.0</v>
      </c>
      <c r="AC2197" s="284"/>
      <c r="AD2197" s="284"/>
    </row>
    <row r="2198" ht="14.25" customHeight="1">
      <c r="A2198" s="265">
        <v>44552.0</v>
      </c>
      <c r="B2198" s="266" t="s">
        <v>2030</v>
      </c>
      <c r="C2198" s="266" t="s">
        <v>2641</v>
      </c>
      <c r="D2198" s="266" t="s">
        <v>1543</v>
      </c>
      <c r="E2198" s="292"/>
      <c r="F2198" s="269" t="s">
        <v>6246</v>
      </c>
      <c r="G2198" s="268" t="s">
        <v>1463</v>
      </c>
      <c r="H2198" s="270">
        <v>0.003043981481481482</v>
      </c>
      <c r="I2198" s="271">
        <v>44554.41875</v>
      </c>
      <c r="J2198" s="268"/>
      <c r="K2198" s="271">
        <v>44554.42291666667</v>
      </c>
      <c r="L2198" s="288"/>
      <c r="M2198" s="278" t="s">
        <v>6247</v>
      </c>
      <c r="N2198" s="290"/>
      <c r="O2198" s="276"/>
      <c r="P2198" s="276"/>
      <c r="Q2198" s="276"/>
      <c r="R2198" s="278"/>
      <c r="S2198" s="278"/>
      <c r="T2198" s="278"/>
      <c r="U2198" s="279"/>
      <c r="V2198" s="279" t="s">
        <v>1824</v>
      </c>
      <c r="W2198" s="280">
        <v>44557.0</v>
      </c>
      <c r="X2198" s="281">
        <v>0.005555555555555556</v>
      </c>
      <c r="Y2198" s="279" t="s">
        <v>1693</v>
      </c>
      <c r="Z2198" s="282" t="s">
        <v>1570</v>
      </c>
      <c r="AA2198" s="282">
        <v>7253372.0</v>
      </c>
      <c r="AB2198" s="283">
        <v>44556.0</v>
      </c>
      <c r="AC2198" s="284"/>
      <c r="AD2198" s="284"/>
    </row>
    <row r="2199" ht="14.25" customHeight="1">
      <c r="A2199" s="265">
        <v>44552.0</v>
      </c>
      <c r="B2199" s="266" t="s">
        <v>2030</v>
      </c>
      <c r="C2199" s="266" t="s">
        <v>1686</v>
      </c>
      <c r="D2199" s="266" t="s">
        <v>1543</v>
      </c>
      <c r="E2199" s="292"/>
      <c r="F2199" s="269" t="s">
        <v>6248</v>
      </c>
      <c r="G2199" s="268" t="s">
        <v>1463</v>
      </c>
      <c r="H2199" s="270">
        <v>0.0043518518518518515</v>
      </c>
      <c r="I2199" s="271">
        <v>44555.604166666664</v>
      </c>
      <c r="J2199" s="268"/>
      <c r="K2199" s="271">
        <v>44555.60972222222</v>
      </c>
      <c r="L2199" s="288"/>
      <c r="M2199" s="278" t="s">
        <v>6249</v>
      </c>
      <c r="N2199" s="290"/>
      <c r="O2199" s="276"/>
      <c r="P2199" s="276"/>
      <c r="Q2199" s="276"/>
      <c r="R2199" s="278"/>
      <c r="S2199" s="278"/>
      <c r="T2199" s="278"/>
      <c r="U2199" s="279"/>
      <c r="V2199" s="279" t="s">
        <v>1824</v>
      </c>
      <c r="W2199" s="280">
        <v>44557.0</v>
      </c>
      <c r="X2199" s="281">
        <v>0.004861111111111111</v>
      </c>
      <c r="Y2199" s="279" t="s">
        <v>1693</v>
      </c>
      <c r="Z2199" s="282" t="s">
        <v>1570</v>
      </c>
      <c r="AA2199" s="282">
        <v>7253373.0</v>
      </c>
      <c r="AB2199" s="283">
        <v>44556.0</v>
      </c>
      <c r="AC2199" s="284"/>
      <c r="AD2199" s="284"/>
    </row>
    <row r="2200" ht="14.25" customHeight="1">
      <c r="A2200" s="265">
        <v>44552.0</v>
      </c>
      <c r="B2200" s="266" t="s">
        <v>5255</v>
      </c>
      <c r="C2200" s="266" t="s">
        <v>1696</v>
      </c>
      <c r="D2200" s="266" t="s">
        <v>1543</v>
      </c>
      <c r="E2200" s="292"/>
      <c r="F2200" s="269" t="s">
        <v>6250</v>
      </c>
      <c r="G2200" s="268" t="s">
        <v>1463</v>
      </c>
      <c r="H2200" s="270">
        <v>9.953703703703704E-4</v>
      </c>
      <c r="I2200" s="271">
        <v>44555.64444444444</v>
      </c>
      <c r="J2200" s="268"/>
      <c r="K2200" s="271">
        <v>44555.64861111111</v>
      </c>
      <c r="L2200" s="288"/>
      <c r="M2200" s="278" t="s">
        <v>6251</v>
      </c>
      <c r="N2200" s="290"/>
      <c r="O2200" s="276"/>
      <c r="P2200" s="276"/>
      <c r="Q2200" s="276"/>
      <c r="R2200" s="278"/>
      <c r="S2200" s="278"/>
      <c r="T2200" s="278"/>
      <c r="U2200" s="279"/>
      <c r="V2200" s="279" t="s">
        <v>1824</v>
      </c>
      <c r="W2200" s="280">
        <v>44557.0</v>
      </c>
      <c r="X2200" s="281">
        <v>0.009722222222222222</v>
      </c>
      <c r="Y2200" s="279" t="s">
        <v>1693</v>
      </c>
      <c r="Z2200" s="282" t="s">
        <v>1570</v>
      </c>
      <c r="AA2200" s="282">
        <v>7253374.0</v>
      </c>
      <c r="AB2200" s="283">
        <v>44556.0</v>
      </c>
      <c r="AC2200" s="284"/>
      <c r="AD2200" s="284"/>
    </row>
    <row r="2201" ht="14.25" customHeight="1">
      <c r="A2201" s="265">
        <v>44552.0</v>
      </c>
      <c r="B2201" s="266" t="s">
        <v>2030</v>
      </c>
      <c r="C2201" s="266"/>
      <c r="D2201" s="266" t="s">
        <v>1452</v>
      </c>
      <c r="E2201" s="292"/>
      <c r="F2201" s="291" t="s">
        <v>6189</v>
      </c>
      <c r="G2201" s="268" t="s">
        <v>28</v>
      </c>
      <c r="H2201" s="268" t="s">
        <v>28</v>
      </c>
      <c r="I2201" s="268" t="s">
        <v>28</v>
      </c>
      <c r="J2201" s="268"/>
      <c r="K2201" s="268" t="s">
        <v>28</v>
      </c>
      <c r="L2201" s="288"/>
      <c r="M2201" s="278"/>
      <c r="N2201" s="290"/>
      <c r="O2201" s="276"/>
      <c r="P2201" s="276"/>
      <c r="Q2201" s="276"/>
      <c r="R2201" s="278"/>
      <c r="S2201" s="278"/>
      <c r="T2201" s="278"/>
      <c r="U2201" s="279" t="s">
        <v>28</v>
      </c>
      <c r="V2201" s="279" t="s">
        <v>28</v>
      </c>
      <c r="W2201" s="279" t="s">
        <v>28</v>
      </c>
      <c r="X2201" s="279" t="s">
        <v>28</v>
      </c>
      <c r="Y2201" s="279" t="s">
        <v>28</v>
      </c>
      <c r="Z2201" s="282" t="s">
        <v>28</v>
      </c>
      <c r="AA2201" s="282" t="s">
        <v>28</v>
      </c>
      <c r="AB2201" s="282" t="s">
        <v>28</v>
      </c>
      <c r="AC2201" s="284"/>
      <c r="AD2201" s="284"/>
    </row>
    <row r="2202" ht="14.25" customHeight="1">
      <c r="A2202" s="265">
        <v>44552.0</v>
      </c>
      <c r="B2202" s="266" t="s">
        <v>2030</v>
      </c>
      <c r="C2202" s="266"/>
      <c r="D2202" s="266" t="s">
        <v>1450</v>
      </c>
      <c r="E2202" s="292"/>
      <c r="F2202" s="358" t="s">
        <v>6252</v>
      </c>
      <c r="G2202" s="268" t="s">
        <v>2085</v>
      </c>
      <c r="H2202" s="270">
        <v>0.09773148148148147</v>
      </c>
      <c r="I2202" s="271">
        <v>44552.44236111111</v>
      </c>
      <c r="J2202" s="268"/>
      <c r="K2202" s="271">
        <v>44552.50833333333</v>
      </c>
      <c r="L2202" s="288"/>
      <c r="M2202" s="278"/>
      <c r="N2202" s="290"/>
      <c r="O2202" s="276"/>
      <c r="P2202" s="276"/>
      <c r="Q2202" s="276"/>
      <c r="R2202" s="278"/>
      <c r="S2202" s="278"/>
      <c r="T2202" s="278"/>
      <c r="U2202" s="279"/>
      <c r="V2202" s="279" t="s">
        <v>1733</v>
      </c>
      <c r="W2202" s="280">
        <v>44552.0</v>
      </c>
      <c r="X2202" s="281">
        <v>0.2708333333333333</v>
      </c>
      <c r="Y2202" s="279" t="s">
        <v>1693</v>
      </c>
      <c r="Z2202" s="282" t="s">
        <v>1570</v>
      </c>
      <c r="AA2202" s="282" t="s">
        <v>6252</v>
      </c>
      <c r="AB2202" s="283">
        <v>44553.0</v>
      </c>
      <c r="AC2202" s="284"/>
      <c r="AD2202" s="284"/>
    </row>
    <row r="2203" ht="14.25" customHeight="1">
      <c r="A2203" s="265">
        <v>44552.0</v>
      </c>
      <c r="B2203" s="266" t="s">
        <v>1570</v>
      </c>
      <c r="C2203" s="266"/>
      <c r="D2203" s="266" t="s">
        <v>1686</v>
      </c>
      <c r="E2203" s="292"/>
      <c r="F2203" s="358" t="s">
        <v>6253</v>
      </c>
      <c r="G2203" s="268" t="s">
        <v>2085</v>
      </c>
      <c r="H2203" s="270">
        <v>0.03765046296296296</v>
      </c>
      <c r="I2203" s="271">
        <v>44552.572916666664</v>
      </c>
      <c r="J2203" s="268"/>
      <c r="K2203" s="271">
        <v>44552.95479166666</v>
      </c>
      <c r="L2203" s="288"/>
      <c r="M2203" s="278"/>
      <c r="N2203" s="290"/>
      <c r="O2203" s="276"/>
      <c r="P2203" s="276"/>
      <c r="Q2203" s="276"/>
      <c r="R2203" s="278"/>
      <c r="S2203" s="278"/>
      <c r="T2203" s="278"/>
      <c r="U2203" s="279"/>
      <c r="V2203" s="279" t="s">
        <v>1570</v>
      </c>
      <c r="W2203" s="280">
        <v>44553.0</v>
      </c>
      <c r="X2203" s="281">
        <v>0.125</v>
      </c>
      <c r="Y2203" s="279" t="s">
        <v>1693</v>
      </c>
      <c r="Z2203" s="282" t="s">
        <v>1570</v>
      </c>
      <c r="AA2203" s="282" t="s">
        <v>6253</v>
      </c>
      <c r="AB2203" s="283">
        <v>44553.0</v>
      </c>
      <c r="AC2203" s="284"/>
      <c r="AD2203" s="284"/>
    </row>
    <row r="2204" ht="14.25" customHeight="1">
      <c r="A2204" s="265">
        <v>44552.0</v>
      </c>
      <c r="B2204" s="266" t="s">
        <v>1733</v>
      </c>
      <c r="C2204" s="266"/>
      <c r="D2204" s="266" t="s">
        <v>1455</v>
      </c>
      <c r="E2204" s="292"/>
      <c r="F2204" s="358" t="s">
        <v>6254</v>
      </c>
      <c r="G2204" s="268" t="s">
        <v>2085</v>
      </c>
      <c r="H2204" s="270">
        <v>0.02193287037037037</v>
      </c>
      <c r="I2204" s="271">
        <v>44552.89027777778</v>
      </c>
      <c r="J2204" s="268"/>
      <c r="K2204" s="271">
        <v>44552.90555555555</v>
      </c>
      <c r="L2204" s="288"/>
      <c r="M2204" s="278"/>
      <c r="N2204" s="290"/>
      <c r="O2204" s="276"/>
      <c r="P2204" s="276"/>
      <c r="Q2204" s="276"/>
      <c r="R2204" s="278"/>
      <c r="S2204" s="278"/>
      <c r="T2204" s="278"/>
      <c r="U2204" s="279"/>
      <c r="V2204" s="279" t="s">
        <v>2030</v>
      </c>
      <c r="W2204" s="280">
        <v>44553.0</v>
      </c>
      <c r="X2204" s="281">
        <v>0.0625</v>
      </c>
      <c r="Y2204" s="279" t="s">
        <v>1693</v>
      </c>
      <c r="Z2204" s="282" t="s">
        <v>1570</v>
      </c>
      <c r="AA2204" s="282" t="s">
        <v>6254</v>
      </c>
      <c r="AB2204" s="283">
        <v>44553.0</v>
      </c>
      <c r="AC2204" s="284"/>
      <c r="AD2204" s="284"/>
    </row>
    <row r="2205" ht="14.25" customHeight="1">
      <c r="A2205" s="265">
        <v>44553.0</v>
      </c>
      <c r="B2205" s="266" t="s">
        <v>2030</v>
      </c>
      <c r="C2205" s="266" t="s">
        <v>1450</v>
      </c>
      <c r="D2205" s="266" t="s">
        <v>1543</v>
      </c>
      <c r="E2205" s="292"/>
      <c r="F2205" s="269" t="s">
        <v>6255</v>
      </c>
      <c r="G2205" s="268" t="s">
        <v>1463</v>
      </c>
      <c r="H2205" s="270">
        <v>0.002615740740740741</v>
      </c>
      <c r="I2205" s="271">
        <v>44554.48472222222</v>
      </c>
      <c r="J2205" s="268"/>
      <c r="K2205" s="271">
        <v>44554.48819444444</v>
      </c>
      <c r="L2205" s="288"/>
      <c r="M2205" s="278" t="s">
        <v>6256</v>
      </c>
      <c r="N2205" s="290"/>
      <c r="O2205" s="276"/>
      <c r="P2205" s="276"/>
      <c r="Q2205" s="276"/>
      <c r="R2205" s="278"/>
      <c r="S2205" s="278"/>
      <c r="T2205" s="278"/>
      <c r="U2205" s="279"/>
      <c r="V2205" s="279" t="s">
        <v>1824</v>
      </c>
      <c r="W2205" s="280">
        <v>44557.0</v>
      </c>
      <c r="X2205" s="281">
        <v>0.004861111111111111</v>
      </c>
      <c r="Y2205" s="279" t="s">
        <v>1693</v>
      </c>
      <c r="Z2205" s="282" t="s">
        <v>1570</v>
      </c>
      <c r="AA2205" s="282">
        <v>7253375.0</v>
      </c>
      <c r="AB2205" s="283">
        <v>44556.0</v>
      </c>
      <c r="AC2205" s="284"/>
      <c r="AD2205" s="284"/>
    </row>
    <row r="2206" ht="14.25" customHeight="1">
      <c r="A2206" s="265">
        <v>44553.0</v>
      </c>
      <c r="B2206" s="266" t="s">
        <v>2030</v>
      </c>
      <c r="C2206" s="266" t="s">
        <v>1686</v>
      </c>
      <c r="D2206" s="266" t="s">
        <v>1543</v>
      </c>
      <c r="E2206" s="292"/>
      <c r="F2206" s="269" t="s">
        <v>6257</v>
      </c>
      <c r="G2206" s="268" t="s">
        <v>1463</v>
      </c>
      <c r="H2206" s="270">
        <v>0.0016666666666666668</v>
      </c>
      <c r="I2206" s="271">
        <v>44555.643055555556</v>
      </c>
      <c r="J2206" s="268"/>
      <c r="K2206" s="271">
        <v>44555.646527777775</v>
      </c>
      <c r="L2206" s="288"/>
      <c r="M2206" s="278" t="s">
        <v>6258</v>
      </c>
      <c r="N2206" s="290"/>
      <c r="O2206" s="276"/>
      <c r="P2206" s="276"/>
      <c r="Q2206" s="276"/>
      <c r="R2206" s="278"/>
      <c r="S2206" s="278"/>
      <c r="T2206" s="278"/>
      <c r="U2206" s="279"/>
      <c r="V2206" s="279" t="s">
        <v>1824</v>
      </c>
      <c r="W2206" s="280">
        <v>44557.0</v>
      </c>
      <c r="X2206" s="281">
        <v>0.004166666666666667</v>
      </c>
      <c r="Y2206" s="279" t="s">
        <v>1693</v>
      </c>
      <c r="Z2206" s="282" t="s">
        <v>1570</v>
      </c>
      <c r="AA2206" s="282">
        <v>7253376.0</v>
      </c>
      <c r="AB2206" s="283">
        <v>44556.0</v>
      </c>
      <c r="AC2206" s="284"/>
      <c r="AD2206" s="284"/>
    </row>
    <row r="2207" ht="14.25" customHeight="1">
      <c r="A2207" s="265">
        <v>44553.0</v>
      </c>
      <c r="B2207" s="266" t="s">
        <v>2030</v>
      </c>
      <c r="C2207" s="266" t="s">
        <v>3472</v>
      </c>
      <c r="D2207" s="266" t="s">
        <v>1455</v>
      </c>
      <c r="E2207" s="292"/>
      <c r="F2207" s="269" t="s">
        <v>6259</v>
      </c>
      <c r="G2207" s="268" t="s">
        <v>2085</v>
      </c>
      <c r="H2207" s="270">
        <v>0.0018634259259259261</v>
      </c>
      <c r="I2207" s="271">
        <v>44554.32430555556</v>
      </c>
      <c r="J2207" s="268"/>
      <c r="K2207" s="271">
        <v>44554.32430555556</v>
      </c>
      <c r="L2207" s="288"/>
      <c r="M2207" s="278" t="s">
        <v>6260</v>
      </c>
      <c r="N2207" s="290"/>
      <c r="O2207" s="276"/>
      <c r="P2207" s="276"/>
      <c r="Q2207" s="276"/>
      <c r="R2207" s="278"/>
      <c r="S2207" s="278"/>
      <c r="T2207" s="278"/>
      <c r="U2207" s="279"/>
      <c r="V2207" s="279" t="s">
        <v>2030</v>
      </c>
      <c r="W2207" s="280">
        <v>44554.0</v>
      </c>
      <c r="X2207" s="281">
        <v>6.944444444444445E-4</v>
      </c>
      <c r="Y2207" s="279"/>
      <c r="Z2207" s="282" t="s">
        <v>53</v>
      </c>
      <c r="AA2207" s="282">
        <v>7259353.0</v>
      </c>
      <c r="AB2207" s="283">
        <v>44559.0</v>
      </c>
      <c r="AC2207" s="284"/>
      <c r="AD2207" s="284"/>
    </row>
    <row r="2208" ht="14.25" customHeight="1">
      <c r="A2208" s="265">
        <v>44553.0</v>
      </c>
      <c r="B2208" s="266" t="s">
        <v>2030</v>
      </c>
      <c r="C2208" s="266" t="s">
        <v>3472</v>
      </c>
      <c r="D2208" s="266" t="s">
        <v>1455</v>
      </c>
      <c r="E2208" s="292"/>
      <c r="F2208" s="269" t="s">
        <v>6261</v>
      </c>
      <c r="G2208" s="268" t="s">
        <v>2085</v>
      </c>
      <c r="H2208" s="270">
        <v>0.0014930555555555556</v>
      </c>
      <c r="I2208" s="271">
        <v>44554.33125</v>
      </c>
      <c r="J2208" s="268"/>
      <c r="K2208" s="271">
        <v>44554.330555555556</v>
      </c>
      <c r="L2208" s="288"/>
      <c r="M2208" s="278" t="s">
        <v>6262</v>
      </c>
      <c r="N2208" s="290"/>
      <c r="O2208" s="276"/>
      <c r="P2208" s="276"/>
      <c r="Q2208" s="276"/>
      <c r="R2208" s="278"/>
      <c r="S2208" s="278"/>
      <c r="T2208" s="278"/>
      <c r="U2208" s="279"/>
      <c r="V2208" s="279" t="s">
        <v>2030</v>
      </c>
      <c r="W2208" s="280">
        <v>44554.0</v>
      </c>
      <c r="X2208" s="281">
        <v>6.944444444444445E-4</v>
      </c>
      <c r="Y2208" s="279"/>
      <c r="Z2208" s="282" t="s">
        <v>53</v>
      </c>
      <c r="AA2208" s="282">
        <v>7259354.0</v>
      </c>
      <c r="AB2208" s="283">
        <v>44559.0</v>
      </c>
      <c r="AC2208" s="284"/>
      <c r="AD2208" s="284"/>
    </row>
    <row r="2209" ht="14.25" customHeight="1">
      <c r="A2209" s="265">
        <v>44553.0</v>
      </c>
      <c r="B2209" s="266" t="s">
        <v>1733</v>
      </c>
      <c r="C2209" s="266" t="s">
        <v>2158</v>
      </c>
      <c r="D2209" s="266" t="s">
        <v>1450</v>
      </c>
      <c r="E2209" s="292"/>
      <c r="F2209" s="286" t="s">
        <v>6263</v>
      </c>
      <c r="G2209" s="268" t="s">
        <v>4162</v>
      </c>
      <c r="H2209" s="270" t="s">
        <v>28</v>
      </c>
      <c r="I2209" s="271" t="s">
        <v>28</v>
      </c>
      <c r="J2209" s="268"/>
      <c r="K2209" s="271" t="s">
        <v>28</v>
      </c>
      <c r="L2209" s="288"/>
      <c r="M2209" s="278" t="s">
        <v>4380</v>
      </c>
      <c r="N2209" s="290" t="s">
        <v>28</v>
      </c>
      <c r="O2209" s="276" t="s">
        <v>28</v>
      </c>
      <c r="P2209" s="276" t="s">
        <v>28</v>
      </c>
      <c r="Q2209" s="276" t="s">
        <v>28</v>
      </c>
      <c r="R2209" s="278"/>
      <c r="S2209" s="278" t="s">
        <v>28</v>
      </c>
      <c r="T2209" s="278" t="s">
        <v>28</v>
      </c>
      <c r="U2209" s="279" t="s">
        <v>28</v>
      </c>
      <c r="V2209" s="279" t="s">
        <v>28</v>
      </c>
      <c r="W2209" s="280" t="s">
        <v>28</v>
      </c>
      <c r="X2209" s="279" t="s">
        <v>28</v>
      </c>
      <c r="Y2209" s="279" t="s">
        <v>28</v>
      </c>
      <c r="Z2209" s="282" t="s">
        <v>28</v>
      </c>
      <c r="AA2209" s="282" t="s">
        <v>28</v>
      </c>
      <c r="AB2209" s="282" t="s">
        <v>28</v>
      </c>
      <c r="AC2209" s="284"/>
      <c r="AD2209" s="284"/>
    </row>
    <row r="2210" ht="14.25" customHeight="1">
      <c r="A2210" s="265">
        <v>44553.0</v>
      </c>
      <c r="B2210" s="266" t="s">
        <v>2030</v>
      </c>
      <c r="C2210" s="266"/>
      <c r="D2210" s="266" t="s">
        <v>1452</v>
      </c>
      <c r="E2210" s="292"/>
      <c r="F2210" s="291" t="s">
        <v>6189</v>
      </c>
      <c r="G2210" s="268" t="s">
        <v>28</v>
      </c>
      <c r="H2210" s="268" t="s">
        <v>28</v>
      </c>
      <c r="I2210" s="268" t="s">
        <v>28</v>
      </c>
      <c r="J2210" s="268"/>
      <c r="K2210" s="268" t="s">
        <v>28</v>
      </c>
      <c r="L2210" s="288"/>
      <c r="M2210" s="278" t="s">
        <v>28</v>
      </c>
      <c r="N2210" s="290" t="s">
        <v>28</v>
      </c>
      <c r="O2210" s="276" t="s">
        <v>28</v>
      </c>
      <c r="P2210" s="276" t="s">
        <v>28</v>
      </c>
      <c r="Q2210" s="276" t="s">
        <v>28</v>
      </c>
      <c r="R2210" s="278" t="s">
        <v>28</v>
      </c>
      <c r="S2210" s="278" t="s">
        <v>28</v>
      </c>
      <c r="T2210" s="278" t="s">
        <v>28</v>
      </c>
      <c r="U2210" s="279" t="s">
        <v>28</v>
      </c>
      <c r="V2210" s="279" t="s">
        <v>28</v>
      </c>
      <c r="W2210" s="279" t="s">
        <v>28</v>
      </c>
      <c r="X2210" s="279" t="s">
        <v>28</v>
      </c>
      <c r="Y2210" s="279" t="s">
        <v>28</v>
      </c>
      <c r="Z2210" s="282" t="s">
        <v>28</v>
      </c>
      <c r="AA2210" s="282" t="s">
        <v>28</v>
      </c>
      <c r="AB2210" s="282" t="s">
        <v>28</v>
      </c>
      <c r="AC2210" s="284"/>
      <c r="AD2210" s="284"/>
    </row>
    <row r="2211" ht="14.25" customHeight="1">
      <c r="A2211" s="265">
        <v>44553.0</v>
      </c>
      <c r="B2211" s="266" t="s">
        <v>2030</v>
      </c>
      <c r="C2211" s="266"/>
      <c r="D2211" s="266" t="s">
        <v>1450</v>
      </c>
      <c r="E2211" s="292"/>
      <c r="F2211" s="358" t="s">
        <v>6264</v>
      </c>
      <c r="G2211" s="268" t="s">
        <v>2085</v>
      </c>
      <c r="H2211" s="270">
        <v>0.09950231481481482</v>
      </c>
      <c r="I2211" s="271">
        <v>44553.461805555555</v>
      </c>
      <c r="J2211" s="268"/>
      <c r="K2211" s="271">
        <v>44553.509722222225</v>
      </c>
      <c r="L2211" s="288"/>
      <c r="M2211" s="278"/>
      <c r="N2211" s="290"/>
      <c r="O2211" s="276"/>
      <c r="P2211" s="276"/>
      <c r="Q2211" s="276"/>
      <c r="R2211" s="278"/>
      <c r="S2211" s="278"/>
      <c r="T2211" s="278"/>
      <c r="U2211" s="279"/>
      <c r="V2211" s="279" t="s">
        <v>1733</v>
      </c>
      <c r="W2211" s="280" t="s">
        <v>6265</v>
      </c>
      <c r="X2211" s="281">
        <v>0.2708333333333333</v>
      </c>
      <c r="Y2211" s="279" t="s">
        <v>1693</v>
      </c>
      <c r="Z2211" s="282" t="s">
        <v>1570</v>
      </c>
      <c r="AA2211" s="282" t="s">
        <v>6264</v>
      </c>
      <c r="AB2211" s="283">
        <v>44554.0</v>
      </c>
      <c r="AC2211" s="284"/>
      <c r="AD2211" s="284"/>
    </row>
    <row r="2212" ht="14.25" customHeight="1">
      <c r="A2212" s="265">
        <v>44553.0</v>
      </c>
      <c r="B2212" s="266" t="s">
        <v>1570</v>
      </c>
      <c r="C2212" s="266"/>
      <c r="D2212" s="266" t="s">
        <v>1686</v>
      </c>
      <c r="E2212" s="292"/>
      <c r="F2212" s="358" t="s">
        <v>6266</v>
      </c>
      <c r="G2212" s="268" t="s">
        <v>2085</v>
      </c>
      <c r="H2212" s="270">
        <v>0.039641203703703706</v>
      </c>
      <c r="I2212" s="271">
        <v>44553.59305555555</v>
      </c>
      <c r="J2212" s="268"/>
      <c r="K2212" s="271">
        <v>44553.70737268519</v>
      </c>
      <c r="L2212" s="288"/>
      <c r="M2212" s="278"/>
      <c r="N2212" s="290"/>
      <c r="O2212" s="276"/>
      <c r="P2212" s="276"/>
      <c r="Q2212" s="276"/>
      <c r="R2212" s="278"/>
      <c r="S2212" s="278"/>
      <c r="T2212" s="278"/>
      <c r="U2212" s="279"/>
      <c r="V2212" s="279" t="s">
        <v>1570</v>
      </c>
      <c r="W2212" s="280">
        <v>44554.0</v>
      </c>
      <c r="X2212" s="281">
        <v>0.125</v>
      </c>
      <c r="Y2212" s="279" t="s">
        <v>1693</v>
      </c>
      <c r="Z2212" s="282" t="s">
        <v>1570</v>
      </c>
      <c r="AA2212" s="282" t="s">
        <v>6266</v>
      </c>
      <c r="AB2212" s="283">
        <v>44554.0</v>
      </c>
      <c r="AC2212" s="284"/>
      <c r="AD2212" s="284"/>
    </row>
    <row r="2213" ht="14.25" customHeight="1">
      <c r="A2213" s="265">
        <v>44553.0</v>
      </c>
      <c r="B2213" s="266" t="s">
        <v>1733</v>
      </c>
      <c r="C2213" s="266"/>
      <c r="D2213" s="266" t="s">
        <v>1455</v>
      </c>
      <c r="E2213" s="292"/>
      <c r="F2213" s="358" t="s">
        <v>6267</v>
      </c>
      <c r="G2213" s="268" t="s">
        <v>2085</v>
      </c>
      <c r="H2213" s="270">
        <v>0.0212962962962963</v>
      </c>
      <c r="I2213" s="271">
        <v>44553.888194444444</v>
      </c>
      <c r="J2213" s="268"/>
      <c r="K2213" s="271">
        <v>44553.90431712963</v>
      </c>
      <c r="L2213" s="288"/>
      <c r="M2213" s="278"/>
      <c r="N2213" s="290"/>
      <c r="O2213" s="276"/>
      <c r="P2213" s="276"/>
      <c r="Q2213" s="276"/>
      <c r="R2213" s="278"/>
      <c r="S2213" s="278"/>
      <c r="T2213" s="278"/>
      <c r="U2213" s="279"/>
      <c r="V2213" s="279" t="s">
        <v>2030</v>
      </c>
      <c r="W2213" s="280">
        <v>44554.0</v>
      </c>
      <c r="X2213" s="281">
        <v>0.0763888888888889</v>
      </c>
      <c r="Y2213" s="279" t="s">
        <v>1693</v>
      </c>
      <c r="Z2213" s="282" t="s">
        <v>1570</v>
      </c>
      <c r="AA2213" s="282" t="s">
        <v>6267</v>
      </c>
      <c r="AB2213" s="283">
        <v>44554.0</v>
      </c>
      <c r="AC2213" s="284"/>
      <c r="AD2213" s="284"/>
    </row>
    <row r="2214" ht="14.25" customHeight="1">
      <c r="A2214" s="265">
        <v>44554.0</v>
      </c>
      <c r="B2214" s="265" t="s">
        <v>2030</v>
      </c>
      <c r="C2214" s="265" t="s">
        <v>2158</v>
      </c>
      <c r="D2214" s="266" t="s">
        <v>1450</v>
      </c>
      <c r="E2214" s="292"/>
      <c r="F2214" s="291" t="s">
        <v>6268</v>
      </c>
      <c r="G2214" s="268" t="s">
        <v>2085</v>
      </c>
      <c r="H2214" s="270">
        <v>0.005069444444444444</v>
      </c>
      <c r="I2214" s="271">
        <v>44555.49652777778</v>
      </c>
      <c r="J2214" s="268"/>
      <c r="K2214" s="271">
        <v>44555.49930555555</v>
      </c>
      <c r="L2214" s="288"/>
      <c r="M2214" s="278" t="s">
        <v>6269</v>
      </c>
      <c r="N2214" s="290"/>
      <c r="O2214" s="276"/>
      <c r="P2214" s="276"/>
      <c r="Q2214" s="276"/>
      <c r="R2214" s="278"/>
      <c r="S2214" s="278"/>
      <c r="T2214" s="278"/>
      <c r="U2214" s="279"/>
      <c r="V2214" s="279"/>
      <c r="W2214" s="280"/>
      <c r="X2214" s="281"/>
      <c r="Y2214" s="279"/>
      <c r="Z2214" s="282" t="s">
        <v>1570</v>
      </c>
      <c r="AA2214" s="282">
        <v>7253377.0</v>
      </c>
      <c r="AB2214" s="283">
        <v>44556.0</v>
      </c>
      <c r="AC2214" s="284"/>
      <c r="AD2214" s="284"/>
    </row>
    <row r="2215" ht="14.25" customHeight="1">
      <c r="A2215" s="265">
        <v>44554.0</v>
      </c>
      <c r="B2215" s="265" t="s">
        <v>2030</v>
      </c>
      <c r="C2215" s="266" t="s">
        <v>1686</v>
      </c>
      <c r="D2215" s="266" t="s">
        <v>1543</v>
      </c>
      <c r="E2215" s="292"/>
      <c r="F2215" s="291" t="s">
        <v>6270</v>
      </c>
      <c r="G2215" s="268" t="s">
        <v>1463</v>
      </c>
      <c r="H2215" s="270">
        <v>0.0011458333333333333</v>
      </c>
      <c r="I2215" s="271">
        <v>44555.61666666667</v>
      </c>
      <c r="J2215" s="268"/>
      <c r="K2215" s="271">
        <v>44555.61875</v>
      </c>
      <c r="L2215" s="288"/>
      <c r="M2215" s="278" t="s">
        <v>6271</v>
      </c>
      <c r="N2215" s="290"/>
      <c r="O2215" s="276"/>
      <c r="P2215" s="276"/>
      <c r="Q2215" s="276"/>
      <c r="R2215" s="278"/>
      <c r="S2215" s="278"/>
      <c r="T2215" s="278"/>
      <c r="U2215" s="279"/>
      <c r="V2215" s="279" t="s">
        <v>1824</v>
      </c>
      <c r="W2215" s="280">
        <v>44557.0</v>
      </c>
      <c r="X2215" s="281">
        <v>0.004166666666666667</v>
      </c>
      <c r="Y2215" s="279" t="s">
        <v>1693</v>
      </c>
      <c r="Z2215" s="282" t="s">
        <v>1570</v>
      </c>
      <c r="AA2215" s="282">
        <v>7253378.0</v>
      </c>
      <c r="AB2215" s="283">
        <v>44556.0</v>
      </c>
      <c r="AC2215" s="284"/>
      <c r="AD2215" s="284"/>
    </row>
    <row r="2216" ht="14.25" customHeight="1">
      <c r="A2216" s="265">
        <v>44554.0</v>
      </c>
      <c r="B2216" s="266" t="s">
        <v>2030</v>
      </c>
      <c r="C2216" s="266"/>
      <c r="D2216" s="266" t="s">
        <v>1450</v>
      </c>
      <c r="E2216" s="292"/>
      <c r="F2216" s="358" t="s">
        <v>6272</v>
      </c>
      <c r="G2216" s="268" t="s">
        <v>2085</v>
      </c>
      <c r="H2216" s="270">
        <v>0.0989236111111111</v>
      </c>
      <c r="I2216" s="271">
        <v>44554.43472222222</v>
      </c>
      <c r="J2216" s="268"/>
      <c r="K2216" s="271">
        <v>44554.490277777775</v>
      </c>
      <c r="L2216" s="288"/>
      <c r="M2216" s="278"/>
      <c r="N2216" s="290"/>
      <c r="O2216" s="276"/>
      <c r="P2216" s="276"/>
      <c r="Q2216" s="276"/>
      <c r="R2216" s="278"/>
      <c r="S2216" s="278"/>
      <c r="T2216" s="278"/>
      <c r="U2216" s="279"/>
      <c r="V2216" s="279" t="s">
        <v>2030</v>
      </c>
      <c r="W2216" s="280" t="s">
        <v>6273</v>
      </c>
      <c r="X2216" s="281">
        <v>0.22916666666666666</v>
      </c>
      <c r="Y2216" s="279" t="s">
        <v>1693</v>
      </c>
      <c r="Z2216" s="282" t="s">
        <v>1570</v>
      </c>
      <c r="AA2216" s="282" t="s">
        <v>6272</v>
      </c>
      <c r="AB2216" s="283">
        <v>44556.0</v>
      </c>
      <c r="AC2216" s="284"/>
      <c r="AD2216" s="284"/>
    </row>
    <row r="2217" ht="14.25" customHeight="1">
      <c r="A2217" s="265">
        <v>44554.0</v>
      </c>
      <c r="B2217" s="266" t="s">
        <v>2030</v>
      </c>
      <c r="C2217" s="266"/>
      <c r="D2217" s="266" t="s">
        <v>1452</v>
      </c>
      <c r="E2217" s="292"/>
      <c r="F2217" s="358" t="s">
        <v>6274</v>
      </c>
      <c r="G2217" s="268" t="s">
        <v>2085</v>
      </c>
      <c r="H2217" s="270">
        <v>0.003900462962962963</v>
      </c>
      <c r="I2217" s="271">
        <v>44554.441666666666</v>
      </c>
      <c r="J2217" s="268"/>
      <c r="K2217" s="271">
        <v>44554.44652777778</v>
      </c>
      <c r="L2217" s="288"/>
      <c r="M2217" s="278"/>
      <c r="N2217" s="290"/>
      <c r="O2217" s="276"/>
      <c r="P2217" s="276"/>
      <c r="Q2217" s="276"/>
      <c r="R2217" s="278"/>
      <c r="S2217" s="278"/>
      <c r="T2217" s="278"/>
      <c r="U2217" s="279"/>
      <c r="V2217" s="279" t="s">
        <v>1570</v>
      </c>
      <c r="W2217" s="280">
        <v>44557.0</v>
      </c>
      <c r="X2217" s="281">
        <v>0.010416666666666666</v>
      </c>
      <c r="Y2217" s="279" t="s">
        <v>1693</v>
      </c>
      <c r="Z2217" s="282" t="s">
        <v>1570</v>
      </c>
      <c r="AA2217" s="282" t="s">
        <v>6274</v>
      </c>
      <c r="AB2217" s="283">
        <v>44556.0</v>
      </c>
      <c r="AC2217" s="284"/>
      <c r="AD2217" s="284"/>
    </row>
    <row r="2218" ht="14.25" customHeight="1">
      <c r="A2218" s="265">
        <v>44554.0</v>
      </c>
      <c r="B2218" s="265" t="s">
        <v>5577</v>
      </c>
      <c r="C2218" s="265"/>
      <c r="D2218" s="266" t="s">
        <v>1686</v>
      </c>
      <c r="E2218" s="292"/>
      <c r="F2218" s="358" t="s">
        <v>6275</v>
      </c>
      <c r="G2218" s="268" t="s">
        <v>2085</v>
      </c>
      <c r="H2218" s="270">
        <v>0.04270833333333333</v>
      </c>
      <c r="I2218" s="271">
        <v>44554.65972222222</v>
      </c>
      <c r="J2218" s="268"/>
      <c r="K2218" s="271">
        <v>44554.691979166666</v>
      </c>
      <c r="L2218" s="288"/>
      <c r="M2218" s="278"/>
      <c r="N2218" s="290"/>
      <c r="O2218" s="276"/>
      <c r="P2218" s="276"/>
      <c r="Q2218" s="276"/>
      <c r="R2218" s="278"/>
      <c r="S2218" s="278"/>
      <c r="T2218" s="278"/>
      <c r="U2218" s="279"/>
      <c r="V2218" s="279" t="s">
        <v>1733</v>
      </c>
      <c r="W2218" s="280">
        <v>44554.0</v>
      </c>
      <c r="X2218" s="281">
        <v>0.125</v>
      </c>
      <c r="Y2218" s="279" t="s">
        <v>1693</v>
      </c>
      <c r="Z2218" s="282" t="s">
        <v>1570</v>
      </c>
      <c r="AA2218" s="282" t="s">
        <v>6275</v>
      </c>
      <c r="AB2218" s="283">
        <v>44556.0</v>
      </c>
      <c r="AC2218" s="284"/>
      <c r="AD2218" s="284"/>
    </row>
    <row r="2219" ht="14.25" customHeight="1">
      <c r="A2219" s="265">
        <v>44554.0</v>
      </c>
      <c r="B2219" s="265" t="s">
        <v>2030</v>
      </c>
      <c r="C2219" s="265"/>
      <c r="D2219" s="266" t="s">
        <v>1455</v>
      </c>
      <c r="E2219" s="292"/>
      <c r="F2219" s="358" t="s">
        <v>6276</v>
      </c>
      <c r="G2219" s="268" t="s">
        <v>2085</v>
      </c>
      <c r="H2219" s="270">
        <v>0.022523148148148143</v>
      </c>
      <c r="I2219" s="271">
        <v>44555.35625</v>
      </c>
      <c r="J2219" s="268"/>
      <c r="K2219" s="271">
        <v>44555.493055555555</v>
      </c>
      <c r="L2219" s="288"/>
      <c r="M2219" s="278"/>
      <c r="N2219" s="290"/>
      <c r="O2219" s="276"/>
      <c r="P2219" s="276"/>
      <c r="Q2219" s="276"/>
      <c r="R2219" s="278"/>
      <c r="S2219" s="278"/>
      <c r="T2219" s="278"/>
      <c r="U2219" s="279"/>
      <c r="V2219" s="279" t="s">
        <v>1570</v>
      </c>
      <c r="W2219" s="280">
        <v>44554.0</v>
      </c>
      <c r="X2219" s="281">
        <v>0.08333333333333333</v>
      </c>
      <c r="Y2219" s="279" t="s">
        <v>1693</v>
      </c>
      <c r="Z2219" s="282" t="s">
        <v>1570</v>
      </c>
      <c r="AA2219" s="282" t="s">
        <v>6276</v>
      </c>
      <c r="AB2219" s="283">
        <v>44556.0</v>
      </c>
      <c r="AC2219" s="284"/>
      <c r="AD2219" s="284"/>
    </row>
    <row r="2220" ht="14.25" customHeight="1">
      <c r="A2220" s="265">
        <v>44554.0</v>
      </c>
      <c r="B2220" s="265" t="s">
        <v>1500</v>
      </c>
      <c r="C2220" s="266" t="s">
        <v>1455</v>
      </c>
      <c r="D2220" s="266" t="s">
        <v>1543</v>
      </c>
      <c r="E2220" s="292"/>
      <c r="F2220" s="291" t="s">
        <v>6277</v>
      </c>
      <c r="G2220" s="268" t="s">
        <v>1463</v>
      </c>
      <c r="H2220" s="270">
        <v>0.003263888888888889</v>
      </c>
      <c r="I2220" s="271">
        <v>44558.24375</v>
      </c>
      <c r="J2220" s="268"/>
      <c r="K2220" s="271">
        <v>44558.35795138889</v>
      </c>
      <c r="L2220" s="288"/>
      <c r="M2220" s="278" t="s">
        <v>6278</v>
      </c>
      <c r="N2220" s="290"/>
      <c r="O2220" s="276"/>
      <c r="P2220" s="276"/>
      <c r="Q2220" s="276"/>
      <c r="R2220" s="278"/>
      <c r="S2220" s="278"/>
      <c r="T2220" s="278"/>
      <c r="U2220" s="279"/>
      <c r="V2220" s="279" t="s">
        <v>1738</v>
      </c>
      <c r="W2220" s="280">
        <v>44562.0</v>
      </c>
      <c r="X2220" s="281">
        <v>0.006944444444444444</v>
      </c>
      <c r="Y2220" s="279" t="s">
        <v>1693</v>
      </c>
      <c r="Z2220" s="282" t="s">
        <v>53</v>
      </c>
      <c r="AA2220" s="282">
        <v>7263704.0</v>
      </c>
      <c r="AB2220" s="283">
        <v>44559.0</v>
      </c>
      <c r="AC2220" s="284"/>
      <c r="AD2220" s="284"/>
    </row>
    <row r="2221" ht="14.25" customHeight="1">
      <c r="A2221" s="265">
        <v>44555.0</v>
      </c>
      <c r="B2221" s="265" t="s">
        <v>1500</v>
      </c>
      <c r="C2221" s="266" t="s">
        <v>1455</v>
      </c>
      <c r="D2221" s="266" t="s">
        <v>1543</v>
      </c>
      <c r="E2221" s="292"/>
      <c r="F2221" s="269" t="s">
        <v>6279</v>
      </c>
      <c r="G2221" s="268" t="s">
        <v>1463</v>
      </c>
      <c r="H2221" s="270">
        <v>0.002627314814814815</v>
      </c>
      <c r="I2221" s="271">
        <v>44558.26666666667</v>
      </c>
      <c r="J2221" s="268"/>
      <c r="K2221" s="271">
        <v>44558.29482638889</v>
      </c>
      <c r="L2221" s="288"/>
      <c r="M2221" s="278" t="s">
        <v>6280</v>
      </c>
      <c r="N2221" s="290"/>
      <c r="O2221" s="276"/>
      <c r="P2221" s="276"/>
      <c r="Q2221" s="276"/>
      <c r="R2221" s="278"/>
      <c r="S2221" s="278"/>
      <c r="T2221" s="278"/>
      <c r="U2221" s="279"/>
      <c r="V2221" s="279" t="s">
        <v>1738</v>
      </c>
      <c r="W2221" s="280">
        <v>44562.0</v>
      </c>
      <c r="X2221" s="281">
        <v>0.006944444444444444</v>
      </c>
      <c r="Y2221" s="279" t="s">
        <v>1693</v>
      </c>
      <c r="Z2221" s="282" t="s">
        <v>53</v>
      </c>
      <c r="AA2221" s="282">
        <v>7259355.0</v>
      </c>
      <c r="AB2221" s="283">
        <v>44559.0</v>
      </c>
      <c r="AC2221" s="284"/>
      <c r="AD2221" s="284"/>
    </row>
    <row r="2222" ht="14.25" customHeight="1">
      <c r="A2222" s="265">
        <v>44555.0</v>
      </c>
      <c r="B2222" s="265" t="s">
        <v>1570</v>
      </c>
      <c r="C2222" s="265"/>
      <c r="D2222" s="266" t="s">
        <v>1686</v>
      </c>
      <c r="E2222" s="292"/>
      <c r="F2222" s="358" t="s">
        <v>6281</v>
      </c>
      <c r="G2222" s="268" t="s">
        <v>2085</v>
      </c>
      <c r="H2222" s="270">
        <v>0.04131944444444444</v>
      </c>
      <c r="I2222" s="271">
        <v>44555.74791666667</v>
      </c>
      <c r="J2222" s="268"/>
      <c r="K2222" s="271">
        <v>44556.117430555554</v>
      </c>
      <c r="L2222" s="288"/>
      <c r="M2222" s="278"/>
      <c r="N2222" s="290"/>
      <c r="O2222" s="276"/>
      <c r="P2222" s="276"/>
      <c r="Q2222" s="276"/>
      <c r="R2222" s="278"/>
      <c r="S2222" s="278"/>
      <c r="T2222" s="278"/>
      <c r="U2222" s="279"/>
      <c r="V2222" s="279" t="s">
        <v>1733</v>
      </c>
      <c r="W2222" s="280">
        <v>44556.0</v>
      </c>
      <c r="X2222" s="281">
        <v>0.125</v>
      </c>
      <c r="Y2222" s="279" t="s">
        <v>1693</v>
      </c>
      <c r="Z2222" s="282" t="s">
        <v>1570</v>
      </c>
      <c r="AA2222" s="282" t="s">
        <v>6281</v>
      </c>
      <c r="AB2222" s="283">
        <v>44556.0</v>
      </c>
      <c r="AC2222" s="284"/>
      <c r="AD2222" s="284"/>
    </row>
    <row r="2223" ht="14.25" customHeight="1">
      <c r="A2223" s="265">
        <v>44555.0</v>
      </c>
      <c r="B2223" s="265" t="s">
        <v>1570</v>
      </c>
      <c r="C2223" s="265"/>
      <c r="D2223" s="266" t="s">
        <v>1455</v>
      </c>
      <c r="E2223" s="292"/>
      <c r="F2223" s="358" t="s">
        <v>6282</v>
      </c>
      <c r="G2223" s="268" t="s">
        <v>2085</v>
      </c>
      <c r="H2223" s="270">
        <v>0.019849537037037037</v>
      </c>
      <c r="I2223" s="271">
        <v>44556.368055555555</v>
      </c>
      <c r="J2223" s="268"/>
      <c r="K2223" s="271">
        <v>44556.716828703706</v>
      </c>
      <c r="L2223" s="288"/>
      <c r="M2223" s="278"/>
      <c r="N2223" s="290"/>
      <c r="O2223" s="276"/>
      <c r="P2223" s="276"/>
      <c r="Q2223" s="276"/>
      <c r="R2223" s="278"/>
      <c r="S2223" s="278"/>
      <c r="T2223" s="278"/>
      <c r="U2223" s="279"/>
      <c r="V2223" s="279" t="s">
        <v>1570</v>
      </c>
      <c r="W2223" s="280">
        <v>44557.0</v>
      </c>
      <c r="X2223" s="281">
        <v>0.08333333333333333</v>
      </c>
      <c r="Y2223" s="279" t="s">
        <v>1693</v>
      </c>
      <c r="Z2223" s="282" t="s">
        <v>1570</v>
      </c>
      <c r="AA2223" s="282" t="s">
        <v>6282</v>
      </c>
      <c r="AB2223" s="283">
        <v>44556.0</v>
      </c>
      <c r="AC2223" s="284"/>
      <c r="AD2223" s="284"/>
    </row>
    <row r="2224" ht="14.25" customHeight="1">
      <c r="A2224" s="265">
        <v>44555.0</v>
      </c>
      <c r="B2224" s="265" t="s">
        <v>1500</v>
      </c>
      <c r="C2224" s="266" t="s">
        <v>1455</v>
      </c>
      <c r="D2224" s="266" t="s">
        <v>1543</v>
      </c>
      <c r="E2224" s="292"/>
      <c r="F2224" s="269" t="s">
        <v>6283</v>
      </c>
      <c r="G2224" s="268" t="s">
        <v>1463</v>
      </c>
      <c r="H2224" s="270">
        <v>0.0017824074074074072</v>
      </c>
      <c r="I2224" s="271">
        <v>44558.254166666666</v>
      </c>
      <c r="J2224" s="268"/>
      <c r="K2224" s="271">
        <v>44558.30600694445</v>
      </c>
      <c r="L2224" s="288"/>
      <c r="M2224" s="278" t="s">
        <v>6284</v>
      </c>
      <c r="N2224" s="290"/>
      <c r="O2224" s="276"/>
      <c r="P2224" s="276"/>
      <c r="Q2224" s="276"/>
      <c r="R2224" s="278"/>
      <c r="S2224" s="278"/>
      <c r="T2224" s="278"/>
      <c r="U2224" s="279"/>
      <c r="V2224" s="279" t="s">
        <v>1738</v>
      </c>
      <c r="W2224" s="280">
        <v>44562.0</v>
      </c>
      <c r="X2224" s="281">
        <v>0.006944444444444444</v>
      </c>
      <c r="Y2224" s="279" t="s">
        <v>1693</v>
      </c>
      <c r="Z2224" s="282" t="s">
        <v>53</v>
      </c>
      <c r="AA2224" s="282">
        <v>7263705.0</v>
      </c>
      <c r="AB2224" s="283">
        <v>44559.0</v>
      </c>
      <c r="AC2224" s="284"/>
      <c r="AD2224" s="284"/>
    </row>
    <row r="2225" ht="14.25" customHeight="1">
      <c r="A2225" s="265">
        <v>44556.0</v>
      </c>
      <c r="B2225" s="265" t="s">
        <v>1733</v>
      </c>
      <c r="C2225" s="265"/>
      <c r="D2225" s="266" t="s">
        <v>3509</v>
      </c>
      <c r="E2225" s="292"/>
      <c r="F2225" s="358">
        <v>7218323.0</v>
      </c>
      <c r="G2225" s="268" t="s">
        <v>3839</v>
      </c>
      <c r="H2225" s="270">
        <v>0.05716435185185185</v>
      </c>
      <c r="I2225" s="271">
        <v>44556.6875</v>
      </c>
      <c r="J2225" s="268"/>
      <c r="K2225" s="271">
        <v>44556.81570601852</v>
      </c>
      <c r="L2225" s="288"/>
      <c r="M2225" s="307"/>
      <c r="N2225" s="273"/>
      <c r="O2225" s="276"/>
      <c r="P2225" s="276"/>
      <c r="Q2225" s="276"/>
      <c r="R2225" s="277"/>
      <c r="S2225" s="278"/>
      <c r="T2225" s="278"/>
      <c r="U2225" s="279" t="s">
        <v>28</v>
      </c>
      <c r="V2225" s="279" t="s">
        <v>28</v>
      </c>
      <c r="W2225" s="279" t="s">
        <v>28</v>
      </c>
      <c r="X2225" s="279" t="s">
        <v>28</v>
      </c>
      <c r="Y2225" s="279" t="s">
        <v>28</v>
      </c>
      <c r="Z2225" s="282" t="s">
        <v>1570</v>
      </c>
      <c r="AA2225" s="282">
        <v>7218323.0</v>
      </c>
      <c r="AB2225" s="283">
        <v>44556.0</v>
      </c>
      <c r="AC2225" s="284"/>
      <c r="AD2225" s="284"/>
    </row>
    <row r="2226" ht="14.25" customHeight="1">
      <c r="A2226" s="265">
        <v>44556.0</v>
      </c>
      <c r="B2226" s="265" t="s">
        <v>1733</v>
      </c>
      <c r="C2226" s="265"/>
      <c r="D2226" s="266" t="s">
        <v>1457</v>
      </c>
      <c r="E2226" s="292"/>
      <c r="F2226" s="358" t="s">
        <v>6285</v>
      </c>
      <c r="G2226" s="268" t="s">
        <v>2085</v>
      </c>
      <c r="H2226" s="270">
        <v>0.017546296296296296</v>
      </c>
      <c r="I2226" s="271">
        <v>44557.46388888889</v>
      </c>
      <c r="J2226" s="268"/>
      <c r="K2226" s="271">
        <v>44557.47482638889</v>
      </c>
      <c r="L2226" s="288"/>
      <c r="M2226" s="278"/>
      <c r="N2226" s="290"/>
      <c r="O2226" s="276"/>
      <c r="P2226" s="276"/>
      <c r="Q2226" s="276"/>
      <c r="R2226" s="278"/>
      <c r="S2226" s="278"/>
      <c r="T2226" s="278"/>
      <c r="U2226" s="279"/>
      <c r="V2226" s="279" t="s">
        <v>1824</v>
      </c>
      <c r="W2226" s="280">
        <v>44557.0</v>
      </c>
      <c r="X2226" s="281">
        <v>0.034722222222222224</v>
      </c>
      <c r="Y2226" s="279" t="s">
        <v>1693</v>
      </c>
      <c r="Z2226" s="282" t="s">
        <v>53</v>
      </c>
      <c r="AA2226" s="282" t="s">
        <v>6285</v>
      </c>
      <c r="AB2226" s="283">
        <v>44557.0</v>
      </c>
      <c r="AC2226" s="284"/>
      <c r="AD2226" s="284"/>
    </row>
    <row r="2227" ht="14.25" customHeight="1">
      <c r="A2227" s="265">
        <v>44556.0</v>
      </c>
      <c r="B2227" s="265" t="s">
        <v>1733</v>
      </c>
      <c r="C2227" s="265"/>
      <c r="D2227" s="266" t="s">
        <v>2829</v>
      </c>
      <c r="E2227" s="292"/>
      <c r="F2227" s="358" t="s">
        <v>6286</v>
      </c>
      <c r="G2227" s="268" t="s">
        <v>2085</v>
      </c>
      <c r="H2227" s="270">
        <v>0.021666666666666667</v>
      </c>
      <c r="I2227" s="271">
        <v>44556.73263888889</v>
      </c>
      <c r="J2227" s="268"/>
      <c r="K2227" s="268"/>
      <c r="L2227" s="288"/>
      <c r="M2227" s="307" t="s">
        <v>2808</v>
      </c>
      <c r="N2227" s="273">
        <v>44556.743055555555</v>
      </c>
      <c r="O2227" s="276" t="s">
        <v>6287</v>
      </c>
      <c r="P2227" s="276" t="s">
        <v>1463</v>
      </c>
      <c r="Q2227" s="276" t="s">
        <v>1819</v>
      </c>
      <c r="R2227" s="277">
        <v>44556.74899305555</v>
      </c>
      <c r="S2227" s="278"/>
      <c r="T2227" s="278" t="s">
        <v>6288</v>
      </c>
      <c r="U2227" s="279" t="s">
        <v>28</v>
      </c>
      <c r="V2227" s="279" t="s">
        <v>28</v>
      </c>
      <c r="W2227" s="279" t="s">
        <v>28</v>
      </c>
      <c r="X2227" s="279" t="s">
        <v>28</v>
      </c>
      <c r="Y2227" s="279" t="s">
        <v>28</v>
      </c>
      <c r="Z2227" s="282" t="s">
        <v>53</v>
      </c>
      <c r="AA2227" s="282" t="s">
        <v>6286</v>
      </c>
      <c r="AB2227" s="283">
        <v>44557.0</v>
      </c>
      <c r="AC2227" s="284"/>
      <c r="AD2227" s="284"/>
    </row>
    <row r="2228" ht="14.25" customHeight="1">
      <c r="A2228" s="265">
        <v>44557.0</v>
      </c>
      <c r="B2228" s="265" t="s">
        <v>2030</v>
      </c>
      <c r="C2228" s="265"/>
      <c r="D2228" s="266" t="s">
        <v>1450</v>
      </c>
      <c r="E2228" s="292"/>
      <c r="F2228" s="358" t="s">
        <v>6289</v>
      </c>
      <c r="G2228" s="268" t="s">
        <v>2085</v>
      </c>
      <c r="H2228" s="270">
        <v>0.09979166666666667</v>
      </c>
      <c r="I2228" s="271">
        <v>44557.43194444444</v>
      </c>
      <c r="J2228" s="268"/>
      <c r="K2228" s="271">
        <v>44557.50625</v>
      </c>
      <c r="L2228" s="288"/>
      <c r="M2228" s="278"/>
      <c r="N2228" s="290"/>
      <c r="O2228" s="276"/>
      <c r="P2228" s="276"/>
      <c r="Q2228" s="276"/>
      <c r="R2228" s="278"/>
      <c r="S2228" s="278"/>
      <c r="T2228" s="278"/>
      <c r="U2228" s="279"/>
      <c r="V2228" s="279" t="s">
        <v>2030</v>
      </c>
      <c r="W2228" s="280" t="s">
        <v>6290</v>
      </c>
      <c r="X2228" s="281">
        <v>0.22916666666666666</v>
      </c>
      <c r="Y2228" s="279" t="s">
        <v>1693</v>
      </c>
      <c r="Z2228" s="282" t="s">
        <v>53</v>
      </c>
      <c r="AA2228" s="282" t="s">
        <v>6289</v>
      </c>
      <c r="AB2228" s="283">
        <v>44557.0</v>
      </c>
      <c r="AC2228" s="284"/>
      <c r="AD2228" s="284"/>
    </row>
    <row r="2229" ht="14.25" customHeight="1">
      <c r="A2229" s="265">
        <v>44557.0</v>
      </c>
      <c r="B2229" s="265" t="s">
        <v>2030</v>
      </c>
      <c r="C2229" s="265"/>
      <c r="D2229" s="266" t="s">
        <v>1452</v>
      </c>
      <c r="E2229" s="292"/>
      <c r="F2229" s="358" t="s">
        <v>6291</v>
      </c>
      <c r="G2229" s="268" t="s">
        <v>2085</v>
      </c>
      <c r="H2229" s="270">
        <v>0.0037152777777777774</v>
      </c>
      <c r="I2229" s="271">
        <v>44557.44375</v>
      </c>
      <c r="J2229" s="268"/>
      <c r="K2229" s="271">
        <v>44557.447916666664</v>
      </c>
      <c r="L2229" s="288"/>
      <c r="M2229" s="278"/>
      <c r="N2229" s="290"/>
      <c r="O2229" s="276"/>
      <c r="P2229" s="276"/>
      <c r="Q2229" s="276"/>
      <c r="R2229" s="278"/>
      <c r="S2229" s="278"/>
      <c r="T2229" s="278"/>
      <c r="U2229" s="279"/>
      <c r="V2229" s="279" t="s">
        <v>2030</v>
      </c>
      <c r="W2229" s="280">
        <v>44557.0</v>
      </c>
      <c r="X2229" s="281">
        <v>0.010416666666666666</v>
      </c>
      <c r="Y2229" s="279" t="s">
        <v>1693</v>
      </c>
      <c r="Z2229" s="282" t="s">
        <v>53</v>
      </c>
      <c r="AA2229" s="282" t="s">
        <v>6291</v>
      </c>
      <c r="AB2229" s="283">
        <v>44557.0</v>
      </c>
      <c r="AC2229" s="284"/>
      <c r="AD2229" s="284"/>
    </row>
    <row r="2230" ht="14.25" customHeight="1">
      <c r="A2230" s="265">
        <v>44557.0</v>
      </c>
      <c r="B2230" s="265" t="s">
        <v>1733</v>
      </c>
      <c r="C2230" s="265"/>
      <c r="D2230" s="266" t="s">
        <v>1686</v>
      </c>
      <c r="E2230" s="292"/>
      <c r="F2230" s="358" t="s">
        <v>6292</v>
      </c>
      <c r="G2230" s="268" t="s">
        <v>2085</v>
      </c>
      <c r="H2230" s="270">
        <v>0.040219907407407406</v>
      </c>
      <c r="I2230" s="271">
        <v>44557.57152777778</v>
      </c>
      <c r="J2230" s="268"/>
      <c r="K2230" s="271">
        <v>44557.59563657407</v>
      </c>
      <c r="L2230" s="288"/>
      <c r="M2230" s="278"/>
      <c r="N2230" s="290"/>
      <c r="O2230" s="276"/>
      <c r="P2230" s="276"/>
      <c r="Q2230" s="276"/>
      <c r="R2230" s="278"/>
      <c r="S2230" s="278"/>
      <c r="T2230" s="278"/>
      <c r="U2230" s="279"/>
      <c r="V2230" s="279" t="s">
        <v>1733</v>
      </c>
      <c r="W2230" s="280">
        <v>44557.0</v>
      </c>
      <c r="X2230" s="281">
        <v>0.125</v>
      </c>
      <c r="Y2230" s="279" t="s">
        <v>1693</v>
      </c>
      <c r="Z2230" s="282" t="s">
        <v>53</v>
      </c>
      <c r="AA2230" s="282" t="s">
        <v>6292</v>
      </c>
      <c r="AB2230" s="283">
        <v>44557.0</v>
      </c>
      <c r="AC2230" s="284"/>
      <c r="AD2230" s="284"/>
    </row>
    <row r="2231" ht="14.25" customHeight="1">
      <c r="A2231" s="265">
        <v>44557.0</v>
      </c>
      <c r="B2231" s="265" t="s">
        <v>1570</v>
      </c>
      <c r="C2231" s="265"/>
      <c r="D2231" s="266" t="s">
        <v>1455</v>
      </c>
      <c r="E2231" s="292"/>
      <c r="F2231" s="358" t="s">
        <v>6293</v>
      </c>
      <c r="G2231" s="268" t="s">
        <v>2085</v>
      </c>
      <c r="H2231" s="270">
        <v>0.020810185185185185</v>
      </c>
      <c r="I2231" s="271">
        <v>44557.86736111111</v>
      </c>
      <c r="J2231" s="268"/>
      <c r="K2231" s="271">
        <v>44557.88255787037</v>
      </c>
      <c r="L2231" s="288"/>
      <c r="M2231" s="278"/>
      <c r="N2231" s="290"/>
      <c r="O2231" s="276"/>
      <c r="P2231" s="276"/>
      <c r="Q2231" s="276"/>
      <c r="R2231" s="278"/>
      <c r="S2231" s="278"/>
      <c r="T2231" s="278"/>
      <c r="U2231" s="279"/>
      <c r="V2231" s="279" t="s">
        <v>1570</v>
      </c>
      <c r="W2231" s="280">
        <v>44558.0</v>
      </c>
      <c r="X2231" s="281">
        <v>0.08333333333333333</v>
      </c>
      <c r="Y2231" s="279" t="s">
        <v>1693</v>
      </c>
      <c r="Z2231" s="282" t="s">
        <v>53</v>
      </c>
      <c r="AA2231" s="282" t="s">
        <v>6293</v>
      </c>
      <c r="AB2231" s="283">
        <v>44559.0</v>
      </c>
      <c r="AC2231" s="284"/>
      <c r="AD2231" s="284"/>
    </row>
    <row r="2232" ht="14.25" customHeight="1">
      <c r="A2232" s="265">
        <v>44558.0</v>
      </c>
      <c r="B2232" s="266" t="s">
        <v>1500</v>
      </c>
      <c r="C2232" s="266" t="s">
        <v>1642</v>
      </c>
      <c r="D2232" s="266" t="s">
        <v>1502</v>
      </c>
      <c r="E2232" s="292"/>
      <c r="F2232" s="269" t="s">
        <v>6294</v>
      </c>
      <c r="G2232" s="268" t="s">
        <v>1463</v>
      </c>
      <c r="H2232" s="270">
        <v>0.043368055555555556</v>
      </c>
      <c r="I2232" s="271">
        <v>44556.83734953704</v>
      </c>
      <c r="J2232" s="268"/>
      <c r="K2232" s="271">
        <v>44558.38931712963</v>
      </c>
      <c r="L2232" s="288"/>
      <c r="M2232" s="278" t="s">
        <v>6295</v>
      </c>
      <c r="N2232" s="290"/>
      <c r="O2232" s="276"/>
      <c r="P2232" s="276"/>
      <c r="Q2232" s="276"/>
      <c r="R2232" s="278"/>
      <c r="S2232" s="278"/>
      <c r="T2232" s="278"/>
      <c r="U2232" s="279"/>
      <c r="V2232" s="279"/>
      <c r="W2232" s="280"/>
      <c r="X2232" s="281"/>
      <c r="Y2232" s="279"/>
      <c r="Z2232" s="282" t="s">
        <v>53</v>
      </c>
      <c r="AA2232" s="282">
        <v>7259356.0</v>
      </c>
      <c r="AB2232" s="283">
        <v>44559.0</v>
      </c>
      <c r="AC2232" s="284"/>
      <c r="AD2232" s="284"/>
    </row>
    <row r="2233" ht="14.25" customHeight="1">
      <c r="A2233" s="265">
        <v>44558.0</v>
      </c>
      <c r="B2233" s="265" t="s">
        <v>1500</v>
      </c>
      <c r="C2233" s="265" t="s">
        <v>1659</v>
      </c>
      <c r="D2233" s="266" t="s">
        <v>1502</v>
      </c>
      <c r="E2233" s="292"/>
      <c r="F2233" s="269" t="s">
        <v>1663</v>
      </c>
      <c r="G2233" s="268" t="s">
        <v>1661</v>
      </c>
      <c r="H2233" s="270">
        <v>0.050729166666666665</v>
      </c>
      <c r="I2233" s="271">
        <v>44558.243125</v>
      </c>
      <c r="J2233" s="268"/>
      <c r="K2233" s="271">
        <v>44558.27127314815</v>
      </c>
      <c r="L2233" s="288"/>
      <c r="M2233" s="278" t="s">
        <v>1664</v>
      </c>
      <c r="N2233" s="290"/>
      <c r="O2233" s="276"/>
      <c r="P2233" s="276"/>
      <c r="Q2233" s="276"/>
      <c r="R2233" s="278"/>
      <c r="S2233" s="278"/>
      <c r="T2233" s="278"/>
      <c r="U2233" s="279"/>
      <c r="V2233" s="279"/>
      <c r="W2233" s="280"/>
      <c r="X2233" s="281"/>
      <c r="Y2233" s="279"/>
      <c r="Z2233" s="282" t="s">
        <v>53</v>
      </c>
      <c r="AA2233" s="282">
        <v>7259357.0</v>
      </c>
      <c r="AB2233" s="283">
        <v>44559.0</v>
      </c>
      <c r="AC2233" s="284"/>
      <c r="AD2233" s="284"/>
    </row>
    <row r="2234" ht="14.25" customHeight="1">
      <c r="A2234" s="265">
        <v>44558.0</v>
      </c>
      <c r="B2234" s="265" t="s">
        <v>1500</v>
      </c>
      <c r="C2234" s="265" t="s">
        <v>1659</v>
      </c>
      <c r="D2234" s="266" t="s">
        <v>1502</v>
      </c>
      <c r="E2234" s="292"/>
      <c r="F2234" s="269" t="s">
        <v>1660</v>
      </c>
      <c r="G2234" s="268" t="s">
        <v>1661</v>
      </c>
      <c r="H2234" s="270">
        <v>0.050729166666666665</v>
      </c>
      <c r="I2234" s="271">
        <v>44558.243125</v>
      </c>
      <c r="J2234" s="268"/>
      <c r="K2234" s="271">
        <v>44558.27127314815</v>
      </c>
      <c r="L2234" s="288"/>
      <c r="M2234" s="278" t="s">
        <v>1662</v>
      </c>
      <c r="N2234" s="290"/>
      <c r="O2234" s="276"/>
      <c r="P2234" s="276"/>
      <c r="Q2234" s="276"/>
      <c r="R2234" s="278"/>
      <c r="S2234" s="278"/>
      <c r="T2234" s="278"/>
      <c r="U2234" s="279"/>
      <c r="V2234" s="279"/>
      <c r="W2234" s="280"/>
      <c r="X2234" s="281"/>
      <c r="Y2234" s="279"/>
      <c r="Z2234" s="282" t="s">
        <v>53</v>
      </c>
      <c r="AA2234" s="282">
        <v>7260245.0</v>
      </c>
      <c r="AB2234" s="283">
        <v>44559.0</v>
      </c>
      <c r="AC2234" s="284"/>
      <c r="AD2234" s="284"/>
    </row>
    <row r="2235" ht="14.25" customHeight="1">
      <c r="A2235" s="265">
        <v>44558.0</v>
      </c>
      <c r="B2235" s="265" t="s">
        <v>1500</v>
      </c>
      <c r="C2235" s="265" t="s">
        <v>1665</v>
      </c>
      <c r="D2235" s="266" t="s">
        <v>1502</v>
      </c>
      <c r="E2235" s="292"/>
      <c r="F2235" s="269" t="s">
        <v>1666</v>
      </c>
      <c r="G2235" s="268" t="s">
        <v>1661</v>
      </c>
      <c r="H2235" s="270">
        <v>0.05502314814814815</v>
      </c>
      <c r="I2235" s="271">
        <v>44558.30871527778</v>
      </c>
      <c r="J2235" s="268"/>
      <c r="K2235" s="271">
        <v>44558.353310185186</v>
      </c>
      <c r="L2235" s="288"/>
      <c r="M2235" s="278" t="s">
        <v>1667</v>
      </c>
      <c r="N2235" s="290"/>
      <c r="O2235" s="276"/>
      <c r="P2235" s="276"/>
      <c r="Q2235" s="276"/>
      <c r="R2235" s="278"/>
      <c r="S2235" s="278"/>
      <c r="T2235" s="278"/>
      <c r="U2235" s="279"/>
      <c r="V2235" s="279"/>
      <c r="W2235" s="280"/>
      <c r="X2235" s="281"/>
      <c r="Y2235" s="279"/>
      <c r="Z2235" s="282" t="s">
        <v>53</v>
      </c>
      <c r="AA2235" s="282">
        <v>7260247.0</v>
      </c>
      <c r="AB2235" s="283">
        <v>44559.0</v>
      </c>
      <c r="AC2235" s="284"/>
      <c r="AD2235" s="284"/>
    </row>
    <row r="2236" ht="14.25" customHeight="1">
      <c r="A2236" s="265">
        <v>44558.0</v>
      </c>
      <c r="B2236" s="265" t="s">
        <v>1500</v>
      </c>
      <c r="C2236" s="265" t="s">
        <v>1665</v>
      </c>
      <c r="D2236" s="266" t="s">
        <v>1502</v>
      </c>
      <c r="E2236" s="292"/>
      <c r="F2236" s="269" t="s">
        <v>1668</v>
      </c>
      <c r="G2236" s="268" t="s">
        <v>1661</v>
      </c>
      <c r="H2236" s="270">
        <v>0.05502314814814815</v>
      </c>
      <c r="I2236" s="271">
        <v>44558.308703703704</v>
      </c>
      <c r="J2236" s="268"/>
      <c r="K2236" s="271">
        <v>44558.353472222225</v>
      </c>
      <c r="L2236" s="288"/>
      <c r="M2236" s="278" t="s">
        <v>1669</v>
      </c>
      <c r="N2236" s="290"/>
      <c r="O2236" s="276"/>
      <c r="P2236" s="276"/>
      <c r="Q2236" s="276"/>
      <c r="R2236" s="278"/>
      <c r="S2236" s="278"/>
      <c r="T2236" s="278"/>
      <c r="U2236" s="279"/>
      <c r="V2236" s="279"/>
      <c r="W2236" s="280"/>
      <c r="X2236" s="281"/>
      <c r="Y2236" s="279"/>
      <c r="Z2236" s="282" t="s">
        <v>53</v>
      </c>
      <c r="AA2236" s="282">
        <v>7260248.0</v>
      </c>
      <c r="AB2236" s="283">
        <v>44559.0</v>
      </c>
      <c r="AC2236" s="284"/>
      <c r="AD2236" s="284"/>
    </row>
    <row r="2237" ht="14.25" customHeight="1">
      <c r="A2237" s="265">
        <v>44558.0</v>
      </c>
      <c r="B2237" s="265" t="s">
        <v>2030</v>
      </c>
      <c r="C2237" s="265"/>
      <c r="D2237" s="266" t="s">
        <v>1450</v>
      </c>
      <c r="E2237" s="292"/>
      <c r="F2237" s="358" t="s">
        <v>6296</v>
      </c>
      <c r="G2237" s="268" t="s">
        <v>2085</v>
      </c>
      <c r="H2237" s="270">
        <v>0.09986111111111111</v>
      </c>
      <c r="I2237" s="271">
        <v>44558.47777777778</v>
      </c>
      <c r="J2237" s="268"/>
      <c r="K2237" s="271">
        <v>44558.5375</v>
      </c>
      <c r="L2237" s="288"/>
      <c r="M2237" s="278"/>
      <c r="N2237" s="290"/>
      <c r="O2237" s="276"/>
      <c r="P2237" s="276"/>
      <c r="Q2237" s="276"/>
      <c r="R2237" s="278"/>
      <c r="S2237" s="278"/>
      <c r="T2237" s="278"/>
      <c r="U2237" s="279"/>
      <c r="V2237" s="279" t="s">
        <v>1738</v>
      </c>
      <c r="W2237" s="280">
        <v>44559.0</v>
      </c>
      <c r="X2237" s="281">
        <v>0.25</v>
      </c>
      <c r="Y2237" s="279" t="s">
        <v>1693</v>
      </c>
      <c r="Z2237" s="282" t="s">
        <v>53</v>
      </c>
      <c r="AA2237" s="282" t="s">
        <v>6296</v>
      </c>
      <c r="AB2237" s="283">
        <v>44559.0</v>
      </c>
      <c r="AC2237" s="284"/>
      <c r="AD2237" s="284"/>
    </row>
    <row r="2238" ht="14.25" customHeight="1">
      <c r="A2238" s="265">
        <v>44558.0</v>
      </c>
      <c r="B2238" s="265" t="s">
        <v>1738</v>
      </c>
      <c r="C2238" s="266" t="s">
        <v>2158</v>
      </c>
      <c r="D2238" s="266" t="s">
        <v>1450</v>
      </c>
      <c r="E2238" s="292"/>
      <c r="F2238" s="286" t="s">
        <v>6297</v>
      </c>
      <c r="G2238" s="268" t="s">
        <v>4787</v>
      </c>
      <c r="H2238" s="270"/>
      <c r="I2238" s="271"/>
      <c r="J2238" s="268"/>
      <c r="K2238" s="271"/>
      <c r="L2238" s="288"/>
      <c r="M2238" s="278"/>
      <c r="N2238" s="290"/>
      <c r="O2238" s="276"/>
      <c r="P2238" s="276"/>
      <c r="Q2238" s="276"/>
      <c r="R2238" s="278"/>
      <c r="S2238" s="278"/>
      <c r="T2238" s="278"/>
      <c r="U2238" s="279" t="s">
        <v>28</v>
      </c>
      <c r="V2238" s="279" t="s">
        <v>28</v>
      </c>
      <c r="W2238" s="279" t="s">
        <v>28</v>
      </c>
      <c r="X2238" s="279" t="s">
        <v>28</v>
      </c>
      <c r="Y2238" s="279" t="s">
        <v>28</v>
      </c>
      <c r="Z2238" s="282" t="s">
        <v>28</v>
      </c>
      <c r="AA2238" s="282" t="s">
        <v>28</v>
      </c>
      <c r="AB2238" s="283" t="s">
        <v>28</v>
      </c>
      <c r="AC2238" s="284"/>
      <c r="AD2238" s="284"/>
    </row>
    <row r="2239" ht="14.25" customHeight="1">
      <c r="A2239" s="265">
        <v>44558.0</v>
      </c>
      <c r="B2239" s="265" t="s">
        <v>1738</v>
      </c>
      <c r="C2239" s="266" t="s">
        <v>2158</v>
      </c>
      <c r="D2239" s="266" t="s">
        <v>1450</v>
      </c>
      <c r="E2239" s="292"/>
      <c r="F2239" s="286" t="s">
        <v>6298</v>
      </c>
      <c r="G2239" s="268" t="s">
        <v>4787</v>
      </c>
      <c r="H2239" s="270"/>
      <c r="I2239" s="271"/>
      <c r="J2239" s="268"/>
      <c r="K2239" s="271"/>
      <c r="L2239" s="288"/>
      <c r="M2239" s="278"/>
      <c r="N2239" s="290"/>
      <c r="O2239" s="276"/>
      <c r="P2239" s="276"/>
      <c r="Q2239" s="276"/>
      <c r="R2239" s="278"/>
      <c r="S2239" s="278"/>
      <c r="T2239" s="278"/>
      <c r="U2239" s="279" t="s">
        <v>28</v>
      </c>
      <c r="V2239" s="279" t="s">
        <v>28</v>
      </c>
      <c r="W2239" s="279" t="s">
        <v>28</v>
      </c>
      <c r="X2239" s="279" t="s">
        <v>28</v>
      </c>
      <c r="Y2239" s="279" t="s">
        <v>28</v>
      </c>
      <c r="Z2239" s="282" t="s">
        <v>28</v>
      </c>
      <c r="AA2239" s="282" t="s">
        <v>28</v>
      </c>
      <c r="AB2239" s="283" t="s">
        <v>28</v>
      </c>
      <c r="AC2239" s="284"/>
      <c r="AD2239" s="284"/>
    </row>
    <row r="2240" ht="14.25" customHeight="1">
      <c r="A2240" s="265">
        <v>44558.0</v>
      </c>
      <c r="B2240" s="265" t="s">
        <v>1738</v>
      </c>
      <c r="C2240" s="266" t="s">
        <v>2158</v>
      </c>
      <c r="D2240" s="266" t="s">
        <v>1450</v>
      </c>
      <c r="E2240" s="292"/>
      <c r="F2240" s="286" t="s">
        <v>6299</v>
      </c>
      <c r="G2240" s="268" t="s">
        <v>4787</v>
      </c>
      <c r="H2240" s="270"/>
      <c r="I2240" s="271"/>
      <c r="J2240" s="268"/>
      <c r="K2240" s="271"/>
      <c r="L2240" s="288"/>
      <c r="M2240" s="278"/>
      <c r="N2240" s="290"/>
      <c r="O2240" s="276"/>
      <c r="P2240" s="276"/>
      <c r="Q2240" s="276"/>
      <c r="R2240" s="278"/>
      <c r="S2240" s="278"/>
      <c r="T2240" s="278"/>
      <c r="U2240" s="279" t="s">
        <v>28</v>
      </c>
      <c r="V2240" s="279" t="s">
        <v>28</v>
      </c>
      <c r="W2240" s="279" t="s">
        <v>28</v>
      </c>
      <c r="X2240" s="279" t="s">
        <v>28</v>
      </c>
      <c r="Y2240" s="279" t="s">
        <v>28</v>
      </c>
      <c r="Z2240" s="282"/>
      <c r="AA2240" s="282"/>
      <c r="AB2240" s="283"/>
      <c r="AC2240" s="284"/>
      <c r="AD2240" s="284"/>
    </row>
    <row r="2241" ht="14.25" customHeight="1">
      <c r="A2241" s="265">
        <v>44558.0</v>
      </c>
      <c r="B2241" s="265" t="s">
        <v>2030</v>
      </c>
      <c r="C2241" s="265"/>
      <c r="D2241" s="266" t="s">
        <v>1452</v>
      </c>
      <c r="E2241" s="292"/>
      <c r="F2241" s="358" t="s">
        <v>6300</v>
      </c>
      <c r="G2241" s="268" t="s">
        <v>2085</v>
      </c>
      <c r="H2241" s="270">
        <v>0.008472222222222221</v>
      </c>
      <c r="I2241" s="271">
        <v>44558.49097222222</v>
      </c>
      <c r="J2241" s="268"/>
      <c r="K2241" s="271">
        <v>44558.498611111114</v>
      </c>
      <c r="L2241" s="288"/>
      <c r="M2241" s="278"/>
      <c r="N2241" s="290"/>
      <c r="O2241" s="276"/>
      <c r="P2241" s="276"/>
      <c r="Q2241" s="276"/>
      <c r="R2241" s="278"/>
      <c r="S2241" s="278"/>
      <c r="T2241" s="278"/>
      <c r="U2241" s="279"/>
      <c r="V2241" s="279" t="s">
        <v>1738</v>
      </c>
      <c r="W2241" s="280">
        <v>44559.0</v>
      </c>
      <c r="X2241" s="281">
        <v>0.013888888888888888</v>
      </c>
      <c r="Y2241" s="279" t="s">
        <v>1693</v>
      </c>
      <c r="Z2241" s="282" t="s">
        <v>53</v>
      </c>
      <c r="AA2241" s="282" t="s">
        <v>6300</v>
      </c>
      <c r="AB2241" s="283">
        <v>44559.0</v>
      </c>
      <c r="AC2241" s="284"/>
      <c r="AD2241" s="284"/>
    </row>
    <row r="2242" ht="14.25" customHeight="1">
      <c r="A2242" s="265">
        <v>44558.0</v>
      </c>
      <c r="B2242" s="265" t="s">
        <v>1733</v>
      </c>
      <c r="C2242" s="265"/>
      <c r="D2242" s="266" t="s">
        <v>1686</v>
      </c>
      <c r="E2242" s="292"/>
      <c r="F2242" s="358" t="s">
        <v>6301</v>
      </c>
      <c r="G2242" s="268" t="s">
        <v>2085</v>
      </c>
      <c r="H2242" s="270">
        <v>0.04076388888888889</v>
      </c>
      <c r="I2242" s="271">
        <v>44558.569444444445</v>
      </c>
      <c r="J2242" s="268"/>
      <c r="K2242" s="271">
        <v>44558.91599537037</v>
      </c>
      <c r="L2242" s="288"/>
      <c r="M2242" s="278"/>
      <c r="N2242" s="290"/>
      <c r="O2242" s="276"/>
      <c r="P2242" s="276"/>
      <c r="Q2242" s="276"/>
      <c r="R2242" s="278"/>
      <c r="S2242" s="278"/>
      <c r="T2242" s="278"/>
      <c r="U2242" s="279"/>
      <c r="V2242" s="279" t="s">
        <v>1733</v>
      </c>
      <c r="W2242" s="280">
        <v>44558.0</v>
      </c>
      <c r="X2242" s="281">
        <v>0.13194444444444445</v>
      </c>
      <c r="Y2242" s="279" t="s">
        <v>1693</v>
      </c>
      <c r="Z2242" s="282" t="s">
        <v>53</v>
      </c>
      <c r="AA2242" s="282" t="s">
        <v>6301</v>
      </c>
      <c r="AB2242" s="283">
        <v>44559.0</v>
      </c>
      <c r="AC2242" s="284"/>
      <c r="AD2242" s="284"/>
    </row>
    <row r="2243" ht="14.25" customHeight="1">
      <c r="A2243" s="265">
        <v>44558.0</v>
      </c>
      <c r="B2243" s="266" t="s">
        <v>6302</v>
      </c>
      <c r="C2243" s="266"/>
      <c r="D2243" s="266" t="s">
        <v>1455</v>
      </c>
      <c r="E2243" s="409"/>
      <c r="F2243" s="358" t="s">
        <v>6303</v>
      </c>
      <c r="G2243" s="268" t="s">
        <v>2085</v>
      </c>
      <c r="H2243" s="270">
        <v>0.02310185185185185</v>
      </c>
      <c r="I2243" s="271">
        <v>44558.868055555555</v>
      </c>
      <c r="J2243" s="268"/>
      <c r="K2243" s="271">
        <v>44558.88491898148</v>
      </c>
      <c r="L2243" s="288"/>
      <c r="M2243" s="307"/>
      <c r="N2243" s="273"/>
      <c r="O2243" s="276"/>
      <c r="P2243" s="276"/>
      <c r="Q2243" s="276"/>
      <c r="R2243" s="271"/>
      <c r="S2243" s="278"/>
      <c r="T2243" s="278"/>
      <c r="U2243" s="279"/>
      <c r="V2243" s="279" t="s">
        <v>1824</v>
      </c>
      <c r="W2243" s="280">
        <v>44559.0</v>
      </c>
      <c r="X2243" s="281">
        <v>0.08333333333333333</v>
      </c>
      <c r="Y2243" s="279" t="s">
        <v>1693</v>
      </c>
      <c r="Z2243" s="282" t="s">
        <v>53</v>
      </c>
      <c r="AA2243" s="282" t="s">
        <v>6303</v>
      </c>
      <c r="AB2243" s="283">
        <v>44559.0</v>
      </c>
      <c r="AC2243" s="284"/>
      <c r="AD2243" s="284"/>
    </row>
    <row r="2244" ht="14.25" customHeight="1">
      <c r="A2244" s="265">
        <v>44558.0</v>
      </c>
      <c r="B2244" s="266" t="s">
        <v>1500</v>
      </c>
      <c r="C2244" s="266" t="s">
        <v>1455</v>
      </c>
      <c r="D2244" s="266" t="s">
        <v>1543</v>
      </c>
      <c r="E2244" s="409"/>
      <c r="F2244" s="291" t="s">
        <v>6304</v>
      </c>
      <c r="G2244" s="268" t="s">
        <v>1463</v>
      </c>
      <c r="H2244" s="270">
        <v>0.0026388888888888885</v>
      </c>
      <c r="I2244" s="271">
        <v>44559.399305555555</v>
      </c>
      <c r="J2244" s="268"/>
      <c r="K2244" s="271">
        <v>44559.410462962966</v>
      </c>
      <c r="L2244" s="288"/>
      <c r="M2244" s="272" t="s">
        <v>6305</v>
      </c>
      <c r="N2244" s="273"/>
      <c r="O2244" s="276"/>
      <c r="P2244" s="276"/>
      <c r="Q2244" s="276"/>
      <c r="R2244" s="271"/>
      <c r="S2244" s="278"/>
      <c r="T2244" s="278"/>
      <c r="U2244" s="279"/>
      <c r="V2244" s="279" t="s">
        <v>1738</v>
      </c>
      <c r="W2244" s="280">
        <v>44562.0</v>
      </c>
      <c r="X2244" s="281">
        <v>0.006944444444444444</v>
      </c>
      <c r="Y2244" s="279" t="s">
        <v>1693</v>
      </c>
      <c r="Z2244" s="282" t="s">
        <v>53</v>
      </c>
      <c r="AA2244" s="282">
        <v>7267400.0</v>
      </c>
      <c r="AB2244" s="283">
        <v>44560.0</v>
      </c>
      <c r="AC2244" s="284"/>
      <c r="AD2244" s="284"/>
    </row>
    <row r="2245" ht="14.25" customHeight="1">
      <c r="A2245" s="265">
        <v>44558.0</v>
      </c>
      <c r="B2245" s="266" t="s">
        <v>1500</v>
      </c>
      <c r="C2245" s="266" t="s">
        <v>1455</v>
      </c>
      <c r="D2245" s="266" t="s">
        <v>1543</v>
      </c>
      <c r="E2245" s="409"/>
      <c r="F2245" s="291" t="s">
        <v>6306</v>
      </c>
      <c r="G2245" s="268" t="s">
        <v>1463</v>
      </c>
      <c r="H2245" s="270">
        <v>0.0011342592592592591</v>
      </c>
      <c r="I2245" s="271">
        <v>44560.33472222222</v>
      </c>
      <c r="J2245" s="268"/>
      <c r="K2245" s="271">
        <v>44560.34363425926</v>
      </c>
      <c r="L2245" s="288"/>
      <c r="M2245" s="272" t="s">
        <v>6307</v>
      </c>
      <c r="N2245" s="273"/>
      <c r="O2245" s="276"/>
      <c r="P2245" s="276"/>
      <c r="Q2245" s="276"/>
      <c r="R2245" s="271"/>
      <c r="S2245" s="278"/>
      <c r="T2245" s="278"/>
      <c r="U2245" s="279"/>
      <c r="V2245" s="279" t="s">
        <v>1738</v>
      </c>
      <c r="W2245" s="280">
        <v>44562.0</v>
      </c>
      <c r="X2245" s="281">
        <v>0.006944444444444444</v>
      </c>
      <c r="Y2245" s="279" t="s">
        <v>1693</v>
      </c>
      <c r="Z2245" s="282" t="s">
        <v>53</v>
      </c>
      <c r="AA2245" s="282">
        <v>7271396.0</v>
      </c>
      <c r="AB2245" s="283">
        <v>44561.0</v>
      </c>
      <c r="AC2245" s="284"/>
      <c r="AD2245" s="284"/>
    </row>
    <row r="2246" ht="14.25" customHeight="1">
      <c r="A2246" s="265">
        <v>44558.0</v>
      </c>
      <c r="B2246" s="266" t="s">
        <v>1500</v>
      </c>
      <c r="C2246" s="266" t="s">
        <v>2641</v>
      </c>
      <c r="D2246" s="266" t="s">
        <v>1543</v>
      </c>
      <c r="E2246" s="409"/>
      <c r="F2246" s="291" t="s">
        <v>6308</v>
      </c>
      <c r="G2246" s="268" t="s">
        <v>1463</v>
      </c>
      <c r="H2246" s="270">
        <v>0.0012847222222222223</v>
      </c>
      <c r="I2246" s="271">
        <v>44560.39283564815</v>
      </c>
      <c r="J2246" s="268"/>
      <c r="K2246" s="271">
        <v>44560.39740740741</v>
      </c>
      <c r="L2246" s="288"/>
      <c r="M2246" s="272" t="s">
        <v>6309</v>
      </c>
      <c r="N2246" s="273"/>
      <c r="O2246" s="276"/>
      <c r="P2246" s="276"/>
      <c r="Q2246" s="276"/>
      <c r="R2246" s="271"/>
      <c r="S2246" s="278"/>
      <c r="T2246" s="278"/>
      <c r="U2246" s="279"/>
      <c r="V2246" s="279" t="s">
        <v>1738</v>
      </c>
      <c r="W2246" s="280">
        <v>44562.0</v>
      </c>
      <c r="X2246" s="281">
        <v>0.006944444444444444</v>
      </c>
      <c r="Y2246" s="279" t="s">
        <v>1693</v>
      </c>
      <c r="Z2246" s="282" t="s">
        <v>53</v>
      </c>
      <c r="AA2246" s="282">
        <v>7271397.0</v>
      </c>
      <c r="AB2246" s="283">
        <v>44561.0</v>
      </c>
      <c r="AC2246" s="284"/>
      <c r="AD2246" s="284"/>
    </row>
    <row r="2247" ht="14.25" customHeight="1">
      <c r="A2247" s="265">
        <v>44558.0</v>
      </c>
      <c r="B2247" s="266" t="s">
        <v>1500</v>
      </c>
      <c r="C2247" s="266" t="s">
        <v>2179</v>
      </c>
      <c r="D2247" s="266" t="s">
        <v>1543</v>
      </c>
      <c r="E2247" s="292"/>
      <c r="F2247" s="269" t="s">
        <v>6310</v>
      </c>
      <c r="G2247" s="268" t="s">
        <v>1463</v>
      </c>
      <c r="H2247" s="270">
        <v>0.0018055555555555557</v>
      </c>
      <c r="I2247" s="271">
        <v>44565.642546296294</v>
      </c>
      <c r="J2247" s="268"/>
      <c r="K2247" s="271">
        <v>44565.64679398148</v>
      </c>
      <c r="L2247" s="292"/>
      <c r="M2247" s="278" t="s">
        <v>6311</v>
      </c>
      <c r="N2247" s="290"/>
      <c r="O2247" s="276"/>
      <c r="P2247" s="276"/>
      <c r="Q2247" s="276"/>
      <c r="R2247" s="278"/>
      <c r="S2247" s="278"/>
      <c r="T2247" s="278"/>
      <c r="U2247" s="279"/>
      <c r="V2247" s="279" t="s">
        <v>1824</v>
      </c>
      <c r="W2247" s="280">
        <v>44568.0</v>
      </c>
      <c r="X2247" s="281">
        <v>0.004166666666666667</v>
      </c>
      <c r="Y2247" s="279" t="s">
        <v>1693</v>
      </c>
      <c r="Z2247" s="282" t="s">
        <v>53</v>
      </c>
      <c r="AA2247" s="282">
        <v>7290973.0</v>
      </c>
      <c r="AB2247" s="283">
        <v>44566.0</v>
      </c>
      <c r="AC2247" s="447"/>
      <c r="AD2247" s="284"/>
    </row>
    <row r="2248" ht="14.25" customHeight="1">
      <c r="A2248" s="265">
        <v>44559.0</v>
      </c>
      <c r="B2248" s="266" t="s">
        <v>1783</v>
      </c>
      <c r="C2248" s="266"/>
      <c r="D2248" s="266" t="s">
        <v>1450</v>
      </c>
      <c r="E2248" s="292"/>
      <c r="F2248" s="358" t="s">
        <v>6312</v>
      </c>
      <c r="G2248" s="268" t="s">
        <v>2085</v>
      </c>
      <c r="H2248" s="270">
        <v>0.09972222222222223</v>
      </c>
      <c r="I2248" s="271">
        <v>44559.44583333333</v>
      </c>
      <c r="J2248" s="268"/>
      <c r="K2248" s="271">
        <v>44559.48606481482</v>
      </c>
      <c r="L2248" s="288"/>
      <c r="M2248" s="278"/>
      <c r="N2248" s="290"/>
      <c r="O2248" s="276"/>
      <c r="P2248" s="276"/>
      <c r="Q2248" s="276"/>
      <c r="R2248" s="278"/>
      <c r="S2248" s="278"/>
      <c r="T2248" s="278"/>
      <c r="U2248" s="279"/>
      <c r="V2248" s="279" t="s">
        <v>1783</v>
      </c>
      <c r="W2248" s="280" t="s">
        <v>6313</v>
      </c>
      <c r="X2248" s="281">
        <v>0.2916666666666667</v>
      </c>
      <c r="Y2248" s="279" t="s">
        <v>1693</v>
      </c>
      <c r="Z2248" s="282" t="s">
        <v>53</v>
      </c>
      <c r="AA2248" s="282" t="s">
        <v>6312</v>
      </c>
      <c r="AB2248" s="283">
        <v>44560.0</v>
      </c>
      <c r="AC2248" s="284"/>
      <c r="AD2248" s="284"/>
    </row>
    <row r="2249" ht="14.25" customHeight="1">
      <c r="A2249" s="265">
        <v>44559.0</v>
      </c>
      <c r="B2249" s="266" t="s">
        <v>1783</v>
      </c>
      <c r="C2249" s="266" t="s">
        <v>2158</v>
      </c>
      <c r="D2249" s="266" t="s">
        <v>1450</v>
      </c>
      <c r="E2249" s="292"/>
      <c r="F2249" s="286" t="s">
        <v>6314</v>
      </c>
      <c r="G2249" s="268" t="s">
        <v>4787</v>
      </c>
      <c r="H2249" s="270"/>
      <c r="I2249" s="271"/>
      <c r="J2249" s="268"/>
      <c r="K2249" s="271"/>
      <c r="L2249" s="449"/>
      <c r="M2249" s="278" t="s">
        <v>3915</v>
      </c>
      <c r="N2249" s="290"/>
      <c r="O2249" s="276"/>
      <c r="P2249" s="276"/>
      <c r="Q2249" s="276"/>
      <c r="R2249" s="278"/>
      <c r="S2249" s="278"/>
      <c r="T2249" s="278"/>
      <c r="U2249" s="279" t="s">
        <v>28</v>
      </c>
      <c r="V2249" s="279" t="s">
        <v>28</v>
      </c>
      <c r="W2249" s="280" t="s">
        <v>28</v>
      </c>
      <c r="X2249" s="281" t="s">
        <v>28</v>
      </c>
      <c r="Y2249" s="279" t="s">
        <v>28</v>
      </c>
      <c r="Z2249" s="282"/>
      <c r="AA2249" s="282"/>
      <c r="AB2249" s="283"/>
      <c r="AC2249" s="410"/>
      <c r="AD2249" s="284"/>
    </row>
    <row r="2250" ht="14.25" customHeight="1">
      <c r="A2250" s="265">
        <v>44559.0</v>
      </c>
      <c r="B2250" s="266" t="s">
        <v>1783</v>
      </c>
      <c r="C2250" s="266" t="s">
        <v>2158</v>
      </c>
      <c r="D2250" s="266" t="s">
        <v>1450</v>
      </c>
      <c r="E2250" s="292"/>
      <c r="F2250" s="286" t="s">
        <v>6315</v>
      </c>
      <c r="G2250" s="268" t="s">
        <v>4787</v>
      </c>
      <c r="H2250" s="270"/>
      <c r="I2250" s="271"/>
      <c r="J2250" s="268"/>
      <c r="K2250" s="271"/>
      <c r="L2250" s="449"/>
      <c r="M2250" s="278" t="s">
        <v>3915</v>
      </c>
      <c r="N2250" s="290"/>
      <c r="O2250" s="276"/>
      <c r="P2250" s="276"/>
      <c r="Q2250" s="276"/>
      <c r="R2250" s="278"/>
      <c r="S2250" s="278"/>
      <c r="T2250" s="278"/>
      <c r="U2250" s="279" t="s">
        <v>28</v>
      </c>
      <c r="V2250" s="279" t="s">
        <v>28</v>
      </c>
      <c r="W2250" s="280" t="s">
        <v>28</v>
      </c>
      <c r="X2250" s="281" t="s">
        <v>28</v>
      </c>
      <c r="Y2250" s="279" t="s">
        <v>28</v>
      </c>
      <c r="Z2250" s="282"/>
      <c r="AA2250" s="282"/>
      <c r="AB2250" s="283"/>
      <c r="AC2250" s="410"/>
      <c r="AD2250" s="284"/>
    </row>
    <row r="2251" ht="14.25" customHeight="1">
      <c r="A2251" s="265">
        <v>44559.0</v>
      </c>
      <c r="B2251" s="266" t="s">
        <v>1783</v>
      </c>
      <c r="C2251" s="266"/>
      <c r="D2251" s="266" t="s">
        <v>1452</v>
      </c>
      <c r="E2251" s="292"/>
      <c r="F2251" s="358" t="s">
        <v>6316</v>
      </c>
      <c r="G2251" s="268" t="s">
        <v>2085</v>
      </c>
      <c r="H2251" s="270">
        <v>0.0033333333333333335</v>
      </c>
      <c r="I2251" s="271">
        <v>44559.458333333336</v>
      </c>
      <c r="J2251" s="268"/>
      <c r="K2251" s="271" t="s">
        <v>6317</v>
      </c>
      <c r="L2251" s="449"/>
      <c r="M2251" s="278"/>
      <c r="N2251" s="290"/>
      <c r="O2251" s="276"/>
      <c r="P2251" s="276"/>
      <c r="Q2251" s="276"/>
      <c r="R2251" s="278"/>
      <c r="S2251" s="278"/>
      <c r="T2251" s="278"/>
      <c r="U2251" s="279"/>
      <c r="V2251" s="279" t="s">
        <v>1738</v>
      </c>
      <c r="W2251" s="280">
        <v>44559.0</v>
      </c>
      <c r="X2251" s="281">
        <v>0.010416666666666666</v>
      </c>
      <c r="Y2251" s="279" t="s">
        <v>1693</v>
      </c>
      <c r="Z2251" s="282" t="s">
        <v>53</v>
      </c>
      <c r="AA2251" s="282" t="s">
        <v>6316</v>
      </c>
      <c r="AB2251" s="283">
        <v>44560.0</v>
      </c>
      <c r="AC2251" s="410"/>
      <c r="AD2251" s="284"/>
    </row>
    <row r="2252" ht="14.25" customHeight="1">
      <c r="A2252" s="265">
        <v>44559.0</v>
      </c>
      <c r="B2252" s="266" t="s">
        <v>1738</v>
      </c>
      <c r="C2252" s="266"/>
      <c r="D2252" s="266" t="s">
        <v>1686</v>
      </c>
      <c r="E2252" s="292"/>
      <c r="F2252" s="358" t="s">
        <v>6318</v>
      </c>
      <c r="G2252" s="268" t="s">
        <v>2085</v>
      </c>
      <c r="H2252" s="270">
        <v>0.041041666666666664</v>
      </c>
      <c r="I2252" s="271">
        <v>44559.645833333336</v>
      </c>
      <c r="J2252" s="268"/>
      <c r="K2252" s="271"/>
      <c r="L2252" s="449"/>
      <c r="M2252" s="278"/>
      <c r="N2252" s="290"/>
      <c r="O2252" s="276"/>
      <c r="P2252" s="276"/>
      <c r="Q2252" s="276"/>
      <c r="R2252" s="278"/>
      <c r="S2252" s="278"/>
      <c r="T2252" s="278"/>
      <c r="U2252" s="279"/>
      <c r="V2252" s="279" t="s">
        <v>1824</v>
      </c>
      <c r="W2252" s="280">
        <v>44560.0</v>
      </c>
      <c r="X2252" s="281">
        <v>0.13194444444444445</v>
      </c>
      <c r="Y2252" s="279" t="s">
        <v>1693</v>
      </c>
      <c r="Z2252" s="282" t="s">
        <v>53</v>
      </c>
      <c r="AA2252" s="282" t="s">
        <v>6318</v>
      </c>
      <c r="AB2252" s="283">
        <v>44560.0</v>
      </c>
      <c r="AC2252" s="410"/>
      <c r="AD2252" s="284"/>
    </row>
    <row r="2253" ht="14.25" customHeight="1">
      <c r="A2253" s="265">
        <v>44559.0</v>
      </c>
      <c r="B2253" s="266" t="s">
        <v>3677</v>
      </c>
      <c r="C2253" s="266"/>
      <c r="D2253" s="266" t="s">
        <v>1455</v>
      </c>
      <c r="E2253" s="292"/>
      <c r="F2253" s="291" t="s">
        <v>6319</v>
      </c>
      <c r="G2253" s="268" t="s">
        <v>2085</v>
      </c>
      <c r="H2253" s="270">
        <v>0.023124999999999996</v>
      </c>
      <c r="I2253" s="271">
        <v>44560.084027777775</v>
      </c>
      <c r="J2253" s="268"/>
      <c r="K2253" s="271">
        <v>44560.61224537037</v>
      </c>
      <c r="L2253" s="449"/>
      <c r="M2253" s="278"/>
      <c r="N2253" s="290"/>
      <c r="O2253" s="276"/>
      <c r="P2253" s="276"/>
      <c r="Q2253" s="276"/>
      <c r="R2253" s="278"/>
      <c r="S2253" s="278"/>
      <c r="T2253" s="278"/>
      <c r="U2253" s="279"/>
      <c r="V2253" s="279" t="s">
        <v>1824</v>
      </c>
      <c r="W2253" s="280">
        <v>44560.0</v>
      </c>
      <c r="X2253" s="281">
        <v>0.09722222222222222</v>
      </c>
      <c r="Y2253" s="279" t="s">
        <v>1693</v>
      </c>
      <c r="Z2253" s="282" t="s">
        <v>53</v>
      </c>
      <c r="AA2253" s="282" t="s">
        <v>6319</v>
      </c>
      <c r="AB2253" s="283">
        <v>44560.0</v>
      </c>
      <c r="AC2253" s="410"/>
      <c r="AD2253" s="284"/>
    </row>
    <row r="2254" ht="14.25" customHeight="1">
      <c r="A2254" s="265">
        <v>44559.0</v>
      </c>
      <c r="B2254" s="266" t="s">
        <v>1500</v>
      </c>
      <c r="C2254" s="266" t="s">
        <v>5999</v>
      </c>
      <c r="D2254" s="266" t="s">
        <v>1543</v>
      </c>
      <c r="E2254" s="292"/>
      <c r="F2254" s="291" t="s">
        <v>6320</v>
      </c>
      <c r="G2254" s="268" t="s">
        <v>1463</v>
      </c>
      <c r="H2254" s="270">
        <v>0.0012962962962962963</v>
      </c>
      <c r="I2254" s="271">
        <v>44559.368055555555</v>
      </c>
      <c r="J2254" s="268"/>
      <c r="K2254" s="271">
        <v>44559.375752314816</v>
      </c>
      <c r="L2254" s="449"/>
      <c r="M2254" s="278" t="s">
        <v>6321</v>
      </c>
      <c r="N2254" s="290"/>
      <c r="O2254" s="276"/>
      <c r="P2254" s="276"/>
      <c r="Q2254" s="276"/>
      <c r="R2254" s="278"/>
      <c r="S2254" s="278"/>
      <c r="T2254" s="278"/>
      <c r="U2254" s="279"/>
      <c r="V2254" s="279" t="s">
        <v>1738</v>
      </c>
      <c r="W2254" s="280">
        <v>44562.0</v>
      </c>
      <c r="X2254" s="281">
        <v>0.006944444444444444</v>
      </c>
      <c r="Y2254" s="279" t="s">
        <v>1693</v>
      </c>
      <c r="Z2254" s="282" t="s">
        <v>53</v>
      </c>
      <c r="AA2254" s="282">
        <v>7267401.0</v>
      </c>
      <c r="AB2254" s="283">
        <v>44560.0</v>
      </c>
      <c r="AC2254" s="410"/>
      <c r="AD2254" s="284"/>
    </row>
    <row r="2255" ht="14.25" customHeight="1">
      <c r="A2255" s="265">
        <v>44559.0</v>
      </c>
      <c r="B2255" s="266" t="s">
        <v>1500</v>
      </c>
      <c r="C2255" s="266" t="s">
        <v>5999</v>
      </c>
      <c r="D2255" s="266" t="s">
        <v>1543</v>
      </c>
      <c r="E2255" s="292"/>
      <c r="F2255" s="291" t="s">
        <v>6322</v>
      </c>
      <c r="G2255" s="268" t="s">
        <v>1463</v>
      </c>
      <c r="H2255" s="270">
        <v>0.0026388888888888885</v>
      </c>
      <c r="I2255" s="271">
        <v>44559.51944444444</v>
      </c>
      <c r="J2255" s="268"/>
      <c r="K2255" s="271">
        <v>44559.52449074074</v>
      </c>
      <c r="L2255" s="449"/>
      <c r="M2255" s="278" t="s">
        <v>6323</v>
      </c>
      <c r="N2255" s="290"/>
      <c r="O2255" s="276"/>
      <c r="P2255" s="276"/>
      <c r="Q2255" s="276"/>
      <c r="R2255" s="278"/>
      <c r="S2255" s="278"/>
      <c r="T2255" s="278"/>
      <c r="U2255" s="279"/>
      <c r="V2255" s="279" t="s">
        <v>1738</v>
      </c>
      <c r="W2255" s="280">
        <v>44562.0</v>
      </c>
      <c r="X2255" s="281">
        <v>0.006944444444444444</v>
      </c>
      <c r="Y2255" s="279" t="s">
        <v>1693</v>
      </c>
      <c r="Z2255" s="282" t="s">
        <v>53</v>
      </c>
      <c r="AA2255" s="282">
        <v>7267402.0</v>
      </c>
      <c r="AB2255" s="283">
        <v>44560.0</v>
      </c>
      <c r="AC2255" s="410"/>
      <c r="AD2255" s="284"/>
    </row>
    <row r="2256" ht="14.25" customHeight="1">
      <c r="A2256" s="265">
        <v>44560.0</v>
      </c>
      <c r="B2256" s="266" t="s">
        <v>1500</v>
      </c>
      <c r="C2256" s="266"/>
      <c r="D2256" s="266" t="s">
        <v>1450</v>
      </c>
      <c r="E2256" s="292"/>
      <c r="F2256" s="358" t="s">
        <v>6324</v>
      </c>
      <c r="G2256" s="268" t="s">
        <v>2085</v>
      </c>
      <c r="H2256" s="270">
        <v>0.10069444444444443</v>
      </c>
      <c r="I2256" s="271">
        <v>44560.45625</v>
      </c>
      <c r="J2256" s="268"/>
      <c r="K2256" s="271"/>
      <c r="L2256" s="449"/>
      <c r="M2256" s="278"/>
      <c r="N2256" s="290"/>
      <c r="O2256" s="276"/>
      <c r="P2256" s="276"/>
      <c r="Q2256" s="276"/>
      <c r="R2256" s="278"/>
      <c r="S2256" s="278"/>
      <c r="T2256" s="278"/>
      <c r="U2256" s="279"/>
      <c r="V2256" s="279" t="s">
        <v>1500</v>
      </c>
      <c r="W2256" s="280">
        <v>44562.0</v>
      </c>
      <c r="X2256" s="281">
        <v>0.25</v>
      </c>
      <c r="Y2256" s="279" t="s">
        <v>1693</v>
      </c>
      <c r="Z2256" s="282" t="s">
        <v>53</v>
      </c>
      <c r="AA2256" s="282" t="s">
        <v>6324</v>
      </c>
      <c r="AB2256" s="283">
        <v>44561.0</v>
      </c>
      <c r="AC2256" s="410"/>
      <c r="AD2256" s="284"/>
    </row>
    <row r="2257" ht="14.25" customHeight="1">
      <c r="A2257" s="265">
        <v>44560.0</v>
      </c>
      <c r="B2257" s="266" t="s">
        <v>1500</v>
      </c>
      <c r="C2257" s="266"/>
      <c r="D2257" s="266" t="s">
        <v>1452</v>
      </c>
      <c r="E2257" s="292"/>
      <c r="F2257" s="358" t="s">
        <v>6325</v>
      </c>
      <c r="G2257" s="268" t="s">
        <v>2085</v>
      </c>
      <c r="H2257" s="270">
        <v>0.0022222222222222222</v>
      </c>
      <c r="I2257" s="271">
        <v>44560.461805555555</v>
      </c>
      <c r="J2257" s="268"/>
      <c r="K2257" s="271"/>
      <c r="L2257" s="449"/>
      <c r="M2257" s="278"/>
      <c r="N2257" s="290"/>
      <c r="O2257" s="276"/>
      <c r="P2257" s="276"/>
      <c r="Q2257" s="276"/>
      <c r="R2257" s="278"/>
      <c r="S2257" s="278"/>
      <c r="T2257" s="278"/>
      <c r="U2257" s="279"/>
      <c r="V2257" s="279" t="s">
        <v>1738</v>
      </c>
      <c r="W2257" s="280">
        <v>44560.0</v>
      </c>
      <c r="X2257" s="281">
        <v>0.010416666666666666</v>
      </c>
      <c r="Y2257" s="279" t="s">
        <v>1693</v>
      </c>
      <c r="Z2257" s="282" t="s">
        <v>53</v>
      </c>
      <c r="AA2257" s="282" t="s">
        <v>6325</v>
      </c>
      <c r="AB2257" s="283">
        <v>44561.0</v>
      </c>
      <c r="AC2257" s="410"/>
      <c r="AD2257" s="284"/>
    </row>
    <row r="2258" ht="14.25" customHeight="1">
      <c r="A2258" s="265">
        <v>44560.0</v>
      </c>
      <c r="B2258" s="266" t="s">
        <v>1738</v>
      </c>
      <c r="C2258" s="266"/>
      <c r="D2258" s="266" t="s">
        <v>1686</v>
      </c>
      <c r="E2258" s="292"/>
      <c r="F2258" s="358" t="s">
        <v>6326</v>
      </c>
      <c r="G2258" s="268" t="s">
        <v>2085</v>
      </c>
      <c r="H2258" s="270">
        <v>0.04420138888888889</v>
      </c>
      <c r="I2258" s="271">
        <v>44560.711805555555</v>
      </c>
      <c r="J2258" s="268"/>
      <c r="K2258" s="271">
        <v>44560.760416666664</v>
      </c>
      <c r="L2258" s="292"/>
      <c r="M2258" s="278"/>
      <c r="N2258" s="290"/>
      <c r="O2258" s="276"/>
      <c r="P2258" s="276"/>
      <c r="Q2258" s="276"/>
      <c r="R2258" s="278"/>
      <c r="S2258" s="278"/>
      <c r="T2258" s="278"/>
      <c r="U2258" s="279"/>
      <c r="V2258" s="279" t="s">
        <v>1824</v>
      </c>
      <c r="W2258" s="280">
        <v>44561.0</v>
      </c>
      <c r="X2258" s="281">
        <v>0.125</v>
      </c>
      <c r="Y2258" s="279" t="s">
        <v>1693</v>
      </c>
      <c r="Z2258" s="282" t="s">
        <v>53</v>
      </c>
      <c r="AA2258" s="282" t="s">
        <v>6326</v>
      </c>
      <c r="AB2258" s="283">
        <v>44561.0</v>
      </c>
      <c r="AC2258" s="292"/>
      <c r="AD2258" s="284"/>
    </row>
    <row r="2259" ht="14.25" customHeight="1">
      <c r="A2259" s="265">
        <v>44560.0</v>
      </c>
      <c r="B2259" s="266" t="s">
        <v>3677</v>
      </c>
      <c r="C2259" s="266"/>
      <c r="D2259" s="266" t="s">
        <v>1455</v>
      </c>
      <c r="E2259" s="292"/>
      <c r="F2259" s="291" t="s">
        <v>6327</v>
      </c>
      <c r="G2259" s="268" t="s">
        <v>2085</v>
      </c>
      <c r="H2259" s="270">
        <v>0.021747685185185186</v>
      </c>
      <c r="I2259" s="271">
        <v>44560.8875</v>
      </c>
      <c r="J2259" s="268"/>
      <c r="K2259" s="271">
        <v>44560.90332175926</v>
      </c>
      <c r="L2259" s="292"/>
      <c r="M2259" s="278"/>
      <c r="N2259" s="290"/>
      <c r="O2259" s="276"/>
      <c r="P2259" s="276"/>
      <c r="Q2259" s="276"/>
      <c r="R2259" s="278"/>
      <c r="S2259" s="278"/>
      <c r="T2259" s="278"/>
      <c r="U2259" s="279"/>
      <c r="V2259" s="279" t="s">
        <v>1824</v>
      </c>
      <c r="W2259" s="280">
        <v>44561.0</v>
      </c>
      <c r="X2259" s="281">
        <v>0.06944444444444443</v>
      </c>
      <c r="Y2259" s="279" t="s">
        <v>1693</v>
      </c>
      <c r="Z2259" s="282" t="s">
        <v>53</v>
      </c>
      <c r="AA2259" s="282" t="s">
        <v>6327</v>
      </c>
      <c r="AB2259" s="283">
        <v>44561.0</v>
      </c>
      <c r="AC2259" s="292"/>
      <c r="AD2259" s="284"/>
    </row>
    <row r="2260" ht="14.25" customHeight="1">
      <c r="A2260" s="265">
        <v>44560.0</v>
      </c>
      <c r="B2260" s="266" t="s">
        <v>1500</v>
      </c>
      <c r="C2260" s="266" t="s">
        <v>2179</v>
      </c>
      <c r="D2260" s="266" t="s">
        <v>1543</v>
      </c>
      <c r="E2260" s="292"/>
      <c r="F2260" s="269" t="s">
        <v>6328</v>
      </c>
      <c r="G2260" s="268" t="s">
        <v>1463</v>
      </c>
      <c r="H2260" s="270">
        <v>0.0010532407407407407</v>
      </c>
      <c r="I2260" s="271">
        <v>44565.642546296294</v>
      </c>
      <c r="J2260" s="268"/>
      <c r="K2260" s="271">
        <v>44565.646574074075</v>
      </c>
      <c r="L2260" s="292"/>
      <c r="M2260" s="278" t="s">
        <v>6329</v>
      </c>
      <c r="N2260" s="290"/>
      <c r="O2260" s="276"/>
      <c r="P2260" s="276"/>
      <c r="Q2260" s="276"/>
      <c r="R2260" s="278"/>
      <c r="S2260" s="278"/>
      <c r="T2260" s="278"/>
      <c r="U2260" s="279"/>
      <c r="V2260" s="279" t="s">
        <v>1824</v>
      </c>
      <c r="W2260" s="280">
        <v>44568.0</v>
      </c>
      <c r="X2260" s="281">
        <v>0.003472222222222222</v>
      </c>
      <c r="Y2260" s="279" t="s">
        <v>1693</v>
      </c>
      <c r="Z2260" s="282" t="s">
        <v>53</v>
      </c>
      <c r="AA2260" s="282">
        <v>7290974.0</v>
      </c>
      <c r="AB2260" s="283">
        <v>44566.0</v>
      </c>
      <c r="AC2260" s="447"/>
      <c r="AD2260" s="284"/>
    </row>
    <row r="2261" ht="14.25" customHeight="1">
      <c r="A2261" s="265">
        <v>44561.0</v>
      </c>
      <c r="B2261" s="266" t="s">
        <v>1738</v>
      </c>
      <c r="C2261" s="266"/>
      <c r="D2261" s="266" t="s">
        <v>1450</v>
      </c>
      <c r="E2261" s="292"/>
      <c r="F2261" s="358" t="s">
        <v>6330</v>
      </c>
      <c r="G2261" s="268" t="s">
        <v>2085</v>
      </c>
      <c r="H2261" s="270">
        <v>0.05902777777777778</v>
      </c>
      <c r="I2261" s="271">
        <v>44561.540972222225</v>
      </c>
      <c r="J2261" s="268"/>
      <c r="K2261" s="271">
        <v>44561.58194444444</v>
      </c>
      <c r="L2261" s="292"/>
      <c r="M2261" s="278"/>
      <c r="N2261" s="290"/>
      <c r="O2261" s="276"/>
      <c r="P2261" s="276"/>
      <c r="Q2261" s="276"/>
      <c r="R2261" s="278"/>
      <c r="S2261" s="278"/>
      <c r="T2261" s="278"/>
      <c r="U2261" s="279"/>
      <c r="V2261" s="279" t="s">
        <v>1570</v>
      </c>
      <c r="W2261" s="280" t="s">
        <v>6331</v>
      </c>
      <c r="X2261" s="281">
        <v>0.20833333333333334</v>
      </c>
      <c r="Y2261" s="279" t="s">
        <v>1693</v>
      </c>
      <c r="Z2261" s="282" t="s">
        <v>53</v>
      </c>
      <c r="AA2261" s="282" t="s">
        <v>6330</v>
      </c>
      <c r="AB2261" s="283">
        <v>44564.0</v>
      </c>
      <c r="AC2261" s="292"/>
      <c r="AD2261" s="284"/>
    </row>
    <row r="2262" ht="14.25" customHeight="1">
      <c r="A2262" s="265">
        <v>44561.0</v>
      </c>
      <c r="B2262" s="266" t="s">
        <v>1738</v>
      </c>
      <c r="C2262" s="266"/>
      <c r="D2262" s="266" t="s">
        <v>1452</v>
      </c>
      <c r="E2262" s="292"/>
      <c r="F2262" s="291" t="s">
        <v>3794</v>
      </c>
      <c r="G2262" s="268" t="s">
        <v>28</v>
      </c>
      <c r="H2262" s="270" t="s">
        <v>28</v>
      </c>
      <c r="I2262" s="271" t="s">
        <v>28</v>
      </c>
      <c r="J2262" s="409"/>
      <c r="K2262" s="271" t="s">
        <v>28</v>
      </c>
      <c r="L2262" s="292"/>
      <c r="M2262" s="278" t="s">
        <v>28</v>
      </c>
      <c r="N2262" s="290"/>
      <c r="O2262" s="276"/>
      <c r="P2262" s="276"/>
      <c r="Q2262" s="276"/>
      <c r="R2262" s="278"/>
      <c r="S2262" s="278"/>
      <c r="T2262" s="278"/>
      <c r="U2262" s="279"/>
      <c r="V2262" s="279" t="s">
        <v>28</v>
      </c>
      <c r="W2262" s="280" t="s">
        <v>28</v>
      </c>
      <c r="X2262" s="281" t="s">
        <v>28</v>
      </c>
      <c r="Y2262" s="279" t="s">
        <v>28</v>
      </c>
      <c r="Z2262" s="282" t="s">
        <v>28</v>
      </c>
      <c r="AA2262" s="282" t="s">
        <v>28</v>
      </c>
      <c r="AB2262" s="283" t="s">
        <v>28</v>
      </c>
      <c r="AC2262" s="292"/>
      <c r="AD2262" s="284"/>
    </row>
    <row r="2263" ht="14.25" customHeight="1">
      <c r="A2263" s="265">
        <v>44561.0</v>
      </c>
      <c r="B2263" s="266" t="s">
        <v>1783</v>
      </c>
      <c r="C2263" s="266"/>
      <c r="D2263" s="266" t="s">
        <v>1686</v>
      </c>
      <c r="E2263" s="292"/>
      <c r="F2263" s="358" t="s">
        <v>6332</v>
      </c>
      <c r="G2263" s="268" t="s">
        <v>2085</v>
      </c>
      <c r="H2263" s="270">
        <v>0.042835648148148144</v>
      </c>
      <c r="I2263" s="271">
        <v>44561.697222222225</v>
      </c>
      <c r="J2263" s="409"/>
      <c r="K2263" s="271">
        <v>44561.72708333333</v>
      </c>
      <c r="L2263" s="292"/>
      <c r="M2263" s="278"/>
      <c r="N2263" s="290"/>
      <c r="O2263" s="276"/>
      <c r="P2263" s="276"/>
      <c r="Q2263" s="276"/>
      <c r="R2263" s="278"/>
      <c r="S2263" s="278"/>
      <c r="T2263" s="278"/>
      <c r="U2263" s="279"/>
      <c r="V2263" s="279" t="s">
        <v>1824</v>
      </c>
      <c r="W2263" s="280">
        <v>44564.0</v>
      </c>
      <c r="X2263" s="281">
        <v>0.125</v>
      </c>
      <c r="Y2263" s="279" t="s">
        <v>1693</v>
      </c>
      <c r="Z2263" s="282" t="s">
        <v>53</v>
      </c>
      <c r="AA2263" s="282" t="s">
        <v>6332</v>
      </c>
      <c r="AB2263" s="283">
        <v>44564.0</v>
      </c>
      <c r="AC2263" s="292"/>
      <c r="AD2263" s="284"/>
    </row>
    <row r="2264" ht="14.25" customHeight="1">
      <c r="A2264" s="265">
        <v>44561.0</v>
      </c>
      <c r="B2264" s="266" t="s">
        <v>1783</v>
      </c>
      <c r="C2264" s="266"/>
      <c r="D2264" s="266" t="s">
        <v>1455</v>
      </c>
      <c r="E2264" s="292"/>
      <c r="F2264" s="358" t="s">
        <v>6333</v>
      </c>
      <c r="G2264" s="268" t="s">
        <v>2085</v>
      </c>
      <c r="H2264" s="270">
        <v>0.02287037037037037</v>
      </c>
      <c r="I2264" s="271">
        <v>44562.33263888889</v>
      </c>
      <c r="J2264" s="409"/>
      <c r="K2264" s="271" t="s">
        <v>6334</v>
      </c>
      <c r="L2264" s="292"/>
      <c r="M2264" s="278"/>
      <c r="N2264" s="290"/>
      <c r="O2264" s="276"/>
      <c r="P2264" s="276"/>
      <c r="Q2264" s="276"/>
      <c r="R2264" s="278"/>
      <c r="S2264" s="278"/>
      <c r="T2264" s="278"/>
      <c r="U2264" s="279"/>
      <c r="V2264" s="279" t="s">
        <v>1733</v>
      </c>
      <c r="W2264" s="280">
        <v>44564.0</v>
      </c>
      <c r="X2264" s="281">
        <v>0.08333333333333333</v>
      </c>
      <c r="Y2264" s="279" t="s">
        <v>1693</v>
      </c>
      <c r="Z2264" s="282" t="s">
        <v>53</v>
      </c>
      <c r="AA2264" s="282" t="s">
        <v>6333</v>
      </c>
      <c r="AB2264" s="283">
        <v>44564.0</v>
      </c>
      <c r="AC2264" s="292"/>
      <c r="AD2264" s="284"/>
    </row>
    <row r="2265" ht="14.25" customHeight="1">
      <c r="A2265" s="217"/>
      <c r="B2265" s="217"/>
      <c r="C2265" s="217"/>
      <c r="D2265" s="217"/>
      <c r="E2265" s="292"/>
      <c r="F2265" s="294"/>
      <c r="G2265" s="292"/>
      <c r="H2265" s="292"/>
      <c r="I2265" s="292"/>
      <c r="J2265" s="292"/>
      <c r="K2265" s="292"/>
      <c r="L2265" s="292"/>
      <c r="M2265" s="296"/>
      <c r="N2265" s="297"/>
      <c r="O2265" s="298"/>
      <c r="P2265" s="298"/>
      <c r="Q2265" s="298"/>
      <c r="R2265" s="296"/>
      <c r="S2265" s="296"/>
      <c r="T2265" s="296"/>
      <c r="U2265" s="292"/>
      <c r="V2265" s="292"/>
      <c r="W2265" s="292"/>
      <c r="X2265" s="292"/>
      <c r="Y2265" s="292"/>
      <c r="Z2265" s="292"/>
      <c r="AA2265" s="292"/>
      <c r="AB2265" s="292"/>
      <c r="AC2265" s="292"/>
      <c r="AD2265" s="292"/>
    </row>
    <row r="2266" ht="14.25" customHeight="1">
      <c r="A2266" s="217"/>
      <c r="B2266" s="217"/>
      <c r="C2266" s="217"/>
      <c r="D2266" s="217"/>
      <c r="E2266" s="292"/>
      <c r="F2266" s="294"/>
      <c r="G2266" s="292"/>
      <c r="H2266" s="292"/>
      <c r="I2266" s="292"/>
      <c r="J2266" s="292"/>
      <c r="K2266" s="292"/>
      <c r="L2266" s="292"/>
      <c r="M2266" s="296"/>
      <c r="N2266" s="297"/>
      <c r="O2266" s="298"/>
      <c r="P2266" s="298"/>
      <c r="Q2266" s="298"/>
      <c r="R2266" s="296"/>
      <c r="S2266" s="296"/>
      <c r="T2266" s="296"/>
      <c r="U2266" s="292"/>
      <c r="V2266" s="292"/>
      <c r="W2266" s="292"/>
      <c r="X2266" s="292"/>
      <c r="Y2266" s="292"/>
      <c r="Z2266" s="292"/>
      <c r="AA2266" s="292"/>
      <c r="AB2266" s="292"/>
      <c r="AC2266" s="292"/>
      <c r="AD2266" s="292"/>
    </row>
    <row r="2267" ht="14.25" customHeight="1">
      <c r="A2267" s="217"/>
      <c r="B2267" s="217"/>
      <c r="C2267" s="217"/>
      <c r="D2267" s="217"/>
      <c r="E2267" s="292"/>
      <c r="F2267" s="294"/>
      <c r="G2267" s="292"/>
      <c r="H2267" s="292"/>
      <c r="I2267" s="292"/>
      <c r="J2267" s="292"/>
      <c r="K2267" s="292"/>
      <c r="L2267" s="292"/>
      <c r="M2267" s="296"/>
      <c r="N2267" s="297"/>
      <c r="O2267" s="298"/>
      <c r="P2267" s="298"/>
      <c r="Q2267" s="298"/>
      <c r="R2267" s="296"/>
      <c r="S2267" s="296"/>
      <c r="T2267" s="296"/>
      <c r="U2267" s="292"/>
      <c r="V2267" s="292"/>
      <c r="W2267" s="292"/>
      <c r="X2267" s="292"/>
      <c r="Y2267" s="292"/>
      <c r="Z2267" s="292"/>
      <c r="AA2267" s="292"/>
      <c r="AB2267" s="292"/>
      <c r="AC2267" s="292"/>
      <c r="AD2267" s="292"/>
    </row>
    <row r="2268" ht="14.25" customHeight="1">
      <c r="A2268" s="217"/>
      <c r="B2268" s="217"/>
      <c r="C2268" s="217"/>
      <c r="D2268" s="217"/>
      <c r="E2268" s="292"/>
      <c r="F2268" s="294"/>
      <c r="G2268" s="292"/>
      <c r="H2268" s="292"/>
      <c r="I2268" s="292"/>
      <c r="J2268" s="292"/>
      <c r="K2268" s="292"/>
      <c r="L2268" s="292"/>
      <c r="M2268" s="296"/>
      <c r="N2268" s="297"/>
      <c r="O2268" s="298"/>
      <c r="P2268" s="298"/>
      <c r="Q2268" s="298"/>
      <c r="R2268" s="296"/>
      <c r="S2268" s="296"/>
      <c r="T2268" s="296"/>
      <c r="U2268" s="292"/>
      <c r="V2268" s="292"/>
      <c r="W2268" s="292"/>
      <c r="X2268" s="292"/>
      <c r="Y2268" s="292"/>
      <c r="Z2268" s="292"/>
      <c r="AA2268" s="292"/>
      <c r="AB2268" s="292"/>
      <c r="AC2268" s="292"/>
      <c r="AD2268" s="292"/>
    </row>
  </sheetData>
  <autoFilter ref="$A$2:$CN$2268"/>
  <mergeCells count="5">
    <mergeCell ref="A1:D1"/>
    <mergeCell ref="E1:T1"/>
    <mergeCell ref="U1:X1"/>
    <mergeCell ref="Z1:AB1"/>
    <mergeCell ref="AC1:AD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8.57"/>
    <col customWidth="1" min="3" max="11" width="8.71"/>
  </cols>
  <sheetData>
    <row r="1" ht="14.25" customHeight="1">
      <c r="A1" s="450" t="s">
        <v>17</v>
      </c>
      <c r="B1" s="450" t="s">
        <v>6335</v>
      </c>
    </row>
    <row r="2" ht="14.25" customHeight="1">
      <c r="A2" s="451" t="s">
        <v>6336</v>
      </c>
      <c r="B2" s="451" t="s">
        <v>6337</v>
      </c>
    </row>
    <row r="3" ht="14.25" customHeight="1">
      <c r="A3" s="452" t="s">
        <v>6338</v>
      </c>
      <c r="B3" s="452" t="s">
        <v>6339</v>
      </c>
    </row>
    <row r="4" ht="14.25" customHeight="1">
      <c r="A4" s="453" t="s">
        <v>6340</v>
      </c>
      <c r="B4" s="453" t="s">
        <v>6341</v>
      </c>
    </row>
    <row r="5" ht="14.25" customHeight="1">
      <c r="A5" s="452" t="s">
        <v>6342</v>
      </c>
      <c r="B5" s="452" t="s">
        <v>6343</v>
      </c>
    </row>
    <row r="6" ht="14.25" customHeight="1">
      <c r="A6" s="453" t="s">
        <v>6344</v>
      </c>
      <c r="B6" s="453" t="s">
        <v>6345</v>
      </c>
    </row>
    <row r="7" ht="14.25" customHeight="1">
      <c r="A7" s="452" t="s">
        <v>6346</v>
      </c>
      <c r="B7" s="452" t="s">
        <v>6347</v>
      </c>
    </row>
    <row r="8" ht="14.25" customHeight="1">
      <c r="A8" s="453" t="s">
        <v>6348</v>
      </c>
      <c r="B8" s="453" t="s">
        <v>6349</v>
      </c>
    </row>
    <row r="9" ht="14.25" customHeight="1">
      <c r="A9" s="452" t="s">
        <v>6350</v>
      </c>
      <c r="B9" s="452" t="s">
        <v>6351</v>
      </c>
    </row>
    <row r="10" ht="14.25" customHeight="1">
      <c r="A10" s="453" t="s">
        <v>6352</v>
      </c>
      <c r="B10" s="453" t="s">
        <v>6353</v>
      </c>
    </row>
    <row r="11" ht="14.25" customHeight="1">
      <c r="A11" s="452" t="s">
        <v>6354</v>
      </c>
      <c r="B11" s="452" t="s">
        <v>6355</v>
      </c>
    </row>
    <row r="12" ht="14.25" customHeight="1">
      <c r="A12" s="453" t="s">
        <v>6356</v>
      </c>
      <c r="B12" s="453" t="s">
        <v>6357</v>
      </c>
    </row>
    <row r="13" ht="14.25" customHeight="1">
      <c r="A13" s="452" t="s">
        <v>27</v>
      </c>
      <c r="B13" s="45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83.57"/>
    <col customWidth="1" min="3" max="3" width="18.14"/>
    <col customWidth="1" min="4" max="4" width="13.57"/>
    <col customWidth="1" min="5" max="5" width="19.14"/>
    <col customWidth="1" min="6" max="6" width="57.86"/>
    <col customWidth="1" min="7" max="7" width="18.14"/>
    <col customWidth="1" min="8" max="8" width="31.0"/>
    <col customWidth="1" min="9" max="9" width="27.29"/>
    <col customWidth="1" min="10" max="11" width="8.71"/>
  </cols>
  <sheetData>
    <row r="1" ht="20.25" customHeight="1">
      <c r="A1" s="454" t="s">
        <v>6358</v>
      </c>
      <c r="B1" s="455" t="s">
        <v>6359</v>
      </c>
      <c r="C1" s="455" t="s">
        <v>6360</v>
      </c>
      <c r="D1" s="455" t="s">
        <v>6361</v>
      </c>
      <c r="E1" s="455" t="s">
        <v>1499</v>
      </c>
      <c r="F1" s="455" t="s">
        <v>6362</v>
      </c>
      <c r="G1" s="18" t="s">
        <v>19</v>
      </c>
      <c r="H1" s="456" t="s">
        <v>21</v>
      </c>
      <c r="I1" s="457" t="s">
        <v>6363</v>
      </c>
      <c r="J1" s="458" t="s">
        <v>6364</v>
      </c>
      <c r="K1" s="458" t="s">
        <v>6365</v>
      </c>
    </row>
    <row r="2" ht="14.25" customHeight="1">
      <c r="A2" s="459" t="s">
        <v>6366</v>
      </c>
      <c r="B2" s="460" t="s">
        <v>6367</v>
      </c>
      <c r="C2" s="460">
        <v>1.1959174E7</v>
      </c>
      <c r="D2" s="461">
        <v>0.015694444444444445</v>
      </c>
      <c r="E2" s="462" t="s">
        <v>1400</v>
      </c>
      <c r="F2" s="460" t="s">
        <v>6368</v>
      </c>
      <c r="G2" s="463" t="s">
        <v>53</v>
      </c>
      <c r="H2" s="464">
        <v>46107.3</v>
      </c>
      <c r="I2" s="465" t="s">
        <v>6366</v>
      </c>
      <c r="J2" s="466"/>
      <c r="K2" s="466"/>
    </row>
    <row r="3" ht="14.25" customHeight="1">
      <c r="A3" s="467" t="s">
        <v>6366</v>
      </c>
      <c r="B3" s="460" t="s">
        <v>6369</v>
      </c>
      <c r="C3" s="460">
        <v>1.1959175E7</v>
      </c>
      <c r="D3" s="461">
        <v>4.7453703703703704E-4</v>
      </c>
      <c r="E3" s="462" t="s">
        <v>1400</v>
      </c>
      <c r="F3" s="460" t="s">
        <v>6370</v>
      </c>
      <c r="G3" s="463" t="s">
        <v>53</v>
      </c>
      <c r="H3" s="464">
        <v>46107.3</v>
      </c>
      <c r="I3" s="465" t="s">
        <v>6366</v>
      </c>
      <c r="J3" s="468"/>
      <c r="K3" s="468"/>
    </row>
    <row r="4" ht="14.25" customHeight="1">
      <c r="A4" s="467" t="s">
        <v>6366</v>
      </c>
      <c r="B4" s="460" t="s">
        <v>6371</v>
      </c>
      <c r="C4" s="460">
        <v>1.1959316E7</v>
      </c>
      <c r="D4" s="461">
        <v>0.0016782407407407408</v>
      </c>
      <c r="E4" s="462" t="s">
        <v>1400</v>
      </c>
      <c r="F4" s="460" t="s">
        <v>6372</v>
      </c>
      <c r="G4" s="463" t="s">
        <v>53</v>
      </c>
      <c r="H4" s="464">
        <v>46107.3</v>
      </c>
      <c r="I4" s="465" t="s">
        <v>6366</v>
      </c>
      <c r="J4" s="468"/>
      <c r="K4" s="468"/>
    </row>
    <row r="5" ht="14.25" customHeight="1">
      <c r="A5" s="467" t="s">
        <v>6366</v>
      </c>
      <c r="B5" s="460" t="s">
        <v>6373</v>
      </c>
      <c r="C5" s="460">
        <v>1.1959328E7</v>
      </c>
      <c r="D5" s="461">
        <v>4.050925925925926E-4</v>
      </c>
      <c r="E5" s="462" t="s">
        <v>1400</v>
      </c>
      <c r="F5" s="460" t="s">
        <v>6374</v>
      </c>
      <c r="G5" s="463" t="s">
        <v>53</v>
      </c>
      <c r="H5" s="464">
        <v>46107.3</v>
      </c>
      <c r="I5" s="469" t="s">
        <v>6366</v>
      </c>
      <c r="J5" s="468"/>
      <c r="K5" s="468"/>
    </row>
    <row r="6" ht="14.25" customHeight="1">
      <c r="A6" s="467" t="s">
        <v>6366</v>
      </c>
      <c r="B6" s="460" t="s">
        <v>6375</v>
      </c>
      <c r="C6" s="460">
        <v>1.1959338E7</v>
      </c>
      <c r="D6" s="461">
        <v>4.62962962962963E-4</v>
      </c>
      <c r="E6" s="462" t="s">
        <v>1400</v>
      </c>
      <c r="F6" s="460" t="s">
        <v>6376</v>
      </c>
      <c r="G6" s="463" t="s">
        <v>53</v>
      </c>
      <c r="H6" s="464">
        <v>46107.3</v>
      </c>
      <c r="I6" s="469" t="s">
        <v>6366</v>
      </c>
      <c r="J6" s="468"/>
      <c r="K6" s="468"/>
    </row>
    <row r="7" ht="14.25" customHeight="1">
      <c r="A7" s="467" t="s">
        <v>6366</v>
      </c>
      <c r="B7" s="460" t="s">
        <v>6377</v>
      </c>
      <c r="C7" s="460">
        <v>1.1959347E7</v>
      </c>
      <c r="D7" s="461">
        <v>4.5138888888888887E-4</v>
      </c>
      <c r="E7" s="462" t="s">
        <v>1400</v>
      </c>
      <c r="F7" s="460" t="s">
        <v>6378</v>
      </c>
      <c r="G7" s="463" t="s">
        <v>53</v>
      </c>
      <c r="H7" s="464">
        <v>46107.3</v>
      </c>
      <c r="I7" s="469" t="s">
        <v>6366</v>
      </c>
      <c r="J7" s="468"/>
      <c r="K7" s="468"/>
    </row>
    <row r="8" ht="14.25" customHeight="1">
      <c r="A8" s="467" t="s">
        <v>6366</v>
      </c>
      <c r="B8" s="460" t="s">
        <v>6379</v>
      </c>
      <c r="C8" s="460">
        <v>1.1959375E7</v>
      </c>
      <c r="D8" s="461">
        <v>8.101851851851852E-4</v>
      </c>
      <c r="E8" s="462" t="s">
        <v>1400</v>
      </c>
      <c r="F8" s="460" t="s">
        <v>6380</v>
      </c>
      <c r="G8" s="463" t="s">
        <v>53</v>
      </c>
      <c r="H8" s="464">
        <v>46107.3</v>
      </c>
      <c r="I8" s="469" t="s">
        <v>6366</v>
      </c>
      <c r="J8" s="468"/>
      <c r="K8" s="468"/>
    </row>
    <row r="9" ht="14.25" customHeight="1">
      <c r="A9" s="467" t="s">
        <v>6366</v>
      </c>
      <c r="B9" s="460" t="s">
        <v>6381</v>
      </c>
      <c r="C9" s="460">
        <v>1.1959385E7</v>
      </c>
      <c r="D9" s="461">
        <v>6.712962962962962E-4</v>
      </c>
      <c r="E9" s="462" t="s">
        <v>1400</v>
      </c>
      <c r="F9" s="460" t="s">
        <v>6382</v>
      </c>
      <c r="G9" s="463" t="s">
        <v>53</v>
      </c>
      <c r="H9" s="464">
        <v>46107.3</v>
      </c>
      <c r="I9" s="469" t="s">
        <v>6366</v>
      </c>
      <c r="J9" s="468"/>
      <c r="K9" s="468"/>
    </row>
    <row r="10" ht="14.25" customHeight="1">
      <c r="A10" s="467" t="s">
        <v>6366</v>
      </c>
      <c r="B10" s="460" t="s">
        <v>6383</v>
      </c>
      <c r="C10" s="460">
        <v>1.1959406E7</v>
      </c>
      <c r="D10" s="461">
        <v>6.828703703703704E-4</v>
      </c>
      <c r="E10" s="462" t="s">
        <v>1400</v>
      </c>
      <c r="F10" s="460" t="s">
        <v>6384</v>
      </c>
      <c r="G10" s="463" t="s">
        <v>53</v>
      </c>
      <c r="H10" s="464">
        <v>46107.3</v>
      </c>
      <c r="I10" s="469" t="s">
        <v>6366</v>
      </c>
      <c r="J10" s="468"/>
      <c r="K10" s="468"/>
    </row>
    <row r="11" ht="14.25" customHeight="1">
      <c r="A11" s="467" t="s">
        <v>6366</v>
      </c>
      <c r="B11" s="460" t="s">
        <v>6385</v>
      </c>
      <c r="C11" s="460">
        <v>1.1959416E7</v>
      </c>
      <c r="D11" s="461">
        <v>6.828703703703704E-4</v>
      </c>
      <c r="E11" s="462" t="s">
        <v>1400</v>
      </c>
      <c r="F11" s="460" t="s">
        <v>6386</v>
      </c>
      <c r="G11" s="463" t="s">
        <v>53</v>
      </c>
      <c r="H11" s="464">
        <v>46107.3</v>
      </c>
      <c r="I11" s="469" t="s">
        <v>6366</v>
      </c>
      <c r="J11" s="468"/>
      <c r="K11" s="468"/>
    </row>
    <row r="12" ht="14.25" customHeight="1">
      <c r="A12" s="467" t="s">
        <v>6366</v>
      </c>
      <c r="B12" s="460" t="s">
        <v>6387</v>
      </c>
      <c r="C12" s="460">
        <v>1.1959417E7</v>
      </c>
      <c r="D12" s="461">
        <v>4.7453703703703704E-4</v>
      </c>
      <c r="E12" s="462" t="s">
        <v>1400</v>
      </c>
      <c r="F12" s="460" t="s">
        <v>6388</v>
      </c>
      <c r="G12" s="463" t="s">
        <v>53</v>
      </c>
      <c r="H12" s="464">
        <v>46107.3</v>
      </c>
      <c r="I12" s="469" t="s">
        <v>6366</v>
      </c>
      <c r="J12" s="468"/>
      <c r="K12" s="468"/>
    </row>
    <row r="13" ht="14.25" customHeight="1">
      <c r="A13" s="467" t="s">
        <v>6366</v>
      </c>
      <c r="B13" s="460" t="s">
        <v>6389</v>
      </c>
      <c r="C13" s="460">
        <v>1.1959433E7</v>
      </c>
      <c r="D13" s="461">
        <v>5.092592592592592E-4</v>
      </c>
      <c r="E13" s="462" t="s">
        <v>1400</v>
      </c>
      <c r="F13" s="460" t="s">
        <v>6390</v>
      </c>
      <c r="G13" s="463" t="s">
        <v>53</v>
      </c>
      <c r="H13" s="464">
        <v>46107.3</v>
      </c>
      <c r="I13" s="469" t="s">
        <v>6366</v>
      </c>
      <c r="J13" s="468"/>
      <c r="K13" s="468"/>
    </row>
    <row r="14" ht="14.25" customHeight="1">
      <c r="A14" s="467" t="s">
        <v>6366</v>
      </c>
      <c r="B14" s="460" t="s">
        <v>6391</v>
      </c>
      <c r="C14" s="460">
        <v>1.1959449E7</v>
      </c>
      <c r="D14" s="461">
        <v>4.166666666666667E-4</v>
      </c>
      <c r="E14" s="462" t="s">
        <v>1400</v>
      </c>
      <c r="F14" s="460" t="s">
        <v>6392</v>
      </c>
      <c r="G14" s="463" t="s">
        <v>53</v>
      </c>
      <c r="H14" s="464">
        <v>46107.3</v>
      </c>
      <c r="I14" s="469" t="s">
        <v>6366</v>
      </c>
      <c r="J14" s="468"/>
      <c r="K14" s="468"/>
    </row>
    <row r="15" ht="14.25" customHeight="1">
      <c r="A15" s="467" t="s">
        <v>6366</v>
      </c>
      <c r="B15" s="460" t="s">
        <v>6393</v>
      </c>
      <c r="C15" s="460">
        <v>1.1959454E7</v>
      </c>
      <c r="D15" s="461">
        <v>6.481481481481481E-4</v>
      </c>
      <c r="E15" s="462" t="s">
        <v>1400</v>
      </c>
      <c r="F15" s="460" t="s">
        <v>6394</v>
      </c>
      <c r="G15" s="463" t="s">
        <v>53</v>
      </c>
      <c r="H15" s="464">
        <v>46107.3</v>
      </c>
      <c r="I15" s="469" t="s">
        <v>6366</v>
      </c>
      <c r="J15" s="468"/>
      <c r="K15" s="468"/>
    </row>
    <row r="16" ht="14.25" customHeight="1">
      <c r="A16" s="467" t="s">
        <v>6366</v>
      </c>
      <c r="B16" s="460" t="s">
        <v>6395</v>
      </c>
      <c r="C16" s="460">
        <v>1.1959466E7</v>
      </c>
      <c r="D16" s="461">
        <v>4.7453703703703704E-4</v>
      </c>
      <c r="E16" s="462" t="s">
        <v>1400</v>
      </c>
      <c r="F16" s="460" t="s">
        <v>6396</v>
      </c>
      <c r="G16" s="463" t="s">
        <v>53</v>
      </c>
      <c r="H16" s="464">
        <v>46107.3</v>
      </c>
      <c r="I16" s="469" t="s">
        <v>6366</v>
      </c>
      <c r="J16" s="468"/>
      <c r="K16" s="468"/>
    </row>
    <row r="17" ht="14.25" customHeight="1">
      <c r="A17" s="467" t="s">
        <v>6366</v>
      </c>
      <c r="B17" s="460" t="s">
        <v>6397</v>
      </c>
      <c r="C17" s="460">
        <v>1.1959494E7</v>
      </c>
      <c r="D17" s="461">
        <v>8.680555555555555E-4</v>
      </c>
      <c r="E17" s="462" t="s">
        <v>1400</v>
      </c>
      <c r="F17" s="460" t="s">
        <v>6398</v>
      </c>
      <c r="G17" s="463" t="s">
        <v>53</v>
      </c>
      <c r="H17" s="464">
        <v>46107.3</v>
      </c>
      <c r="I17" s="469" t="s">
        <v>6366</v>
      </c>
      <c r="J17" s="468"/>
      <c r="K17" s="468"/>
    </row>
    <row r="18" ht="14.25" customHeight="1">
      <c r="A18" s="467" t="s">
        <v>6366</v>
      </c>
      <c r="B18" s="460" t="s">
        <v>6399</v>
      </c>
      <c r="C18" s="460">
        <v>1.1959506E7</v>
      </c>
      <c r="D18" s="461">
        <v>4.7453703703703704E-4</v>
      </c>
      <c r="E18" s="462" t="s">
        <v>1400</v>
      </c>
      <c r="F18" s="460" t="s">
        <v>6400</v>
      </c>
      <c r="G18" s="463" t="s">
        <v>53</v>
      </c>
      <c r="H18" s="464">
        <v>46107.3</v>
      </c>
      <c r="I18" s="469" t="s">
        <v>6366</v>
      </c>
      <c r="J18" s="468"/>
      <c r="K18" s="468"/>
    </row>
    <row r="19" ht="14.25" customHeight="1">
      <c r="A19" s="467" t="s">
        <v>6366</v>
      </c>
      <c r="B19" s="460" t="s">
        <v>6401</v>
      </c>
      <c r="C19" s="460">
        <v>1.1959508E7</v>
      </c>
      <c r="D19" s="461">
        <v>0.0010416666666666667</v>
      </c>
      <c r="E19" s="462" t="s">
        <v>1400</v>
      </c>
      <c r="F19" s="460" t="s">
        <v>6402</v>
      </c>
      <c r="G19" s="463" t="s">
        <v>53</v>
      </c>
      <c r="H19" s="464">
        <v>46107.3</v>
      </c>
      <c r="I19" s="469" t="s">
        <v>6366</v>
      </c>
      <c r="J19" s="468"/>
      <c r="K19" s="468"/>
    </row>
    <row r="20" ht="14.25" customHeight="1">
      <c r="A20" s="467" t="s">
        <v>6366</v>
      </c>
      <c r="B20" s="460" t="s">
        <v>6403</v>
      </c>
      <c r="C20" s="470">
        <v>1.195951E7</v>
      </c>
      <c r="D20" s="461">
        <v>5.439814814814814E-4</v>
      </c>
      <c r="E20" s="462" t="s">
        <v>1400</v>
      </c>
      <c r="F20" s="460" t="s">
        <v>6404</v>
      </c>
      <c r="G20" s="463" t="s">
        <v>53</v>
      </c>
      <c r="H20" s="464">
        <v>46107.3</v>
      </c>
      <c r="I20" s="469" t="s">
        <v>6366</v>
      </c>
      <c r="J20" s="468"/>
      <c r="K20" s="468"/>
    </row>
    <row r="21" ht="14.25" customHeight="1">
      <c r="A21" s="467" t="s">
        <v>6366</v>
      </c>
      <c r="B21" s="460" t="s">
        <v>6405</v>
      </c>
      <c r="C21" s="460">
        <v>1.1959522E7</v>
      </c>
      <c r="D21" s="461">
        <v>0.0016550925925925926</v>
      </c>
      <c r="E21" s="462" t="s">
        <v>1400</v>
      </c>
      <c r="F21" s="460" t="s">
        <v>6406</v>
      </c>
      <c r="G21" s="463" t="s">
        <v>53</v>
      </c>
      <c r="H21" s="464">
        <v>46107.3</v>
      </c>
      <c r="I21" s="469" t="s">
        <v>6366</v>
      </c>
      <c r="J21" s="468"/>
      <c r="K21" s="468"/>
    </row>
    <row r="22" ht="14.25" customHeight="1">
      <c r="A22" s="467" t="s">
        <v>6366</v>
      </c>
      <c r="B22" s="460" t="s">
        <v>6407</v>
      </c>
      <c r="C22" s="460">
        <v>1.1959539E7</v>
      </c>
      <c r="D22" s="461">
        <v>4.976851851851852E-4</v>
      </c>
      <c r="E22" s="462" t="s">
        <v>1400</v>
      </c>
      <c r="F22" s="460" t="s">
        <v>6408</v>
      </c>
      <c r="G22" s="463" t="s">
        <v>53</v>
      </c>
      <c r="H22" s="464">
        <v>46107.3</v>
      </c>
      <c r="I22" s="469" t="s">
        <v>6366</v>
      </c>
      <c r="J22" s="468"/>
      <c r="K22" s="468"/>
    </row>
    <row r="23" ht="14.25" customHeight="1">
      <c r="A23" s="467" t="s">
        <v>6366</v>
      </c>
      <c r="B23" s="460" t="s">
        <v>6409</v>
      </c>
      <c r="C23" s="460">
        <v>1.1959559E7</v>
      </c>
      <c r="D23" s="461">
        <v>0.0016666666666666668</v>
      </c>
      <c r="E23" s="462" t="s">
        <v>1400</v>
      </c>
      <c r="F23" s="460" t="s">
        <v>6410</v>
      </c>
      <c r="G23" s="463" t="s">
        <v>53</v>
      </c>
      <c r="H23" s="464">
        <v>46107.3</v>
      </c>
      <c r="I23" s="469" t="s">
        <v>6366</v>
      </c>
      <c r="J23" s="468"/>
      <c r="K23" s="468"/>
    </row>
    <row r="24" ht="14.25" customHeight="1">
      <c r="A24" s="467" t="s">
        <v>6366</v>
      </c>
      <c r="B24" s="460" t="s">
        <v>6411</v>
      </c>
      <c r="C24" s="460">
        <v>1.1959561E7</v>
      </c>
      <c r="D24" s="461">
        <v>5.787037037037037E-4</v>
      </c>
      <c r="E24" s="462" t="s">
        <v>1400</v>
      </c>
      <c r="F24" s="460" t="s">
        <v>6412</v>
      </c>
      <c r="G24" s="463" t="s">
        <v>53</v>
      </c>
      <c r="H24" s="464">
        <v>46107.3</v>
      </c>
      <c r="I24" s="469" t="s">
        <v>6366</v>
      </c>
      <c r="J24" s="468"/>
      <c r="K24" s="468"/>
    </row>
    <row r="25" ht="14.25" customHeight="1">
      <c r="A25" s="467" t="s">
        <v>6366</v>
      </c>
      <c r="B25" s="460" t="s">
        <v>6413</v>
      </c>
      <c r="C25" s="460">
        <v>1.1959566E7</v>
      </c>
      <c r="D25" s="461">
        <v>5.208333333333333E-4</v>
      </c>
      <c r="E25" s="462" t="s">
        <v>1400</v>
      </c>
      <c r="F25" s="460" t="s">
        <v>6414</v>
      </c>
      <c r="G25" s="463" t="s">
        <v>53</v>
      </c>
      <c r="H25" s="464">
        <v>46107.3</v>
      </c>
      <c r="I25" s="469" t="s">
        <v>6366</v>
      </c>
      <c r="J25" s="468"/>
      <c r="K25" s="468"/>
    </row>
    <row r="26" ht="14.25" customHeight="1">
      <c r="A26" s="471" t="s">
        <v>6366</v>
      </c>
      <c r="B26" s="472" t="s">
        <v>6415</v>
      </c>
      <c r="C26" s="460">
        <v>1.195958E7</v>
      </c>
      <c r="D26" s="473">
        <v>5.555555555555556E-4</v>
      </c>
      <c r="E26" s="474" t="s">
        <v>1400</v>
      </c>
      <c r="F26" s="460" t="s">
        <v>6416</v>
      </c>
      <c r="G26" s="463" t="s">
        <v>53</v>
      </c>
      <c r="H26" s="464">
        <v>46107.3</v>
      </c>
      <c r="I26" s="475" t="s">
        <v>6366</v>
      </c>
      <c r="J26" s="468"/>
      <c r="K26" s="468"/>
    </row>
    <row r="27" ht="14.25" customHeight="1">
      <c r="A27" s="460"/>
      <c r="B27" s="460" t="s">
        <v>6417</v>
      </c>
      <c r="C27" s="460">
        <v>1.1959592E7</v>
      </c>
      <c r="D27" s="461">
        <v>5.092592592592592E-4</v>
      </c>
      <c r="E27" s="462" t="s">
        <v>1400</v>
      </c>
      <c r="F27" s="460" t="s">
        <v>6418</v>
      </c>
      <c r="G27" s="463" t="s">
        <v>53</v>
      </c>
      <c r="H27" s="464">
        <v>46107.3</v>
      </c>
      <c r="I27" s="460"/>
      <c r="J27" s="468"/>
      <c r="K27" s="468"/>
    </row>
    <row r="28" ht="14.25" customHeight="1">
      <c r="A28" s="460"/>
      <c r="B28" s="460" t="s">
        <v>6419</v>
      </c>
      <c r="C28" s="460">
        <v>1.1959598E7</v>
      </c>
      <c r="D28" s="461">
        <v>7.986111111111112E-4</v>
      </c>
      <c r="E28" s="462" t="s">
        <v>1400</v>
      </c>
      <c r="F28" s="460" t="s">
        <v>6420</v>
      </c>
      <c r="G28" s="463" t="s">
        <v>53</v>
      </c>
      <c r="H28" s="464">
        <v>46107.3</v>
      </c>
      <c r="I28" s="460"/>
      <c r="J28" s="468"/>
      <c r="K28" s="468"/>
    </row>
    <row r="29" ht="14.25" customHeight="1">
      <c r="A29" s="460"/>
      <c r="B29" s="460" t="s">
        <v>6421</v>
      </c>
      <c r="C29" s="460">
        <v>1.1959176E7</v>
      </c>
      <c r="D29" s="461">
        <v>8.564814814814815E-4</v>
      </c>
      <c r="E29" s="462" t="s">
        <v>1400</v>
      </c>
      <c r="F29" s="460" t="s">
        <v>6422</v>
      </c>
      <c r="G29" s="463" t="s">
        <v>53</v>
      </c>
      <c r="H29" s="464">
        <v>46107.3</v>
      </c>
      <c r="I29" s="460"/>
      <c r="J29" s="468"/>
      <c r="K29" s="468"/>
    </row>
    <row r="30" ht="14.25" customHeight="1">
      <c r="A30" s="472"/>
      <c r="B30" s="472" t="s">
        <v>6423</v>
      </c>
      <c r="C30" s="472">
        <v>1.1959198E7</v>
      </c>
      <c r="D30" s="473">
        <v>4.861111111111111E-4</v>
      </c>
      <c r="E30" s="474" t="s">
        <v>1400</v>
      </c>
      <c r="F30" s="472" t="s">
        <v>6424</v>
      </c>
      <c r="G30" s="476" t="s">
        <v>53</v>
      </c>
      <c r="H30" s="477">
        <v>46107.3</v>
      </c>
      <c r="I30" s="472"/>
      <c r="J30" s="478"/>
      <c r="K30" s="478"/>
    </row>
    <row r="31" ht="14.25" customHeight="1">
      <c r="A31" s="479" t="s">
        <v>6366</v>
      </c>
      <c r="B31" s="460" t="s">
        <v>6425</v>
      </c>
      <c r="C31" s="480">
        <v>1.1959455E7</v>
      </c>
      <c r="D31" s="481" t="s">
        <v>6426</v>
      </c>
      <c r="E31" s="474" t="s">
        <v>1400</v>
      </c>
      <c r="F31" s="482" t="s">
        <v>6427</v>
      </c>
      <c r="G31" s="476" t="s">
        <v>53</v>
      </c>
      <c r="H31" s="483">
        <v>46203.46875</v>
      </c>
      <c r="I31" s="479"/>
      <c r="J31" s="479"/>
      <c r="K31" s="479"/>
    </row>
    <row r="32" ht="14.25" customHeight="1">
      <c r="A32" s="479" t="s">
        <v>6366</v>
      </c>
      <c r="B32" s="460" t="s">
        <v>6428</v>
      </c>
      <c r="C32" s="480">
        <v>1.1959192E7</v>
      </c>
      <c r="D32" s="484" t="s">
        <v>6429</v>
      </c>
      <c r="E32" s="474" t="s">
        <v>1400</v>
      </c>
      <c r="F32" s="460" t="s">
        <v>6430</v>
      </c>
      <c r="G32" s="476" t="s">
        <v>53</v>
      </c>
      <c r="H32" s="483">
        <v>46203.46875</v>
      </c>
      <c r="I32" s="479"/>
      <c r="J32" s="479"/>
      <c r="K32" s="479"/>
    </row>
    <row r="33" ht="14.25" customHeight="1">
      <c r="A33" s="479" t="s">
        <v>6366</v>
      </c>
      <c r="B33" s="460" t="s">
        <v>6375</v>
      </c>
      <c r="C33" s="480">
        <v>1.1959396E7</v>
      </c>
      <c r="D33" s="484" t="s">
        <v>6431</v>
      </c>
      <c r="E33" s="474" t="s">
        <v>1400</v>
      </c>
      <c r="F33" s="460" t="s">
        <v>6432</v>
      </c>
      <c r="G33" s="476" t="s">
        <v>53</v>
      </c>
      <c r="H33" s="483">
        <v>46203.46875</v>
      </c>
      <c r="I33" s="479"/>
      <c r="J33" s="479"/>
      <c r="K33" s="479"/>
    </row>
    <row r="34" ht="14.25" customHeight="1">
      <c r="A34" s="479" t="s">
        <v>6366</v>
      </c>
      <c r="B34" s="460" t="s">
        <v>6389</v>
      </c>
      <c r="C34" s="480">
        <v>1.1959252E7</v>
      </c>
      <c r="D34" s="484" t="s">
        <v>6433</v>
      </c>
      <c r="E34" s="474" t="s">
        <v>1400</v>
      </c>
      <c r="F34" s="460" t="s">
        <v>6434</v>
      </c>
      <c r="G34" s="476" t="s">
        <v>53</v>
      </c>
      <c r="H34" s="483">
        <v>46203.46875</v>
      </c>
      <c r="I34" s="479"/>
      <c r="J34" s="479"/>
      <c r="K34" s="479"/>
    </row>
    <row r="35" ht="14.25" customHeight="1">
      <c r="A35" s="479" t="s">
        <v>6366</v>
      </c>
      <c r="B35" s="460" t="s">
        <v>6435</v>
      </c>
      <c r="C35" s="480">
        <v>1.1959368E7</v>
      </c>
      <c r="D35" s="484" t="s">
        <v>6436</v>
      </c>
      <c r="E35" s="474" t="s">
        <v>1400</v>
      </c>
      <c r="F35" s="460" t="s">
        <v>6437</v>
      </c>
      <c r="G35" s="476" t="s">
        <v>53</v>
      </c>
      <c r="H35" s="483">
        <v>46203.46875</v>
      </c>
      <c r="I35" s="479"/>
      <c r="J35" s="479"/>
      <c r="K35" s="479"/>
    </row>
    <row r="36" ht="14.25" customHeight="1">
      <c r="A36" s="479" t="s">
        <v>6366</v>
      </c>
      <c r="B36" s="460" t="s">
        <v>6403</v>
      </c>
      <c r="C36" s="480">
        <v>1.1959409E7</v>
      </c>
      <c r="D36" s="484" t="s">
        <v>6438</v>
      </c>
      <c r="E36" s="474" t="s">
        <v>1400</v>
      </c>
      <c r="F36" s="460" t="s">
        <v>6439</v>
      </c>
      <c r="G36" s="476" t="s">
        <v>53</v>
      </c>
      <c r="H36" s="483">
        <v>46203.46875</v>
      </c>
      <c r="I36" s="479"/>
      <c r="J36" s="479"/>
      <c r="K36" s="479"/>
    </row>
    <row r="37" ht="14.25" customHeight="1">
      <c r="A37" s="479" t="s">
        <v>6366</v>
      </c>
      <c r="B37" s="460" t="s">
        <v>6440</v>
      </c>
      <c r="C37" s="480">
        <v>1.195918E7</v>
      </c>
      <c r="D37" s="484" t="s">
        <v>6441</v>
      </c>
      <c r="E37" s="474" t="s">
        <v>1400</v>
      </c>
      <c r="F37" s="460" t="s">
        <v>6442</v>
      </c>
      <c r="G37" s="476" t="s">
        <v>53</v>
      </c>
      <c r="H37" s="483">
        <v>46203.46875</v>
      </c>
      <c r="I37" s="479"/>
      <c r="J37" s="479"/>
      <c r="K37" s="479"/>
    </row>
    <row r="38" ht="14.25" customHeight="1">
      <c r="A38" s="479" t="s">
        <v>6366</v>
      </c>
      <c r="B38" s="460" t="s">
        <v>6443</v>
      </c>
      <c r="C38" s="480">
        <v>1.1959204E7</v>
      </c>
      <c r="D38" s="484" t="s">
        <v>6444</v>
      </c>
      <c r="E38" s="474" t="s">
        <v>1400</v>
      </c>
      <c r="F38" s="460" t="s">
        <v>6445</v>
      </c>
      <c r="G38" s="476" t="s">
        <v>53</v>
      </c>
      <c r="H38" s="483">
        <v>46203.46875</v>
      </c>
      <c r="I38" s="479"/>
      <c r="J38" s="479"/>
      <c r="K38" s="479"/>
    </row>
    <row r="39" ht="14.25" customHeight="1">
      <c r="A39" s="479" t="s">
        <v>6366</v>
      </c>
      <c r="B39" s="460" t="s">
        <v>6446</v>
      </c>
      <c r="C39" s="480">
        <v>1.1959216E7</v>
      </c>
      <c r="D39" s="484" t="s">
        <v>6447</v>
      </c>
      <c r="E39" s="474" t="s">
        <v>1400</v>
      </c>
      <c r="F39" s="460" t="s">
        <v>6448</v>
      </c>
      <c r="G39" s="476" t="s">
        <v>53</v>
      </c>
      <c r="H39" s="483">
        <v>46203.46875</v>
      </c>
      <c r="I39" s="479"/>
      <c r="J39" s="479"/>
      <c r="K39" s="479"/>
    </row>
    <row r="40" ht="14.25" customHeight="1">
      <c r="A40" s="479" t="s">
        <v>6366</v>
      </c>
      <c r="B40" s="460" t="s">
        <v>6449</v>
      </c>
      <c r="C40" s="480">
        <v>1.1959221E7</v>
      </c>
      <c r="D40" s="484" t="s">
        <v>6450</v>
      </c>
      <c r="E40" s="474" t="s">
        <v>1400</v>
      </c>
      <c r="F40" s="460" t="s">
        <v>6451</v>
      </c>
      <c r="G40" s="476" t="s">
        <v>53</v>
      </c>
      <c r="H40" s="483">
        <v>46203.46875</v>
      </c>
      <c r="I40" s="479"/>
      <c r="J40" s="479"/>
      <c r="K40" s="479"/>
    </row>
    <row r="41" ht="14.25" customHeight="1">
      <c r="A41" s="479" t="s">
        <v>6366</v>
      </c>
      <c r="B41" s="460" t="s">
        <v>6452</v>
      </c>
      <c r="C41" s="480">
        <v>1.1959226E7</v>
      </c>
      <c r="D41" s="484" t="s">
        <v>6453</v>
      </c>
      <c r="E41" s="474" t="s">
        <v>1400</v>
      </c>
      <c r="F41" s="460" t="s">
        <v>6454</v>
      </c>
      <c r="G41" s="476" t="s">
        <v>53</v>
      </c>
      <c r="H41" s="483">
        <v>46203.46875</v>
      </c>
      <c r="I41" s="479"/>
      <c r="J41" s="479"/>
      <c r="K41" s="479"/>
    </row>
    <row r="42" ht="14.25" customHeight="1">
      <c r="A42" s="479" t="s">
        <v>6366</v>
      </c>
      <c r="B42" s="460" t="s">
        <v>6455</v>
      </c>
      <c r="C42" s="480">
        <v>1.195923E7</v>
      </c>
      <c r="D42" s="484" t="s">
        <v>6456</v>
      </c>
      <c r="E42" s="474" t="s">
        <v>1400</v>
      </c>
      <c r="F42" s="460" t="s">
        <v>6457</v>
      </c>
      <c r="G42" s="476" t="s">
        <v>53</v>
      </c>
      <c r="H42" s="483">
        <v>46203.46875</v>
      </c>
      <c r="I42" s="479"/>
      <c r="J42" s="479"/>
      <c r="K42" s="479"/>
    </row>
    <row r="43" ht="14.25" customHeight="1">
      <c r="A43" s="479" t="s">
        <v>6366</v>
      </c>
      <c r="B43" s="460" t="s">
        <v>6458</v>
      </c>
      <c r="C43" s="480">
        <v>1.1959231E7</v>
      </c>
      <c r="D43" s="484" t="s">
        <v>6459</v>
      </c>
      <c r="E43" s="474" t="s">
        <v>1400</v>
      </c>
      <c r="F43" s="460" t="s">
        <v>6460</v>
      </c>
      <c r="G43" s="476" t="s">
        <v>53</v>
      </c>
      <c r="H43" s="483">
        <v>46203.46875</v>
      </c>
      <c r="I43" s="479"/>
      <c r="J43" s="479"/>
      <c r="K43" s="479"/>
    </row>
    <row r="44" ht="14.25" customHeight="1">
      <c r="A44" s="479" t="s">
        <v>6366</v>
      </c>
      <c r="B44" s="460" t="s">
        <v>6461</v>
      </c>
      <c r="C44" s="480">
        <v>1.1959235E7</v>
      </c>
      <c r="D44" s="484" t="s">
        <v>6462</v>
      </c>
      <c r="E44" s="474" t="s">
        <v>1400</v>
      </c>
      <c r="F44" s="460" t="s">
        <v>6463</v>
      </c>
      <c r="G44" s="476" t="s">
        <v>53</v>
      </c>
      <c r="H44" s="483">
        <v>46203.46875</v>
      </c>
      <c r="I44" s="479"/>
      <c r="J44" s="479"/>
      <c r="K44" s="479"/>
    </row>
    <row r="45" ht="14.25" customHeight="1">
      <c r="A45" s="479" t="s">
        <v>6366</v>
      </c>
      <c r="B45" s="460" t="s">
        <v>6464</v>
      </c>
      <c r="C45" s="480">
        <v>1.1959238E7</v>
      </c>
      <c r="D45" s="484" t="s">
        <v>6453</v>
      </c>
      <c r="E45" s="474" t="s">
        <v>1400</v>
      </c>
      <c r="F45" s="460" t="s">
        <v>6465</v>
      </c>
      <c r="G45" s="476" t="s">
        <v>53</v>
      </c>
      <c r="H45" s="483">
        <v>46203.46875</v>
      </c>
      <c r="I45" s="479"/>
      <c r="J45" s="479"/>
      <c r="K45" s="479"/>
    </row>
    <row r="46" ht="14.25" customHeight="1">
      <c r="A46" s="479" t="s">
        <v>6366</v>
      </c>
      <c r="B46" s="460" t="s">
        <v>6466</v>
      </c>
      <c r="C46" s="480">
        <v>1.1959253E7</v>
      </c>
      <c r="D46" s="484" t="s">
        <v>6467</v>
      </c>
      <c r="E46" s="474" t="s">
        <v>1400</v>
      </c>
      <c r="F46" s="460" t="s">
        <v>6468</v>
      </c>
      <c r="G46" s="476" t="s">
        <v>53</v>
      </c>
      <c r="H46" s="483">
        <v>46203.46875</v>
      </c>
      <c r="I46" s="479"/>
      <c r="J46" s="479"/>
      <c r="K46" s="479"/>
    </row>
    <row r="47" ht="14.25" customHeight="1">
      <c r="A47" s="479" t="s">
        <v>6366</v>
      </c>
      <c r="B47" s="460" t="s">
        <v>6469</v>
      </c>
      <c r="C47" s="480">
        <v>1.1959264E7</v>
      </c>
      <c r="D47" s="484" t="s">
        <v>6470</v>
      </c>
      <c r="E47" s="474" t="s">
        <v>1400</v>
      </c>
      <c r="F47" s="460" t="s">
        <v>6471</v>
      </c>
      <c r="G47" s="476" t="s">
        <v>53</v>
      </c>
      <c r="H47" s="483">
        <v>46203.46875</v>
      </c>
      <c r="I47" s="479"/>
      <c r="J47" s="479"/>
      <c r="K47" s="479"/>
    </row>
    <row r="48" ht="14.25" customHeight="1">
      <c r="A48" s="479" t="s">
        <v>6366</v>
      </c>
      <c r="B48" s="460" t="s">
        <v>6472</v>
      </c>
      <c r="C48" s="480">
        <v>1.1959273E7</v>
      </c>
      <c r="D48" s="484" t="s">
        <v>6444</v>
      </c>
      <c r="E48" s="474" t="s">
        <v>1400</v>
      </c>
      <c r="F48" s="460" t="s">
        <v>6473</v>
      </c>
      <c r="G48" s="476" t="s">
        <v>53</v>
      </c>
      <c r="H48" s="483">
        <v>46203.46875</v>
      </c>
      <c r="I48" s="479"/>
      <c r="J48" s="479"/>
      <c r="K48" s="479"/>
    </row>
    <row r="49" ht="14.25" customHeight="1">
      <c r="A49" s="479" t="s">
        <v>6366</v>
      </c>
      <c r="B49" s="460" t="s">
        <v>6474</v>
      </c>
      <c r="C49" s="480">
        <v>1.1959275E7</v>
      </c>
      <c r="D49" s="484" t="s">
        <v>6475</v>
      </c>
      <c r="E49" s="474" t="s">
        <v>1400</v>
      </c>
      <c r="F49" s="460" t="s">
        <v>6476</v>
      </c>
      <c r="G49" s="476" t="s">
        <v>53</v>
      </c>
      <c r="H49" s="483">
        <v>46203.46875</v>
      </c>
      <c r="I49" s="479"/>
      <c r="J49" s="479"/>
      <c r="K49" s="479"/>
    </row>
    <row r="50" ht="14.25" customHeight="1">
      <c r="A50" s="479" t="s">
        <v>6366</v>
      </c>
      <c r="B50" s="460" t="s">
        <v>6477</v>
      </c>
      <c r="C50" s="480">
        <v>1.1959286E7</v>
      </c>
      <c r="D50" s="484" t="s">
        <v>6478</v>
      </c>
      <c r="E50" s="474" t="s">
        <v>1400</v>
      </c>
      <c r="F50" s="460" t="s">
        <v>6479</v>
      </c>
      <c r="G50" s="476" t="s">
        <v>53</v>
      </c>
      <c r="H50" s="483">
        <v>46203.46875</v>
      </c>
      <c r="I50" s="479"/>
      <c r="J50" s="479"/>
      <c r="K50" s="479"/>
    </row>
    <row r="51" ht="14.25" customHeight="1">
      <c r="A51" s="485"/>
      <c r="B51" s="460" t="s">
        <v>6480</v>
      </c>
      <c r="C51" s="480">
        <v>1.1959291E7</v>
      </c>
      <c r="D51" s="484" t="s">
        <v>6431</v>
      </c>
      <c r="E51" s="474" t="s">
        <v>1400</v>
      </c>
      <c r="F51" s="460" t="s">
        <v>6481</v>
      </c>
      <c r="G51" s="476" t="s">
        <v>53</v>
      </c>
      <c r="H51" s="483">
        <v>46203.46875</v>
      </c>
      <c r="I51" s="485"/>
      <c r="J51" s="485"/>
      <c r="K51" s="485"/>
    </row>
    <row r="52" ht="14.25" customHeight="1">
      <c r="A52" s="485"/>
      <c r="B52" s="460" t="s">
        <v>6482</v>
      </c>
      <c r="C52" s="480">
        <v>1.1959293E7</v>
      </c>
      <c r="D52" s="484" t="s">
        <v>6444</v>
      </c>
      <c r="E52" s="474" t="s">
        <v>1400</v>
      </c>
      <c r="F52" s="460" t="s">
        <v>6483</v>
      </c>
      <c r="G52" s="476" t="s">
        <v>53</v>
      </c>
      <c r="H52" s="483">
        <v>46203.46875</v>
      </c>
      <c r="I52" s="485"/>
      <c r="J52" s="485"/>
      <c r="K52" s="485"/>
    </row>
    <row r="53" ht="14.25" customHeight="1">
      <c r="A53" s="482"/>
      <c r="B53" s="460" t="s">
        <v>6484</v>
      </c>
      <c r="C53" s="480">
        <v>1.19593E7</v>
      </c>
      <c r="D53" s="484" t="s">
        <v>6485</v>
      </c>
      <c r="E53" s="474" t="s">
        <v>1400</v>
      </c>
      <c r="F53" s="460" t="s">
        <v>6486</v>
      </c>
      <c r="G53" s="476" t="s">
        <v>53</v>
      </c>
      <c r="H53" s="483">
        <v>46203.46875</v>
      </c>
      <c r="I53" s="482"/>
      <c r="J53" s="482"/>
      <c r="K53" s="482"/>
    </row>
    <row r="54" ht="14.25" customHeight="1">
      <c r="A54" s="482"/>
      <c r="B54" s="460" t="s">
        <v>6487</v>
      </c>
      <c r="C54" s="480">
        <v>1.1959318E7</v>
      </c>
      <c r="D54" s="484" t="s">
        <v>6444</v>
      </c>
      <c r="E54" s="474" t="s">
        <v>1400</v>
      </c>
      <c r="F54" s="460" t="s">
        <v>6488</v>
      </c>
      <c r="G54" s="476" t="s">
        <v>53</v>
      </c>
      <c r="H54" s="483">
        <v>46203.46875</v>
      </c>
      <c r="I54" s="482"/>
      <c r="J54" s="482"/>
      <c r="K54" s="482"/>
    </row>
    <row r="55" ht="14.25" customHeight="1">
      <c r="A55" s="482"/>
      <c r="B55" s="460" t="s">
        <v>6489</v>
      </c>
      <c r="C55" s="480">
        <v>1.195932E7</v>
      </c>
      <c r="D55" s="484" t="s">
        <v>6490</v>
      </c>
      <c r="E55" s="474" t="s">
        <v>1400</v>
      </c>
      <c r="F55" s="460" t="s">
        <v>6491</v>
      </c>
      <c r="G55" s="476" t="s">
        <v>53</v>
      </c>
      <c r="H55" s="483">
        <v>46203.46875</v>
      </c>
      <c r="I55" s="482"/>
      <c r="J55" s="482"/>
      <c r="K55" s="482"/>
    </row>
    <row r="56" ht="14.25" customHeight="1">
      <c r="A56" s="482"/>
      <c r="B56" s="482" t="s">
        <v>6492</v>
      </c>
      <c r="C56" s="480">
        <v>1.1959323E7</v>
      </c>
      <c r="D56" s="484" t="s">
        <v>6493</v>
      </c>
      <c r="E56" s="474" t="s">
        <v>1400</v>
      </c>
      <c r="F56" s="460" t="s">
        <v>6494</v>
      </c>
      <c r="G56" s="476" t="s">
        <v>53</v>
      </c>
      <c r="H56" s="483">
        <v>46203.46875</v>
      </c>
      <c r="I56" s="482"/>
      <c r="J56" s="482"/>
      <c r="K56" s="482"/>
    </row>
    <row r="57" ht="14.25" customHeight="1">
      <c r="A57" s="482"/>
      <c r="B57" s="482" t="s">
        <v>6495</v>
      </c>
      <c r="C57" s="480">
        <v>1.1959326E7</v>
      </c>
      <c r="D57" s="484" t="s">
        <v>6496</v>
      </c>
      <c r="E57" s="474" t="s">
        <v>1400</v>
      </c>
      <c r="F57" s="460" t="s">
        <v>6497</v>
      </c>
      <c r="G57" s="476" t="s">
        <v>53</v>
      </c>
      <c r="H57" s="483">
        <v>46203.46875</v>
      </c>
      <c r="I57" s="482"/>
      <c r="J57" s="482"/>
      <c r="K57" s="482"/>
    </row>
    <row r="58" ht="14.25" customHeight="1">
      <c r="A58" s="482"/>
      <c r="B58" s="482" t="s">
        <v>6498</v>
      </c>
      <c r="C58" s="480">
        <v>1.1959177E7</v>
      </c>
      <c r="D58" s="484" t="s">
        <v>6499</v>
      </c>
      <c r="E58" s="474" t="s">
        <v>1400</v>
      </c>
      <c r="F58" s="460" t="s">
        <v>6500</v>
      </c>
      <c r="G58" s="476" t="s">
        <v>53</v>
      </c>
      <c r="H58" s="483">
        <v>46203.46875</v>
      </c>
      <c r="I58" s="482"/>
      <c r="J58" s="482"/>
      <c r="K58" s="482"/>
    </row>
    <row r="59" ht="14.25" customHeight="1">
      <c r="A59" s="482"/>
      <c r="B59" s="482" t="s">
        <v>6501</v>
      </c>
      <c r="C59" s="480">
        <v>1.1959182E7</v>
      </c>
      <c r="D59" s="484" t="s">
        <v>6456</v>
      </c>
      <c r="E59" s="474" t="s">
        <v>1400</v>
      </c>
      <c r="F59" s="460" t="s">
        <v>6502</v>
      </c>
      <c r="G59" s="476" t="s">
        <v>53</v>
      </c>
      <c r="H59" s="483">
        <v>46203.46875</v>
      </c>
      <c r="I59" s="482"/>
      <c r="J59" s="482"/>
      <c r="K59" s="482"/>
    </row>
    <row r="60" ht="14.25" customHeight="1">
      <c r="A60" s="482"/>
      <c r="B60" s="482" t="s">
        <v>6503</v>
      </c>
      <c r="C60" s="480">
        <v>1.1959187E7</v>
      </c>
      <c r="D60" s="486" t="s">
        <v>6504</v>
      </c>
      <c r="E60" s="474" t="s">
        <v>1400</v>
      </c>
      <c r="F60" s="482" t="s">
        <v>6505</v>
      </c>
      <c r="G60" s="476" t="s">
        <v>53</v>
      </c>
      <c r="H60" s="483">
        <v>46203.46875</v>
      </c>
      <c r="I60" s="482"/>
      <c r="J60" s="482"/>
      <c r="K60" s="482"/>
    </row>
    <row r="61" ht="14.25" customHeight="1">
      <c r="A61" s="482"/>
      <c r="B61" s="482" t="s">
        <v>6506</v>
      </c>
      <c r="C61" s="480">
        <v>1.1959213E7</v>
      </c>
      <c r="D61" s="486" t="s">
        <v>6453</v>
      </c>
      <c r="E61" s="474" t="s">
        <v>1400</v>
      </c>
      <c r="F61" s="482" t="s">
        <v>6507</v>
      </c>
      <c r="G61" s="476" t="s">
        <v>53</v>
      </c>
      <c r="H61" s="483">
        <v>46203.46875</v>
      </c>
      <c r="I61" s="482"/>
      <c r="J61" s="482"/>
      <c r="K61" s="482"/>
    </row>
    <row r="62" ht="14.25" customHeight="1">
      <c r="A62" s="482"/>
      <c r="B62" s="482" t="s">
        <v>6508</v>
      </c>
      <c r="C62" s="480">
        <v>1.195922E7</v>
      </c>
      <c r="D62" s="486" t="s">
        <v>6450</v>
      </c>
      <c r="E62" s="474" t="s">
        <v>1400</v>
      </c>
      <c r="F62" s="482" t="s">
        <v>6509</v>
      </c>
      <c r="G62" s="476" t="s">
        <v>53</v>
      </c>
      <c r="H62" s="483">
        <v>46203.46875</v>
      </c>
      <c r="I62" s="482"/>
      <c r="J62" s="482"/>
      <c r="K62" s="482"/>
    </row>
    <row r="63" ht="14.25" customHeight="1">
      <c r="A63" s="482"/>
      <c r="B63" s="482" t="s">
        <v>6510</v>
      </c>
      <c r="C63" s="480">
        <v>1.1959225E7</v>
      </c>
      <c r="D63" s="486" t="s">
        <v>6511</v>
      </c>
      <c r="E63" s="474" t="s">
        <v>1400</v>
      </c>
      <c r="F63" s="482" t="s">
        <v>6512</v>
      </c>
      <c r="G63" s="476" t="s">
        <v>53</v>
      </c>
      <c r="H63" s="483">
        <v>46203.46875</v>
      </c>
      <c r="I63" s="482"/>
      <c r="J63" s="482"/>
      <c r="K63" s="482"/>
    </row>
    <row r="64" ht="14.25" customHeight="1">
      <c r="A64" s="482"/>
      <c r="B64" s="482" t="s">
        <v>6513</v>
      </c>
      <c r="C64" s="480">
        <v>1.1959237E7</v>
      </c>
      <c r="D64" s="486" t="s">
        <v>6456</v>
      </c>
      <c r="E64" s="474" t="s">
        <v>1400</v>
      </c>
      <c r="F64" s="482" t="s">
        <v>6514</v>
      </c>
      <c r="G64" s="476" t="s">
        <v>53</v>
      </c>
      <c r="H64" s="483">
        <v>46203.46875</v>
      </c>
      <c r="I64" s="482"/>
      <c r="J64" s="482"/>
      <c r="K64" s="482"/>
    </row>
    <row r="65" ht="14.25" customHeight="1">
      <c r="A65" s="482"/>
      <c r="B65" s="482" t="s">
        <v>6515</v>
      </c>
      <c r="C65" s="480">
        <v>1.1959341E7</v>
      </c>
      <c r="D65" s="486" t="s">
        <v>6496</v>
      </c>
      <c r="E65" s="474" t="s">
        <v>1400</v>
      </c>
      <c r="F65" s="482" t="s">
        <v>6516</v>
      </c>
      <c r="G65" s="476" t="s">
        <v>53</v>
      </c>
      <c r="H65" s="483">
        <v>46203.46875</v>
      </c>
      <c r="I65" s="482"/>
      <c r="J65" s="482"/>
      <c r="K65" s="482"/>
    </row>
    <row r="66" ht="14.25" customHeight="1">
      <c r="A66" s="482"/>
      <c r="B66" s="482" t="s">
        <v>6517</v>
      </c>
      <c r="C66" s="480">
        <v>1.1959355E7</v>
      </c>
      <c r="D66" s="486" t="s">
        <v>6511</v>
      </c>
      <c r="E66" s="474" t="s">
        <v>1400</v>
      </c>
      <c r="F66" s="482" t="s">
        <v>6518</v>
      </c>
      <c r="G66" s="476" t="s">
        <v>53</v>
      </c>
      <c r="H66" s="483">
        <v>46203.46875</v>
      </c>
      <c r="I66" s="482"/>
      <c r="J66" s="482"/>
      <c r="K66" s="482"/>
    </row>
    <row r="67" ht="14.25" customHeight="1">
      <c r="A67" s="482"/>
      <c r="B67" s="487" t="s">
        <v>6519</v>
      </c>
      <c r="C67" s="488">
        <v>1.1959594E7</v>
      </c>
      <c r="D67" s="489" t="s">
        <v>6520</v>
      </c>
      <c r="E67" s="474" t="s">
        <v>1400</v>
      </c>
      <c r="F67" s="482" t="s">
        <v>6521</v>
      </c>
      <c r="G67" s="476" t="s">
        <v>53</v>
      </c>
      <c r="H67" s="490">
        <v>46211.59444444445</v>
      </c>
      <c r="I67" s="482"/>
      <c r="J67" s="482"/>
      <c r="K67" s="482"/>
    </row>
    <row r="68" ht="14.25" customHeight="1">
      <c r="A68" s="482"/>
      <c r="B68" s="487" t="s">
        <v>6371</v>
      </c>
      <c r="C68" s="488">
        <v>1.1959595E7</v>
      </c>
      <c r="D68" s="491" t="s">
        <v>6522</v>
      </c>
      <c r="E68" s="474" t="s">
        <v>1400</v>
      </c>
      <c r="F68" s="460" t="s">
        <v>6523</v>
      </c>
      <c r="G68" s="476" t="s">
        <v>53</v>
      </c>
      <c r="H68" s="490">
        <v>46211.59444444445</v>
      </c>
      <c r="I68" s="482"/>
      <c r="J68" s="482"/>
      <c r="K68" s="482"/>
    </row>
    <row r="69" ht="14.25" customHeight="1">
      <c r="A69" s="482"/>
      <c r="B69" s="487" t="s">
        <v>6524</v>
      </c>
      <c r="C69" s="488">
        <v>1.1959596E7</v>
      </c>
      <c r="D69" s="491" t="s">
        <v>6525</v>
      </c>
      <c r="E69" s="474" t="s">
        <v>1400</v>
      </c>
      <c r="F69" s="460" t="s">
        <v>6526</v>
      </c>
      <c r="G69" s="476" t="s">
        <v>53</v>
      </c>
      <c r="H69" s="490">
        <v>46211.59444444445</v>
      </c>
      <c r="I69" s="482"/>
      <c r="J69" s="482"/>
      <c r="K69" s="482"/>
    </row>
    <row r="70" ht="14.25" customHeight="1">
      <c r="A70" s="482"/>
      <c r="B70" s="487" t="s">
        <v>6421</v>
      </c>
      <c r="C70" s="488">
        <v>1.1959597E7</v>
      </c>
      <c r="D70" s="491" t="s">
        <v>6527</v>
      </c>
      <c r="E70" s="474" t="s">
        <v>1400</v>
      </c>
      <c r="F70" s="460" t="s">
        <v>6528</v>
      </c>
      <c r="G70" s="476" t="s">
        <v>53</v>
      </c>
      <c r="H70" s="490">
        <v>46211.59444444445</v>
      </c>
      <c r="I70" s="482"/>
      <c r="J70" s="482"/>
      <c r="K70" s="482"/>
    </row>
    <row r="71" ht="14.25" customHeight="1">
      <c r="A71" s="482"/>
      <c r="B71" s="487" t="s">
        <v>6529</v>
      </c>
      <c r="C71" s="488">
        <v>1.1959599E7</v>
      </c>
      <c r="D71" s="491" t="s">
        <v>6530</v>
      </c>
      <c r="E71" s="474" t="s">
        <v>1400</v>
      </c>
      <c r="F71" s="460" t="s">
        <v>6448</v>
      </c>
      <c r="G71" s="476" t="s">
        <v>53</v>
      </c>
      <c r="H71" s="490">
        <v>46211.59444444445</v>
      </c>
      <c r="I71" s="482"/>
      <c r="J71" s="482"/>
      <c r="K71" s="482"/>
    </row>
    <row r="72" ht="14.25" customHeight="1">
      <c r="A72" s="482"/>
      <c r="B72" s="487" t="s">
        <v>6464</v>
      </c>
      <c r="C72" s="488">
        <v>1.19596E7</v>
      </c>
      <c r="D72" s="491" t="s">
        <v>6531</v>
      </c>
      <c r="E72" s="474" t="s">
        <v>1400</v>
      </c>
      <c r="F72" s="460" t="s">
        <v>6532</v>
      </c>
      <c r="G72" s="476" t="s">
        <v>53</v>
      </c>
      <c r="H72" s="490">
        <v>46211.59444444445</v>
      </c>
      <c r="I72" s="482"/>
      <c r="J72" s="482"/>
      <c r="K72" s="482"/>
    </row>
    <row r="73" ht="14.25" customHeight="1">
      <c r="A73" s="482"/>
      <c r="B73" s="487" t="s">
        <v>6472</v>
      </c>
      <c r="C73" s="488">
        <v>1.1959601E7</v>
      </c>
      <c r="D73" s="491" t="s">
        <v>6533</v>
      </c>
      <c r="E73" s="474" t="s">
        <v>1400</v>
      </c>
      <c r="F73" s="460" t="s">
        <v>6534</v>
      </c>
      <c r="G73" s="476" t="s">
        <v>53</v>
      </c>
      <c r="H73" s="490">
        <v>46211.59444444445</v>
      </c>
      <c r="I73" s="482"/>
      <c r="J73" s="482"/>
      <c r="K73" s="482"/>
    </row>
    <row r="74" ht="14.25" customHeight="1">
      <c r="A74" s="482"/>
      <c r="B74" s="487" t="s">
        <v>6477</v>
      </c>
      <c r="C74" s="488">
        <v>1.1959602E7</v>
      </c>
      <c r="D74" s="491" t="s">
        <v>6535</v>
      </c>
      <c r="E74" s="474" t="s">
        <v>1400</v>
      </c>
      <c r="F74" s="460" t="s">
        <v>6536</v>
      </c>
      <c r="G74" s="476" t="s">
        <v>53</v>
      </c>
      <c r="H74" s="490">
        <v>46211.59444444445</v>
      </c>
      <c r="I74" s="482"/>
      <c r="J74" s="482"/>
      <c r="K74" s="482"/>
    </row>
    <row r="75" ht="14.25" customHeight="1">
      <c r="A75" s="482"/>
      <c r="B75" s="487" t="s">
        <v>6482</v>
      </c>
      <c r="C75" s="488">
        <v>1.1959603E7</v>
      </c>
      <c r="D75" s="491" t="s">
        <v>6533</v>
      </c>
      <c r="E75" s="474" t="s">
        <v>1400</v>
      </c>
      <c r="F75" s="460" t="s">
        <v>6537</v>
      </c>
      <c r="G75" s="476" t="s">
        <v>53</v>
      </c>
      <c r="H75" s="490">
        <v>46211.59444444445</v>
      </c>
      <c r="I75" s="482"/>
      <c r="J75" s="482"/>
      <c r="K75" s="482"/>
    </row>
    <row r="76" ht="14.25" customHeight="1">
      <c r="A76" s="482"/>
      <c r="B76" s="487" t="s">
        <v>6484</v>
      </c>
      <c r="C76" s="488">
        <v>1.1959604E7</v>
      </c>
      <c r="D76" s="491" t="s">
        <v>6538</v>
      </c>
      <c r="E76" s="474" t="s">
        <v>1400</v>
      </c>
      <c r="F76" s="460" t="s">
        <v>6539</v>
      </c>
      <c r="G76" s="476" t="s">
        <v>53</v>
      </c>
      <c r="H76" s="490">
        <v>46211.59444444445</v>
      </c>
      <c r="I76" s="482"/>
      <c r="J76" s="482"/>
      <c r="K76" s="482"/>
    </row>
    <row r="77" ht="14.25" customHeight="1">
      <c r="A77" s="482"/>
      <c r="B77" s="487" t="s">
        <v>6487</v>
      </c>
      <c r="C77" s="488">
        <v>1.1959605E7</v>
      </c>
      <c r="D77" s="491" t="s">
        <v>6533</v>
      </c>
      <c r="E77" s="474" t="s">
        <v>1400</v>
      </c>
      <c r="F77" s="460" t="s">
        <v>6540</v>
      </c>
      <c r="G77" s="476" t="s">
        <v>53</v>
      </c>
      <c r="H77" s="490">
        <v>46211.59444444445</v>
      </c>
      <c r="I77" s="482"/>
      <c r="J77" s="482"/>
      <c r="K77" s="482"/>
    </row>
    <row r="78" ht="14.25" customHeight="1">
      <c r="A78" s="482"/>
      <c r="B78" s="487" t="s">
        <v>6489</v>
      </c>
      <c r="C78" s="488">
        <v>1.1959606E7</v>
      </c>
      <c r="D78" s="491" t="s">
        <v>6541</v>
      </c>
      <c r="E78" s="474" t="s">
        <v>1400</v>
      </c>
      <c r="F78" s="460" t="s">
        <v>6542</v>
      </c>
      <c r="G78" s="476" t="s">
        <v>53</v>
      </c>
      <c r="H78" s="490">
        <v>46211.59444444445</v>
      </c>
      <c r="I78" s="482"/>
      <c r="J78" s="482"/>
      <c r="K78" s="482"/>
    </row>
    <row r="79" ht="14.25" customHeight="1">
      <c r="A79" s="482"/>
      <c r="B79" s="487" t="s">
        <v>6492</v>
      </c>
      <c r="C79" s="488">
        <v>1.1959607E7</v>
      </c>
      <c r="D79" s="491" t="s">
        <v>6543</v>
      </c>
      <c r="E79" s="474" t="s">
        <v>1400</v>
      </c>
      <c r="F79" s="460" t="s">
        <v>6544</v>
      </c>
      <c r="G79" s="476" t="s">
        <v>53</v>
      </c>
      <c r="H79" s="490">
        <v>46211.59444444445</v>
      </c>
      <c r="I79" s="482"/>
      <c r="J79" s="482"/>
      <c r="K79" s="482"/>
    </row>
    <row r="80" ht="14.25" customHeight="1">
      <c r="A80" s="482"/>
      <c r="B80" s="487" t="s">
        <v>6495</v>
      </c>
      <c r="C80" s="488">
        <v>1.195961E7</v>
      </c>
      <c r="D80" s="491" t="s">
        <v>6545</v>
      </c>
      <c r="E80" s="474" t="s">
        <v>1400</v>
      </c>
      <c r="F80" s="460" t="s">
        <v>6546</v>
      </c>
      <c r="G80" s="476" t="s">
        <v>53</v>
      </c>
      <c r="H80" s="490">
        <v>46211.59444444445</v>
      </c>
      <c r="I80" s="482"/>
      <c r="J80" s="482"/>
      <c r="K80" s="482"/>
    </row>
    <row r="81" ht="14.25" customHeight="1">
      <c r="A81" s="482"/>
      <c r="B81" s="487" t="s">
        <v>6501</v>
      </c>
      <c r="C81" s="488">
        <v>1.1959611E7</v>
      </c>
      <c r="D81" s="491" t="s">
        <v>6547</v>
      </c>
      <c r="E81" s="474" t="s">
        <v>1400</v>
      </c>
      <c r="F81" s="460" t="s">
        <v>6548</v>
      </c>
      <c r="G81" s="476" t="s">
        <v>53</v>
      </c>
      <c r="H81" s="490">
        <v>46211.59444444445</v>
      </c>
      <c r="I81" s="482"/>
      <c r="J81" s="482"/>
      <c r="K81" s="482"/>
    </row>
    <row r="82" ht="14.25" customHeight="1">
      <c r="A82" s="482"/>
      <c r="B82" s="487" t="s">
        <v>6549</v>
      </c>
      <c r="C82" s="488">
        <v>1.1959612E7</v>
      </c>
      <c r="D82" s="491" t="s">
        <v>6550</v>
      </c>
      <c r="E82" s="474" t="s">
        <v>1400</v>
      </c>
      <c r="F82" s="460" t="s">
        <v>6551</v>
      </c>
      <c r="G82" s="476" t="s">
        <v>53</v>
      </c>
      <c r="H82" s="490">
        <v>46211.59444444445</v>
      </c>
      <c r="I82" s="482"/>
      <c r="J82" s="482"/>
      <c r="K82" s="482"/>
    </row>
    <row r="83" ht="14.25" customHeight="1">
      <c r="A83" s="482"/>
      <c r="B83" s="487" t="s">
        <v>6552</v>
      </c>
      <c r="C83" s="488">
        <v>1.1959613E7</v>
      </c>
      <c r="D83" s="491" t="s">
        <v>6553</v>
      </c>
      <c r="E83" s="474" t="s">
        <v>1400</v>
      </c>
      <c r="F83" s="460" t="s">
        <v>6554</v>
      </c>
      <c r="G83" s="476" t="s">
        <v>53</v>
      </c>
      <c r="H83" s="490">
        <v>46211.59444444445</v>
      </c>
      <c r="I83" s="482"/>
      <c r="J83" s="482"/>
      <c r="K83" s="482"/>
    </row>
    <row r="84" ht="14.25" customHeight="1">
      <c r="A84" s="482"/>
      <c r="B84" s="487" t="s">
        <v>6555</v>
      </c>
      <c r="C84" s="488">
        <v>1.1959615E7</v>
      </c>
      <c r="D84" s="491" t="s">
        <v>6556</v>
      </c>
      <c r="E84" s="474" t="s">
        <v>1400</v>
      </c>
      <c r="F84" s="460" t="s">
        <v>6557</v>
      </c>
      <c r="G84" s="476" t="s">
        <v>53</v>
      </c>
      <c r="H84" s="490">
        <v>46211.59444444445</v>
      </c>
      <c r="I84" s="482"/>
      <c r="J84" s="482"/>
      <c r="K84" s="482"/>
    </row>
    <row r="85" ht="14.25" customHeight="1">
      <c r="A85" s="482"/>
      <c r="B85" s="487" t="s">
        <v>6558</v>
      </c>
      <c r="C85" s="488">
        <v>1.1959616E7</v>
      </c>
      <c r="D85" s="491" t="s">
        <v>6559</v>
      </c>
      <c r="E85" s="474" t="s">
        <v>1400</v>
      </c>
      <c r="F85" s="460" t="s">
        <v>6560</v>
      </c>
      <c r="G85" s="476" t="s">
        <v>53</v>
      </c>
      <c r="H85" s="490">
        <v>46211.59444444445</v>
      </c>
      <c r="I85" s="482"/>
      <c r="J85" s="482"/>
      <c r="K85" s="482"/>
    </row>
    <row r="86" ht="14.25" customHeight="1">
      <c r="A86" s="482"/>
      <c r="B86" s="487" t="s">
        <v>6561</v>
      </c>
      <c r="C86" s="488">
        <v>1.1959617E7</v>
      </c>
      <c r="D86" s="491" t="s">
        <v>6562</v>
      </c>
      <c r="E86" s="474" t="s">
        <v>1400</v>
      </c>
      <c r="F86" s="460" t="s">
        <v>6563</v>
      </c>
      <c r="G86" s="476" t="s">
        <v>53</v>
      </c>
      <c r="H86" s="490">
        <v>46211.59444444445</v>
      </c>
      <c r="I86" s="482"/>
      <c r="J86" s="482"/>
      <c r="K86" s="482"/>
    </row>
    <row r="87" ht="14.25" customHeight="1">
      <c r="A87" s="482"/>
      <c r="B87" s="487" t="s">
        <v>6503</v>
      </c>
      <c r="C87" s="488">
        <v>1.1959618E7</v>
      </c>
      <c r="D87" s="491" t="s">
        <v>6564</v>
      </c>
      <c r="E87" s="474" t="s">
        <v>1400</v>
      </c>
      <c r="F87" s="460" t="s">
        <v>6565</v>
      </c>
      <c r="G87" s="476" t="s">
        <v>53</v>
      </c>
      <c r="H87" s="490">
        <v>46211.59444444445</v>
      </c>
      <c r="I87" s="482"/>
      <c r="J87" s="482"/>
      <c r="K87" s="482"/>
    </row>
    <row r="88" ht="14.25" customHeight="1">
      <c r="A88" s="482"/>
      <c r="B88" s="487" t="s">
        <v>6506</v>
      </c>
      <c r="C88" s="488">
        <v>1.1959619E7</v>
      </c>
      <c r="D88" s="491" t="s">
        <v>6531</v>
      </c>
      <c r="E88" s="474" t="s">
        <v>1400</v>
      </c>
      <c r="F88" s="460" t="s">
        <v>6566</v>
      </c>
      <c r="G88" s="476" t="s">
        <v>53</v>
      </c>
      <c r="H88" s="490">
        <v>46211.59444444445</v>
      </c>
      <c r="I88" s="482"/>
      <c r="J88" s="482"/>
      <c r="K88" s="482"/>
    </row>
    <row r="89" ht="14.25" customHeight="1">
      <c r="A89" s="482"/>
      <c r="B89" s="487" t="s">
        <v>6508</v>
      </c>
      <c r="C89" s="488">
        <v>1.195962E7</v>
      </c>
      <c r="D89" s="491" t="s">
        <v>6567</v>
      </c>
      <c r="E89" s="474" t="s">
        <v>1400</v>
      </c>
      <c r="F89" s="460" t="s">
        <v>6568</v>
      </c>
      <c r="G89" s="476" t="s">
        <v>53</v>
      </c>
      <c r="H89" s="490">
        <v>46211.59444444445</v>
      </c>
      <c r="I89" s="482"/>
      <c r="J89" s="482"/>
      <c r="K89" s="482"/>
    </row>
    <row r="90" ht="14.25" customHeight="1">
      <c r="A90" s="482"/>
      <c r="B90" s="487" t="s">
        <v>6510</v>
      </c>
      <c r="C90" s="488">
        <v>1.1959623E7</v>
      </c>
      <c r="D90" s="491" t="s">
        <v>6569</v>
      </c>
      <c r="E90" s="474" t="s">
        <v>1400</v>
      </c>
      <c r="F90" s="460" t="s">
        <v>6512</v>
      </c>
      <c r="G90" s="476" t="s">
        <v>53</v>
      </c>
      <c r="H90" s="490">
        <v>46211.59444444445</v>
      </c>
      <c r="I90" s="482"/>
      <c r="J90" s="482"/>
      <c r="K90" s="482"/>
    </row>
    <row r="91" ht="14.25" customHeight="1">
      <c r="A91" s="482"/>
      <c r="B91" s="492" t="s">
        <v>6570</v>
      </c>
      <c r="C91" s="488">
        <v>1.1959624E7</v>
      </c>
      <c r="D91" s="493" t="s">
        <v>6525</v>
      </c>
      <c r="E91" s="474" t="s">
        <v>1400</v>
      </c>
      <c r="F91" s="460" t="s">
        <v>6571</v>
      </c>
      <c r="G91" s="476" t="s">
        <v>53</v>
      </c>
      <c r="H91" s="490">
        <v>46211.59444444445</v>
      </c>
      <c r="I91" s="482"/>
      <c r="J91" s="482"/>
      <c r="K91" s="482"/>
    </row>
    <row r="92" ht="14.25" customHeight="1">
      <c r="A92" s="482"/>
      <c r="B92" s="494" t="s">
        <v>6513</v>
      </c>
      <c r="C92" s="488">
        <v>1.1959625E7</v>
      </c>
      <c r="D92" s="491" t="s">
        <v>6547</v>
      </c>
      <c r="E92" s="474" t="s">
        <v>1400</v>
      </c>
      <c r="F92" s="460" t="s">
        <v>6514</v>
      </c>
      <c r="G92" s="476" t="s">
        <v>53</v>
      </c>
      <c r="H92" s="490">
        <v>46211.59444444445</v>
      </c>
      <c r="I92" s="482"/>
      <c r="J92" s="482"/>
      <c r="K92" s="482"/>
    </row>
    <row r="93" ht="14.25" customHeight="1">
      <c r="A93" s="482"/>
      <c r="B93" s="494" t="s">
        <v>6572</v>
      </c>
      <c r="C93" s="488">
        <v>1.1959654E7</v>
      </c>
      <c r="D93" s="491" t="s">
        <v>6573</v>
      </c>
      <c r="E93" s="474" t="s">
        <v>1400</v>
      </c>
      <c r="F93" s="460" t="s">
        <v>6574</v>
      </c>
      <c r="G93" s="476" t="s">
        <v>53</v>
      </c>
      <c r="H93" s="490">
        <v>46211.59444444445</v>
      </c>
      <c r="I93" s="482"/>
      <c r="J93" s="482"/>
      <c r="K93" s="482"/>
    </row>
    <row r="94" ht="14.25" customHeight="1">
      <c r="A94" s="482"/>
      <c r="B94" s="494" t="s">
        <v>6515</v>
      </c>
      <c r="C94" s="488">
        <v>1.1959655E7</v>
      </c>
      <c r="D94" s="491" t="s">
        <v>6545</v>
      </c>
      <c r="E94" s="474" t="s">
        <v>1400</v>
      </c>
      <c r="F94" s="460" t="s">
        <v>6516</v>
      </c>
      <c r="G94" s="476" t="s">
        <v>53</v>
      </c>
      <c r="H94" s="490">
        <v>46211.59444444445</v>
      </c>
      <c r="I94" s="482"/>
      <c r="J94" s="482"/>
      <c r="K94" s="482"/>
    </row>
    <row r="95" ht="14.25" customHeight="1">
      <c r="A95" s="482"/>
      <c r="B95" s="494" t="s">
        <v>6517</v>
      </c>
      <c r="C95" s="488">
        <v>1.1959656E7</v>
      </c>
      <c r="D95" s="491" t="s">
        <v>6569</v>
      </c>
      <c r="E95" s="474" t="s">
        <v>1400</v>
      </c>
      <c r="F95" s="460" t="s">
        <v>6518</v>
      </c>
      <c r="G95" s="476" t="s">
        <v>53</v>
      </c>
      <c r="H95" s="490">
        <v>46211.59444444445</v>
      </c>
      <c r="I95" s="482"/>
      <c r="J95" s="482"/>
      <c r="K95" s="482"/>
    </row>
    <row r="96" ht="14.25" customHeight="1">
      <c r="A96" s="482"/>
      <c r="B96" s="494" t="s">
        <v>6575</v>
      </c>
      <c r="C96" s="488">
        <v>1.1959657E7</v>
      </c>
      <c r="D96" s="491" t="s">
        <v>6553</v>
      </c>
      <c r="E96" s="474" t="s">
        <v>1400</v>
      </c>
      <c r="F96" s="460" t="s">
        <v>6576</v>
      </c>
      <c r="G96" s="476" t="s">
        <v>53</v>
      </c>
      <c r="H96" s="490">
        <v>46211.59444444445</v>
      </c>
      <c r="I96" s="482"/>
      <c r="J96" s="482"/>
      <c r="K96" s="482"/>
    </row>
    <row r="97" ht="14.25" customHeight="1">
      <c r="A97" s="482"/>
      <c r="B97" s="494" t="s">
        <v>6577</v>
      </c>
      <c r="C97" s="488">
        <v>1.1959659E7</v>
      </c>
      <c r="D97" s="495" t="s">
        <v>6578</v>
      </c>
      <c r="E97" s="474" t="s">
        <v>1400</v>
      </c>
      <c r="F97" s="496" t="s">
        <v>6579</v>
      </c>
      <c r="G97" s="476" t="s">
        <v>53</v>
      </c>
      <c r="H97" s="490">
        <v>46211.59444444445</v>
      </c>
      <c r="I97" s="482"/>
      <c r="J97" s="482"/>
      <c r="K97" s="482"/>
    </row>
    <row r="98" ht="14.25" customHeight="1">
      <c r="A98" s="482"/>
      <c r="B98" s="494" t="s">
        <v>6580</v>
      </c>
      <c r="C98" s="488">
        <v>1.195966E7</v>
      </c>
      <c r="D98" s="495" t="s">
        <v>6581</v>
      </c>
      <c r="E98" s="474" t="s">
        <v>1400</v>
      </c>
      <c r="F98" s="482" t="s">
        <v>6582</v>
      </c>
      <c r="G98" s="476" t="s">
        <v>53</v>
      </c>
      <c r="H98" s="490">
        <v>46211.59444444445</v>
      </c>
      <c r="I98" s="482"/>
      <c r="J98" s="482"/>
      <c r="K98" s="482"/>
    </row>
    <row r="99" ht="14.25" customHeight="1">
      <c r="A99" s="482"/>
      <c r="B99" s="494" t="s">
        <v>6583</v>
      </c>
      <c r="C99" s="488">
        <v>1.1959661E7</v>
      </c>
      <c r="D99" s="495" t="s">
        <v>6547</v>
      </c>
      <c r="E99" s="474" t="s">
        <v>1400</v>
      </c>
      <c r="F99" s="482" t="s">
        <v>6584</v>
      </c>
      <c r="G99" s="476" t="s">
        <v>53</v>
      </c>
      <c r="H99" s="490">
        <v>46211.59444444445</v>
      </c>
      <c r="I99" s="482"/>
      <c r="J99" s="482"/>
      <c r="K99" s="482"/>
    </row>
    <row r="100" ht="14.25" customHeight="1">
      <c r="A100" s="482"/>
      <c r="B100" s="494" t="s">
        <v>6585</v>
      </c>
      <c r="C100" s="488">
        <v>1.1959662E7</v>
      </c>
      <c r="D100" s="495" t="s">
        <v>6586</v>
      </c>
      <c r="E100" s="474" t="s">
        <v>1400</v>
      </c>
      <c r="F100" s="482" t="s">
        <v>6587</v>
      </c>
      <c r="G100" s="476" t="s">
        <v>53</v>
      </c>
      <c r="H100" s="490">
        <v>46211.59444444445</v>
      </c>
      <c r="I100" s="482"/>
      <c r="J100" s="482"/>
      <c r="K100" s="482"/>
    </row>
    <row r="101" ht="14.25" customHeight="1">
      <c r="A101" s="482"/>
      <c r="B101" s="494" t="s">
        <v>6588</v>
      </c>
      <c r="C101" s="488">
        <v>1.1959663E7</v>
      </c>
      <c r="D101" s="495" t="s">
        <v>6578</v>
      </c>
      <c r="E101" s="474" t="s">
        <v>1400</v>
      </c>
      <c r="F101" s="482" t="s">
        <v>6589</v>
      </c>
      <c r="G101" s="476" t="s">
        <v>53</v>
      </c>
      <c r="H101" s="490">
        <v>46211.59444444445</v>
      </c>
      <c r="I101" s="482"/>
      <c r="J101" s="482"/>
      <c r="K101" s="482"/>
    </row>
    <row r="102" ht="14.25" customHeight="1">
      <c r="A102" s="460"/>
      <c r="B102" s="494" t="s">
        <v>6590</v>
      </c>
      <c r="C102" s="488">
        <v>1.1959664E7</v>
      </c>
      <c r="D102" s="495" t="s">
        <v>6591</v>
      </c>
      <c r="E102" s="474" t="s">
        <v>1400</v>
      </c>
      <c r="F102" s="482" t="s">
        <v>6592</v>
      </c>
      <c r="G102" s="476" t="s">
        <v>53</v>
      </c>
      <c r="H102" s="490">
        <v>46211.59444444445</v>
      </c>
      <c r="I102" s="460"/>
      <c r="J102" s="460"/>
      <c r="K102" s="460"/>
    </row>
    <row r="103" ht="14.25" customHeight="1">
      <c r="A103" s="482"/>
      <c r="B103" s="494" t="s">
        <v>6593</v>
      </c>
      <c r="C103" s="488">
        <v>1.1959665E7</v>
      </c>
      <c r="D103" s="495" t="s">
        <v>6569</v>
      </c>
      <c r="E103" s="474" t="s">
        <v>1400</v>
      </c>
      <c r="F103" s="482" t="s">
        <v>6594</v>
      </c>
      <c r="G103" s="476" t="s">
        <v>53</v>
      </c>
      <c r="H103" s="490">
        <v>46211.59444444445</v>
      </c>
      <c r="I103" s="482"/>
      <c r="J103" s="482"/>
      <c r="K103" s="482"/>
    </row>
    <row r="104" ht="14.25" customHeight="1">
      <c r="A104" s="482"/>
      <c r="B104" s="494" t="s">
        <v>6595</v>
      </c>
      <c r="C104" s="488">
        <v>1.1959666E7</v>
      </c>
      <c r="D104" s="495" t="s">
        <v>6550</v>
      </c>
      <c r="E104" s="474" t="s">
        <v>1400</v>
      </c>
      <c r="F104" s="482" t="s">
        <v>6596</v>
      </c>
      <c r="G104" s="476" t="s">
        <v>53</v>
      </c>
      <c r="H104" s="490">
        <v>46211.59444444445</v>
      </c>
      <c r="I104" s="482"/>
      <c r="J104" s="482"/>
      <c r="K104" s="482"/>
    </row>
    <row r="105" ht="14.25" customHeight="1">
      <c r="A105" s="482"/>
      <c r="B105" s="494" t="s">
        <v>6597</v>
      </c>
      <c r="C105" s="488">
        <v>1.1959667E7</v>
      </c>
      <c r="D105" s="495" t="s">
        <v>6573</v>
      </c>
      <c r="E105" s="474" t="s">
        <v>1400</v>
      </c>
      <c r="F105" s="482" t="s">
        <v>6598</v>
      </c>
      <c r="G105" s="476" t="s">
        <v>53</v>
      </c>
      <c r="H105" s="490">
        <v>46211.59444444445</v>
      </c>
      <c r="I105" s="482"/>
      <c r="J105" s="482"/>
      <c r="K105" s="482"/>
    </row>
    <row r="106" ht="14.25" customHeight="1">
      <c r="A106" s="497"/>
      <c r="B106" s="498" t="s">
        <v>6599</v>
      </c>
      <c r="C106" s="499">
        <v>1.1959668E7</v>
      </c>
      <c r="D106" s="500" t="s">
        <v>6600</v>
      </c>
      <c r="E106" s="474" t="s">
        <v>1400</v>
      </c>
      <c r="F106" s="497" t="s">
        <v>6601</v>
      </c>
      <c r="G106" s="476" t="s">
        <v>53</v>
      </c>
      <c r="H106" s="490">
        <v>46211.59444444445</v>
      </c>
      <c r="I106" s="497"/>
      <c r="J106" s="497"/>
      <c r="K106" s="497"/>
    </row>
    <row r="107" ht="14.25" customHeight="1">
      <c r="A107" s="482"/>
      <c r="B107" s="482" t="s">
        <v>6602</v>
      </c>
      <c r="C107" s="488">
        <v>1.1959669E7</v>
      </c>
      <c r="D107" s="486" t="s">
        <v>6543</v>
      </c>
      <c r="E107" s="474" t="s">
        <v>1400</v>
      </c>
      <c r="F107" s="482" t="s">
        <v>6603</v>
      </c>
      <c r="G107" s="476" t="s">
        <v>53</v>
      </c>
      <c r="H107" s="490">
        <v>46211.59444444445</v>
      </c>
      <c r="I107" s="482"/>
      <c r="J107" s="482"/>
      <c r="K107" s="482"/>
    </row>
    <row r="108" ht="14.25" customHeight="1">
      <c r="A108" s="482"/>
      <c r="B108" s="482" t="s">
        <v>6604</v>
      </c>
      <c r="C108" s="488">
        <v>1.195967E7</v>
      </c>
      <c r="D108" s="486" t="s">
        <v>6550</v>
      </c>
      <c r="E108" s="474" t="s">
        <v>1400</v>
      </c>
      <c r="F108" s="482" t="s">
        <v>6605</v>
      </c>
      <c r="G108" s="476" t="s">
        <v>53</v>
      </c>
      <c r="H108" s="490">
        <v>46211.59444444445</v>
      </c>
      <c r="I108" s="482"/>
      <c r="J108" s="482"/>
      <c r="K108" s="482"/>
    </row>
    <row r="109" ht="14.25" customHeight="1">
      <c r="A109" s="482"/>
      <c r="B109" s="482" t="s">
        <v>6606</v>
      </c>
      <c r="C109" s="488">
        <v>1.1959672E7</v>
      </c>
      <c r="D109" s="486" t="s">
        <v>6607</v>
      </c>
      <c r="E109" s="474" t="s">
        <v>1400</v>
      </c>
      <c r="F109" s="482" t="s">
        <v>6608</v>
      </c>
      <c r="G109" s="476" t="s">
        <v>53</v>
      </c>
      <c r="H109" s="490">
        <v>46211.59444444445</v>
      </c>
      <c r="I109" s="482"/>
      <c r="J109" s="482"/>
      <c r="K109" s="482"/>
    </row>
    <row r="110" ht="14.25" customHeight="1">
      <c r="A110" s="482"/>
      <c r="B110" s="482" t="s">
        <v>6609</v>
      </c>
      <c r="C110" s="488">
        <v>1.1959673E7</v>
      </c>
      <c r="D110" s="486" t="s">
        <v>6578</v>
      </c>
      <c r="E110" s="474" t="s">
        <v>1400</v>
      </c>
      <c r="F110" s="482" t="s">
        <v>6610</v>
      </c>
      <c r="G110" s="476" t="s">
        <v>53</v>
      </c>
      <c r="H110" s="490">
        <v>46211.59444444445</v>
      </c>
      <c r="I110" s="482"/>
      <c r="J110" s="482"/>
      <c r="K110" s="482"/>
    </row>
    <row r="111" ht="14.25" customHeight="1">
      <c r="A111" s="482"/>
      <c r="B111" s="482" t="s">
        <v>6611</v>
      </c>
      <c r="C111" s="488">
        <v>1.1959674E7</v>
      </c>
      <c r="D111" s="486" t="s">
        <v>6550</v>
      </c>
      <c r="E111" s="474" t="s">
        <v>1400</v>
      </c>
      <c r="F111" s="482" t="s">
        <v>6612</v>
      </c>
      <c r="G111" s="476" t="s">
        <v>53</v>
      </c>
      <c r="H111" s="490">
        <v>46211.59444444445</v>
      </c>
      <c r="I111" s="482"/>
      <c r="J111" s="482"/>
      <c r="K111" s="482"/>
    </row>
    <row r="112" ht="14.25" customHeight="1">
      <c r="A112" s="482"/>
      <c r="B112" s="482" t="s">
        <v>6613</v>
      </c>
      <c r="C112" s="488">
        <v>1.1959509E7</v>
      </c>
      <c r="D112" s="486" t="s">
        <v>6614</v>
      </c>
      <c r="E112" s="474" t="s">
        <v>1400</v>
      </c>
      <c r="F112" s="482" t="s">
        <v>6615</v>
      </c>
      <c r="G112" s="476" t="s">
        <v>53</v>
      </c>
      <c r="H112" s="490">
        <v>46211.59444444445</v>
      </c>
      <c r="I112" s="482"/>
      <c r="J112" s="482"/>
      <c r="K112" s="482"/>
    </row>
    <row r="113" ht="14.25" customHeight="1">
      <c r="A113" s="482"/>
      <c r="B113" s="482" t="s">
        <v>6616</v>
      </c>
      <c r="C113" s="488">
        <v>1.1959511E7</v>
      </c>
      <c r="D113" s="486" t="s">
        <v>6550</v>
      </c>
      <c r="E113" s="474" t="s">
        <v>1400</v>
      </c>
      <c r="F113" s="482" t="s">
        <v>6617</v>
      </c>
      <c r="G113" s="476" t="s">
        <v>53</v>
      </c>
      <c r="H113" s="490">
        <v>46211.59444444445</v>
      </c>
      <c r="I113" s="482"/>
      <c r="J113" s="482"/>
      <c r="K113" s="482"/>
    </row>
    <row r="114" ht="14.25" customHeight="1">
      <c r="A114" s="482"/>
      <c r="B114" s="460" t="s">
        <v>6371</v>
      </c>
      <c r="C114" s="480">
        <v>1.1959512E7</v>
      </c>
      <c r="D114" s="481" t="s">
        <v>6522</v>
      </c>
      <c r="E114" s="474" t="s">
        <v>1400</v>
      </c>
      <c r="F114" s="482" t="s">
        <v>6521</v>
      </c>
      <c r="G114" s="476" t="s">
        <v>53</v>
      </c>
      <c r="H114" s="490">
        <v>46211.59444444445</v>
      </c>
      <c r="I114" s="482"/>
      <c r="J114" s="482"/>
      <c r="K114" s="482"/>
    </row>
    <row r="115" ht="14.25" customHeight="1">
      <c r="A115" s="482"/>
      <c r="B115" s="460" t="s">
        <v>6373</v>
      </c>
      <c r="C115" s="480">
        <v>1.1959513E7</v>
      </c>
      <c r="D115" s="484" t="s">
        <v>6618</v>
      </c>
      <c r="E115" s="474" t="s">
        <v>1400</v>
      </c>
      <c r="F115" s="460" t="s">
        <v>6619</v>
      </c>
      <c r="G115" s="476" t="s">
        <v>53</v>
      </c>
      <c r="H115" s="490">
        <v>46211.59444444445</v>
      </c>
      <c r="I115" s="482"/>
      <c r="J115" s="482"/>
      <c r="K115" s="482"/>
    </row>
    <row r="116" ht="14.25" customHeight="1">
      <c r="A116" s="482"/>
      <c r="B116" s="460" t="s">
        <v>6506</v>
      </c>
      <c r="C116" s="480">
        <v>1.1959514E7</v>
      </c>
      <c r="D116" s="484" t="s">
        <v>6531</v>
      </c>
      <c r="E116" s="474" t="s">
        <v>1400</v>
      </c>
      <c r="F116" s="460" t="s">
        <v>6620</v>
      </c>
      <c r="G116" s="476" t="s">
        <v>53</v>
      </c>
      <c r="H116" s="490">
        <v>46211.59444444445</v>
      </c>
      <c r="I116" s="482"/>
      <c r="J116" s="482"/>
      <c r="K116" s="482"/>
    </row>
    <row r="117" ht="14.25" customHeight="1">
      <c r="A117" s="482"/>
      <c r="B117" s="460" t="s">
        <v>6508</v>
      </c>
      <c r="C117" s="480">
        <v>1.1959515E7</v>
      </c>
      <c r="D117" s="484" t="s">
        <v>6567</v>
      </c>
      <c r="E117" s="474" t="s">
        <v>1400</v>
      </c>
      <c r="F117" s="460" t="s">
        <v>6621</v>
      </c>
      <c r="G117" s="476" t="s">
        <v>53</v>
      </c>
      <c r="H117" s="490">
        <v>46211.59444444445</v>
      </c>
      <c r="I117" s="482"/>
      <c r="J117" s="482"/>
      <c r="K117" s="482"/>
    </row>
    <row r="118" ht="14.25" customHeight="1">
      <c r="A118" s="482"/>
      <c r="B118" s="460" t="s">
        <v>6622</v>
      </c>
      <c r="C118" s="480">
        <v>1.1959516E7</v>
      </c>
      <c r="D118" s="484" t="s">
        <v>6553</v>
      </c>
      <c r="E118" s="474" t="s">
        <v>1400</v>
      </c>
      <c r="F118" s="460" t="s">
        <v>6623</v>
      </c>
      <c r="G118" s="476" t="s">
        <v>53</v>
      </c>
      <c r="H118" s="490">
        <v>46211.59444444445</v>
      </c>
      <c r="I118" s="482"/>
      <c r="J118" s="482"/>
      <c r="K118" s="482"/>
    </row>
    <row r="119" ht="14.25" customHeight="1">
      <c r="A119" s="482"/>
      <c r="B119" s="460" t="s">
        <v>6624</v>
      </c>
      <c r="C119" s="480">
        <v>1.1959517E7</v>
      </c>
      <c r="D119" s="484" t="s">
        <v>6625</v>
      </c>
      <c r="E119" s="474" t="s">
        <v>1400</v>
      </c>
      <c r="F119" s="460" t="s">
        <v>6626</v>
      </c>
      <c r="G119" s="476" t="s">
        <v>53</v>
      </c>
      <c r="H119" s="490">
        <v>46211.59444444445</v>
      </c>
      <c r="I119" s="482"/>
      <c r="J119" s="482"/>
      <c r="K119" s="482"/>
    </row>
    <row r="120" ht="14.25" customHeight="1">
      <c r="A120" s="482"/>
      <c r="B120" s="460" t="s">
        <v>6627</v>
      </c>
      <c r="C120" s="480">
        <v>1.1959518E7</v>
      </c>
      <c r="D120" s="484" t="s">
        <v>6614</v>
      </c>
      <c r="E120" s="474" t="s">
        <v>1400</v>
      </c>
      <c r="F120" s="460" t="s">
        <v>6628</v>
      </c>
      <c r="G120" s="476" t="s">
        <v>53</v>
      </c>
      <c r="H120" s="490">
        <v>46211.59444444445</v>
      </c>
      <c r="I120" s="482"/>
      <c r="J120" s="482"/>
      <c r="K120" s="482"/>
    </row>
    <row r="121" ht="14.25" customHeight="1">
      <c r="A121" s="482"/>
      <c r="B121" s="460" t="s">
        <v>6629</v>
      </c>
      <c r="C121" s="480">
        <v>1.1959519E7</v>
      </c>
      <c r="D121" s="484" t="s">
        <v>6600</v>
      </c>
      <c r="E121" s="474" t="s">
        <v>1400</v>
      </c>
      <c r="F121" s="460" t="s">
        <v>6630</v>
      </c>
      <c r="G121" s="476" t="s">
        <v>53</v>
      </c>
      <c r="H121" s="490">
        <v>46211.59444444445</v>
      </c>
      <c r="I121" s="482"/>
      <c r="J121" s="482"/>
      <c r="K121" s="482"/>
    </row>
    <row r="122" ht="14.25" customHeight="1">
      <c r="A122" s="482"/>
      <c r="B122" s="460" t="s">
        <v>6631</v>
      </c>
      <c r="C122" s="480">
        <v>1.195952E7</v>
      </c>
      <c r="D122" s="484" t="s">
        <v>6632</v>
      </c>
      <c r="E122" s="474" t="s">
        <v>1400</v>
      </c>
      <c r="F122" s="460" t="s">
        <v>6633</v>
      </c>
      <c r="G122" s="476" t="s">
        <v>53</v>
      </c>
      <c r="H122" s="490">
        <v>46211.59444444445</v>
      </c>
      <c r="I122" s="482"/>
      <c r="J122" s="482"/>
      <c r="K122" s="482"/>
    </row>
    <row r="123" ht="14.25" customHeight="1">
      <c r="A123" s="482"/>
      <c r="B123" s="460" t="s">
        <v>6634</v>
      </c>
      <c r="C123" s="480">
        <v>1.1959521E7</v>
      </c>
      <c r="D123" s="484" t="s">
        <v>6635</v>
      </c>
      <c r="E123" s="474" t="s">
        <v>1400</v>
      </c>
      <c r="F123" s="460" t="s">
        <v>6636</v>
      </c>
      <c r="G123" s="476" t="s">
        <v>53</v>
      </c>
      <c r="H123" s="490">
        <v>46211.59444444445</v>
      </c>
      <c r="I123" s="482"/>
      <c r="J123" s="482"/>
      <c r="K123" s="482"/>
    </row>
    <row r="124" ht="14.25" customHeight="1">
      <c r="A124" s="482"/>
      <c r="B124" s="460" t="s">
        <v>6637</v>
      </c>
      <c r="C124" s="480">
        <v>1.1959523E7</v>
      </c>
      <c r="D124" s="484" t="s">
        <v>6586</v>
      </c>
      <c r="E124" s="474" t="s">
        <v>1400</v>
      </c>
      <c r="F124" s="460" t="s">
        <v>6638</v>
      </c>
      <c r="G124" s="476" t="s">
        <v>53</v>
      </c>
      <c r="H124" s="490">
        <v>46211.59444444445</v>
      </c>
      <c r="I124" s="482"/>
      <c r="J124" s="482"/>
      <c r="K124" s="482"/>
    </row>
    <row r="125" ht="14.25" customHeight="1">
      <c r="A125" s="482"/>
      <c r="B125" s="460" t="s">
        <v>6639</v>
      </c>
      <c r="C125" s="480">
        <v>1.1959525E7</v>
      </c>
      <c r="D125" s="484" t="s">
        <v>6586</v>
      </c>
      <c r="E125" s="474" t="s">
        <v>1400</v>
      </c>
      <c r="F125" s="460" t="s">
        <v>6640</v>
      </c>
      <c r="G125" s="476" t="s">
        <v>53</v>
      </c>
      <c r="H125" s="490">
        <v>46211.59444444445</v>
      </c>
      <c r="I125" s="482"/>
      <c r="J125" s="482"/>
      <c r="K125" s="482"/>
    </row>
    <row r="126" ht="14.25" customHeight="1">
      <c r="A126" s="482"/>
      <c r="B126" s="460" t="s">
        <v>6641</v>
      </c>
      <c r="C126" s="480">
        <v>1.1959526E7</v>
      </c>
      <c r="D126" s="484" t="s">
        <v>6642</v>
      </c>
      <c r="E126" s="474" t="s">
        <v>1400</v>
      </c>
      <c r="F126" s="460" t="s">
        <v>6643</v>
      </c>
      <c r="G126" s="476" t="s">
        <v>53</v>
      </c>
      <c r="H126" s="490">
        <v>46211.59444444445</v>
      </c>
      <c r="I126" s="482"/>
      <c r="J126" s="482"/>
      <c r="K126" s="482"/>
    </row>
    <row r="127" ht="14.25" customHeight="1">
      <c r="A127" s="482"/>
      <c r="B127" s="460" t="s">
        <v>6644</v>
      </c>
      <c r="C127" s="480">
        <v>1.1959529E7</v>
      </c>
      <c r="D127" s="484" t="s">
        <v>6642</v>
      </c>
      <c r="E127" s="474" t="s">
        <v>1400</v>
      </c>
      <c r="F127" s="460" t="s">
        <v>6645</v>
      </c>
      <c r="G127" s="476" t="s">
        <v>53</v>
      </c>
      <c r="H127" s="490">
        <v>46211.59444444445</v>
      </c>
      <c r="I127" s="482"/>
      <c r="J127" s="482"/>
      <c r="K127" s="482"/>
    </row>
    <row r="128" ht="14.25" customHeight="1">
      <c r="A128" s="482"/>
      <c r="B128" s="460" t="s">
        <v>6646</v>
      </c>
      <c r="C128" s="480">
        <v>1.195953E7</v>
      </c>
      <c r="D128" s="484" t="s">
        <v>6647</v>
      </c>
      <c r="E128" s="474" t="s">
        <v>1400</v>
      </c>
      <c r="F128" s="460" t="s">
        <v>6648</v>
      </c>
      <c r="G128" s="476" t="s">
        <v>53</v>
      </c>
      <c r="H128" s="490">
        <v>46211.59444444445</v>
      </c>
      <c r="I128" s="482"/>
      <c r="J128" s="482"/>
      <c r="K128" s="482"/>
    </row>
    <row r="129" ht="14.25" customHeight="1">
      <c r="A129" s="482"/>
      <c r="B129" s="460" t="s">
        <v>6649</v>
      </c>
      <c r="C129" s="480">
        <v>1.1959531E7</v>
      </c>
      <c r="D129" s="484" t="s">
        <v>6564</v>
      </c>
      <c r="E129" s="474" t="s">
        <v>1400</v>
      </c>
      <c r="F129" s="460" t="s">
        <v>6650</v>
      </c>
      <c r="G129" s="476" t="s">
        <v>53</v>
      </c>
      <c r="H129" s="490">
        <v>46211.59444444445</v>
      </c>
      <c r="I129" s="482"/>
      <c r="J129" s="482"/>
      <c r="K129" s="482"/>
    </row>
    <row r="130" ht="14.25" customHeight="1">
      <c r="A130" s="482"/>
      <c r="B130" s="460" t="s">
        <v>6651</v>
      </c>
      <c r="C130" s="480">
        <v>1.1959532E7</v>
      </c>
      <c r="D130" s="484" t="s">
        <v>6652</v>
      </c>
      <c r="E130" s="474" t="s">
        <v>1400</v>
      </c>
      <c r="F130" s="460" t="s">
        <v>6653</v>
      </c>
      <c r="G130" s="476" t="s">
        <v>53</v>
      </c>
      <c r="H130" s="490">
        <v>46211.59444444445</v>
      </c>
      <c r="I130" s="482"/>
      <c r="J130" s="482"/>
      <c r="K130" s="482"/>
    </row>
    <row r="131" ht="14.25" customHeight="1">
      <c r="A131" s="482"/>
      <c r="B131" s="460" t="s">
        <v>6654</v>
      </c>
      <c r="C131" s="480">
        <v>1.1959533E7</v>
      </c>
      <c r="D131" s="484" t="s">
        <v>6652</v>
      </c>
      <c r="E131" s="474" t="s">
        <v>1400</v>
      </c>
      <c r="F131" s="460" t="s">
        <v>6655</v>
      </c>
      <c r="G131" s="476" t="s">
        <v>53</v>
      </c>
      <c r="H131" s="490">
        <v>46211.59444444445</v>
      </c>
      <c r="I131" s="482"/>
      <c r="J131" s="482"/>
      <c r="K131" s="482"/>
    </row>
    <row r="132" ht="14.25" customHeight="1">
      <c r="A132" s="482"/>
      <c r="B132" s="460" t="s">
        <v>6656</v>
      </c>
      <c r="C132" s="480">
        <v>1.1959534E7</v>
      </c>
      <c r="D132" s="484" t="s">
        <v>6657</v>
      </c>
      <c r="E132" s="474" t="s">
        <v>1400</v>
      </c>
      <c r="F132" s="460" t="s">
        <v>6658</v>
      </c>
      <c r="G132" s="476" t="s">
        <v>53</v>
      </c>
      <c r="H132" s="490">
        <v>46211.59444444445</v>
      </c>
      <c r="I132" s="482"/>
      <c r="J132" s="482"/>
      <c r="K132" s="482"/>
    </row>
    <row r="133" ht="14.25" customHeight="1">
      <c r="A133" s="482"/>
      <c r="B133" s="460" t="s">
        <v>6659</v>
      </c>
      <c r="C133" s="480">
        <v>1.1959535E7</v>
      </c>
      <c r="D133" s="484" t="s">
        <v>6657</v>
      </c>
      <c r="E133" s="474" t="s">
        <v>1400</v>
      </c>
      <c r="F133" s="460" t="s">
        <v>6660</v>
      </c>
      <c r="G133" s="476" t="s">
        <v>53</v>
      </c>
      <c r="H133" s="490">
        <v>46211.59444444445</v>
      </c>
      <c r="I133" s="482"/>
      <c r="J133" s="482"/>
      <c r="K133" s="482"/>
    </row>
    <row r="134" ht="14.25" customHeight="1">
      <c r="A134" s="482"/>
      <c r="B134" s="460" t="s">
        <v>6661</v>
      </c>
      <c r="C134" s="480">
        <v>1.1959536E7</v>
      </c>
      <c r="D134" s="484" t="s">
        <v>6662</v>
      </c>
      <c r="E134" s="474" t="s">
        <v>1400</v>
      </c>
      <c r="F134" s="460" t="s">
        <v>6663</v>
      </c>
      <c r="G134" s="476" t="s">
        <v>53</v>
      </c>
      <c r="H134" s="490">
        <v>46211.59444444445</v>
      </c>
      <c r="I134" s="482"/>
      <c r="J134" s="482"/>
      <c r="K134" s="482"/>
    </row>
    <row r="135" ht="14.25" customHeight="1">
      <c r="A135" s="482"/>
      <c r="B135" s="460" t="s">
        <v>6664</v>
      </c>
      <c r="C135" s="480">
        <v>1.1959537E7</v>
      </c>
      <c r="D135" s="484" t="s">
        <v>6538</v>
      </c>
      <c r="E135" s="474" t="s">
        <v>1400</v>
      </c>
      <c r="F135" s="460" t="s">
        <v>6665</v>
      </c>
      <c r="G135" s="476" t="s">
        <v>53</v>
      </c>
      <c r="H135" s="490">
        <v>46211.59444444445</v>
      </c>
      <c r="I135" s="482"/>
      <c r="J135" s="482"/>
      <c r="K135" s="482"/>
    </row>
    <row r="136" ht="14.25" customHeight="1">
      <c r="A136" s="482"/>
      <c r="B136" s="460" t="s">
        <v>6666</v>
      </c>
      <c r="C136" s="480">
        <v>1.1959538E7</v>
      </c>
      <c r="D136" s="484" t="s">
        <v>6667</v>
      </c>
      <c r="E136" s="474" t="s">
        <v>1400</v>
      </c>
      <c r="F136" s="460" t="s">
        <v>6668</v>
      </c>
      <c r="G136" s="476" t="s">
        <v>53</v>
      </c>
      <c r="H136" s="490">
        <v>46211.59444444445</v>
      </c>
      <c r="I136" s="482"/>
      <c r="J136" s="482"/>
      <c r="K136" s="482"/>
    </row>
    <row r="137" ht="14.25" customHeight="1">
      <c r="A137" s="482"/>
      <c r="B137" s="482"/>
      <c r="C137" s="482"/>
      <c r="D137" s="482"/>
      <c r="E137" s="501"/>
      <c r="F137" s="482"/>
      <c r="G137" s="482"/>
      <c r="H137" s="490"/>
      <c r="I137" s="482"/>
      <c r="J137" s="482"/>
      <c r="K137" s="482"/>
    </row>
    <row r="138" ht="14.25" customHeight="1">
      <c r="A138" s="482"/>
      <c r="B138" s="482"/>
      <c r="C138" s="482"/>
      <c r="D138" s="482"/>
      <c r="E138" s="501"/>
      <c r="F138" s="482"/>
      <c r="G138" s="482"/>
      <c r="H138" s="490"/>
      <c r="I138" s="482"/>
      <c r="J138" s="482"/>
      <c r="K138" s="482"/>
    </row>
    <row r="139" ht="14.25" customHeight="1">
      <c r="A139" s="482"/>
      <c r="B139" s="482"/>
      <c r="C139" s="482"/>
      <c r="D139" s="482"/>
      <c r="E139" s="501"/>
      <c r="F139" s="482"/>
      <c r="G139" s="482"/>
      <c r="H139" s="490"/>
      <c r="I139" s="482"/>
      <c r="J139" s="482"/>
      <c r="K139" s="482"/>
    </row>
    <row r="140" ht="14.25" customHeight="1">
      <c r="A140" s="482"/>
      <c r="B140" s="482"/>
      <c r="C140" s="482"/>
      <c r="D140" s="482"/>
      <c r="E140" s="501"/>
      <c r="F140" s="482"/>
      <c r="G140" s="482"/>
      <c r="H140" s="490"/>
      <c r="I140" s="482"/>
      <c r="J140" s="482"/>
      <c r="K140" s="482"/>
    </row>
    <row r="141" ht="14.25" customHeight="1">
      <c r="A141" s="482"/>
      <c r="B141" s="482"/>
      <c r="C141" s="482"/>
      <c r="D141" s="482"/>
      <c r="E141" s="501"/>
      <c r="F141" s="482"/>
      <c r="G141" s="482"/>
      <c r="H141" s="490"/>
      <c r="I141" s="482"/>
      <c r="J141" s="482"/>
      <c r="K141" s="482"/>
    </row>
    <row r="142" ht="14.25" customHeight="1">
      <c r="A142" s="482"/>
      <c r="B142" s="482"/>
      <c r="C142" s="482"/>
      <c r="D142" s="482"/>
      <c r="E142" s="501"/>
      <c r="F142" s="482"/>
      <c r="G142" s="482"/>
      <c r="H142" s="490"/>
      <c r="I142" s="482"/>
      <c r="J142" s="482"/>
      <c r="K142" s="482"/>
    </row>
    <row r="143" ht="14.25" customHeight="1">
      <c r="A143" s="482"/>
      <c r="B143" s="482"/>
      <c r="C143" s="482"/>
      <c r="D143" s="482"/>
      <c r="E143" s="501"/>
      <c r="F143" s="482"/>
      <c r="G143" s="482"/>
      <c r="H143" s="490"/>
      <c r="I143" s="482"/>
      <c r="J143" s="482"/>
      <c r="K143" s="482"/>
    </row>
    <row r="144" ht="14.25" customHeight="1">
      <c r="A144" s="482"/>
      <c r="B144" s="482"/>
      <c r="C144" s="482"/>
      <c r="D144" s="482"/>
      <c r="E144" s="501"/>
      <c r="F144" s="482"/>
      <c r="G144" s="482"/>
      <c r="H144" s="490"/>
      <c r="I144" s="482"/>
      <c r="J144" s="482"/>
      <c r="K144" s="482"/>
    </row>
    <row r="145" ht="14.25" customHeight="1">
      <c r="A145" s="482"/>
      <c r="B145" s="482"/>
      <c r="C145" s="482"/>
      <c r="D145" s="482"/>
      <c r="E145" s="501"/>
      <c r="F145" s="482"/>
      <c r="G145" s="482"/>
      <c r="H145" s="490"/>
      <c r="I145" s="482"/>
      <c r="J145" s="482"/>
      <c r="K145" s="482"/>
    </row>
    <row r="146" ht="14.25" customHeight="1">
      <c r="A146" s="482"/>
      <c r="B146" s="482"/>
      <c r="C146" s="482"/>
      <c r="D146" s="482"/>
      <c r="E146" s="501"/>
      <c r="F146" s="482"/>
      <c r="G146" s="482"/>
      <c r="H146" s="490"/>
      <c r="I146" s="482"/>
      <c r="J146" s="482"/>
      <c r="K146" s="482"/>
    </row>
    <row r="147" ht="14.25" customHeight="1">
      <c r="A147" s="482"/>
      <c r="B147" s="482"/>
      <c r="C147" s="482"/>
      <c r="D147" s="482"/>
      <c r="E147" s="501"/>
      <c r="F147" s="482"/>
      <c r="G147" s="482"/>
      <c r="H147" s="490"/>
      <c r="I147" s="482"/>
      <c r="J147" s="482"/>
      <c r="K147" s="482"/>
    </row>
  </sheetData>
  <autoFilter ref="$A$1:$K$50"/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2017-12-29T12:50:27Z</dcterms:created>
  <dc:creator>Tv Globo</dc:creator>
  <dc:description/>
  <cp:keywords/>
  <cp:lastModifiedBy/>
  <dcterms:modified xsi:type="dcterms:W3CDTF">2026-07-26T21:58:43Z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0x01010062B3784C9A54FE43A0C3DA386762A6ED</vt:lpwstr>
  </property>
  <property fmtid="{D5CDD505-2E9C-101B-9397-08002B2CF9AE}" pid="3" name="Order">
    <vt:r8>391900.0</vt:r8>
  </property>
  <property fmtid="{D5CDD505-2E9C-101B-9397-08002B2CF9AE}" pid="4" name="MSIP_Label_3dc542d3-6316-42ad-9eaa-e82fa419e5f2_Enabled">
    <vt:lpwstr>true</vt:lpwstr>
  </property>
  <property fmtid="{D5CDD505-2E9C-101B-9397-08002B2CF9AE}" pid="5" name="MSIP_Label_3dc542d3-6316-42ad-9eaa-e82fa419e5f2_SetDate">
    <vt:lpwstr>2020-10-10T13:48:01Z</vt:lpwstr>
  </property>
  <property fmtid="{D5CDD505-2E9C-101B-9397-08002B2CF9AE}" pid="6" name="MSIP_Label_3dc542d3-6316-42ad-9eaa-e82fa419e5f2_Method">
    <vt:lpwstr>Standard</vt:lpwstr>
  </property>
  <property fmtid="{D5CDD505-2E9C-101B-9397-08002B2CF9AE}" pid="7" name="MSIP_Label_3dc542d3-6316-42ad-9eaa-e82fa419e5f2_Name">
    <vt:lpwstr>3dc542d3-6316-42ad-9eaa-e82fa419e5f2</vt:lpwstr>
  </property>
  <property fmtid="{D5CDD505-2E9C-101B-9397-08002B2CF9AE}" pid="8" name="MSIP_Label_3dc542d3-6316-42ad-9eaa-e82fa419e5f2_SiteId">
    <vt:lpwstr>a7cdc447-3b29-4b41-b73e-8a2cb54b06c6</vt:lpwstr>
  </property>
  <property fmtid="{D5CDD505-2E9C-101B-9397-08002B2CF9AE}" pid="9" name="MSIP_Label_3dc542d3-6316-42ad-9eaa-e82fa419e5f2_ActionId">
    <vt:lpwstr>b9002baa-e057-444b-9743-0b3ad3f8a266</vt:lpwstr>
  </property>
  <property fmtid="{D5CDD505-2E9C-101B-9397-08002B2CF9AE}" pid="10" name="MSIP_Label_3dc542d3-6316-42ad-9eaa-e82fa419e5f2_ContentBits">
    <vt:lpwstr>0</vt:lpwstr>
  </property>
  <property fmtid="{D5CDD505-2E9C-101B-9397-08002B2CF9AE}" pid="11" name="WorkbookGuid">
    <vt:lpwstr>d60890c8-5460-4031-9cde-68a06ed56892</vt:lpwstr>
  </property>
  <property fmtid="{D5CDD505-2E9C-101B-9397-08002B2CF9AE}" pid="12" name="MediaServiceImageTags">
    <vt:lpwstr/>
  </property>
</Properties>
</file>